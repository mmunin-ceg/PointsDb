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4.xml" ContentType="application/vnd.openxmlformats-officedocument.spreadsheetml.comments+xml"/>
  <Override PartName="/xl/tables/table11.xml" ContentType="application/vnd.openxmlformats-officedocument.spreadsheetml.table+xml"/>
  <Override PartName="/xl/comments5.xml" ContentType="application/vnd.openxmlformats-officedocument.spreadsheetml.comments+xml"/>
  <Override PartName="/xl/threadedComments/threadedComment2.xml" ContentType="application/vnd.ms-excel.threadedcomments+xml"/>
  <Override PartName="/xl/tables/table12.xml" ContentType="application/vnd.openxmlformats-officedocument.spreadsheetml.table+xml"/>
  <Override PartName="/xl/tables/table13.xml" ContentType="application/vnd.openxmlformats-officedocument.spreadsheetml.table+xml"/>
  <Override PartName="/xl/comments6.xml" ContentType="application/vnd.openxmlformats-officedocument.spreadsheetml.comments+xml"/>
  <Override PartName="/xl/threadedComments/threadedComment3.xml" ContentType="application/vnd.ms-excel.threadedcomments+xml"/>
  <Override PartName="/xl/tables/table14.xml" ContentType="application/vnd.openxmlformats-officedocument.spreadsheetml.table+xml"/>
  <Override PartName="/xl/comments7.xml" ContentType="application/vnd.openxmlformats-officedocument.spreadsheetml.comments+xml"/>
  <Override PartName="/xl/tables/table15.xml" ContentType="application/vnd.openxmlformats-officedocument.spreadsheetml.table+xml"/>
  <Override PartName="/xl/comments8.xml" ContentType="application/vnd.openxmlformats-officedocument.spreadsheetml.comments+xml"/>
  <Override PartName="/xl/tables/table16.xml" ContentType="application/vnd.openxmlformats-officedocument.spreadsheetml.table+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codeName="ThisWorkbook"/>
  <mc:AlternateContent xmlns:mc="http://schemas.openxmlformats.org/markup-compatibility/2006">
    <mc:Choice Requires="x15">
      <x15ac:absPath xmlns:x15ac="http://schemas.microsoft.com/office/spreadsheetml/2010/11/ac" url="C:\Users\MattMunin\PointsDb\"/>
    </mc:Choice>
  </mc:AlternateContent>
  <xr:revisionPtr revIDLastSave="0" documentId="8_{A3B64B23-25A1-4474-BFA6-C6E203AFBCEB}" xr6:coauthVersionLast="47" xr6:coauthVersionMax="47" xr10:uidLastSave="{00000000-0000-0000-0000-000000000000}"/>
  <bookViews>
    <workbookView xWindow="-38520" yWindow="-120" windowWidth="38640" windowHeight="21120" tabRatio="690" firstSheet="9" activeTab="13" xr2:uid="{D2D188C0-80A8-884A-88E8-08297C03C6E5}"/>
  </bookViews>
  <sheets>
    <sheet name="Data Flows" sheetId="1" r:id="rId1"/>
    <sheet name="PPC to RTU-1" sheetId="35" r:id="rId2"/>
    <sheet name="Inverters to PPC - SG3600" sheetId="34" r:id="rId3"/>
    <sheet name="Inverters to PPC - SG4400UD" sheetId="23" r:id="rId4"/>
    <sheet name="Met Tower to PPC" sheetId="14" r:id="rId5"/>
    <sheet name="Met Tower ALB to Ignition" sheetId="36" r:id="rId6"/>
    <sheet name="Soiling to PPC - Eclipse 1.0" sheetId="15" r:id="rId7"/>
    <sheet name="Soiling to PPC - DustIQ" sheetId="37" r:id="rId8"/>
    <sheet name="Albedometers to PPC" sheetId="27" r:id="rId9"/>
    <sheet name="Orbit POA to PPC" sheetId="29" r:id="rId10"/>
    <sheet name="PPC to Ignition - SG3600" sheetId="28" r:id="rId11"/>
    <sheet name="PPC to Ignition - SG4400UD" sheetId="12" r:id="rId12"/>
    <sheet name="PPC to Ignition - Environmental" sheetId="13" r:id="rId13"/>
    <sheet name="PPC to Ignition - PPC" sheetId="17" r:id="rId14"/>
    <sheet name="Trackers to Ignition - Nexttack" sheetId="31" r:id="rId15"/>
    <sheet name="Trackers to Ignition - Nevados" sheetId="33" r:id="rId16"/>
    <sheet name="Battery Monitors to Ignition" sheetId="20" r:id="rId17"/>
    <sheet name="Lookups" sheetId="7" r:id="rId18"/>
  </sheets>
  <definedNames>
    <definedName name="ExternalData_1" localSheetId="1" hidden="1">'PPC to RTU-1'!$A$6:$X$16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42" i="36" l="1"/>
  <c r="Q242" i="36"/>
  <c r="R241" i="36"/>
  <c r="Q241" i="36"/>
  <c r="R240" i="36"/>
  <c r="Q240" i="36"/>
  <c r="R239" i="36"/>
  <c r="Q239" i="36"/>
  <c r="R238" i="36"/>
  <c r="Q238" i="36"/>
  <c r="R237" i="36"/>
  <c r="Q237" i="36"/>
  <c r="R236" i="36"/>
  <c r="Q236" i="36"/>
  <c r="R235" i="36"/>
  <c r="Q235" i="36"/>
  <c r="R234" i="36"/>
  <c r="Q234" i="36"/>
  <c r="R233" i="36"/>
  <c r="Q233" i="36"/>
  <c r="R232" i="36"/>
  <c r="Q232" i="36"/>
  <c r="R231" i="36"/>
  <c r="Q231" i="36"/>
  <c r="R230" i="36"/>
  <c r="Q230" i="36"/>
  <c r="R229" i="36"/>
  <c r="Q229" i="36"/>
  <c r="R228" i="36"/>
  <c r="Q228" i="36"/>
  <c r="R227" i="36"/>
  <c r="Q227" i="36"/>
  <c r="R226" i="36"/>
  <c r="Q226" i="36"/>
  <c r="R225" i="36"/>
  <c r="Q225" i="36"/>
  <c r="R224" i="36"/>
  <c r="Q224" i="36"/>
  <c r="R223" i="36"/>
  <c r="Q223" i="36"/>
  <c r="R222" i="36"/>
  <c r="Q222" i="36"/>
  <c r="R221" i="36"/>
  <c r="Q221" i="36"/>
  <c r="R220" i="36"/>
  <c r="Q220" i="36"/>
  <c r="R219" i="36"/>
  <c r="Q219" i="36"/>
  <c r="R218" i="36"/>
  <c r="Q218" i="36"/>
  <c r="R217" i="36"/>
  <c r="Q217" i="36"/>
  <c r="R216" i="36"/>
  <c r="Q216" i="36"/>
  <c r="R215" i="36"/>
  <c r="Q215" i="36"/>
  <c r="R214" i="36"/>
  <c r="Q214" i="36"/>
  <c r="R213" i="36"/>
  <c r="Q213" i="36"/>
  <c r="R212" i="36"/>
  <c r="Q212" i="36"/>
  <c r="R211" i="36"/>
  <c r="Q211" i="36"/>
  <c r="R210" i="36"/>
  <c r="Q210" i="36"/>
  <c r="R209" i="36"/>
  <c r="Q209" i="36"/>
  <c r="R208" i="36"/>
  <c r="Q208" i="36"/>
  <c r="R207" i="36"/>
  <c r="Q207" i="36"/>
  <c r="R206" i="36"/>
  <c r="Q206" i="36"/>
  <c r="R205" i="36"/>
  <c r="Q205" i="36"/>
  <c r="R204" i="36"/>
  <c r="Q204" i="36"/>
  <c r="R203" i="36"/>
  <c r="Q203" i="36"/>
  <c r="R202" i="36"/>
  <c r="Q202" i="36"/>
  <c r="R201" i="36"/>
  <c r="Q201" i="36"/>
  <c r="R200" i="36"/>
  <c r="Q200" i="36"/>
  <c r="R199" i="36"/>
  <c r="Q199" i="36"/>
  <c r="R198" i="36"/>
  <c r="Q198" i="36"/>
  <c r="R197" i="36"/>
  <c r="Q197" i="36"/>
  <c r="R196" i="36"/>
  <c r="Q196" i="36"/>
  <c r="R195" i="36"/>
  <c r="Q195" i="36"/>
  <c r="R194" i="36"/>
  <c r="Q194" i="36"/>
  <c r="R193" i="36"/>
  <c r="Q193" i="36"/>
  <c r="R192" i="36"/>
  <c r="Q192" i="36"/>
  <c r="R191" i="36"/>
  <c r="Q191" i="36"/>
  <c r="R190" i="36"/>
  <c r="Q190" i="36"/>
  <c r="R189" i="36"/>
  <c r="Q189" i="36"/>
  <c r="R188" i="36"/>
  <c r="Q188" i="36"/>
  <c r="R187" i="36"/>
  <c r="Q187" i="36"/>
  <c r="R186" i="36"/>
  <c r="Q186" i="36"/>
  <c r="R185" i="36"/>
  <c r="Q185" i="36"/>
  <c r="R184" i="36"/>
  <c r="Q184" i="36"/>
  <c r="R183" i="36"/>
  <c r="Q183" i="36"/>
  <c r="R182" i="36"/>
  <c r="Q182" i="36"/>
  <c r="R181" i="36"/>
  <c r="Q181" i="36"/>
  <c r="R180" i="36"/>
  <c r="Q180" i="36"/>
  <c r="R179" i="36"/>
  <c r="Q179" i="36"/>
  <c r="R178" i="36"/>
  <c r="Q178" i="36"/>
  <c r="R177" i="36"/>
  <c r="Q177" i="36"/>
  <c r="R176" i="36"/>
  <c r="Q176" i="36"/>
  <c r="R175" i="36"/>
  <c r="Q175" i="36"/>
  <c r="R174" i="36"/>
  <c r="Q174" i="36"/>
  <c r="R173" i="36"/>
  <c r="Q173" i="36"/>
  <c r="R172" i="36"/>
  <c r="Q172" i="36"/>
  <c r="R171" i="36"/>
  <c r="Q171" i="36"/>
  <c r="R170" i="36"/>
  <c r="Q170" i="36"/>
  <c r="R169" i="36"/>
  <c r="Q169" i="36"/>
  <c r="R168" i="36"/>
  <c r="Q168" i="36"/>
  <c r="R167" i="36"/>
  <c r="Q167" i="36"/>
  <c r="R166" i="36"/>
  <c r="Q166" i="36"/>
  <c r="R165" i="36"/>
  <c r="Q165" i="36"/>
  <c r="R164" i="36"/>
  <c r="Q164" i="36"/>
  <c r="R163" i="36"/>
  <c r="Q163" i="36"/>
  <c r="R162" i="36"/>
  <c r="Q162" i="36"/>
  <c r="R161" i="36"/>
  <c r="Q161" i="36"/>
  <c r="R160" i="36"/>
  <c r="Q160" i="36"/>
  <c r="R159" i="36"/>
  <c r="Q159" i="36"/>
  <c r="R158" i="36"/>
  <c r="Q158" i="36"/>
  <c r="R157" i="36"/>
  <c r="Q157" i="36"/>
  <c r="R156" i="36"/>
  <c r="Q156" i="36"/>
  <c r="R155" i="36"/>
  <c r="Q155" i="36"/>
  <c r="R154" i="36"/>
  <c r="Q154" i="36"/>
  <c r="R153" i="36"/>
  <c r="Q153" i="36"/>
  <c r="R152" i="36"/>
  <c r="Q152" i="36"/>
  <c r="R151" i="36"/>
  <c r="Q151" i="36"/>
  <c r="R150" i="36"/>
  <c r="Q150" i="36"/>
  <c r="R149" i="36"/>
  <c r="Q149" i="36"/>
  <c r="R148" i="36"/>
  <c r="Q148" i="36"/>
  <c r="R147" i="36"/>
  <c r="Q147" i="36"/>
  <c r="R146" i="36"/>
  <c r="Q146" i="36"/>
  <c r="R145" i="36"/>
  <c r="Q145" i="36"/>
  <c r="R144" i="36"/>
  <c r="Q144" i="36"/>
  <c r="R143" i="36"/>
  <c r="Q143" i="36"/>
  <c r="R142" i="36"/>
  <c r="Q142" i="36"/>
  <c r="R141" i="36"/>
  <c r="Q141" i="36"/>
  <c r="R140" i="36"/>
  <c r="Q140" i="36"/>
  <c r="R139" i="36"/>
  <c r="Q139" i="36"/>
  <c r="R138" i="36"/>
  <c r="Q138" i="36"/>
  <c r="R137" i="36"/>
  <c r="Q137" i="36"/>
  <c r="R136" i="36"/>
  <c r="Q136" i="36"/>
  <c r="R135" i="36"/>
  <c r="Q135" i="36"/>
  <c r="R134" i="36"/>
  <c r="Q134" i="36"/>
  <c r="R133" i="36"/>
  <c r="Q133" i="36"/>
  <c r="R132" i="36"/>
  <c r="Q132" i="36"/>
  <c r="R131" i="36"/>
  <c r="Q131" i="36"/>
  <c r="R130" i="36"/>
  <c r="Q130" i="36"/>
  <c r="R129" i="36"/>
  <c r="Q129" i="36"/>
  <c r="R128" i="36"/>
  <c r="Q128" i="36"/>
  <c r="R127" i="36"/>
  <c r="Q127" i="36"/>
  <c r="R126" i="36"/>
  <c r="Q126" i="36"/>
  <c r="R125" i="36"/>
  <c r="Q125" i="36"/>
  <c r="R124" i="36"/>
  <c r="Q124" i="36"/>
  <c r="R123" i="36"/>
  <c r="Q123" i="36"/>
  <c r="R122" i="36"/>
  <c r="Q122" i="36"/>
  <c r="R121" i="36"/>
  <c r="Q121" i="36"/>
  <c r="R120" i="36"/>
  <c r="Q120" i="36"/>
  <c r="R119" i="36"/>
  <c r="Q119" i="36"/>
  <c r="R118" i="36"/>
  <c r="Q118" i="36"/>
  <c r="R117" i="36"/>
  <c r="Q117" i="36"/>
  <c r="R116" i="36"/>
  <c r="Q116" i="36"/>
  <c r="R115" i="36"/>
  <c r="Q115" i="36"/>
  <c r="R114" i="36"/>
  <c r="Q114" i="36"/>
  <c r="R113" i="36"/>
  <c r="Q113" i="36"/>
  <c r="R112" i="36"/>
  <c r="Q112" i="36"/>
  <c r="R111" i="36"/>
  <c r="Q111" i="36"/>
  <c r="R110" i="36"/>
  <c r="Q110" i="36"/>
  <c r="R109" i="36"/>
  <c r="Q109" i="36"/>
  <c r="R108" i="36"/>
  <c r="Q108" i="36"/>
  <c r="R107" i="36"/>
  <c r="Q107" i="36"/>
  <c r="R106" i="36"/>
  <c r="Q106" i="36"/>
  <c r="R105" i="36"/>
  <c r="Q105" i="36"/>
  <c r="R104" i="36"/>
  <c r="Q104" i="36"/>
  <c r="R103" i="36"/>
  <c r="Q103" i="36"/>
  <c r="R102" i="36"/>
  <c r="Q102" i="36"/>
  <c r="R101" i="36"/>
  <c r="Q101" i="36"/>
  <c r="R100" i="36"/>
  <c r="Q100" i="36"/>
  <c r="R99" i="36"/>
  <c r="Q99" i="36"/>
  <c r="R98" i="36"/>
  <c r="Q98" i="36"/>
  <c r="R97" i="36"/>
  <c r="Q97" i="36"/>
  <c r="R96" i="36"/>
  <c r="Q96" i="36"/>
  <c r="R95" i="36"/>
  <c r="Q95" i="36"/>
  <c r="R94" i="36"/>
  <c r="Q94" i="36"/>
  <c r="R93" i="36"/>
  <c r="Q93" i="36"/>
  <c r="R92" i="36"/>
  <c r="Q92" i="36"/>
  <c r="R91" i="36"/>
  <c r="Q91" i="36"/>
  <c r="R90" i="36"/>
  <c r="Q90" i="36"/>
  <c r="R89" i="36"/>
  <c r="Q89" i="36"/>
  <c r="R88" i="36"/>
  <c r="Q88" i="36"/>
  <c r="R87" i="36"/>
  <c r="Q87" i="36"/>
  <c r="R86" i="36"/>
  <c r="Q86" i="36"/>
  <c r="R85" i="36"/>
  <c r="Q85" i="36"/>
  <c r="R84" i="36"/>
  <c r="Q84" i="36"/>
  <c r="R83" i="36"/>
  <c r="Q83" i="36"/>
  <c r="R82" i="36"/>
  <c r="Q82" i="36"/>
  <c r="R81" i="36"/>
  <c r="Q81" i="36"/>
  <c r="R80" i="36"/>
  <c r="Q80" i="36"/>
  <c r="R79" i="36"/>
  <c r="Q79" i="36"/>
  <c r="R78" i="36"/>
  <c r="Q78" i="36"/>
  <c r="R77" i="36"/>
  <c r="Q77" i="36"/>
  <c r="R76" i="36"/>
  <c r="Q76" i="36"/>
  <c r="R75" i="36"/>
  <c r="Q75" i="36"/>
  <c r="R74" i="36"/>
  <c r="Q74" i="36"/>
  <c r="R73" i="36"/>
  <c r="Q73" i="36"/>
  <c r="R72" i="36"/>
  <c r="Q72" i="36"/>
  <c r="R71" i="36"/>
  <c r="Q71" i="36"/>
  <c r="R70" i="36"/>
  <c r="Q70" i="36"/>
  <c r="R69" i="36"/>
  <c r="Q69" i="36"/>
  <c r="R68" i="36"/>
  <c r="Q68" i="36"/>
  <c r="R67" i="36"/>
  <c r="Q67" i="36"/>
  <c r="R66" i="36"/>
  <c r="Q66" i="36"/>
  <c r="R65" i="36"/>
  <c r="Q65" i="36"/>
  <c r="R64" i="36"/>
  <c r="Q64" i="36"/>
  <c r="R63" i="36"/>
  <c r="Q63" i="36"/>
  <c r="R62" i="36"/>
  <c r="Q62" i="36"/>
  <c r="R61" i="36"/>
  <c r="Q61" i="36"/>
  <c r="R60" i="36"/>
  <c r="Q60" i="36"/>
  <c r="R59" i="36"/>
  <c r="Q59" i="36"/>
  <c r="R58" i="36"/>
  <c r="Q58" i="36"/>
  <c r="R57" i="36"/>
  <c r="Q57" i="36"/>
  <c r="R56" i="36"/>
  <c r="Q56" i="36"/>
  <c r="R55" i="36"/>
  <c r="Q55" i="36"/>
  <c r="R54" i="36"/>
  <c r="Q54" i="36"/>
  <c r="R53" i="36"/>
  <c r="Q53" i="36"/>
  <c r="R52" i="36"/>
  <c r="Q52" i="36"/>
  <c r="R51" i="36"/>
  <c r="Q51" i="36"/>
  <c r="R50" i="36"/>
  <c r="Q50" i="36"/>
  <c r="R49" i="36"/>
  <c r="Q49" i="36"/>
  <c r="R48" i="36"/>
  <c r="Q48" i="36"/>
  <c r="R47" i="36"/>
  <c r="Q47" i="36"/>
  <c r="R46" i="36"/>
  <c r="Q46" i="36"/>
  <c r="R45" i="36"/>
  <c r="Q45" i="36"/>
  <c r="R44" i="36"/>
  <c r="Q44" i="36"/>
  <c r="R43" i="36"/>
  <c r="Q43" i="36"/>
  <c r="R42" i="36"/>
  <c r="Q42" i="36"/>
  <c r="R41" i="36"/>
  <c r="Q41" i="36"/>
  <c r="R40" i="36"/>
  <c r="Q40" i="36"/>
  <c r="R39" i="36"/>
  <c r="Q39" i="36"/>
  <c r="R38" i="36"/>
  <c r="Q38" i="36"/>
  <c r="R37" i="36"/>
  <c r="Q37" i="36"/>
  <c r="R36" i="36"/>
  <c r="Q36" i="36"/>
  <c r="R35" i="36"/>
  <c r="Q35" i="36"/>
  <c r="R34" i="36"/>
  <c r="Q34" i="36"/>
  <c r="R33" i="36"/>
  <c r="Q33" i="36"/>
  <c r="R32" i="36"/>
  <c r="Q32" i="36"/>
  <c r="R31" i="36"/>
  <c r="Q31" i="36"/>
  <c r="R30" i="36"/>
  <c r="Q30" i="36"/>
  <c r="R29" i="36"/>
  <c r="Q29" i="36"/>
  <c r="R28" i="36"/>
  <c r="Q28" i="36"/>
  <c r="R27" i="36"/>
  <c r="Q27" i="36"/>
  <c r="R26" i="36"/>
  <c r="Q26" i="36"/>
  <c r="R25" i="36"/>
  <c r="Q25" i="36"/>
  <c r="R24" i="36"/>
  <c r="Q24" i="36"/>
  <c r="R23" i="36"/>
  <c r="Q23" i="36"/>
  <c r="R22" i="36"/>
  <c r="Q22" i="36"/>
  <c r="R21" i="36"/>
  <c r="Q21" i="36"/>
  <c r="R20" i="36"/>
  <c r="Q20" i="36"/>
  <c r="R19" i="36"/>
  <c r="Q19" i="36"/>
  <c r="R18" i="36"/>
  <c r="Q18" i="36"/>
  <c r="R17" i="36"/>
  <c r="Q17" i="36"/>
  <c r="R16" i="36"/>
  <c r="Q16" i="36"/>
  <c r="R15" i="36"/>
  <c r="Q15" i="36"/>
  <c r="R14" i="36"/>
  <c r="Q14" i="36"/>
  <c r="R13" i="36"/>
  <c r="Q13" i="36"/>
  <c r="R12" i="36"/>
  <c r="Q12" i="36"/>
  <c r="R11" i="36"/>
  <c r="Q11" i="36"/>
  <c r="R10" i="36"/>
  <c r="Q10" i="36"/>
  <c r="R9" i="36"/>
  <c r="Q9" i="36"/>
  <c r="R8" i="36"/>
  <c r="Q8" i="36"/>
  <c r="R7" i="36"/>
  <c r="Q7" i="36"/>
  <c r="Q51" i="35"/>
  <c r="P51" i="35"/>
  <c r="Q50" i="35"/>
  <c r="P50" i="35"/>
  <c r="Q49" i="35"/>
  <c r="P49" i="35"/>
  <c r="Q48" i="35"/>
  <c r="P48" i="35"/>
  <c r="Q47" i="35"/>
  <c r="P47" i="35"/>
  <c r="R16" i="29" l="1"/>
  <c r="Q16" i="29"/>
  <c r="R15" i="29"/>
  <c r="Q15" i="29"/>
  <c r="R14" i="29"/>
  <c r="Q14" i="29"/>
  <c r="R13" i="29"/>
  <c r="Q13" i="29"/>
  <c r="R12" i="29"/>
  <c r="Q12" i="29"/>
  <c r="R11" i="29"/>
  <c r="Q11" i="29"/>
  <c r="R10" i="29"/>
  <c r="Q10" i="29"/>
  <c r="R9" i="29"/>
  <c r="Q9" i="29"/>
  <c r="Q8" i="29"/>
  <c r="R8" i="29"/>
  <c r="R7" i="29"/>
  <c r="Q7" i="29"/>
  <c r="Q668" i="28" l="1"/>
  <c r="P668" i="28"/>
  <c r="Q667" i="28"/>
  <c r="P667" i="28"/>
  <c r="Q666" i="28"/>
  <c r="P666" i="28"/>
  <c r="Q665" i="28"/>
  <c r="P665" i="28"/>
  <c r="Q664" i="28"/>
  <c r="P664" i="28"/>
  <c r="Q581" i="28"/>
  <c r="P581" i="28"/>
  <c r="Q580" i="28"/>
  <c r="P580" i="28"/>
  <c r="Q579" i="28"/>
  <c r="P579" i="28"/>
  <c r="Q578" i="28"/>
  <c r="P578" i="28"/>
  <c r="P577" i="28"/>
  <c r="Q577" i="28"/>
  <c r="Q576" i="28"/>
  <c r="P576" i="28"/>
  <c r="Q575" i="28"/>
  <c r="P575" i="28"/>
  <c r="Q574" i="28"/>
  <c r="P574" i="28"/>
  <c r="Q573" i="28"/>
  <c r="P573" i="28"/>
  <c r="Q572" i="28"/>
  <c r="P572" i="28"/>
  <c r="Q571" i="28"/>
  <c r="P571" i="28"/>
  <c r="Q570" i="28"/>
  <c r="P570" i="28"/>
  <c r="P569" i="28"/>
  <c r="Q569" i="28"/>
  <c r="Q568" i="28"/>
  <c r="P568" i="28"/>
  <c r="Q567" i="28"/>
  <c r="P567" i="28"/>
  <c r="Q566" i="28"/>
  <c r="P566" i="28"/>
  <c r="Q565" i="28"/>
  <c r="P565" i="28"/>
  <c r="Q564" i="28"/>
  <c r="P564" i="28"/>
  <c r="Q563" i="28"/>
  <c r="P563" i="28"/>
  <c r="P562" i="28"/>
  <c r="Q562" i="28"/>
  <c r="P561" i="28"/>
  <c r="Q561" i="28"/>
  <c r="Q560" i="28"/>
  <c r="P560" i="28"/>
  <c r="Q559" i="28"/>
  <c r="P559" i="28"/>
  <c r="Q558" i="28"/>
  <c r="P558" i="28"/>
  <c r="Q557" i="28"/>
  <c r="P557" i="28"/>
  <c r="Q556" i="28"/>
  <c r="P556" i="28"/>
  <c r="Q555" i="28"/>
  <c r="P555" i="28"/>
  <c r="Q554" i="28"/>
  <c r="P554" i="28"/>
  <c r="Q553" i="28"/>
  <c r="P553" i="28"/>
  <c r="Q552" i="28"/>
  <c r="P552" i="28"/>
  <c r="Q551" i="28"/>
  <c r="P551" i="28"/>
  <c r="Q550" i="28"/>
  <c r="P550" i="28"/>
  <c r="P549" i="28"/>
  <c r="Q549" i="28"/>
  <c r="Q548" i="28"/>
  <c r="P548" i="28"/>
  <c r="Q547" i="28"/>
  <c r="P547" i="28"/>
  <c r="Q546" i="28"/>
  <c r="P546" i="28"/>
  <c r="Q545" i="28"/>
  <c r="P545" i="28"/>
  <c r="Q544" i="28"/>
  <c r="P544" i="28"/>
  <c r="Q543" i="28"/>
  <c r="P543" i="28"/>
  <c r="P542" i="28"/>
  <c r="Q542" i="28"/>
  <c r="P541" i="28"/>
  <c r="Q541" i="28"/>
  <c r="Q540" i="28"/>
  <c r="P540" i="28"/>
  <c r="Q539" i="28"/>
  <c r="P539" i="28"/>
  <c r="Q538" i="28"/>
  <c r="P538" i="28"/>
  <c r="Q537" i="28"/>
  <c r="P537" i="28"/>
  <c r="Q536" i="28"/>
  <c r="P536" i="28"/>
  <c r="Q535" i="28"/>
  <c r="P535" i="28"/>
  <c r="P534" i="28"/>
  <c r="Q534" i="28"/>
  <c r="P533" i="28"/>
  <c r="Q533" i="28"/>
  <c r="Q532" i="28"/>
  <c r="P532" i="28"/>
  <c r="Q531" i="28"/>
  <c r="P531" i="28"/>
  <c r="Q530" i="28"/>
  <c r="P530" i="28"/>
  <c r="Q529" i="28"/>
  <c r="P529" i="28"/>
  <c r="Q528" i="28"/>
  <c r="P528" i="28"/>
  <c r="Q527" i="28"/>
  <c r="P527" i="28"/>
  <c r="Q526" i="28"/>
  <c r="P526" i="28"/>
  <c r="P525" i="28"/>
  <c r="Q525" i="28"/>
  <c r="Q524" i="28"/>
  <c r="P524" i="28"/>
  <c r="Q523" i="28"/>
  <c r="P523" i="28"/>
  <c r="Q522" i="28"/>
  <c r="P522" i="28"/>
  <c r="P521" i="28"/>
  <c r="Q521" i="28"/>
  <c r="Q520" i="28"/>
  <c r="P520" i="28"/>
  <c r="Q519" i="28"/>
  <c r="P519" i="28"/>
  <c r="Q518" i="28"/>
  <c r="P518" i="28"/>
  <c r="Q517" i="28"/>
  <c r="P517" i="28"/>
  <c r="Q516" i="28"/>
  <c r="P516" i="28"/>
  <c r="Q515" i="28"/>
  <c r="P515" i="28"/>
  <c r="Q514" i="28"/>
  <c r="P514" i="28"/>
  <c r="P513" i="28"/>
  <c r="Q513" i="28"/>
  <c r="Q512" i="28"/>
  <c r="P512" i="28"/>
  <c r="Q511" i="28"/>
  <c r="P511" i="28"/>
  <c r="Q510" i="28"/>
  <c r="P510" i="28"/>
  <c r="Q509" i="28"/>
  <c r="P509" i="28"/>
  <c r="Q508" i="28"/>
  <c r="P508" i="28"/>
  <c r="Q507" i="28"/>
  <c r="P507" i="28"/>
  <c r="P506" i="28"/>
  <c r="Q506" i="28"/>
  <c r="P505" i="28"/>
  <c r="Q505" i="28"/>
  <c r="Q504" i="28"/>
  <c r="P504" i="28"/>
  <c r="Q503" i="28"/>
  <c r="P503" i="28"/>
  <c r="Q502" i="28"/>
  <c r="P502" i="28"/>
  <c r="Q501" i="28"/>
  <c r="P501" i="28"/>
  <c r="Q500" i="28"/>
  <c r="P500" i="28"/>
  <c r="Q499" i="28"/>
  <c r="P499" i="28"/>
  <c r="Q498" i="28"/>
  <c r="P498" i="28"/>
  <c r="P497" i="28"/>
  <c r="Q497" i="28"/>
  <c r="Q496" i="28"/>
  <c r="P496" i="28"/>
  <c r="Q495" i="28"/>
  <c r="P495" i="28"/>
  <c r="Q494" i="28"/>
  <c r="P494" i="28"/>
  <c r="P493" i="28"/>
  <c r="Q493" i="28"/>
  <c r="Q492" i="28"/>
  <c r="P492" i="28"/>
  <c r="Q491" i="28"/>
  <c r="P491" i="28"/>
  <c r="Q490" i="28"/>
  <c r="P490" i="28"/>
  <c r="Q489" i="28"/>
  <c r="P489" i="28"/>
  <c r="Q488" i="28"/>
  <c r="P488" i="28"/>
  <c r="Q487" i="28"/>
  <c r="P487" i="28"/>
  <c r="Q486" i="28"/>
  <c r="P486" i="28"/>
  <c r="P485" i="28"/>
  <c r="Q485" i="28"/>
  <c r="Q484" i="28"/>
  <c r="P484" i="28"/>
  <c r="Q483" i="28"/>
  <c r="P483" i="28"/>
  <c r="Q482" i="28"/>
  <c r="P482" i="28"/>
  <c r="Q481" i="28"/>
  <c r="P481" i="28"/>
  <c r="Q480" i="28"/>
  <c r="P480" i="28"/>
  <c r="Q479" i="28"/>
  <c r="P479" i="28"/>
  <c r="P478" i="28"/>
  <c r="Q478" i="28"/>
  <c r="P477" i="28"/>
  <c r="Q477" i="28"/>
  <c r="Q476" i="28"/>
  <c r="P476" i="28"/>
  <c r="Q475" i="28"/>
  <c r="P475" i="28"/>
  <c r="Q474" i="28"/>
  <c r="P474" i="28"/>
  <c r="Q473" i="28"/>
  <c r="P473" i="28"/>
  <c r="Q472" i="28"/>
  <c r="P472" i="28"/>
  <c r="Q471" i="28"/>
  <c r="P471" i="28"/>
  <c r="Q470" i="28"/>
  <c r="P470" i="28"/>
  <c r="P469" i="28"/>
  <c r="Q469" i="28"/>
  <c r="Q468" i="28"/>
  <c r="P468" i="28"/>
  <c r="Q467" i="28"/>
  <c r="P467" i="28"/>
  <c r="Q466" i="28"/>
  <c r="P466" i="28"/>
  <c r="P465" i="28"/>
  <c r="Q465" i="28"/>
  <c r="Q464" i="28"/>
  <c r="P464" i="28"/>
  <c r="Q463" i="28"/>
  <c r="P463" i="28"/>
  <c r="Q462" i="28"/>
  <c r="P462" i="28"/>
  <c r="Q461" i="28"/>
  <c r="P461" i="28"/>
  <c r="Q460" i="28"/>
  <c r="P460" i="28"/>
  <c r="Q459" i="28"/>
  <c r="P459" i="28"/>
  <c r="P458" i="28"/>
  <c r="Q458" i="28"/>
  <c r="P457" i="28"/>
  <c r="Q457" i="28"/>
  <c r="Q456" i="28"/>
  <c r="P456" i="28"/>
  <c r="Q455" i="28"/>
  <c r="P455" i="28"/>
  <c r="Q454" i="28"/>
  <c r="P454" i="28"/>
  <c r="Q453" i="28"/>
  <c r="P453" i="28"/>
  <c r="Q452" i="28"/>
  <c r="P452" i="28"/>
  <c r="Q451" i="28"/>
  <c r="P451" i="28"/>
  <c r="P450" i="28"/>
  <c r="Q450" i="28"/>
  <c r="P449" i="28"/>
  <c r="Q449" i="28"/>
  <c r="Q448" i="28"/>
  <c r="P448" i="28"/>
  <c r="Q447" i="28"/>
  <c r="P447" i="28"/>
  <c r="Q446" i="28"/>
  <c r="P446" i="28"/>
  <c r="Q445" i="28"/>
  <c r="P445" i="28"/>
  <c r="Q444" i="28"/>
  <c r="P444" i="28"/>
  <c r="Q443" i="28"/>
  <c r="P443" i="28"/>
  <c r="Q442" i="28"/>
  <c r="P442" i="28"/>
  <c r="P441" i="28"/>
  <c r="Q441" i="28"/>
  <c r="Q440" i="28"/>
  <c r="P440" i="28"/>
  <c r="Q439" i="28"/>
  <c r="P439" i="28"/>
  <c r="Q438" i="28"/>
  <c r="P438" i="28"/>
  <c r="P437" i="28"/>
  <c r="Q437" i="28"/>
  <c r="Q436" i="28"/>
  <c r="P436" i="28"/>
  <c r="Q435" i="28"/>
  <c r="P435" i="28"/>
  <c r="Q434" i="28"/>
  <c r="P434" i="28"/>
  <c r="Q433" i="28"/>
  <c r="P433" i="28"/>
  <c r="Q432" i="28"/>
  <c r="P432" i="28"/>
  <c r="Q431" i="28"/>
  <c r="P431" i="28"/>
  <c r="Q430" i="28"/>
  <c r="P430" i="28"/>
  <c r="P429" i="28"/>
  <c r="Q429" i="28"/>
  <c r="Q428" i="28"/>
  <c r="P428" i="28"/>
  <c r="Q427" i="28"/>
  <c r="P427" i="28"/>
  <c r="Q426" i="28"/>
  <c r="P426" i="28"/>
  <c r="Q425" i="28"/>
  <c r="P425" i="28"/>
  <c r="Q424" i="28"/>
  <c r="P424" i="28"/>
  <c r="Q423" i="28"/>
  <c r="P423" i="28"/>
  <c r="P422" i="28"/>
  <c r="Q422" i="28"/>
  <c r="P421" i="28"/>
  <c r="Q421" i="28"/>
  <c r="Q420" i="28"/>
  <c r="P420" i="28"/>
  <c r="Q419" i="28"/>
  <c r="P419" i="28"/>
  <c r="Q418" i="28"/>
  <c r="P418" i="28"/>
  <c r="Q417" i="28"/>
  <c r="P417" i="28"/>
  <c r="Q416" i="28"/>
  <c r="P416" i="28"/>
  <c r="Q415" i="28"/>
  <c r="P415" i="28"/>
  <c r="Q414" i="28"/>
  <c r="P414" i="28"/>
  <c r="P413" i="28"/>
  <c r="Q413" i="28"/>
  <c r="Q412" i="28"/>
  <c r="P412" i="28"/>
  <c r="Q411" i="28"/>
  <c r="P411" i="28"/>
  <c r="Q410" i="28"/>
  <c r="P410" i="28"/>
  <c r="P409" i="28"/>
  <c r="Q409" i="28"/>
  <c r="Q408" i="28"/>
  <c r="P408" i="28"/>
  <c r="Q407" i="28"/>
  <c r="P407" i="28"/>
  <c r="Q406" i="28"/>
  <c r="P406" i="28"/>
  <c r="Q405" i="28"/>
  <c r="P405" i="28"/>
  <c r="Q404" i="28"/>
  <c r="P404" i="28"/>
  <c r="Q403" i="28"/>
  <c r="P403" i="28"/>
  <c r="Q402" i="28"/>
  <c r="P402" i="28"/>
  <c r="P401" i="28"/>
  <c r="Q401" i="28"/>
  <c r="Q400" i="28"/>
  <c r="P400" i="28"/>
  <c r="Q399" i="28"/>
  <c r="P399" i="28"/>
  <c r="Q398" i="28"/>
  <c r="P398" i="28"/>
  <c r="Q397" i="28"/>
  <c r="P397" i="28"/>
  <c r="Q396" i="28"/>
  <c r="P396" i="28"/>
  <c r="Q395" i="28"/>
  <c r="P395" i="28"/>
  <c r="P394" i="28"/>
  <c r="Q394" i="28"/>
  <c r="P393" i="28"/>
  <c r="Q393" i="28"/>
  <c r="Q392" i="28"/>
  <c r="P392" i="28"/>
  <c r="Q391" i="28"/>
  <c r="P391" i="28"/>
  <c r="Q390" i="28"/>
  <c r="P390" i="28"/>
  <c r="Q389" i="28"/>
  <c r="P389" i="28"/>
  <c r="Q388" i="28"/>
  <c r="P388" i="28"/>
  <c r="Q387" i="28"/>
  <c r="P387" i="28"/>
  <c r="Q386" i="28"/>
  <c r="P386" i="28"/>
  <c r="P385" i="28"/>
  <c r="Q385" i="28"/>
  <c r="Q384" i="28"/>
  <c r="P384" i="28"/>
  <c r="Q383" i="28"/>
  <c r="P383" i="28"/>
  <c r="Q382" i="28"/>
  <c r="P382" i="28"/>
  <c r="P381" i="28"/>
  <c r="Q381" i="28"/>
  <c r="Q380" i="28"/>
  <c r="P380" i="28"/>
  <c r="Q379" i="28"/>
  <c r="P379" i="28"/>
  <c r="Q378" i="28"/>
  <c r="P378" i="28"/>
  <c r="Q377" i="28"/>
  <c r="P377" i="28"/>
  <c r="Q376" i="28"/>
  <c r="P376" i="28"/>
  <c r="Q375" i="28"/>
  <c r="P375" i="28"/>
  <c r="P374" i="28"/>
  <c r="Q374" i="28"/>
  <c r="P373" i="28"/>
  <c r="Q373" i="28"/>
  <c r="Q372" i="28"/>
  <c r="P372" i="28"/>
  <c r="Q371" i="28"/>
  <c r="P371" i="28"/>
  <c r="Q370" i="28"/>
  <c r="P370" i="28"/>
  <c r="Q369" i="28"/>
  <c r="P369" i="28"/>
  <c r="Q368" i="28"/>
  <c r="P368" i="28"/>
  <c r="Q367" i="28"/>
  <c r="P367" i="28"/>
  <c r="P366" i="28"/>
  <c r="Q366" i="28"/>
  <c r="P365" i="28"/>
  <c r="Q365" i="28"/>
  <c r="Q364" i="28"/>
  <c r="P364" i="28"/>
  <c r="Q363" i="28"/>
  <c r="P363" i="28"/>
  <c r="Q362" i="28"/>
  <c r="P362" i="28"/>
  <c r="Q361" i="28"/>
  <c r="P361" i="28"/>
  <c r="Q360" i="28"/>
  <c r="P360" i="28"/>
  <c r="Q359" i="28"/>
  <c r="P359" i="28"/>
  <c r="Q358" i="28"/>
  <c r="P358" i="28"/>
  <c r="Q357" i="28"/>
  <c r="P357" i="28"/>
  <c r="Q356" i="28"/>
  <c r="P356" i="28"/>
  <c r="Q355" i="28"/>
  <c r="P355" i="28"/>
  <c r="Q354" i="28"/>
  <c r="P354" i="28"/>
  <c r="P353" i="28"/>
  <c r="Q353" i="28"/>
  <c r="Q352" i="28"/>
  <c r="P352" i="28"/>
  <c r="Q351" i="28"/>
  <c r="P351" i="28"/>
  <c r="Q350" i="28"/>
  <c r="P350" i="28"/>
  <c r="Q349" i="28"/>
  <c r="P349" i="28"/>
  <c r="Q348" i="28"/>
  <c r="P348" i="28"/>
  <c r="Q347" i="28"/>
  <c r="P347" i="28"/>
  <c r="P346" i="28"/>
  <c r="Q346" i="28"/>
  <c r="P345" i="28"/>
  <c r="Q345" i="28"/>
  <c r="Q344" i="28"/>
  <c r="P344" i="28"/>
  <c r="Q343" i="28"/>
  <c r="P343" i="28"/>
  <c r="Q342" i="28"/>
  <c r="P342" i="28"/>
  <c r="Q341" i="28"/>
  <c r="P341" i="28"/>
  <c r="Q340" i="28"/>
  <c r="P340" i="28"/>
  <c r="Q339" i="28"/>
  <c r="P339" i="28"/>
  <c r="P338" i="28"/>
  <c r="Q338" i="28"/>
  <c r="P337" i="28"/>
  <c r="Q337" i="28"/>
  <c r="Q336" i="28"/>
  <c r="P336" i="28"/>
  <c r="Q335" i="28"/>
  <c r="P335" i="28"/>
  <c r="Q334" i="28"/>
  <c r="P334" i="28"/>
  <c r="Q333" i="28"/>
  <c r="P333" i="28"/>
  <c r="Q332" i="28"/>
  <c r="P332" i="28"/>
  <c r="Q331" i="28"/>
  <c r="P331" i="28"/>
  <c r="Q330" i="28"/>
  <c r="P330" i="28"/>
  <c r="P329" i="28"/>
  <c r="Q329" i="28"/>
  <c r="Q328" i="28"/>
  <c r="P328" i="28"/>
  <c r="Q327" i="28"/>
  <c r="P327" i="28"/>
  <c r="Q326" i="28"/>
  <c r="P326" i="28"/>
  <c r="P325" i="28"/>
  <c r="Q325" i="28"/>
  <c r="Q324" i="28"/>
  <c r="P324" i="28"/>
  <c r="Q323" i="28"/>
  <c r="P323" i="28"/>
  <c r="Q322" i="28"/>
  <c r="P322" i="28"/>
  <c r="Q321" i="28"/>
  <c r="P321" i="28"/>
  <c r="Q320" i="28"/>
  <c r="P320" i="28"/>
  <c r="Q319" i="28"/>
  <c r="P319" i="28"/>
  <c r="Q318" i="28"/>
  <c r="P318" i="28"/>
  <c r="P317" i="28"/>
  <c r="Q317" i="28"/>
  <c r="Q316" i="28"/>
  <c r="P316" i="28"/>
  <c r="Q315" i="28"/>
  <c r="P315" i="28"/>
  <c r="Q314" i="28"/>
  <c r="P314" i="28"/>
  <c r="Q313" i="28"/>
  <c r="P313" i="28"/>
  <c r="Q312" i="28"/>
  <c r="P312" i="28"/>
  <c r="Q311" i="28"/>
  <c r="P311" i="28"/>
  <c r="P310" i="28"/>
  <c r="Q310" i="28"/>
  <c r="P309" i="28"/>
  <c r="Q309" i="28"/>
  <c r="Q308" i="28"/>
  <c r="P308" i="28"/>
  <c r="Q307" i="28"/>
  <c r="P307" i="28"/>
  <c r="Q306" i="28"/>
  <c r="P306" i="28"/>
  <c r="Q305" i="28"/>
  <c r="P305" i="28"/>
  <c r="Q304" i="28"/>
  <c r="P304" i="28"/>
  <c r="Q303" i="28"/>
  <c r="P303" i="28"/>
  <c r="Q302" i="28"/>
  <c r="P302" i="28"/>
  <c r="P301" i="28"/>
  <c r="Q301" i="28"/>
  <c r="Q300" i="28"/>
  <c r="P300" i="28"/>
  <c r="Q299" i="28"/>
  <c r="P299" i="28"/>
  <c r="Q298" i="28"/>
  <c r="P298" i="28"/>
  <c r="P297" i="28"/>
  <c r="Q297" i="28"/>
  <c r="Q296" i="28"/>
  <c r="P296" i="28"/>
  <c r="Q295" i="28"/>
  <c r="P295" i="28"/>
  <c r="Q294" i="28"/>
  <c r="P294" i="28"/>
  <c r="Q293" i="28"/>
  <c r="P293" i="28"/>
  <c r="Q292" i="28"/>
  <c r="P292" i="28"/>
  <c r="Q291" i="28"/>
  <c r="P291" i="28"/>
  <c r="Q290" i="28"/>
  <c r="P290" i="28"/>
  <c r="P289" i="28"/>
  <c r="Q289" i="28"/>
  <c r="Q288" i="28"/>
  <c r="P288" i="28"/>
  <c r="Q287" i="28"/>
  <c r="P287" i="28"/>
  <c r="Q286" i="28"/>
  <c r="P286" i="28"/>
  <c r="Q285" i="28"/>
  <c r="P285" i="28"/>
  <c r="Q284" i="28"/>
  <c r="P284" i="28"/>
  <c r="Q283" i="28"/>
  <c r="P283" i="28"/>
  <c r="P282" i="28"/>
  <c r="Q282" i="28"/>
  <c r="P281" i="28"/>
  <c r="Q281" i="28"/>
  <c r="Q280" i="28"/>
  <c r="P280" i="28"/>
  <c r="Q279" i="28"/>
  <c r="P279" i="28"/>
  <c r="Q278" i="28"/>
  <c r="P278" i="28"/>
  <c r="Q277" i="28"/>
  <c r="P277" i="28"/>
  <c r="Q276" i="28"/>
  <c r="P276" i="28"/>
  <c r="Q275" i="28"/>
  <c r="P275" i="28"/>
  <c r="Q274" i="28"/>
  <c r="P274" i="28"/>
  <c r="P273" i="28"/>
  <c r="Q273" i="28"/>
  <c r="Q272" i="28"/>
  <c r="P272" i="28"/>
  <c r="Q271" i="28"/>
  <c r="P271" i="28"/>
  <c r="Q270" i="28"/>
  <c r="P270" i="28"/>
  <c r="P269" i="28"/>
  <c r="Q269" i="28"/>
  <c r="Q268" i="28"/>
  <c r="P268" i="28"/>
  <c r="Q267" i="28"/>
  <c r="P267" i="28"/>
  <c r="Q266" i="28"/>
  <c r="P266" i="28"/>
  <c r="Q265" i="28"/>
  <c r="P265" i="28"/>
  <c r="Q264" i="28"/>
  <c r="P264" i="28"/>
  <c r="Q263" i="28"/>
  <c r="P263" i="28"/>
  <c r="P262" i="28"/>
  <c r="Q262" i="28"/>
  <c r="P261" i="28"/>
  <c r="Q261" i="28"/>
  <c r="Q260" i="28"/>
  <c r="P260" i="28"/>
  <c r="Q259" i="28"/>
  <c r="P259" i="28"/>
  <c r="Q258" i="28"/>
  <c r="P258" i="28"/>
  <c r="Q257" i="28"/>
  <c r="P257" i="28"/>
  <c r="Q256" i="28"/>
  <c r="P256" i="28"/>
  <c r="Q255" i="28"/>
  <c r="P255" i="28"/>
  <c r="P254" i="28"/>
  <c r="Q254" i="28"/>
  <c r="P253" i="28"/>
  <c r="Q253" i="28"/>
  <c r="Q252" i="28"/>
  <c r="P252" i="28"/>
  <c r="Q251" i="28"/>
  <c r="P251" i="28"/>
  <c r="Q250" i="28"/>
  <c r="P250" i="28"/>
  <c r="Q249" i="28"/>
  <c r="P249" i="28"/>
  <c r="Q248" i="28"/>
  <c r="P248" i="28"/>
  <c r="Q247" i="28"/>
  <c r="P247" i="28"/>
  <c r="Q246" i="28"/>
  <c r="P246" i="28"/>
  <c r="P245" i="28"/>
  <c r="Q245" i="28"/>
  <c r="Q244" i="28"/>
  <c r="P244" i="28"/>
  <c r="Q243" i="28"/>
  <c r="P243" i="28"/>
  <c r="Q242" i="28"/>
  <c r="P242" i="28"/>
  <c r="P241" i="28"/>
  <c r="Q241" i="28"/>
  <c r="Q240" i="28"/>
  <c r="P240" i="28"/>
  <c r="Q239" i="28"/>
  <c r="P239" i="28"/>
  <c r="Q238" i="28"/>
  <c r="P238" i="28"/>
  <c r="Q237" i="28"/>
  <c r="P237" i="28"/>
  <c r="Q236" i="28"/>
  <c r="P236" i="28"/>
  <c r="Q235" i="28"/>
  <c r="P235" i="28"/>
  <c r="Q234" i="28"/>
  <c r="P234" i="28"/>
  <c r="P233" i="28"/>
  <c r="Q233" i="28"/>
  <c r="Q232" i="28"/>
  <c r="P232" i="28"/>
  <c r="Q231" i="28"/>
  <c r="P231" i="28"/>
  <c r="Q230" i="28"/>
  <c r="P230" i="28"/>
  <c r="Q229" i="28"/>
  <c r="P229" i="28"/>
  <c r="Q228" i="28"/>
  <c r="P228" i="28"/>
  <c r="Q227" i="28"/>
  <c r="P227" i="28"/>
  <c r="P226" i="28"/>
  <c r="Q226" i="28"/>
  <c r="P225" i="28"/>
  <c r="Q225" i="28"/>
  <c r="Q224" i="28"/>
  <c r="P224" i="28"/>
  <c r="Q223" i="28"/>
  <c r="P223" i="28"/>
  <c r="Q222" i="28"/>
  <c r="P222" i="28"/>
  <c r="Q221" i="28"/>
  <c r="P221" i="28"/>
  <c r="Q220" i="28"/>
  <c r="P220" i="28"/>
  <c r="Q219" i="28"/>
  <c r="P219" i="28"/>
  <c r="Q218" i="28"/>
  <c r="P218" i="28"/>
  <c r="P217" i="28"/>
  <c r="Q217" i="28"/>
  <c r="Q216" i="28"/>
  <c r="P216" i="28"/>
  <c r="Q215" i="28"/>
  <c r="P215" i="28"/>
  <c r="Q214" i="28"/>
  <c r="P214" i="28"/>
  <c r="P213" i="28"/>
  <c r="Q213" i="28"/>
  <c r="Q212" i="28"/>
  <c r="P212" i="28"/>
  <c r="Q211" i="28"/>
  <c r="P211" i="28"/>
  <c r="Q210" i="28"/>
  <c r="P210" i="28"/>
  <c r="Q209" i="28"/>
  <c r="P209" i="28"/>
  <c r="Q208" i="28"/>
  <c r="P208" i="28"/>
  <c r="Q207" i="28"/>
  <c r="P207" i="28"/>
  <c r="Q206" i="28"/>
  <c r="P206" i="28"/>
  <c r="P205" i="28"/>
  <c r="Q205" i="28"/>
  <c r="Q204" i="28"/>
  <c r="P204" i="28"/>
  <c r="Q203" i="28"/>
  <c r="P203" i="28"/>
  <c r="Q202" i="28"/>
  <c r="P202" i="28"/>
  <c r="Q201" i="28"/>
  <c r="P201" i="28"/>
  <c r="Q200" i="28"/>
  <c r="P200" i="28"/>
  <c r="Q199" i="28"/>
  <c r="P199" i="28"/>
  <c r="P198" i="28"/>
  <c r="Q198" i="28"/>
  <c r="P197" i="28"/>
  <c r="Q197" i="28"/>
  <c r="Q196" i="28"/>
  <c r="P196" i="28"/>
  <c r="Q195" i="28"/>
  <c r="P195" i="28"/>
  <c r="Q194" i="28"/>
  <c r="P194" i="28"/>
  <c r="Q193" i="28"/>
  <c r="P193" i="28"/>
  <c r="Q192" i="28"/>
  <c r="P192" i="28"/>
  <c r="Q191" i="28"/>
  <c r="P191" i="28"/>
  <c r="Q190" i="28"/>
  <c r="P190" i="28"/>
  <c r="P189" i="28"/>
  <c r="Q189" i="28"/>
  <c r="Q188" i="28"/>
  <c r="P188" i="28"/>
  <c r="Q187" i="28"/>
  <c r="P187" i="28"/>
  <c r="Q186" i="28"/>
  <c r="P186" i="28"/>
  <c r="P185" i="28"/>
  <c r="Q185" i="28"/>
  <c r="Q184" i="28"/>
  <c r="P184" i="28"/>
  <c r="Q183" i="28"/>
  <c r="P183" i="28"/>
  <c r="Q182" i="28"/>
  <c r="P182" i="28"/>
  <c r="Q181" i="28"/>
  <c r="P181" i="28"/>
  <c r="Q180" i="28"/>
  <c r="P180" i="28"/>
  <c r="Q179" i="28"/>
  <c r="P179" i="28"/>
  <c r="P178" i="28"/>
  <c r="Q178" i="28"/>
  <c r="P177" i="28"/>
  <c r="Q177" i="28"/>
  <c r="Q176" i="28"/>
  <c r="P176" i="28"/>
  <c r="Q175" i="28"/>
  <c r="P175" i="28"/>
  <c r="Q174" i="28"/>
  <c r="P174" i="28"/>
  <c r="Q173" i="28"/>
  <c r="P173" i="28"/>
  <c r="Q172" i="28"/>
  <c r="P172" i="28"/>
  <c r="Q171" i="28"/>
  <c r="P171" i="28"/>
  <c r="P170" i="28"/>
  <c r="Q170" i="28"/>
  <c r="P169" i="28"/>
  <c r="Q169" i="28"/>
  <c r="Q168" i="28"/>
  <c r="P168" i="28"/>
  <c r="Q167" i="28"/>
  <c r="P167" i="28"/>
  <c r="Q166" i="28"/>
  <c r="P166" i="28"/>
  <c r="Q165" i="28"/>
  <c r="P165" i="28"/>
  <c r="Q164" i="28"/>
  <c r="P164" i="28"/>
  <c r="Q163" i="28"/>
  <c r="P163" i="28"/>
  <c r="Q162" i="28"/>
  <c r="P162" i="28"/>
  <c r="P161" i="28"/>
  <c r="Q161" i="28"/>
  <c r="Q160" i="28"/>
  <c r="P160" i="28"/>
  <c r="Q159" i="28"/>
  <c r="P159" i="28"/>
  <c r="Q158" i="28"/>
  <c r="P158" i="28"/>
  <c r="P157" i="28"/>
  <c r="Q157" i="28"/>
  <c r="Q156" i="28"/>
  <c r="P156" i="28"/>
  <c r="Q155" i="28"/>
  <c r="P155" i="28"/>
  <c r="Q154" i="28"/>
  <c r="P154" i="28"/>
  <c r="Q153" i="28"/>
  <c r="P153" i="28"/>
  <c r="Q152" i="28"/>
  <c r="P152" i="28"/>
  <c r="Q151" i="28"/>
  <c r="P151" i="28"/>
  <c r="Q150" i="28"/>
  <c r="P150" i="28"/>
  <c r="P149" i="28"/>
  <c r="Q149" i="28"/>
  <c r="Q148" i="28"/>
  <c r="P148" i="28"/>
  <c r="Q147" i="28"/>
  <c r="P147" i="28"/>
  <c r="Q146" i="28"/>
  <c r="P146" i="28"/>
  <c r="Q145" i="28"/>
  <c r="P145" i="28"/>
  <c r="Q144" i="28"/>
  <c r="P144" i="28"/>
  <c r="Q143" i="28"/>
  <c r="P143" i="28"/>
  <c r="P142" i="28"/>
  <c r="Q142" i="28"/>
  <c r="P141" i="28"/>
  <c r="Q141" i="28"/>
  <c r="Q140" i="28"/>
  <c r="P140" i="28"/>
  <c r="Q139" i="28"/>
  <c r="P139" i="28"/>
  <c r="Q138" i="28"/>
  <c r="P138" i="28"/>
  <c r="Q137" i="28"/>
  <c r="P137" i="28"/>
  <c r="Q136" i="28"/>
  <c r="P136" i="28"/>
  <c r="Q135" i="28"/>
  <c r="P135" i="28"/>
  <c r="Q134" i="28"/>
  <c r="P134" i="28"/>
  <c r="P133" i="28"/>
  <c r="Q133" i="28"/>
  <c r="Q132" i="28"/>
  <c r="P132" i="28"/>
  <c r="Q131" i="28"/>
  <c r="P131" i="28"/>
  <c r="Q130" i="28"/>
  <c r="P130" i="28"/>
  <c r="P129" i="28"/>
  <c r="Q129" i="28"/>
  <c r="Q128" i="28"/>
  <c r="P128" i="28"/>
  <c r="Q127" i="28"/>
  <c r="P127" i="28"/>
  <c r="Q126" i="28"/>
  <c r="P126" i="28"/>
  <c r="Q125" i="28"/>
  <c r="P125" i="28"/>
  <c r="Q124" i="28"/>
  <c r="P124" i="28"/>
  <c r="Q123" i="28"/>
  <c r="P123" i="28"/>
  <c r="P122" i="28"/>
  <c r="Q122" i="28"/>
  <c r="P121" i="28"/>
  <c r="Q121" i="28"/>
  <c r="Q120" i="28"/>
  <c r="P120" i="28"/>
  <c r="Q119" i="28"/>
  <c r="P119" i="28"/>
  <c r="Q118" i="28"/>
  <c r="P118" i="28"/>
  <c r="Q117" i="28"/>
  <c r="P117" i="28"/>
  <c r="Q116" i="28"/>
  <c r="P116" i="28"/>
  <c r="Q115" i="28"/>
  <c r="P115" i="28"/>
  <c r="P114" i="28"/>
  <c r="Q114" i="28"/>
  <c r="P113" i="28"/>
  <c r="Q113" i="28"/>
  <c r="Q112" i="28"/>
  <c r="P112" i="28"/>
  <c r="Q111" i="28"/>
  <c r="P111" i="28"/>
  <c r="Q110" i="28"/>
  <c r="P110" i="28"/>
  <c r="Q109" i="28"/>
  <c r="P109" i="28"/>
  <c r="Q108" i="28"/>
  <c r="P108" i="28"/>
  <c r="Q107" i="28"/>
  <c r="P107" i="28"/>
  <c r="Q106" i="28"/>
  <c r="P106" i="28"/>
  <c r="P105" i="28"/>
  <c r="Q105" i="28"/>
  <c r="Q104" i="28"/>
  <c r="P104" i="28"/>
  <c r="Q103" i="28"/>
  <c r="P103" i="28"/>
  <c r="Q102" i="28"/>
  <c r="P102" i="28"/>
  <c r="Q101" i="28"/>
  <c r="P101" i="28"/>
  <c r="Q100" i="28"/>
  <c r="P100" i="28"/>
  <c r="Q99" i="28"/>
  <c r="P99" i="28"/>
  <c r="Q98" i="28"/>
  <c r="P98" i="28"/>
  <c r="Q97" i="28"/>
  <c r="P97" i="28"/>
  <c r="Q96" i="28"/>
  <c r="P96" i="28"/>
  <c r="Q95" i="28"/>
  <c r="P95" i="28"/>
  <c r="Q94" i="28"/>
  <c r="P94" i="28"/>
  <c r="P93" i="28"/>
  <c r="Q93" i="28"/>
  <c r="Q92" i="28"/>
  <c r="P92" i="28"/>
  <c r="Q91" i="28"/>
  <c r="P91" i="28"/>
  <c r="Q90" i="28"/>
  <c r="P90" i="28"/>
  <c r="Q89" i="28"/>
  <c r="P89" i="28"/>
  <c r="Q88" i="28"/>
  <c r="P88" i="28"/>
  <c r="Q87" i="28"/>
  <c r="P87" i="28"/>
  <c r="P86" i="28"/>
  <c r="Q86" i="28"/>
  <c r="P85" i="28"/>
  <c r="Q85" i="28"/>
  <c r="Q84" i="28"/>
  <c r="P84" i="28"/>
  <c r="P83" i="28"/>
  <c r="Q83" i="28"/>
  <c r="Q82" i="28"/>
  <c r="P82" i="28"/>
  <c r="Q81" i="28"/>
  <c r="P81" i="28"/>
  <c r="Q80" i="28"/>
  <c r="P80" i="28"/>
  <c r="Q79" i="28"/>
  <c r="P79" i="28"/>
  <c r="Q78" i="28"/>
  <c r="P78" i="28"/>
  <c r="P77" i="28"/>
  <c r="Q77" i="28"/>
  <c r="Q76" i="28"/>
  <c r="P76" i="28"/>
  <c r="Q75" i="28"/>
  <c r="P75" i="28"/>
  <c r="Q74" i="28"/>
  <c r="P74" i="28"/>
  <c r="Q73" i="28"/>
  <c r="P73" i="28"/>
  <c r="Q72" i="28"/>
  <c r="P72" i="28"/>
  <c r="Q71" i="28"/>
  <c r="P71" i="28"/>
  <c r="Q70" i="28"/>
  <c r="P70" i="28"/>
  <c r="Q69" i="28"/>
  <c r="P69" i="28"/>
  <c r="Q68" i="28"/>
  <c r="P68" i="28"/>
  <c r="Q67" i="28"/>
  <c r="P67" i="28"/>
  <c r="Q66" i="28"/>
  <c r="P66" i="28"/>
  <c r="P65" i="28"/>
  <c r="Q65" i="28"/>
  <c r="Q64" i="28"/>
  <c r="P64" i="28"/>
  <c r="Q63" i="28"/>
  <c r="P63" i="28"/>
  <c r="Q62" i="28"/>
  <c r="P62" i="28"/>
  <c r="Q61" i="28"/>
  <c r="P61" i="28"/>
  <c r="Q60" i="28"/>
  <c r="P60" i="28"/>
  <c r="Q59" i="28"/>
  <c r="P59" i="28"/>
  <c r="P58" i="28"/>
  <c r="Q58" i="28"/>
  <c r="P57" i="28"/>
  <c r="Q57" i="28"/>
  <c r="Q56" i="28"/>
  <c r="P56" i="28"/>
  <c r="Q55" i="28"/>
  <c r="P55" i="28"/>
  <c r="Q54" i="28"/>
  <c r="P54" i="28"/>
  <c r="Q53" i="28"/>
  <c r="P53" i="28"/>
  <c r="Q52" i="28"/>
  <c r="P52" i="28"/>
  <c r="Q51" i="28"/>
  <c r="P51" i="28"/>
  <c r="Q50" i="28"/>
  <c r="P50" i="28"/>
  <c r="Q49" i="28"/>
  <c r="P49" i="28"/>
  <c r="Q48" i="28"/>
  <c r="P48" i="28"/>
  <c r="Q47" i="28"/>
  <c r="P47" i="28"/>
  <c r="Q46" i="28"/>
  <c r="P46" i="28"/>
  <c r="Q45" i="28"/>
  <c r="P45" i="28"/>
  <c r="Q44" i="28"/>
  <c r="P44" i="28"/>
  <c r="Q43" i="28"/>
  <c r="P43" i="28"/>
  <c r="Q42" i="28"/>
  <c r="P42" i="28"/>
  <c r="Q41" i="28"/>
  <c r="P41" i="28"/>
  <c r="Q40" i="28"/>
  <c r="P40" i="28"/>
  <c r="Q39" i="28"/>
  <c r="P39" i="28"/>
  <c r="P38" i="28"/>
  <c r="Q38" i="28"/>
  <c r="P37" i="28"/>
  <c r="Q37" i="28"/>
  <c r="Q36" i="28"/>
  <c r="P36" i="28"/>
  <c r="Q35" i="28"/>
  <c r="P35" i="28"/>
  <c r="Q34" i="28"/>
  <c r="P34" i="28"/>
  <c r="Q33" i="28"/>
  <c r="P33" i="28"/>
  <c r="Q32" i="28"/>
  <c r="P32" i="28"/>
  <c r="Q31" i="28"/>
  <c r="P31" i="28"/>
  <c r="P30" i="28"/>
  <c r="Q30" i="28"/>
  <c r="P29" i="28"/>
  <c r="Q29" i="28"/>
  <c r="Q28" i="28"/>
  <c r="P28" i="28"/>
  <c r="Q27" i="28"/>
  <c r="P27" i="28"/>
  <c r="Q26" i="28"/>
  <c r="P26" i="28"/>
  <c r="Q25" i="28"/>
  <c r="P25" i="28"/>
  <c r="Q24" i="28"/>
  <c r="P24" i="28"/>
  <c r="Q23" i="28"/>
  <c r="P23" i="28"/>
  <c r="Q22" i="28"/>
  <c r="P22" i="28"/>
  <c r="P21" i="28"/>
  <c r="Q21" i="28"/>
  <c r="Q20" i="28"/>
  <c r="P20" i="28"/>
  <c r="Q19" i="28"/>
  <c r="P19" i="28"/>
  <c r="Q18" i="28"/>
  <c r="P18" i="28"/>
  <c r="Q17" i="28"/>
  <c r="P17" i="28"/>
  <c r="Q16" i="28"/>
  <c r="P16" i="28"/>
  <c r="Q15" i="28"/>
  <c r="P15" i="28"/>
  <c r="Q14" i="28"/>
  <c r="P14" i="28"/>
  <c r="Q13" i="28"/>
  <c r="P13" i="28"/>
  <c r="Q12" i="28"/>
  <c r="P12" i="28"/>
  <c r="Q11" i="28"/>
  <c r="P11" i="28"/>
  <c r="Q10" i="28"/>
  <c r="P10" i="28"/>
  <c r="P9" i="28"/>
  <c r="Q9" i="28"/>
  <c r="Q8" i="28"/>
  <c r="P8" i="28"/>
  <c r="Q7" i="28"/>
  <c r="P7" i="28"/>
  <c r="A1" i="27" l="1"/>
  <c r="A1" i="15" l="1"/>
  <c r="A1" i="23"/>
  <c r="A1" i="20" l="1"/>
  <c r="V165" i="17" l="1"/>
  <c r="Q165" i="17"/>
  <c r="P165" i="17"/>
  <c r="O165" i="17"/>
  <c r="N165" i="17"/>
  <c r="V164" i="17"/>
  <c r="Q164" i="17"/>
  <c r="P164" i="17"/>
  <c r="O164" i="17"/>
  <c r="N164" i="17"/>
  <c r="V163" i="17"/>
  <c r="Q163" i="17"/>
  <c r="P163" i="17"/>
  <c r="O163" i="17"/>
  <c r="N163" i="17"/>
  <c r="V162" i="17"/>
  <c r="Q162" i="17"/>
  <c r="P162" i="17"/>
  <c r="O162" i="17"/>
  <c r="N162" i="17"/>
  <c r="V161" i="17"/>
  <c r="Q161" i="17"/>
  <c r="P161" i="17"/>
  <c r="O161" i="17"/>
  <c r="N161" i="17"/>
  <c r="A1" i="17"/>
  <c r="A1" i="14" l="1"/>
  <c r="A1" i="13"/>
  <c r="A1" i="12" l="1"/>
  <c r="F8" i="7" l="1"/>
  <c r="F7" i="7"/>
  <c r="E7" i="7"/>
  <c r="F5" i="7"/>
  <c r="F4" i="7"/>
  <c r="E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Josh Walker</author>
    <author>tc={AE02C14D-5EC5-43BA-A27C-2C96205E0193}</author>
    <author>Matt Munin</author>
  </authors>
  <commentList>
    <comment ref="S6" authorId="0" shapeId="0" xr:uid="{1C68D5D7-D1ED-4AA7-8DA8-0B6D711C308A}">
      <text>
        <r>
          <rPr>
            <b/>
            <sz val="9"/>
            <color indexed="81"/>
            <rFont val="Tahoma"/>
            <family val="2"/>
          </rPr>
          <t>Format:</t>
        </r>
        <r>
          <rPr>
            <sz val="9"/>
            <color indexed="81"/>
            <rFont val="Tahoma"/>
            <family val="2"/>
          </rPr>
          <t xml:space="preserve">
(Low-Low,Low,High,High-High)</t>
        </r>
      </text>
    </comment>
    <comment ref="X460" authorId="0" shapeId="0" xr:uid="{378AA89F-BB53-4CE3-9047-6EB5E1B21901}">
      <text>
        <r>
          <rPr>
            <b/>
            <sz val="9"/>
            <color indexed="81"/>
            <rFont val="Tahoma"/>
            <family val="2"/>
          </rPr>
          <t xml:space="preserve">Zone Monitor Work State:
</t>
        </r>
        <r>
          <rPr>
            <sz val="9"/>
            <color indexed="81"/>
            <rFont val="Tahoma"/>
            <family val="2"/>
          </rPr>
          <t xml:space="preserve">0: Disable
1: Self-Study
2: Fault Detection
</t>
        </r>
      </text>
    </comment>
    <comment ref="X565" authorId="0" shapeId="0" xr:uid="{845A66D5-2CA1-43C1-8FA6-91D7AE18DD5D}">
      <text>
        <r>
          <rPr>
            <b/>
            <sz val="9"/>
            <color indexed="81"/>
            <rFont val="Tahoma"/>
            <family val="2"/>
          </rPr>
          <t>Start Stop Enumeration:</t>
        </r>
        <r>
          <rPr>
            <sz val="9"/>
            <color indexed="81"/>
            <rFont val="Tahoma"/>
            <family val="2"/>
          </rPr>
          <t xml:space="preserve">
16#CE - Stop
16#CF - Start
All others no operation</t>
        </r>
      </text>
    </comment>
    <comment ref="W566" authorId="1" shapeId="0" xr:uid="{AE02C14D-5EC5-43BA-A27C-2C96205E0193}">
      <text>
        <t>[Threaded comment]
Your version of Excel allows you to read this threaded comment; however, any edits to it will get removed if the file is opened in a newer version of Excel. Learn more: https://go.microsoft.com/fwlink/?linkid=870924
Comment:
    Double check the meaning of the enumeration I think it might be backwards
Reply:
    Enum was wrong, and is now fixed</t>
      </text>
    </comment>
    <comment ref="X566" authorId="0" shapeId="0" xr:uid="{BEDA8271-7D96-4519-8D10-EC9812C98343}">
      <text>
        <r>
          <rPr>
            <b/>
            <sz val="9"/>
            <color indexed="81"/>
            <rFont val="Tahoma"/>
            <family val="2"/>
          </rPr>
          <t>Start Stop Enumeration:</t>
        </r>
        <r>
          <rPr>
            <sz val="9"/>
            <color indexed="81"/>
            <rFont val="Tahoma"/>
            <family val="2"/>
          </rPr>
          <t xml:space="preserve">
16#CF - Emergency Stop
All others no operation</t>
        </r>
      </text>
    </comment>
    <comment ref="X568" authorId="2" shapeId="0" xr:uid="{8DA4D61F-6036-4937-8820-2101AA528703}">
      <text>
        <r>
          <rPr>
            <b/>
            <sz val="9"/>
            <color indexed="81"/>
            <rFont val="Tahoma"/>
            <family val="2"/>
          </rPr>
          <t>Matt Munin:</t>
        </r>
        <r>
          <rPr>
            <sz val="9"/>
            <color indexed="81"/>
            <rFont val="Tahoma"/>
            <family val="2"/>
          </rPr>
          <t xml:space="preserve">
1 - Remote Only
2 - Local Only
3 - Remote and Local Control</t>
        </r>
      </text>
    </comment>
    <comment ref="X569" authorId="0" shapeId="0" xr:uid="{5DF7F268-57F5-4295-A60E-C1D8BD2F2B14}">
      <text>
        <r>
          <rPr>
            <b/>
            <sz val="9"/>
            <color indexed="81"/>
            <rFont val="Tahoma"/>
            <family val="2"/>
          </rPr>
          <t>Reactive Power Mode:</t>
        </r>
        <r>
          <rPr>
            <sz val="9"/>
            <color indexed="81"/>
            <rFont val="Tahoma"/>
            <family val="2"/>
          </rPr>
          <t xml:space="preserve">
16#55 - OFF
16#A1 - Power factor mode
16#A2 - Reactive output mode
16#A3 - QU mode
16#A4 - Voltage mode
16#A5 - QP mode
</t>
        </r>
      </text>
    </comment>
    <comment ref="X582" authorId="0" shapeId="0" xr:uid="{C1559433-CFA4-4C2B-9106-EEB1730D2E6B}">
      <text>
        <r>
          <rPr>
            <b/>
            <sz val="9"/>
            <color indexed="81"/>
            <rFont val="Tahoma"/>
            <family val="2"/>
          </rPr>
          <t>QU Operation Mode:</t>
        </r>
        <r>
          <rPr>
            <sz val="9"/>
            <color indexed="81"/>
            <rFont val="Tahoma"/>
            <family val="2"/>
          </rPr>
          <t xml:space="preserve">
16#A1 - Reactive power ratio mode
16#A2 - Active power ratio mode
16#A3 - Power factor mode</t>
        </r>
      </text>
    </comment>
    <comment ref="X583" authorId="0" shapeId="0" xr:uid="{A40A3C9B-CFBC-4AAF-A92F-C82EB9529CE6}">
      <text>
        <r>
          <rPr>
            <b/>
            <sz val="9"/>
            <color indexed="81"/>
            <rFont val="Tahoma"/>
            <family val="2"/>
          </rPr>
          <t>Voltage Source:
16#B1 - real time voltage
16#B2 - record voltage</t>
        </r>
        <r>
          <rPr>
            <sz val="9"/>
            <color indexed="81"/>
            <rFont val="Tahoma"/>
            <family val="2"/>
          </rPr>
          <t xml:space="preserve">
</t>
        </r>
      </text>
    </comment>
    <comment ref="X596" authorId="0" shapeId="0" xr:uid="{18FF10CD-638B-4A3D-B2BF-7337B7DBAAAA}">
      <text>
        <r>
          <rPr>
            <b/>
            <sz val="9"/>
            <color indexed="81"/>
            <rFont val="Tahoma"/>
            <family val="2"/>
          </rPr>
          <t>Enable Disable P(U):
16#55 - Disable
16#AA - Enable</t>
        </r>
        <r>
          <rPr>
            <sz val="9"/>
            <color indexed="81"/>
            <rFont val="Tahoma"/>
            <family val="2"/>
          </rPr>
          <t xml:space="preserve">
</t>
        </r>
      </text>
    </comment>
    <comment ref="X599" authorId="0" shapeId="0" xr:uid="{2BC118E5-D593-42A7-8367-B7FA840DC803}">
      <text>
        <r>
          <rPr>
            <b/>
            <sz val="9"/>
            <color indexed="81"/>
            <rFont val="Tahoma"/>
            <family val="2"/>
          </rPr>
          <t>DC Switch Open/Close:
16#55 - Close
16#AA - Open</t>
        </r>
        <r>
          <rPr>
            <sz val="9"/>
            <color indexed="81"/>
            <rFont val="Tahoma"/>
            <family val="2"/>
          </rPr>
          <t xml:space="preserve">
</t>
        </r>
      </text>
    </comment>
    <comment ref="X600" authorId="0" shapeId="0" xr:uid="{567C9193-6DBC-4957-905A-E72D2839EE37}">
      <text>
        <r>
          <rPr>
            <b/>
            <sz val="9"/>
            <color indexed="81"/>
            <rFont val="Tahoma"/>
            <family val="2"/>
          </rPr>
          <t>Night SVG Enable/Disable:
16#55 - Disable
16#AA - Enable</t>
        </r>
        <r>
          <rPr>
            <sz val="9"/>
            <color indexed="81"/>
            <rFont val="Tahoma"/>
            <family val="2"/>
          </rPr>
          <t xml:space="preserve">
</t>
        </r>
      </text>
    </comment>
    <comment ref="X606" authorId="0" shapeId="0" xr:uid="{5DEA6543-3701-444E-8C29-9AC1B9A7A6DD}">
      <text>
        <r>
          <rPr>
            <b/>
            <sz val="9"/>
            <color indexed="81"/>
            <rFont val="Tahoma"/>
            <family val="2"/>
          </rPr>
          <t>MPPT Enable/Disable:
16#55 - Disable
16#AA - Enable</t>
        </r>
        <r>
          <rPr>
            <sz val="9"/>
            <color indexed="81"/>
            <rFont val="Tahoma"/>
            <family val="2"/>
          </rPr>
          <t xml:space="preserve">
</t>
        </r>
      </text>
    </comment>
    <comment ref="X608" authorId="0" shapeId="0" xr:uid="{2C7FB607-E2A9-4806-B5FA-6FC77CFCA344}">
      <text>
        <r>
          <rPr>
            <b/>
            <sz val="9"/>
            <color indexed="81"/>
            <rFont val="Tahoma"/>
            <family val="2"/>
          </rPr>
          <t>Frequency modulation Enable/Disable:
16#55 - Disable
16#AA - Enable</t>
        </r>
        <r>
          <rPr>
            <sz val="9"/>
            <color indexed="81"/>
            <rFont val="Tahoma"/>
            <family val="2"/>
          </rPr>
          <t xml:space="preserve">
</t>
        </r>
      </text>
    </comment>
    <comment ref="X609" authorId="0" shapeId="0" xr:uid="{7EB5A899-276C-4DDE-AC25-69805CF4A4F1}">
      <text>
        <r>
          <rPr>
            <b/>
            <sz val="9"/>
            <color indexed="81"/>
            <rFont val="Tahoma"/>
            <family val="2"/>
          </rPr>
          <t>Frequency output change benchmark:</t>
        </r>
        <r>
          <rPr>
            <sz val="9"/>
            <color indexed="81"/>
            <rFont val="Tahoma"/>
            <family val="2"/>
          </rPr>
          <t xml:space="preserve">
16#A1 - function u nknown
16#A2 - function unknown</t>
        </r>
      </text>
    </comment>
    <comment ref="X614" authorId="0" shapeId="0" xr:uid="{FE26074E-760D-4FA0-8297-04784CFB284A}">
      <text>
        <r>
          <rPr>
            <b/>
            <sz val="9"/>
            <color indexed="81"/>
            <rFont val="Tahoma"/>
            <family val="2"/>
          </rPr>
          <t>Frequency Source:
16#B1 - real time frequency
16#B2 - record frequency</t>
        </r>
        <r>
          <rPr>
            <sz val="9"/>
            <color indexed="81"/>
            <rFont val="Tahoma"/>
            <family val="2"/>
          </rPr>
          <t xml:space="preserve">
</t>
        </r>
      </text>
    </comment>
    <comment ref="X666" authorId="0" shapeId="0" xr:uid="{6E0BD7AD-73C5-4977-83BD-B35BA473CBA9}">
      <text>
        <r>
          <rPr>
            <b/>
            <sz val="9"/>
            <color indexed="81"/>
            <rFont val="Tahoma"/>
            <family val="2"/>
          </rPr>
          <t>Active Power Closed Loop Enable/Disable:
16#55 - Disable
16#AA - Enable</t>
        </r>
        <r>
          <rPr>
            <sz val="9"/>
            <color indexed="81"/>
            <rFont val="Tahoma"/>
            <family val="2"/>
          </rPr>
          <t xml:space="preserve">
</t>
        </r>
      </text>
    </comment>
    <comment ref="X667" authorId="0" shapeId="0" xr:uid="{B4D5C2BB-6D55-4FD6-9C60-BC5122E315EC}">
      <text>
        <r>
          <rPr>
            <b/>
            <sz val="9"/>
            <color indexed="81"/>
            <rFont val="Tahoma"/>
            <family val="2"/>
          </rPr>
          <t>Reactive Power Closed Loop Enable/Disable:
16#55 - Disable
16#AA - Enable</t>
        </r>
        <r>
          <rPr>
            <sz val="9"/>
            <color indexed="81"/>
            <rFont val="Tahoma"/>
            <family val="2"/>
          </rPr>
          <t xml:space="preserve">
</t>
        </r>
      </text>
    </comment>
    <comment ref="X675" authorId="0" shapeId="0" xr:uid="{B22F9CA0-A10E-4DB5-84E3-85948D71375B}">
      <text>
        <r>
          <rPr>
            <b/>
            <sz val="9"/>
            <color indexed="81"/>
            <rFont val="Tahoma"/>
            <family val="2"/>
          </rPr>
          <t>Frequency output change benchmark:</t>
        </r>
        <r>
          <rPr>
            <sz val="9"/>
            <color indexed="81"/>
            <rFont val="Tahoma"/>
            <family val="2"/>
          </rPr>
          <t xml:space="preserve">
16#A1 - function u nknown
16#A2 - function unknown</t>
        </r>
      </text>
    </comment>
    <comment ref="X686" authorId="0" shapeId="0" xr:uid="{51FB75C7-375D-4389-B8CF-1A3219655A08}">
      <text>
        <r>
          <rPr>
            <b/>
            <sz val="9"/>
            <color indexed="81"/>
            <rFont val="Tahoma"/>
            <family val="2"/>
          </rPr>
          <t>Reactive Power Closed Loop Enable/Disable:
16#55 - Disable
16#AA - Enable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Josh Walker</author>
    <author>Junior Metayer</author>
  </authors>
  <commentList>
    <comment ref="S6" authorId="0" shapeId="0" xr:uid="{C85623A5-DF9E-46AD-9C00-0F55627F395A}">
      <text>
        <r>
          <rPr>
            <b/>
            <sz val="9"/>
            <color indexed="81"/>
            <rFont val="Tahoma"/>
            <family val="2"/>
          </rPr>
          <t>Format:</t>
        </r>
        <r>
          <rPr>
            <sz val="9"/>
            <color indexed="81"/>
            <rFont val="Tahoma"/>
            <family val="2"/>
          </rPr>
          <t xml:space="preserve">
(Low-Low,Low,High,High-High)</t>
        </r>
      </text>
    </comment>
    <comment ref="B749" authorId="0" shapeId="0" xr:uid="{ED98FD51-BCC0-44BD-93DA-3571E38A4F96}">
      <text>
        <r>
          <rPr>
            <b/>
            <sz val="9"/>
            <color indexed="81"/>
            <rFont val="Tahoma"/>
            <family val="2"/>
          </rPr>
          <t>Josh Walker:</t>
        </r>
        <r>
          <rPr>
            <sz val="9"/>
            <color indexed="81"/>
            <rFont val="Tahoma"/>
            <family val="2"/>
          </rPr>
          <t xml:space="preserve">
These registers require optional instruments.  Sunlight Road is not equipped with the option
</t>
        </r>
      </text>
    </comment>
    <comment ref="B750" authorId="0" shapeId="0" xr:uid="{6163CCAE-E261-4F61-B6BF-52BE4CE150B4}">
      <text>
        <r>
          <rPr>
            <b/>
            <sz val="9"/>
            <color indexed="81"/>
            <rFont val="Tahoma"/>
            <family val="2"/>
          </rPr>
          <t>Josh Walker:</t>
        </r>
        <r>
          <rPr>
            <sz val="9"/>
            <color indexed="81"/>
            <rFont val="Tahoma"/>
            <family val="2"/>
          </rPr>
          <t xml:space="preserve">
These registers require optional instruments.  Sunlight Road is not equipped with the option
</t>
        </r>
      </text>
    </comment>
    <comment ref="B751" authorId="0" shapeId="0" xr:uid="{0C91B839-3177-4E3E-B239-CDC772091AF5}">
      <text>
        <r>
          <rPr>
            <b/>
            <sz val="9"/>
            <color indexed="81"/>
            <rFont val="Tahoma"/>
            <family val="2"/>
          </rPr>
          <t>Josh Walker:</t>
        </r>
        <r>
          <rPr>
            <sz val="9"/>
            <color indexed="81"/>
            <rFont val="Tahoma"/>
            <family val="2"/>
          </rPr>
          <t xml:space="preserve">
These registers require optional instruments.  Sunlight Road is not equipped with the option
</t>
        </r>
      </text>
    </comment>
    <comment ref="B752" authorId="0" shapeId="0" xr:uid="{D0F0FF40-48AC-4A4C-9F35-8A602E73BDCC}">
      <text>
        <r>
          <rPr>
            <b/>
            <sz val="9"/>
            <color indexed="81"/>
            <rFont val="Tahoma"/>
            <family val="2"/>
          </rPr>
          <t>Josh Walker:</t>
        </r>
        <r>
          <rPr>
            <sz val="9"/>
            <color indexed="81"/>
            <rFont val="Tahoma"/>
            <family val="2"/>
          </rPr>
          <t xml:space="preserve">
These registers require optional instruments.  Sunlight Road is not equipped with the option
</t>
        </r>
      </text>
    </comment>
    <comment ref="B753" authorId="0" shapeId="0" xr:uid="{C9322E34-6B21-497F-87B2-9BB0A379850B}">
      <text>
        <r>
          <rPr>
            <b/>
            <sz val="9"/>
            <color indexed="81"/>
            <rFont val="Tahoma"/>
            <family val="2"/>
          </rPr>
          <t>Josh Walker:</t>
        </r>
        <r>
          <rPr>
            <sz val="9"/>
            <color indexed="81"/>
            <rFont val="Tahoma"/>
            <family val="2"/>
          </rPr>
          <t xml:space="preserve">
These registers require optional instruments.  Sunlight Road is not equipped with the option
</t>
        </r>
      </text>
    </comment>
    <comment ref="B754" authorId="0" shapeId="0" xr:uid="{C35742DC-C34F-400F-AF41-DD9C69398FC0}">
      <text>
        <r>
          <rPr>
            <b/>
            <sz val="9"/>
            <color indexed="81"/>
            <rFont val="Tahoma"/>
            <family val="2"/>
          </rPr>
          <t>Josh Walker:</t>
        </r>
        <r>
          <rPr>
            <sz val="9"/>
            <color indexed="81"/>
            <rFont val="Tahoma"/>
            <family val="2"/>
          </rPr>
          <t xml:space="preserve">
These registers require optional instruments.  Sunlight Road is not equipped with the option
</t>
        </r>
      </text>
    </comment>
    <comment ref="B755" authorId="0" shapeId="0" xr:uid="{69A17CF0-42DE-458B-B27C-3A786C680A77}">
      <text>
        <r>
          <rPr>
            <b/>
            <sz val="9"/>
            <color indexed="81"/>
            <rFont val="Tahoma"/>
            <family val="2"/>
          </rPr>
          <t>Josh Walker:</t>
        </r>
        <r>
          <rPr>
            <sz val="9"/>
            <color indexed="81"/>
            <rFont val="Tahoma"/>
            <family val="2"/>
          </rPr>
          <t xml:space="preserve">
These registers require optional instruments.  Sunlight Road is not equipped with the option
</t>
        </r>
      </text>
    </comment>
    <comment ref="B756" authorId="0" shapeId="0" xr:uid="{957AD475-9D9D-4BBF-9C74-DC26BBBE249B}">
      <text>
        <r>
          <rPr>
            <b/>
            <sz val="9"/>
            <color indexed="81"/>
            <rFont val="Tahoma"/>
            <family val="2"/>
          </rPr>
          <t>Josh Walker:</t>
        </r>
        <r>
          <rPr>
            <sz val="9"/>
            <color indexed="81"/>
            <rFont val="Tahoma"/>
            <family val="2"/>
          </rPr>
          <t xml:space="preserve">
These registers require optional instruments.  Sunlight Road is not equipped with the option
</t>
        </r>
      </text>
    </comment>
    <comment ref="X757" authorId="0" shapeId="0" xr:uid="{42643D55-91D3-4C10-A3A2-13460E7205B9}">
      <text>
        <r>
          <rPr>
            <b/>
            <sz val="9"/>
            <color indexed="81"/>
            <rFont val="Tahoma"/>
            <family val="2"/>
          </rPr>
          <t xml:space="preserve">Zone Monitor Work State:
</t>
        </r>
        <r>
          <rPr>
            <sz val="9"/>
            <color indexed="81"/>
            <rFont val="Tahoma"/>
            <family val="2"/>
          </rPr>
          <t xml:space="preserve">0: Disable
1: Self-Study
2: Fault Detection
</t>
        </r>
      </text>
    </comment>
    <comment ref="X858" authorId="0" shapeId="0" xr:uid="{2CA41212-DB8A-4BF4-9473-451EFC8A8725}">
      <text>
        <r>
          <rPr>
            <b/>
            <sz val="9"/>
            <color indexed="81"/>
            <rFont val="Tahoma"/>
            <family val="2"/>
          </rPr>
          <t>Start Stop Enumeration:</t>
        </r>
        <r>
          <rPr>
            <sz val="9"/>
            <color indexed="81"/>
            <rFont val="Tahoma"/>
            <family val="2"/>
          </rPr>
          <t xml:space="preserve">
16#CE - Start
16#CF - Stop
All others no operation</t>
        </r>
      </text>
    </comment>
    <comment ref="X859" authorId="0" shapeId="0" xr:uid="{E81EF5D3-35D3-43D1-90AA-D7B8B5C31B02}">
      <text>
        <r>
          <rPr>
            <b/>
            <sz val="9"/>
            <color indexed="81"/>
            <rFont val="Tahoma"/>
            <family val="2"/>
          </rPr>
          <t>Start Stop Enumeration:</t>
        </r>
        <r>
          <rPr>
            <sz val="9"/>
            <color indexed="81"/>
            <rFont val="Tahoma"/>
            <family val="2"/>
          </rPr>
          <t xml:space="preserve">
16#CE - Emergency Stop
All others no operation</t>
        </r>
      </text>
    </comment>
    <comment ref="X861" authorId="0" shapeId="0" xr:uid="{63FE20B7-2C2F-4F91-B288-102E8C21ED46}">
      <text>
        <r>
          <rPr>
            <b/>
            <sz val="9"/>
            <color indexed="81"/>
            <rFont val="Tahoma"/>
            <family val="2"/>
          </rPr>
          <t>Local/Remote Control:</t>
        </r>
        <r>
          <rPr>
            <sz val="9"/>
            <color indexed="81"/>
            <rFont val="Tahoma"/>
            <family val="2"/>
          </rPr>
          <t xml:space="preserve">
0 - Remote control
1 - Local control
</t>
        </r>
      </text>
    </comment>
    <comment ref="X862" authorId="0" shapeId="0" xr:uid="{95E7F946-402C-488D-B536-42F77CB05C5D}">
      <text>
        <r>
          <rPr>
            <b/>
            <sz val="9"/>
            <color indexed="81"/>
            <rFont val="Tahoma"/>
            <family val="2"/>
          </rPr>
          <t>Reactive Power Mode:</t>
        </r>
        <r>
          <rPr>
            <sz val="9"/>
            <color indexed="81"/>
            <rFont val="Tahoma"/>
            <family val="2"/>
          </rPr>
          <t xml:space="preserve">
16#55 - OFF
16#A1 - Power factor mode
16#A2 - Reactive output mode
16#A3 - QU mode
16#A5 - QP mode
</t>
        </r>
      </text>
    </comment>
    <comment ref="X871" authorId="0" shapeId="0" xr:uid="{DC8FFD0A-EFFB-411B-9763-E50165207100}">
      <text>
        <r>
          <rPr>
            <b/>
            <sz val="9"/>
            <color indexed="81"/>
            <rFont val="Tahoma"/>
            <family val="2"/>
          </rPr>
          <t>Start Stop Enumeration:</t>
        </r>
        <r>
          <rPr>
            <sz val="9"/>
            <color indexed="81"/>
            <rFont val="Tahoma"/>
            <family val="2"/>
          </rPr>
          <t xml:space="preserve">
16#CE - Off?
16#CF - On?
All others no operation
Need to confirm</t>
        </r>
      </text>
    </comment>
    <comment ref="X872" authorId="0" shapeId="0" xr:uid="{C50A639F-EB1C-4058-A3A1-DB304111BCCB}">
      <text>
        <r>
          <rPr>
            <b/>
            <sz val="9"/>
            <color indexed="81"/>
            <rFont val="Tahoma"/>
            <family val="2"/>
          </rPr>
          <t>Start Stop Enumeration:</t>
        </r>
        <r>
          <rPr>
            <sz val="9"/>
            <color indexed="81"/>
            <rFont val="Tahoma"/>
            <family val="2"/>
          </rPr>
          <t xml:space="preserve">
16#CE - Off?
16#CF - On?
All others no operation
Need to confirm</t>
        </r>
      </text>
    </comment>
    <comment ref="X873" authorId="0" shapeId="0" xr:uid="{90A7CC03-5546-4E77-9F31-7FD92C031B26}">
      <text>
        <r>
          <rPr>
            <b/>
            <sz val="9"/>
            <color indexed="81"/>
            <rFont val="Tahoma"/>
            <family val="2"/>
          </rPr>
          <t>Start Stop Enumeration:</t>
        </r>
        <r>
          <rPr>
            <sz val="9"/>
            <color indexed="81"/>
            <rFont val="Tahoma"/>
            <family val="2"/>
          </rPr>
          <t xml:space="preserve">
16#CE - Off?
16#CF - On?
All others no operation
Need to confirm</t>
        </r>
      </text>
    </comment>
    <comment ref="X874" authorId="0" shapeId="0" xr:uid="{A47BC70E-315C-4B0C-B64F-B5D2C8D6FD21}">
      <text>
        <r>
          <rPr>
            <b/>
            <sz val="9"/>
            <color indexed="81"/>
            <rFont val="Tahoma"/>
            <family val="2"/>
          </rPr>
          <t>Start Stop Enumeration:</t>
        </r>
        <r>
          <rPr>
            <sz val="9"/>
            <color indexed="81"/>
            <rFont val="Tahoma"/>
            <family val="2"/>
          </rPr>
          <t xml:space="preserve">
16#CE - Off?
16#CF - On?
All others no operation
Need to confirm</t>
        </r>
      </text>
    </comment>
    <comment ref="X879" authorId="0" shapeId="0" xr:uid="{906942E3-6100-4BAC-9A2F-DB58276BFC5C}">
      <text>
        <r>
          <rPr>
            <b/>
            <sz val="9"/>
            <color indexed="81"/>
            <rFont val="Tahoma"/>
            <family val="2"/>
          </rPr>
          <t>QU Operation Mode:</t>
        </r>
        <r>
          <rPr>
            <sz val="9"/>
            <color indexed="81"/>
            <rFont val="Tahoma"/>
            <family val="2"/>
          </rPr>
          <t xml:space="preserve">
16#A1 - Reactive power ratio mode
16#A2 - Active power ratio mode
16#A3 - Power factor mode</t>
        </r>
      </text>
    </comment>
    <comment ref="X880" authorId="0" shapeId="0" xr:uid="{DB9B5FD5-DB0F-451B-AF76-CEAED49D052E}">
      <text>
        <r>
          <rPr>
            <b/>
            <sz val="9"/>
            <color indexed="81"/>
            <rFont val="Tahoma"/>
            <family val="2"/>
          </rPr>
          <t>Voltage Source:
16#B1 - real time voltage
16#B2 - record voltage</t>
        </r>
        <r>
          <rPr>
            <sz val="9"/>
            <color indexed="81"/>
            <rFont val="Tahoma"/>
            <family val="2"/>
          </rPr>
          <t xml:space="preserve">
</t>
        </r>
      </text>
    </comment>
    <comment ref="X889" authorId="1" shapeId="0" xr:uid="{EED6FEDD-2A9E-4DD4-9938-FF272FC7E9D5}">
      <text>
        <r>
          <rPr>
            <b/>
            <sz val="9"/>
            <color indexed="81"/>
            <rFont val="Tahoma"/>
            <family val="2"/>
          </rPr>
          <t>Junior Metayer:</t>
        </r>
        <r>
          <rPr>
            <sz val="9"/>
            <color indexed="81"/>
            <rFont val="Tahoma"/>
            <family val="2"/>
          </rPr>
          <t xml:space="preserve">
0: Open
1: Close</t>
        </r>
      </text>
    </comment>
    <comment ref="X892" authorId="0" shapeId="0" xr:uid="{DB6D97D5-E430-4C51-90A0-0CD204705339}">
      <text>
        <r>
          <rPr>
            <b/>
            <sz val="9"/>
            <color indexed="81"/>
            <rFont val="Tahoma"/>
            <family val="2"/>
          </rPr>
          <t>Enable Disable P(U):
16#55 - Disable
16#AA - Enable</t>
        </r>
        <r>
          <rPr>
            <sz val="9"/>
            <color indexed="81"/>
            <rFont val="Tahoma"/>
            <family val="2"/>
          </rPr>
          <t xml:space="preserve">
</t>
        </r>
      </text>
    </comment>
    <comment ref="X895" authorId="0" shapeId="0" xr:uid="{832D956D-0CF8-4C43-8B64-E76C68FC6544}">
      <text>
        <r>
          <rPr>
            <b/>
            <sz val="9"/>
            <color indexed="81"/>
            <rFont val="Tahoma"/>
            <family val="2"/>
          </rPr>
          <t>DC Switch Open/Close:
16#55 - Close
16#AA - Open</t>
        </r>
        <r>
          <rPr>
            <sz val="9"/>
            <color indexed="81"/>
            <rFont val="Tahoma"/>
            <family val="2"/>
          </rPr>
          <t xml:space="preserve">
</t>
        </r>
      </text>
    </comment>
    <comment ref="X896" authorId="0" shapeId="0" xr:uid="{4ADB2FD2-B0B5-43A2-87AD-AD39C18F107D}">
      <text>
        <r>
          <rPr>
            <b/>
            <sz val="9"/>
            <color indexed="81"/>
            <rFont val="Tahoma"/>
            <family val="2"/>
          </rPr>
          <t>Night SVG Enable/Disable:
16#55 - Disable
16#AA - Enable</t>
        </r>
        <r>
          <rPr>
            <sz val="9"/>
            <color indexed="81"/>
            <rFont val="Tahoma"/>
            <family val="2"/>
          </rPr>
          <t xml:space="preserve">
</t>
        </r>
      </text>
    </comment>
    <comment ref="X902" authorId="0" shapeId="0" xr:uid="{9F592216-4D80-4136-9651-90B702D1C121}">
      <text>
        <r>
          <rPr>
            <b/>
            <sz val="9"/>
            <color indexed="81"/>
            <rFont val="Tahoma"/>
            <family val="2"/>
          </rPr>
          <t>Frequency modulation Enable/Disable:
16#55 - Disable
16#AA - Enable</t>
        </r>
        <r>
          <rPr>
            <sz val="9"/>
            <color indexed="81"/>
            <rFont val="Tahoma"/>
            <family val="2"/>
          </rPr>
          <t xml:space="preserve">
</t>
        </r>
      </text>
    </comment>
    <comment ref="X907" authorId="0" shapeId="0" xr:uid="{F9788C58-43CF-446F-90D8-E847C7313861}">
      <text>
        <r>
          <rPr>
            <b/>
            <sz val="9"/>
            <color indexed="81"/>
            <rFont val="Tahoma"/>
            <family val="2"/>
          </rPr>
          <t>Frequency Source:
16#B1 - real time frequency
16#B2 - record frequency</t>
        </r>
        <r>
          <rPr>
            <sz val="9"/>
            <color indexed="81"/>
            <rFont val="Tahoma"/>
            <family val="2"/>
          </rPr>
          <t xml:space="preserve">
</t>
        </r>
      </text>
    </comment>
    <comment ref="X960" authorId="0" shapeId="0" xr:uid="{280072E8-142C-418F-965A-ACB0028BC82E}">
      <text>
        <r>
          <rPr>
            <b/>
            <sz val="9"/>
            <color indexed="81"/>
            <rFont val="Tahoma"/>
            <family val="2"/>
          </rPr>
          <t>Active Power Closed Loop Enable/Disable:
16#55 - Disable
16#AA - Enable</t>
        </r>
        <r>
          <rPr>
            <sz val="9"/>
            <color indexed="81"/>
            <rFont val="Tahoma"/>
            <family val="2"/>
          </rPr>
          <t xml:space="preserve">
</t>
        </r>
      </text>
    </comment>
    <comment ref="X961" authorId="0" shapeId="0" xr:uid="{BBA4AA24-CFA2-4CAD-917F-CEA22174BE26}">
      <text>
        <r>
          <rPr>
            <b/>
            <sz val="9"/>
            <color indexed="81"/>
            <rFont val="Tahoma"/>
            <family val="2"/>
          </rPr>
          <t>Reactive Power Closed Loop Enable/Disable:
16#55 - Disable
16#AA - Enable</t>
        </r>
        <r>
          <rPr>
            <sz val="9"/>
            <color indexed="81"/>
            <rFont val="Tahoma"/>
            <family val="2"/>
          </rPr>
          <t xml:space="preserve">
</t>
        </r>
      </text>
    </comment>
    <comment ref="X962" authorId="1" shapeId="0" xr:uid="{3F07D6A8-93CB-43CA-9BC5-15A2719DB1CB}">
      <text>
        <r>
          <rPr>
            <b/>
            <sz val="9"/>
            <color indexed="81"/>
            <rFont val="Tahoma"/>
            <family val="2"/>
          </rPr>
          <t>Junior Metayer:</t>
        </r>
        <r>
          <rPr>
            <sz val="9"/>
            <color indexed="81"/>
            <rFont val="Tahoma"/>
            <family val="2"/>
          </rPr>
          <t xml:space="preserve">
16#A1: rated power
16#A2: power before derating
16#A3: maximum power
16#A4: Pmax-Pm</t>
        </r>
      </text>
    </comment>
    <comment ref="X963" authorId="1" shapeId="0" xr:uid="{EEBC868C-CE4B-4BB2-B7C3-AA75921BED1C}">
      <text>
        <r>
          <rPr>
            <b/>
            <sz val="9"/>
            <color indexed="81"/>
            <rFont val="Tahoma"/>
            <family val="2"/>
          </rPr>
          <t>Junior Metayer:</t>
        </r>
        <r>
          <rPr>
            <sz val="9"/>
            <color indexed="81"/>
            <rFont val="Tahoma"/>
            <family val="2"/>
          </rPr>
          <t xml:space="preserve">
16#A1: rated power
16#A2: power before derating
16#A3: maximum power
16#A4: Pmax-Pm</t>
        </r>
      </text>
    </comment>
    <comment ref="X971" authorId="0" shapeId="0" xr:uid="{20D83F92-1D67-4486-AB50-2D6FE3E9A063}">
      <text>
        <r>
          <rPr>
            <b/>
            <sz val="9"/>
            <color indexed="81"/>
            <rFont val="Tahoma"/>
            <family val="2"/>
          </rPr>
          <t>Frequency output change benchmark:</t>
        </r>
        <r>
          <rPr>
            <sz val="9"/>
            <color indexed="81"/>
            <rFont val="Tahoma"/>
            <family val="2"/>
          </rPr>
          <t xml:space="preserve">
16#A1 - function u nknown
16#A2 - function unknown</t>
        </r>
      </text>
    </comment>
    <comment ref="X979" authorId="1" shapeId="0" xr:uid="{3BF2963E-1895-4BF1-9280-FE001184617A}">
      <text>
        <r>
          <rPr>
            <b/>
            <sz val="9"/>
            <color indexed="81"/>
            <rFont val="Tahoma"/>
            <family val="2"/>
          </rPr>
          <t>Junior Metayer:</t>
        </r>
        <r>
          <rPr>
            <sz val="9"/>
            <color indexed="81"/>
            <rFont val="Tahoma"/>
            <family val="2"/>
          </rPr>
          <t xml:space="preserve">
0: Disable
1: Enable</t>
        </r>
      </text>
    </comment>
    <comment ref="X980" authorId="1" shapeId="0" xr:uid="{441D0DDE-07EB-4DEE-83EB-661E5BBAAD3B}">
      <text>
        <r>
          <rPr>
            <b/>
            <sz val="9"/>
            <color indexed="81"/>
            <rFont val="Tahoma"/>
            <family val="2"/>
          </rPr>
          <t>Junior Metayer:</t>
        </r>
        <r>
          <rPr>
            <sz val="9"/>
            <color indexed="81"/>
            <rFont val="Tahoma"/>
            <family val="2"/>
          </rPr>
          <t xml:space="preserve">
0: Disable
1: Enable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Josh Walker</author>
  </authors>
  <commentList>
    <comment ref="S6" authorId="0" shapeId="0" xr:uid="{7DD58236-A517-405D-B979-1851CAFDC147}">
      <text>
        <r>
          <rPr>
            <b/>
            <sz val="9"/>
            <color indexed="81"/>
            <rFont val="Tahoma"/>
            <family val="2"/>
          </rPr>
          <t>Format:</t>
        </r>
        <r>
          <rPr>
            <sz val="9"/>
            <color indexed="81"/>
            <rFont val="Tahoma"/>
            <family val="2"/>
          </rPr>
          <t xml:space="preserve">
(Low-Low,Low,High,High-High)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Josh Walker</author>
  </authors>
  <commentList>
    <comment ref="S6" authorId="0" shapeId="0" xr:uid="{3912B159-517C-4132-BEAD-6A2910AFE2EB}">
      <text>
        <r>
          <rPr>
            <b/>
            <sz val="9"/>
            <color indexed="81"/>
            <rFont val="Tahoma"/>
            <family val="2"/>
          </rPr>
          <t>Format:</t>
        </r>
        <r>
          <rPr>
            <sz val="9"/>
            <color indexed="81"/>
            <rFont val="Tahoma"/>
            <family val="2"/>
          </rPr>
          <t xml:space="preserve">
(Low-Low,Low,High,High-High)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Josh Walker</author>
    <author>tc={8BCE9D74-8FE1-40DA-9A4C-152B0FA0562A}</author>
  </authors>
  <commentList>
    <comment ref="G6" authorId="0" shapeId="0" xr:uid="{C9C2B769-A212-4137-89E9-1D7F6A943A15}">
      <text>
        <r>
          <rPr>
            <b/>
            <sz val="9"/>
            <color indexed="81"/>
            <rFont val="Tahoma"/>
            <family val="2"/>
          </rPr>
          <t xml:space="preserve">Bit:
</t>
        </r>
        <r>
          <rPr>
            <sz val="9"/>
            <color indexed="81"/>
            <rFont val="Tahoma"/>
            <family val="2"/>
          </rPr>
          <t xml:space="preserve">This field is only defined for binary outputs and for counters used as bitfields.
For binary outputs, this is the control bit(s) which are supported, e.g Trip, LatchOn, Pulse etc.  Paired bits with opposite meaning are combined with a colon.   E.g. Trip:Close or LatchOn:LatchOff.
For counters used as bitfields, this field indicates the specific bit of the counter which is represented. </t>
        </r>
      </text>
    </comment>
    <comment ref="R6" authorId="0" shapeId="0" xr:uid="{4B8D2290-2566-43C7-A960-FBEE8A2BC6BC}">
      <text>
        <r>
          <rPr>
            <b/>
            <sz val="9"/>
            <color indexed="81"/>
            <rFont val="Tahoma"/>
            <family val="2"/>
          </rPr>
          <t>Format:</t>
        </r>
        <r>
          <rPr>
            <sz val="9"/>
            <color indexed="81"/>
            <rFont val="Tahoma"/>
            <family val="2"/>
          </rPr>
          <t xml:space="preserve">
(Low-Low,Low,High,High-High)</t>
        </r>
      </text>
    </comment>
    <comment ref="W7" authorId="0" shapeId="0" xr:uid="{F3A39A54-FB5C-4CDF-8438-3EB97974EAF2}">
      <text>
        <r>
          <rPr>
            <b/>
            <sz val="9"/>
            <color indexed="81"/>
            <rFont val="Tahoma"/>
            <family val="2"/>
          </rPr>
          <t>Inverter Status:
0 - Not communicating
1 - Fault
2 - Stopped
3 - Running</t>
        </r>
        <r>
          <rPr>
            <sz val="9"/>
            <color indexed="81"/>
            <rFont val="Tahoma"/>
            <family val="2"/>
          </rPr>
          <t xml:space="preserve">
</t>
        </r>
      </text>
    </comment>
    <comment ref="V13" authorId="1" shapeId="0" xr:uid="{8BCE9D74-8FE1-40DA-9A4C-152B0FA0562A}">
      <text>
        <t>[Threaded comment]
Your version of Excel allows you to read this threaded comment; however, any edits to it will get removed if the file is opened in a newer version of Excel. Learn more: https://go.microsoft.com/fwlink/?linkid=870924
Comment:
    Capitalize first letter after index, capitalize phase identifiers, no _ between phase identifiers</t>
      </text>
    </comment>
    <comment ref="W20" authorId="0" shapeId="0" xr:uid="{34B056EE-227C-4F71-B21D-B7314974123B}">
      <text>
        <r>
          <rPr>
            <b/>
            <sz val="9"/>
            <color indexed="81"/>
            <rFont val="Tahoma"/>
            <family val="2"/>
          </rPr>
          <t>Reactive power mode:</t>
        </r>
        <r>
          <rPr>
            <sz val="9"/>
            <color indexed="81"/>
            <rFont val="Tahoma"/>
            <family val="2"/>
          </rPr>
          <t xml:space="preserve">
0 - OFF (unregulated unity PF)
1 - Reactive output mode
2 - Power factor mode
3 - Voltage regulation
98 - QU mode
99 - QP mode</t>
        </r>
      </text>
    </comment>
    <comment ref="W21" authorId="0" shapeId="0" xr:uid="{9197EFE6-69B0-4A86-9172-6356BF4574AE}">
      <text>
        <r>
          <rPr>
            <b/>
            <sz val="9"/>
            <color indexed="81"/>
            <rFont val="Tahoma"/>
            <family val="2"/>
          </rPr>
          <t>Reactive power mode:</t>
        </r>
        <r>
          <rPr>
            <sz val="9"/>
            <color indexed="81"/>
            <rFont val="Tahoma"/>
            <family val="2"/>
          </rPr>
          <t xml:space="preserve">
0 - OFF (unregulated unity PF)
1 - Reactive output mode
2 - Power factor mode
3 - Voltage regulation
98 - QU mode
99 - QP mode</t>
        </r>
      </text>
    </comment>
    <comment ref="L22" authorId="0" shapeId="0" xr:uid="{3778E673-7770-4D7F-B55E-0B0E66620802}">
      <text>
        <r>
          <rPr>
            <b/>
            <sz val="9"/>
            <color indexed="81"/>
            <rFont val="Tahoma"/>
            <family val="2"/>
          </rPr>
          <t>Josh Walker:</t>
        </r>
        <r>
          <rPr>
            <sz val="9"/>
            <color indexed="81"/>
            <rFont val="Tahoma"/>
            <family val="2"/>
          </rPr>
          <t xml:space="preserve">
If reactive mode is reactive output mode then setpoint is in kvar.  If reactive mode is power factor mode then setpoint is power factor in PU</t>
        </r>
      </text>
    </comment>
    <comment ref="L23" authorId="0" shapeId="0" xr:uid="{61712200-D360-4DDB-8847-4A4460C12C14}">
      <text>
        <r>
          <rPr>
            <b/>
            <sz val="9"/>
            <color indexed="81"/>
            <rFont val="Tahoma"/>
            <family val="2"/>
          </rPr>
          <t>Josh Walker:</t>
        </r>
        <r>
          <rPr>
            <sz val="9"/>
            <color indexed="81"/>
            <rFont val="Tahoma"/>
            <family val="2"/>
          </rPr>
          <t xml:space="preserve">
If reactive mode is reactive output mode then setpoint is in kvar.  If reactive mode is power factor mode then setpoint is power factor in PU</t>
        </r>
      </text>
    </comment>
    <comment ref="W34" authorId="0" shapeId="0" xr:uid="{B3FA327E-BE8F-406E-AD03-8C6692002ED3}">
      <text>
        <r>
          <rPr>
            <b/>
            <sz val="9"/>
            <color indexed="81"/>
            <rFont val="Tahoma"/>
            <family val="2"/>
          </rPr>
          <t xml:space="preserve">Zone Monitor Work State:
</t>
        </r>
        <r>
          <rPr>
            <sz val="9"/>
            <color indexed="81"/>
            <rFont val="Tahoma"/>
            <family val="2"/>
          </rPr>
          <t xml:space="preserve">0: Disable
1: Self-Study
2: Fault Detection
</t>
        </r>
      </text>
    </comment>
    <comment ref="W45" authorId="0" shapeId="0" xr:uid="{BC48417F-04D6-4B51-BB6B-F2BD7D3CCBA3}">
      <text>
        <r>
          <rPr>
            <b/>
            <sz val="9"/>
            <color indexed="81"/>
            <rFont val="Tahoma"/>
            <family val="2"/>
          </rPr>
          <t>Inverter Status:
0 - Not communicating
1 - Fault
2 - Stopped
3 - Running</t>
        </r>
        <r>
          <rPr>
            <sz val="9"/>
            <color indexed="81"/>
            <rFont val="Tahoma"/>
            <family val="2"/>
          </rPr>
          <t xml:space="preserve">
</t>
        </r>
      </text>
    </comment>
    <comment ref="W102" authorId="0" shapeId="0" xr:uid="{15707358-188B-4379-B009-A10D14B19B50}">
      <text>
        <r>
          <rPr>
            <b/>
            <sz val="9"/>
            <color indexed="81"/>
            <rFont val="Tahoma"/>
            <family val="2"/>
          </rPr>
          <t>Inverter Status:
0 - Not communicating
1 - Fault
2 - Stopped
3 - Running</t>
        </r>
        <r>
          <rPr>
            <sz val="9"/>
            <color indexed="81"/>
            <rFont val="Tahoma"/>
            <family val="2"/>
          </rPr>
          <t xml:space="preserve">
</t>
        </r>
      </text>
    </comment>
    <comment ref="W575" authorId="0" shapeId="0" xr:uid="{6C740E08-17BE-49DD-B374-646431D26E73}">
      <text>
        <r>
          <rPr>
            <b/>
            <sz val="9"/>
            <color indexed="81"/>
            <rFont val="Tahoma"/>
            <family val="2"/>
          </rPr>
          <t>Reactive power mode:</t>
        </r>
        <r>
          <rPr>
            <sz val="9"/>
            <color indexed="81"/>
            <rFont val="Tahoma"/>
            <family val="2"/>
          </rPr>
          <t xml:space="preserve">
0 - OFF (unregulated unity PF)
1 - Reactive output mode
2 - Power factor mode
3 - Voltage regulation
98 - QU mode
99 - QP mode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tc={889A41A3-3718-4063-8263-0F93C6304497}</author>
    <author>tc={4CDE0492-0F15-4A4A-877F-2996BDCBBB0D}</author>
    <author>tc={2D6AF308-65AF-4E44-8E3A-609B8A5B6BF6}</author>
  </authors>
  <commentList>
    <comment ref="W5" authorId="0" shapeId="0" xr:uid="{889A41A3-3718-4063-8263-0F93C6304497}">
      <text>
        <t>[Threaded comment]
Your version of Excel allows you to read this threaded comment; however, any edits to it will get removed if the file is opened in a newer version of Excel. Learn more: https://go.microsoft.com/fwlink/?linkid=870924
Comment:
    Block 33 changed to Block 30  8/21/24</t>
      </text>
    </comment>
    <comment ref="Y5" authorId="1" shapeId="0" xr:uid="{4CDE0492-0F15-4A4A-877F-2996BDCBBB0D}">
      <text>
        <t>[Threaded comment]
Your version of Excel allows you to read this threaded comment; however, any edits to it will get removed if the file is opened in a newer version of Excel. Learn more: https://go.microsoft.com/fwlink/?linkid=870924
Comment:
    Block 50 changed to Block 55 8/21/24</t>
      </text>
    </comment>
    <comment ref="V7" authorId="2" shapeId="0" xr:uid="{2D6AF308-65AF-4E44-8E3A-609B8A5B6BF6}">
      <text>
        <t>[Threaded comment]
Your version of Excel allows you to read this threaded comment; however, any edits to it will get removed if the file is opened in a newer version of Excel. Learn more: https://go.microsoft.com/fwlink/?linkid=870924
Comment:
    Block 33 changed to 30  8.21.24</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Josh Walker</author>
  </authors>
  <commentList>
    <comment ref="W7" authorId="0" shapeId="0" xr:uid="{B2E6B7D8-E8FE-483D-A838-89454EFEA7BC}">
      <text>
        <r>
          <rPr>
            <b/>
            <sz val="9"/>
            <color indexed="81"/>
            <rFont val="Tahoma"/>
            <family val="2"/>
          </rPr>
          <t xml:space="preserve">Plant Operation Status:
</t>
        </r>
        <r>
          <rPr>
            <sz val="9"/>
            <color indexed="81"/>
            <rFont val="Tahoma"/>
            <family val="2"/>
          </rPr>
          <t xml:space="preserve"> ESTOP  0,
 STOPPED  1,
 STANDBY  2,
 WARMUP  3,
 RUN_NIGHT_SVC  4,
 RUN_OPEN_LOOP  5,
 RUN_OL_RAMP  6,
 RUN_CLOSED_LOOP  7,
 RUN_CL_RAMP  8,
 SHUTTING_DOWN  9</t>
        </r>
      </text>
    </comment>
    <comment ref="W8" authorId="0" shapeId="0" xr:uid="{99736FA5-0DD7-4DC8-8093-EC5E5AFA7AC6}">
      <text>
        <r>
          <rPr>
            <b/>
            <sz val="9"/>
            <color indexed="81"/>
            <rFont val="Tahoma"/>
            <family val="2"/>
          </rPr>
          <t>Active power modes:</t>
        </r>
        <r>
          <rPr>
            <sz val="9"/>
            <color indexed="81"/>
            <rFont val="Tahoma"/>
            <family val="2"/>
          </rPr>
          <t xml:space="preserve">
Unlimited   0
Curtailment  1
Dispatch  2</t>
        </r>
      </text>
    </comment>
    <comment ref="W10" authorId="0" shapeId="0" xr:uid="{496C7E55-CA30-48BC-980C-575F2DF6FF16}">
      <text>
        <r>
          <rPr>
            <b/>
            <sz val="9"/>
            <color indexed="81"/>
            <rFont val="Tahoma"/>
            <family val="2"/>
          </rPr>
          <t xml:space="preserve">Reactive power modes:
</t>
        </r>
        <r>
          <rPr>
            <sz val="9"/>
            <color indexed="81"/>
            <rFont val="Tahoma"/>
            <family val="2"/>
          </rPr>
          <t xml:space="preserve">
0 - Off
1 - Var output regulation
2 - PF regulation
3 - AVR (voltage regulation)
</t>
        </r>
      </text>
    </comment>
    <comment ref="W14" authorId="0" shapeId="0" xr:uid="{D7398620-E328-4736-9980-08256AF4431D}">
      <text>
        <r>
          <rPr>
            <b/>
            <sz val="9"/>
            <color indexed="81"/>
            <rFont val="Tahoma"/>
            <family val="2"/>
          </rPr>
          <t>Command/Setpoint Source:</t>
        </r>
        <r>
          <rPr>
            <sz val="9"/>
            <color indexed="81"/>
            <rFont val="Tahoma"/>
            <family val="2"/>
          </rPr>
          <t xml:space="preserve">
0 - HMI only
1 - Interface only
2 - HMI and interface</t>
        </r>
      </text>
    </comment>
    <comment ref="W15" authorId="0" shapeId="0" xr:uid="{6CA62DCC-76D2-4EE8-BAD9-46B121700086}">
      <text>
        <r>
          <rPr>
            <b/>
            <sz val="9"/>
            <color indexed="81"/>
            <rFont val="Tahoma"/>
            <family val="2"/>
          </rPr>
          <t>Command/Setpoint Source:</t>
        </r>
        <r>
          <rPr>
            <sz val="9"/>
            <color indexed="81"/>
            <rFont val="Tahoma"/>
            <family val="2"/>
          </rPr>
          <t xml:space="preserve">
0 - HMI only
1 - Interface only
2 - HMI and interface</t>
        </r>
      </text>
    </comment>
    <comment ref="W41" authorId="0" shapeId="0" xr:uid="{975F1268-21AA-47AB-89AF-E7C7D7D954A6}">
      <text>
        <r>
          <rPr>
            <b/>
            <sz val="9"/>
            <color indexed="81"/>
            <rFont val="Tahoma"/>
            <family val="2"/>
          </rPr>
          <t>Active power modes:</t>
        </r>
        <r>
          <rPr>
            <sz val="9"/>
            <color indexed="81"/>
            <rFont val="Tahoma"/>
            <family val="2"/>
          </rPr>
          <t xml:space="preserve">
Unlimited   0
Curtailment  1
Dispatch  2</t>
        </r>
      </text>
    </comment>
    <comment ref="W43" authorId="0" shapeId="0" xr:uid="{A3D12339-4D4B-438D-8B17-8E74CDC0120D}">
      <text>
        <r>
          <rPr>
            <b/>
            <sz val="9"/>
            <color indexed="81"/>
            <rFont val="Tahoma"/>
            <family val="2"/>
          </rPr>
          <t xml:space="preserve">Reactive power modes:
</t>
        </r>
        <r>
          <rPr>
            <sz val="9"/>
            <color indexed="81"/>
            <rFont val="Tahoma"/>
            <family val="2"/>
          </rPr>
          <t xml:space="preserve">
0 - Off
1 - Var output regulation
2 - PF regulation
3 - AVR (voltage regulation)
</t>
        </r>
      </text>
    </comment>
    <comment ref="W47" authorId="0" shapeId="0" xr:uid="{3AAE8746-FFE5-43E9-876D-63FE30851B0E}">
      <text>
        <r>
          <rPr>
            <b/>
            <sz val="9"/>
            <color indexed="81"/>
            <rFont val="Tahoma"/>
            <family val="2"/>
          </rPr>
          <t>Command/Setpoint Source:</t>
        </r>
        <r>
          <rPr>
            <sz val="9"/>
            <color indexed="81"/>
            <rFont val="Tahoma"/>
            <family val="2"/>
          </rPr>
          <t xml:space="preserve">
0 - HMI only
1 - Interface only
2 - HMI and interface</t>
        </r>
      </text>
    </comment>
    <comment ref="W48" authorId="0" shapeId="0" xr:uid="{264FECAA-3808-40ED-9C3F-6FB58D280E5A}">
      <text>
        <r>
          <rPr>
            <b/>
            <sz val="9"/>
            <color indexed="81"/>
            <rFont val="Tahoma"/>
            <family val="2"/>
          </rPr>
          <t>Command/Setpoint Source:</t>
        </r>
        <r>
          <rPr>
            <sz val="9"/>
            <color indexed="81"/>
            <rFont val="Tahoma"/>
            <family val="2"/>
          </rPr>
          <t xml:space="preserve">
0 - HMI only
1 - Interface only
2 - HMI and interface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Matt Munin</author>
  </authors>
  <commentList>
    <comment ref="X17" authorId="0" shapeId="0" xr:uid="{5B27527F-7AA8-4B5C-8678-54493FFF9D4B}">
      <text>
        <r>
          <rPr>
            <b/>
            <sz val="9"/>
            <color indexed="81"/>
            <rFont val="Tahoma"/>
            <family val="2"/>
          </rPr>
          <t>Matt Munin:</t>
        </r>
        <r>
          <rPr>
            <sz val="9"/>
            <color indexed="81"/>
            <rFont val="Tahoma"/>
            <family val="2"/>
          </rPr>
          <t xml:space="preserve">
Name  Code  Description
Normal Tracking  0x0001  Automatic movement to scheduled pitch
Wind Stow  0x0002  Automatic movement to wind stow pitch
Wind Stow  0x0003  Automatic movement to wind stow pitch
Flat  0x0004  Automatic movement to flat pitch
Manual Control  0x0005  No automatic movement but move commands accepted
East  0x0006  Automatic movement to maximum East pitch
West  0x0007  Automatic movement to maximum West pitch
Normal Tracking: Wind Stow  0x0110  Automatic movement to wind stow pitch due to high winds
Normal Tracking: Snow Stow  0x0120  Automatic movement to wind stow pitch due to snow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Josh Walker</author>
  </authors>
  <commentList>
    <comment ref="W10" authorId="0" shapeId="0" xr:uid="{B7D1788B-3BAD-4FC3-8599-2DE02C78417A}">
      <text>
        <r>
          <rPr>
            <b/>
            <sz val="9"/>
            <color indexed="81"/>
            <rFont val="Tahoma"/>
            <family val="2"/>
          </rPr>
          <t>Charger Mode:</t>
        </r>
        <r>
          <rPr>
            <sz val="9"/>
            <color indexed="81"/>
            <rFont val="Tahoma"/>
            <family val="2"/>
          </rPr>
          <t xml:space="preserve">
1 - On
4 - Off
</t>
        </r>
      </text>
    </comment>
    <comment ref="W11" authorId="0" shapeId="0" xr:uid="{68E0917C-701A-4A87-80C9-B04730DA6E51}">
      <text>
        <r>
          <rPr>
            <b/>
            <sz val="9"/>
            <color indexed="81"/>
            <rFont val="Tahoma"/>
            <family val="2"/>
          </rPr>
          <t>Charge State:</t>
        </r>
        <r>
          <rPr>
            <sz val="9"/>
            <color indexed="81"/>
            <rFont val="Tahoma"/>
            <family val="2"/>
          </rPr>
          <t xml:space="preserve">
0 - OFF
2 - Fault
3 - Bulk
4 - Absorbtion
5 - Float
6 - Storage
7 - Equalize
11 - Other
252 - External control</t>
        </r>
      </text>
    </comment>
    <comment ref="W19" authorId="0" shapeId="0" xr:uid="{B03E3121-3C0D-44B2-9F6A-8E1A895D78D8}">
      <text>
        <r>
          <rPr>
            <b/>
            <sz val="9"/>
            <color indexed="81"/>
            <rFont val="Tahoma"/>
            <family val="2"/>
          </rPr>
          <t xml:space="preserve">Error Codes:
</t>
        </r>
        <r>
          <rPr>
            <sz val="9"/>
            <color indexed="81"/>
            <rFont val="Tahoma"/>
            <family val="2"/>
          </rPr>
          <t xml:space="preserve">0=No error;
1=Battery temperature too high;
2=Battery voltage too high;
3=Battery temperature sensor miswired (+);
4=Battery temperature sensor miswired (-);
5=Battery temperature sensor disconnected;
6=Battery voltage sense miswired (+);
7=Battery voltage sense miswired (-);
8=Battery voltage sense disconnected;
9=Battery voltage wire losses too high;
17=Charger temperature too high;
18=Charger over-current;
19=Charger current polarity reversed;
20=Bulk time limit reached;
22=Charger temperature sensor miswired;
23=Charger temperature sensor disconnected;
34=Input current too high
</t>
        </r>
      </text>
    </comment>
    <comment ref="W21" authorId="0" shapeId="0" xr:uid="{F8A6F30A-AB9D-4545-AF3E-9E5DBB0A934C}">
      <text>
        <r>
          <rPr>
            <b/>
            <sz val="9"/>
            <color indexed="81"/>
            <rFont val="Tahoma"/>
            <family val="2"/>
          </rPr>
          <t>MPPT Mode:</t>
        </r>
        <r>
          <rPr>
            <sz val="9"/>
            <color indexed="81"/>
            <rFont val="Tahoma"/>
            <family val="2"/>
          </rPr>
          <t xml:space="preserve">
0 - OFF
1 - Voltage/Current Limited
2 - MPPT
255 -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741B85-FD76-4D11-999C-C51DD40FEBA9}" keepAlive="1" name="Query - PPC to RTU" description="Connection to the 'PPC to RTU' query in the workbook." type="5" refreshedVersion="8" background="1" saveData="1">
    <dbPr connection="Provider=Microsoft.Mashup.OleDb.1;Data Source=$Workbook$;Location=&quot;PPC to RTU&quot;;Extended Properties=&quot;&quot;" command="SELECT * FROM [PPC to RTU]"/>
  </connection>
</connections>
</file>

<file path=xl/sharedStrings.xml><?xml version="1.0" encoding="utf-8"?>
<sst xmlns="http://schemas.openxmlformats.org/spreadsheetml/2006/main" count="45014" uniqueCount="9609">
  <si>
    <t>Site Name</t>
  </si>
  <si>
    <t>Data Flows</t>
  </si>
  <si>
    <t>Note: The naming convention for the connection names is of form [Server] to [Client], as that is the normal flow of status information. Inputs flow from the server to the client, and outputs flow from the client to the server.</t>
  </si>
  <si>
    <t>Connection</t>
  </si>
  <si>
    <t>Version</t>
  </si>
  <si>
    <t>Last Updated</t>
  </si>
  <si>
    <t>Instance Count</t>
  </si>
  <si>
    <t>From</t>
  </si>
  <si>
    <t>To</t>
  </si>
  <si>
    <t>Protocol</t>
  </si>
  <si>
    <t>Baud</t>
  </si>
  <si>
    <t>Client Device Name</t>
  </si>
  <si>
    <t>Client Port</t>
  </si>
  <si>
    <t>Client Address</t>
  </si>
  <si>
    <t>Client IP Address</t>
  </si>
  <si>
    <t>Server Device Name</t>
  </si>
  <si>
    <t>Server Port</t>
  </si>
  <si>
    <t>Server Address</t>
  </si>
  <si>
    <t>Server IP Address</t>
  </si>
  <si>
    <t>Modbus</t>
  </si>
  <si>
    <t>Inverters to PPC-1</t>
  </si>
  <si>
    <t>Last updated</t>
  </si>
  <si>
    <t>Device Type</t>
  </si>
  <si>
    <t>Sungrow SG4400UD</t>
  </si>
  <si>
    <t>The scalar is the multiplier to put the actual measurement value on the wire, and the divisor to take the actual measurement value off the wire.</t>
  </si>
  <si>
    <t>Index digits in name</t>
  </si>
  <si>
    <t>Subsystem / Zone</t>
  </si>
  <si>
    <t>Inverters</t>
  </si>
  <si>
    <t>Device Register Base</t>
  </si>
  <si>
    <t xml:space="preserve">CAUTION:  Sungrow device uses multiple endian conventions on a per-register basis.  Consult sungrow manual for endian convention rubric. </t>
  </si>
  <si>
    <t>Register Digits</t>
  </si>
  <si>
    <t>List Index</t>
  </si>
  <si>
    <t>Availability</t>
  </si>
  <si>
    <t>Modbus Table</t>
  </si>
  <si>
    <t>Point Description</t>
  </si>
  <si>
    <t>Data Type</t>
  </si>
  <si>
    <t>RTAC Modbus index</t>
  </si>
  <si>
    <t>Modbus Bit</t>
  </si>
  <si>
    <t>Modbus
Register</t>
  </si>
  <si>
    <t>Device
Point Name</t>
  </si>
  <si>
    <t>Alarm State</t>
  </si>
  <si>
    <t>On (1) State</t>
  </si>
  <si>
    <t>Off (0) State</t>
  </si>
  <si>
    <t>Units</t>
  </si>
  <si>
    <t>Scalar</t>
  </si>
  <si>
    <t>Min Count</t>
  </si>
  <si>
    <t>Max Count</t>
  </si>
  <si>
    <t>Min Value</t>
  </si>
  <si>
    <t>Max Value</t>
  </si>
  <si>
    <t>Analog Alarm
Limits</t>
  </si>
  <si>
    <t>Alarm Profile</t>
  </si>
  <si>
    <t>Historian Profile</t>
  </si>
  <si>
    <t>HMI Category</t>
  </si>
  <si>
    <t>RTAC Point Name</t>
  </si>
  <si>
    <t>Enumeration Table</t>
  </si>
  <si>
    <t>Comments</t>
  </si>
  <si>
    <t>Not Imported</t>
  </si>
  <si>
    <t>Input Register</t>
  </si>
  <si>
    <t>Protocol Number</t>
  </si>
  <si>
    <t>32-bit unsigned integer</t>
  </si>
  <si>
    <t>315000</t>
  </si>
  <si>
    <t>unitless</t>
  </si>
  <si>
    <t/>
  </si>
  <si>
    <t>IREG_14999_Protocol_Number</t>
  </si>
  <si>
    <t>This point is not mapped to ignition</t>
  </si>
  <si>
    <t>Protocol Version</t>
  </si>
  <si>
    <t>315002</t>
  </si>
  <si>
    <t>IREG_15001_Protocol_Version</t>
  </si>
  <si>
    <t>Serial Number</t>
  </si>
  <si>
    <t>String</t>
  </si>
  <si>
    <t>315004</t>
  </si>
  <si>
    <t>IREG_15003_Serial_Number</t>
  </si>
  <si>
    <t>Machine Model</t>
  </si>
  <si>
    <t>315012</t>
  </si>
  <si>
    <t>IREG_15011_Machine_Model</t>
  </si>
  <si>
    <t>Available</t>
  </si>
  <si>
    <t>Device Type Code</t>
  </si>
  <si>
    <t>16-bit unsigned integer</t>
  </si>
  <si>
    <t>315070</t>
  </si>
  <si>
    <t>IREG_15069_Device_Type_Code</t>
  </si>
  <si>
    <t>Rated active power</t>
  </si>
  <si>
    <t>315071</t>
  </si>
  <si>
    <t>kW</t>
  </si>
  <si>
    <t>IREG_15070_Rated_active_power_kW</t>
  </si>
  <si>
    <t>Daily Power yield</t>
  </si>
  <si>
    <t>315073</t>
  </si>
  <si>
    <t>kWh</t>
  </si>
  <si>
    <t>IREG_15072_Daily_Power_yield_kWh</t>
  </si>
  <si>
    <t>Monthly Power yield</t>
  </si>
  <si>
    <t>315075</t>
  </si>
  <si>
    <t>IREG_15074_Monthly_Power_yield_kWh</t>
  </si>
  <si>
    <t>Total Power yield</t>
  </si>
  <si>
    <t>315077</t>
  </si>
  <si>
    <t>IREG_15076_Total_Power_yield_kWh</t>
  </si>
  <si>
    <t>CO2 emission reduction</t>
  </si>
  <si>
    <t>315079</t>
  </si>
  <si>
    <t>kg</t>
  </si>
  <si>
    <t>IREG_15078_CO2_emission_reduction_kg</t>
  </si>
  <si>
    <t>Daily grid connected minutes</t>
  </si>
  <si>
    <t>315081</t>
  </si>
  <si>
    <t>min</t>
  </si>
  <si>
    <t>IREG_15080_Daily_grid_connected_minutes_min</t>
  </si>
  <si>
    <t>Total Running Hours</t>
  </si>
  <si>
    <t>315082</t>
  </si>
  <si>
    <t>hr</t>
  </si>
  <si>
    <t>IREG_15081_Total_Running_Hours_hr</t>
  </si>
  <si>
    <t>Total DC Power</t>
  </si>
  <si>
    <t>32-bit signed integer</t>
  </si>
  <si>
    <t>315092</t>
  </si>
  <si>
    <t>W</t>
  </si>
  <si>
    <t>IREG_15091_Total_DC_Power_W</t>
  </si>
  <si>
    <t>A-B Line Voltage</t>
  </si>
  <si>
    <t>315094</t>
  </si>
  <si>
    <t>V</t>
  </si>
  <si>
    <t>IREG_15093_A_B_Line_Voltage_V</t>
  </si>
  <si>
    <t>B-C Line Voltage</t>
  </si>
  <si>
    <t>315095</t>
  </si>
  <si>
    <t>IREG_15094_B_C_Line_Voltage_V</t>
  </si>
  <si>
    <t>C-A Line Voltage</t>
  </si>
  <si>
    <t>315096</t>
  </si>
  <si>
    <t>IREG_15095_C_A_Line_Voltage_V</t>
  </si>
  <si>
    <t>Phase A Current</t>
  </si>
  <si>
    <t>315097</t>
  </si>
  <si>
    <t>A</t>
  </si>
  <si>
    <t>IREG_15096_Phase_A_Current_A</t>
  </si>
  <si>
    <t>Phase B Current</t>
  </si>
  <si>
    <t>315098</t>
  </si>
  <si>
    <t>IREG_15097_Phase_B_Current_A</t>
  </si>
  <si>
    <t>Phase C Current</t>
  </si>
  <si>
    <t>315099</t>
  </si>
  <si>
    <t>IREG_15098_Phase_C_Current_A</t>
  </si>
  <si>
    <t>Total active power</t>
  </si>
  <si>
    <t>315100</t>
  </si>
  <si>
    <t>IREG_15099_Total_active_power_W</t>
  </si>
  <si>
    <t>Total reactive power</t>
  </si>
  <si>
    <t>315102</t>
  </si>
  <si>
    <t>var</t>
  </si>
  <si>
    <t>IREG_15101_Total_reactive_power_var</t>
  </si>
  <si>
    <t>Total appearant power</t>
  </si>
  <si>
    <t>315104</t>
  </si>
  <si>
    <t>VA</t>
  </si>
  <si>
    <t>IREG_15103_Total_appearant_power_VA</t>
  </si>
  <si>
    <t>Power Factor</t>
  </si>
  <si>
    <t>16-bit signed integer</t>
  </si>
  <si>
    <t>315106</t>
  </si>
  <si>
    <t>PU</t>
  </si>
  <si>
    <t>IREG_15105_Power_Factor_PU</t>
  </si>
  <si>
    <t>Frequency</t>
  </si>
  <si>
    <t>315107</t>
  </si>
  <si>
    <t>Hz</t>
  </si>
  <si>
    <t>IREG_15106_Frequency_Hz</t>
  </si>
  <si>
    <t>Rated reactive power</t>
  </si>
  <si>
    <t>315108</t>
  </si>
  <si>
    <t>kvar</t>
  </si>
  <si>
    <t>IREG_15107_Rated_reactive_power_kvar</t>
  </si>
  <si>
    <t>Power limit actual value feedback</t>
  </si>
  <si>
    <t>315109</t>
  </si>
  <si>
    <t>IREG_15108_Power_limit_actual_value_feedback_W</t>
  </si>
  <si>
    <t>Reactive power adjustment actual value feedback</t>
  </si>
  <si>
    <t>315111</t>
  </si>
  <si>
    <t>IREG_15110_Reactive_power_adjustment_actual_value_feedback_var</t>
  </si>
  <si>
    <t>Power factor feedback</t>
  </si>
  <si>
    <t>315113</t>
  </si>
  <si>
    <t>IREG_15112_Power_factor_feedback_PU</t>
  </si>
  <si>
    <t>Transformer node state</t>
  </si>
  <si>
    <t>16-bit bitfield</t>
  </si>
  <si>
    <t>315114</t>
  </si>
  <si>
    <t>IREG_15113_Transformer_node_state</t>
  </si>
  <si>
    <t>Transformer gas buildup trip</t>
  </si>
  <si>
    <t>Boolean</t>
  </si>
  <si>
    <t>315114.0</t>
  </si>
  <si>
    <t>On (1)</t>
  </si>
  <si>
    <t>Tripped</t>
  </si>
  <si>
    <t>Normal</t>
  </si>
  <si>
    <t>IREG_15113_Transformer_gas_buildup_trip</t>
  </si>
  <si>
    <t>Transformer gas buildup alarm</t>
  </si>
  <si>
    <t>315114.1</t>
  </si>
  <si>
    <t>Alarm</t>
  </si>
  <si>
    <t>IREG_15113_Transformer_gas_buildup_alarm</t>
  </si>
  <si>
    <t>Transformer oil temperature alarm</t>
  </si>
  <si>
    <t>315114.2</t>
  </si>
  <si>
    <t>IREG_15113_Transformer_oil_temperature_alarm</t>
  </si>
  <si>
    <t>Transformer oil temperature trip</t>
  </si>
  <si>
    <t>315114.3</t>
  </si>
  <si>
    <t>IREG_15113_Transformer_oil_temperature_trip</t>
  </si>
  <si>
    <t>Transformer low oil level trip</t>
  </si>
  <si>
    <t>315114.4</t>
  </si>
  <si>
    <t>IREG_15113_Transformer_low_oil_level_trip</t>
  </si>
  <si>
    <t>Transformer low oil level alarm</t>
  </si>
  <si>
    <t>315114.5</t>
  </si>
  <si>
    <t>IREG_15113_Transformer_low_oil_level_alarm</t>
  </si>
  <si>
    <t>Transformer pressure relief valve trip</t>
  </si>
  <si>
    <t>315114.6</t>
  </si>
  <si>
    <t>IREG_15113_Transformer_pressure_relief_valve_trip</t>
  </si>
  <si>
    <t>MV  load switch 1 status</t>
  </si>
  <si>
    <t>315114.8</t>
  </si>
  <si>
    <t>None</t>
  </si>
  <si>
    <t>Closed</t>
  </si>
  <si>
    <t>Open</t>
  </si>
  <si>
    <t>IREG_15113_MV__load_switch_1_status</t>
  </si>
  <si>
    <t>MV  load switch 2 status</t>
  </si>
  <si>
    <t>315114.9</t>
  </si>
  <si>
    <t>IREG_15113_MV__load_switch_2_status</t>
  </si>
  <si>
    <t>Disconnector status</t>
  </si>
  <si>
    <t>315114.11</t>
  </si>
  <si>
    <t>IREG_15113_Disconnector_status</t>
  </si>
  <si>
    <t>Transformer high oil level alarm</t>
  </si>
  <si>
    <t>315114.13</t>
  </si>
  <si>
    <t>IREG_15113_Transformer_high_oil_level_alarm</t>
  </si>
  <si>
    <t>Transformer winding temperature trip</t>
  </si>
  <si>
    <t>315114.14</t>
  </si>
  <si>
    <t>IREG_15113_Transformer_winding_temperature_trip</t>
  </si>
  <si>
    <t>Transformer winding temperature alarm</t>
  </si>
  <si>
    <t>315114.15</t>
  </si>
  <si>
    <t>IREG_15113_Transformer_winding_temperature_alarm</t>
  </si>
  <si>
    <t>Annual power yields</t>
  </si>
  <si>
    <t>315115</t>
  </si>
  <si>
    <t>IREG_15114_Annual_power_yields_kWh</t>
  </si>
  <si>
    <t>Overall work state</t>
  </si>
  <si>
    <t>32-bit bitfield</t>
  </si>
  <si>
    <t>315117</t>
  </si>
  <si>
    <t>IREG_15116_Overall_work_state</t>
  </si>
  <si>
    <t>Running</t>
  </si>
  <si>
    <t>315117.0</t>
  </si>
  <si>
    <t>Not Running</t>
  </si>
  <si>
    <t>IREG_15116_Running</t>
  </si>
  <si>
    <t>Stopped</t>
  </si>
  <si>
    <t>315117.1</t>
  </si>
  <si>
    <t>Not Stopped</t>
  </si>
  <si>
    <t>IREG_15116_Stopped</t>
  </si>
  <si>
    <t>Remote emergency stop</t>
  </si>
  <si>
    <t>315117.3</t>
  </si>
  <si>
    <t>IREG_15116_Remote_emergency_stop</t>
  </si>
  <si>
    <t>Local emergency stop</t>
  </si>
  <si>
    <t>315117.6</t>
  </si>
  <si>
    <t>IREG_15116_Local_emergency_stop</t>
  </si>
  <si>
    <t>SCU master fault</t>
  </si>
  <si>
    <t>315117.7</t>
  </si>
  <si>
    <t>Faulted</t>
  </si>
  <si>
    <t>IREG_15116_SCU_master_fault</t>
  </si>
  <si>
    <t>315117.8</t>
  </si>
  <si>
    <t>Warn run</t>
  </si>
  <si>
    <t>315117.9</t>
  </si>
  <si>
    <t>Alarm Running</t>
  </si>
  <si>
    <t>IREG_15116_Warn_run</t>
  </si>
  <si>
    <t>315117.10</t>
  </si>
  <si>
    <t>Not Faulted</t>
  </si>
  <si>
    <t>IREG_15116_Faulted</t>
  </si>
  <si>
    <t>315117.11</t>
  </si>
  <si>
    <t>AC insulation fault</t>
  </si>
  <si>
    <t>315117.12</t>
  </si>
  <si>
    <t>IREG_15116_AC_insulation_fault</t>
  </si>
  <si>
    <t>SCU slave fault</t>
  </si>
  <si>
    <t>315117.13</t>
  </si>
  <si>
    <t>IREG_15116_SCU_slave_fault</t>
  </si>
  <si>
    <t>24h insulation fault</t>
  </si>
  <si>
    <t>315117.15</t>
  </si>
  <si>
    <t>IREG_15116_24h_insulation_fault</t>
  </si>
  <si>
    <t>24h DC insulation fault</t>
  </si>
  <si>
    <t>315117.16</t>
  </si>
  <si>
    <t>IREG_15116_24h_DC_insulation_fault</t>
  </si>
  <si>
    <t>24h AC insulation fault</t>
  </si>
  <si>
    <t>315117.17</t>
  </si>
  <si>
    <t>IREG_15116_24h_AC_insulation_fault</t>
  </si>
  <si>
    <t>Transformer oil temperature</t>
  </si>
  <si>
    <t>315119</t>
  </si>
  <si>
    <t>degC</t>
  </si>
  <si>
    <t>IREG_15118_Transformer_oil_temperature_degC</t>
  </si>
  <si>
    <t>Winding temperature</t>
  </si>
  <si>
    <t>315120</t>
  </si>
  <si>
    <t>IREG_15119_Winding_temperature_degC</t>
  </si>
  <si>
    <t>MV Node State 1</t>
  </si>
  <si>
    <t>315126</t>
  </si>
  <si>
    <t>IREG_15125_MV_Node_State_1</t>
  </si>
  <si>
    <t>External emergency stop mv node state</t>
  </si>
  <si>
    <t>315126.11</t>
  </si>
  <si>
    <t>IREG_15125_External_emergency_stop_mv_node_state</t>
  </si>
  <si>
    <t>MV fuse blown alarm</t>
  </si>
  <si>
    <t>315126.12</t>
  </si>
  <si>
    <t>IREG_15125_MV_fuse_blown_alarm</t>
  </si>
  <si>
    <t>HV compartment smoke alarm</t>
  </si>
  <si>
    <t>315126.13</t>
  </si>
  <si>
    <t>IREG_15125_HV_compartment_smoke_alarm</t>
  </si>
  <si>
    <t>HV Local remote switch status</t>
  </si>
  <si>
    <t>315126.14</t>
  </si>
  <si>
    <t>Local</t>
  </si>
  <si>
    <t>Remote</t>
  </si>
  <si>
    <t>IREG_15125_HV_Local_remote_switch_status</t>
  </si>
  <si>
    <t>Overall alarm state</t>
  </si>
  <si>
    <t>315127</t>
  </si>
  <si>
    <t>IREG_15126_Overall_alarm_state</t>
  </si>
  <si>
    <t>MV fan status</t>
  </si>
  <si>
    <t>315127.1</t>
  </si>
  <si>
    <t>Abnormal</t>
  </si>
  <si>
    <t>IREG_15126_MV_fan_status</t>
  </si>
  <si>
    <t>AC insulation detection communication status</t>
  </si>
  <si>
    <t>315127.4</t>
  </si>
  <si>
    <t>IREG_15126_AC_insulation_detection_communication_status</t>
  </si>
  <si>
    <t>24h insulation alarm</t>
  </si>
  <si>
    <t>315127.6</t>
  </si>
  <si>
    <t>IREG_15126_24h_insulation_alarm</t>
  </si>
  <si>
    <t>SCU master-slave communication status</t>
  </si>
  <si>
    <t>315127.7</t>
  </si>
  <si>
    <t>IREG_15126_SCU_master_slave_communication_status</t>
  </si>
  <si>
    <t>Heartbeat status</t>
  </si>
  <si>
    <t>315127.8</t>
  </si>
  <si>
    <t>IREG_15126_Heartbeat_status</t>
  </si>
  <si>
    <t>PMD IO board communication status</t>
  </si>
  <si>
    <t>315127.9</t>
  </si>
  <si>
    <t>IREG_15126_PMD_IO_board_communication_status</t>
  </si>
  <si>
    <t>Inverter IO board communication status</t>
  </si>
  <si>
    <t>315127.11</t>
  </si>
  <si>
    <t>IREG_15126_Inverter_IO_board_communication_status</t>
  </si>
  <si>
    <t>ISO board communication status</t>
  </si>
  <si>
    <t>315127.14</t>
  </si>
  <si>
    <t>IREG_15126_ISO_board_communication_status</t>
  </si>
  <si>
    <t>Digital input state</t>
  </si>
  <si>
    <t>315129</t>
  </si>
  <si>
    <t>IREG_15128_Digital_input_state</t>
  </si>
  <si>
    <t>DI1 status</t>
  </si>
  <si>
    <t>315129.0</t>
  </si>
  <si>
    <t>IREG_15128_DI1_status</t>
  </si>
  <si>
    <t>DI2 status</t>
  </si>
  <si>
    <t>315129.1</t>
  </si>
  <si>
    <t>IREG_15128_DI2_status</t>
  </si>
  <si>
    <t>DI3 status</t>
  </si>
  <si>
    <t>315129.2</t>
  </si>
  <si>
    <t>IREG_15128_DI3_status</t>
  </si>
  <si>
    <t>DI4 status</t>
  </si>
  <si>
    <t>315129.3</t>
  </si>
  <si>
    <t>IREG_15128_DI4_status</t>
  </si>
  <si>
    <t>DI5 status</t>
  </si>
  <si>
    <t>315129.4</t>
  </si>
  <si>
    <t>IREG_15128_DI5_status</t>
  </si>
  <si>
    <t>DI6 status</t>
  </si>
  <si>
    <t>315129.5</t>
  </si>
  <si>
    <t>IREG_15128_DI6_status</t>
  </si>
  <si>
    <t>DI7 status</t>
  </si>
  <si>
    <t>315129.6</t>
  </si>
  <si>
    <t>IREG_15128_DI7_status</t>
  </si>
  <si>
    <t>DI8 status</t>
  </si>
  <si>
    <t>315129.7</t>
  </si>
  <si>
    <t>IREG_15128_DI8_status</t>
  </si>
  <si>
    <t>DI9 status</t>
  </si>
  <si>
    <t>315129.8</t>
  </si>
  <si>
    <t>IREG_15128_DI9_status</t>
  </si>
  <si>
    <t>DI10 status</t>
  </si>
  <si>
    <t>315129.9</t>
  </si>
  <si>
    <t>IREG_15128_DI10_status</t>
  </si>
  <si>
    <t>DI11 status</t>
  </si>
  <si>
    <t>315129.10</t>
  </si>
  <si>
    <t>IREG_15128_DI11_status</t>
  </si>
  <si>
    <t>DI12 status</t>
  </si>
  <si>
    <t>315129.11</t>
  </si>
  <si>
    <t>IREG_15128_DI12_status</t>
  </si>
  <si>
    <t>DI13 status</t>
  </si>
  <si>
    <t>315129.12</t>
  </si>
  <si>
    <t>IREG_15128_DI13_status</t>
  </si>
  <si>
    <t>DI14 status</t>
  </si>
  <si>
    <t>315129.13</t>
  </si>
  <si>
    <t>IREG_15128_DI14_status</t>
  </si>
  <si>
    <t>DI15 status</t>
  </si>
  <si>
    <t>315129.14</t>
  </si>
  <si>
    <t>IREG_15128_DI15_status</t>
  </si>
  <si>
    <t>DI16 status</t>
  </si>
  <si>
    <t>315129.15</t>
  </si>
  <si>
    <t>IREG_15128_DI16_status</t>
  </si>
  <si>
    <t>DI17 status</t>
  </si>
  <si>
    <t>315129.16</t>
  </si>
  <si>
    <t>IREG_15128_DI17_status</t>
  </si>
  <si>
    <t>DI18 status</t>
  </si>
  <si>
    <t>315129.17</t>
  </si>
  <si>
    <t>IREG_15128_DI18_status</t>
  </si>
  <si>
    <t>DI19 status</t>
  </si>
  <si>
    <t>315129.18</t>
  </si>
  <si>
    <t>IREG_15128_DI19_status</t>
  </si>
  <si>
    <t>DI20 status</t>
  </si>
  <si>
    <t>315129.19</t>
  </si>
  <si>
    <t>IREG_15128_DI20_status</t>
  </si>
  <si>
    <t>DI21 status</t>
  </si>
  <si>
    <t>315129.20</t>
  </si>
  <si>
    <t>IREG_15128_DI21_status</t>
  </si>
  <si>
    <t>DI22 status</t>
  </si>
  <si>
    <t>315129.21</t>
  </si>
  <si>
    <t>IREG_15128_DI22_status</t>
  </si>
  <si>
    <t>DI23 status</t>
  </si>
  <si>
    <t>315129.22</t>
  </si>
  <si>
    <t>IREG_15128_DI23_status</t>
  </si>
  <si>
    <t>DI24 status</t>
  </si>
  <si>
    <t>315129.23</t>
  </si>
  <si>
    <t>IREG_15128_DI24_status</t>
  </si>
  <si>
    <t>MV Node state 2</t>
  </si>
  <si>
    <t>315131</t>
  </si>
  <si>
    <t>IREG_15130_MV_Node_state_2</t>
  </si>
  <si>
    <t>MV load switch status</t>
  </si>
  <si>
    <t>315131.0</t>
  </si>
  <si>
    <t>IREG_15130_MV_load_switch_status</t>
  </si>
  <si>
    <t>HV remote trip</t>
  </si>
  <si>
    <t>315131.1</t>
  </si>
  <si>
    <t>IREG_15130_HV_remote_trip</t>
  </si>
  <si>
    <t>HV remote closing</t>
  </si>
  <si>
    <t>315131.6</t>
  </si>
  <si>
    <t>IREG_15130_HV_remote_closing</t>
  </si>
  <si>
    <t>Transformer compartment door</t>
  </si>
  <si>
    <t>315131.7</t>
  </si>
  <si>
    <t>IREG_15130_Transformer_compartment_door</t>
  </si>
  <si>
    <t>Transformer compartment smoke alarm</t>
  </si>
  <si>
    <t>315131.8</t>
  </si>
  <si>
    <t>IREG_15130_Transformer_compartment_smoke_alarm</t>
  </si>
  <si>
    <t>UPS fault</t>
  </si>
  <si>
    <t>315131.9</t>
  </si>
  <si>
    <t>IREG_15130_UPS_fault</t>
  </si>
  <si>
    <t>MV earthing switch status</t>
  </si>
  <si>
    <t>315131.11</t>
  </si>
  <si>
    <t>IREG_15130_MV_earthing_switch_status</t>
  </si>
  <si>
    <t>MV earthing switch 1 status</t>
  </si>
  <si>
    <t>315131.12</t>
  </si>
  <si>
    <t>IREG_15130_MV_earthing_switch_1_status</t>
  </si>
  <si>
    <t>MV earthing switch 2 status</t>
  </si>
  <si>
    <t>315131.13</t>
  </si>
  <si>
    <t>IREG_15130_MV_earthing_switch_2_status</t>
  </si>
  <si>
    <t>MV earthing switch 3 status</t>
  </si>
  <si>
    <t>315131.14</t>
  </si>
  <si>
    <t>IREG_15130_MV_earthing_switch_3_status</t>
  </si>
  <si>
    <t>High level trip</t>
  </si>
  <si>
    <t>315131.15</t>
  </si>
  <si>
    <t>IREG_15130_High_level_trip</t>
  </si>
  <si>
    <t>Load switch T-A status</t>
  </si>
  <si>
    <t>315131.18</t>
  </si>
  <si>
    <t>IREG_15130_Load_switch_T_A_status</t>
  </si>
  <si>
    <t>Load switch T-B status</t>
  </si>
  <si>
    <t>315131.19</t>
  </si>
  <si>
    <t>IREG_15130_Load_switch_T_B_status</t>
  </si>
  <si>
    <t>Load switch T-AB status</t>
  </si>
  <si>
    <t>315131.20</t>
  </si>
  <si>
    <t>IREG_15130_Load_switch_T_AB_status</t>
  </si>
  <si>
    <t>Load switch A-B status</t>
  </si>
  <si>
    <t>315131.21</t>
  </si>
  <si>
    <t>IREG_15130_Load_switch_A_B_status</t>
  </si>
  <si>
    <t>PMD_IODI input status</t>
  </si>
  <si>
    <t>315142</t>
  </si>
  <si>
    <t>IREG_15141_PMD_IODI_input_status</t>
  </si>
  <si>
    <t>DI1</t>
  </si>
  <si>
    <t>315142.0</t>
  </si>
  <si>
    <t>IREG_15141_DI1</t>
  </si>
  <si>
    <t>DI2</t>
  </si>
  <si>
    <t>315142.1</t>
  </si>
  <si>
    <t>IREG_15141_DI2</t>
  </si>
  <si>
    <t>DI3</t>
  </si>
  <si>
    <t>315142.2</t>
  </si>
  <si>
    <t>IREG_15141_DI3</t>
  </si>
  <si>
    <t>DI4</t>
  </si>
  <si>
    <t>315142.3</t>
  </si>
  <si>
    <t>IREG_15141_DI4</t>
  </si>
  <si>
    <t>DI5</t>
  </si>
  <si>
    <t>315142.4</t>
  </si>
  <si>
    <t>IREG_15141_DI5</t>
  </si>
  <si>
    <t>DI6</t>
  </si>
  <si>
    <t>315142.5</t>
  </si>
  <si>
    <t>IREG_15141_DI6</t>
  </si>
  <si>
    <t>DI7</t>
  </si>
  <si>
    <t>315142.6</t>
  </si>
  <si>
    <t>IREG_15141_DI7</t>
  </si>
  <si>
    <t>DI8</t>
  </si>
  <si>
    <t>315142.7</t>
  </si>
  <si>
    <t>IREG_15141_DI8</t>
  </si>
  <si>
    <t>DI9</t>
  </si>
  <si>
    <t>315142.8</t>
  </si>
  <si>
    <t>IREG_15141_DI9</t>
  </si>
  <si>
    <t>DI10</t>
  </si>
  <si>
    <t>315142.9</t>
  </si>
  <si>
    <t>IREG_15141_DI10</t>
  </si>
  <si>
    <t>DI11</t>
  </si>
  <si>
    <t>315142.10</t>
  </si>
  <si>
    <t>IREG_15141_DI11</t>
  </si>
  <si>
    <t>DI12</t>
  </si>
  <si>
    <t>315142.11</t>
  </si>
  <si>
    <t>IREG_15141_DI12</t>
  </si>
  <si>
    <t>UPS conversion status</t>
  </si>
  <si>
    <t>315146</t>
  </si>
  <si>
    <t>IREG_15145_UPS_conversion_status</t>
  </si>
  <si>
    <t xml:space="preserve">UPS conversion  </t>
  </si>
  <si>
    <t>315146.0</t>
  </si>
  <si>
    <t>Conversion</t>
  </si>
  <si>
    <t>No Conversion</t>
  </si>
  <si>
    <t>IREG_15145_UPS_conversion__</t>
  </si>
  <si>
    <t>UPS alarm status</t>
  </si>
  <si>
    <t>315147</t>
  </si>
  <si>
    <t>IREG_15146_UPS_alarm_status</t>
  </si>
  <si>
    <t>UPS fault alarm</t>
  </si>
  <si>
    <t>315147.0</t>
  </si>
  <si>
    <t>IREG_15146_UPS_fault_alarm</t>
  </si>
  <si>
    <t>UPS bypass alarm</t>
  </si>
  <si>
    <t>315147.1</t>
  </si>
  <si>
    <t>IREG_15146_UPS_bypass_alarm</t>
  </si>
  <si>
    <t>UPS battery undervoltage alarm</t>
  </si>
  <si>
    <t>315147.2</t>
  </si>
  <si>
    <t>IREG_15146_UPS_battery_undervoltage_alarm</t>
  </si>
  <si>
    <t>UPS mains disconnection alarm</t>
  </si>
  <si>
    <t>315147.4</t>
  </si>
  <si>
    <t>IREG_15146_UPS_mains_disconnection_alarm</t>
  </si>
  <si>
    <t>U1 Daily power yield</t>
  </si>
  <si>
    <t>315150</t>
  </si>
  <si>
    <t>IREG_15149_U1_Daily_power_yield_kWh</t>
  </si>
  <si>
    <t>U1 Monthly power yield</t>
  </si>
  <si>
    <t>315152</t>
  </si>
  <si>
    <t>IREG_15151_U1_Monthly_power_yield_kWh</t>
  </si>
  <si>
    <t>U1 Total power yield</t>
  </si>
  <si>
    <t>315154</t>
  </si>
  <si>
    <t>IREG_15153_U1_Total_power_yield_kWh</t>
  </si>
  <si>
    <t>U1 Daily grid connected minutes</t>
  </si>
  <si>
    <t>315156</t>
  </si>
  <si>
    <t>IREG_15155_U1_Daily_grid_connected_minutes_min</t>
  </si>
  <si>
    <t>U1 Total running hours</t>
  </si>
  <si>
    <t>315157</t>
  </si>
  <si>
    <t>IREG_15156_U1_Total_running_hours_hr</t>
  </si>
  <si>
    <t>U1 Internal Module Temperature</t>
  </si>
  <si>
    <t>315159</t>
  </si>
  <si>
    <t>IREG_15158_U1_Internal_Module_Temperature_degC</t>
  </si>
  <si>
    <t>U1 DC Voltage</t>
  </si>
  <si>
    <t>315160</t>
  </si>
  <si>
    <t>IREG_15159_U1_DC_Voltage_V</t>
  </si>
  <si>
    <t>U1 DC Current</t>
  </si>
  <si>
    <t>315161</t>
  </si>
  <si>
    <t>IREG_15160_U1_DC_Current_A</t>
  </si>
  <si>
    <t>U1 DC Power</t>
  </si>
  <si>
    <t>315162</t>
  </si>
  <si>
    <t>IREG_15161_U1_DC_Power_W</t>
  </si>
  <si>
    <t>U1 Voltage A-B</t>
  </si>
  <si>
    <t>315164</t>
  </si>
  <si>
    <t>IREG_15163_U1_Voltage_A_B_V</t>
  </si>
  <si>
    <t>U1 Voltage B-C</t>
  </si>
  <si>
    <t>315165</t>
  </si>
  <si>
    <t>IREG_15164_U1_Voltage_B_C_V</t>
  </si>
  <si>
    <t>U1 Voltage C-A</t>
  </si>
  <si>
    <t>315166</t>
  </si>
  <si>
    <t>IREG_15165_U1_Voltage_C_A_V</t>
  </si>
  <si>
    <t>U1 Phase A Current</t>
  </si>
  <si>
    <t>315167</t>
  </si>
  <si>
    <t>IREG_15166_U1_Phase_A_Current_A</t>
  </si>
  <si>
    <t>U1 Phase B Current</t>
  </si>
  <si>
    <t>315168</t>
  </si>
  <si>
    <t>IREG_15167_U1_Phase_B_Current_A</t>
  </si>
  <si>
    <t>U1 Phase C Current</t>
  </si>
  <si>
    <t>315169</t>
  </si>
  <si>
    <t>IREG_15168_U1_Phase_C_Current_A</t>
  </si>
  <si>
    <t>U1 Active Power</t>
  </si>
  <si>
    <t>315170</t>
  </si>
  <si>
    <t>IREG_15169_U1_Active_Power_W</t>
  </si>
  <si>
    <t>U1 Reactive Power</t>
  </si>
  <si>
    <t>315172</t>
  </si>
  <si>
    <t>IREG_15171_U1_Reactive_Power_var</t>
  </si>
  <si>
    <t>U1 Power Factor</t>
  </si>
  <si>
    <t>315174</t>
  </si>
  <si>
    <t>IREG_15173_U1_Power_Factor_PU</t>
  </si>
  <si>
    <t>U1 Frequency</t>
  </si>
  <si>
    <t>315175</t>
  </si>
  <si>
    <t>IREG_15174_U1_Frequency_Hz</t>
  </si>
  <si>
    <t>U1 Efficiency</t>
  </si>
  <si>
    <t>315176</t>
  </si>
  <si>
    <t>%</t>
  </si>
  <si>
    <t>IREG_15175_U1_Efficiency_pct</t>
  </si>
  <si>
    <t>U1 Clock Year</t>
  </si>
  <si>
    <t>315178</t>
  </si>
  <si>
    <t>year</t>
  </si>
  <si>
    <t>IREG_15177_U1_Clock_Year_year</t>
  </si>
  <si>
    <t>U1 Clock Month</t>
  </si>
  <si>
    <t>315179</t>
  </si>
  <si>
    <t>month</t>
  </si>
  <si>
    <t>IREG_15178_U1_Clock_Month_month</t>
  </si>
  <si>
    <t>U1 Clock Day</t>
  </si>
  <si>
    <t>315180</t>
  </si>
  <si>
    <t>day</t>
  </si>
  <si>
    <t>IREG_15179_U1_Clock_Day_day</t>
  </si>
  <si>
    <t>U1 Clock Hour</t>
  </si>
  <si>
    <t>315181</t>
  </si>
  <si>
    <t>IREG_15180_U1_Clock_Hour_hr</t>
  </si>
  <si>
    <t>U1 Clock Minute</t>
  </si>
  <si>
    <t>315182</t>
  </si>
  <si>
    <t>IREG_15181_U1_Clock_Minute_min</t>
  </si>
  <si>
    <t>U1 Clock Second</t>
  </si>
  <si>
    <t>315183</t>
  </si>
  <si>
    <t>s</t>
  </si>
  <si>
    <t>IREG_15182_U1_Clock_Second_s</t>
  </si>
  <si>
    <t>U1 Fault State 1</t>
  </si>
  <si>
    <t>315186</t>
  </si>
  <si>
    <t>IREG_15185_U1_Fault_State_1</t>
  </si>
  <si>
    <t>U1 DC undervoltage alarm</t>
  </si>
  <si>
    <t>315186.0</t>
  </si>
  <si>
    <t>IREG_15185_U1_DC_undervoltage_alarm</t>
  </si>
  <si>
    <t>U1 DC overvoltage alarm</t>
  </si>
  <si>
    <t>315186.1</t>
  </si>
  <si>
    <t>IREG_15185_U1_DC_overvoltage_alarm</t>
  </si>
  <si>
    <t>U1 AC undervoltage alarm</t>
  </si>
  <si>
    <t>315186.2</t>
  </si>
  <si>
    <t>IREG_15185_U1_AC_undervoltage_alarm</t>
  </si>
  <si>
    <t>U1 AC overvoltage alarm</t>
  </si>
  <si>
    <t>315186.3</t>
  </si>
  <si>
    <t>IREG_15185_U1_AC_overvoltage_alarm</t>
  </si>
  <si>
    <t>U1 Anti islanding protection active</t>
  </si>
  <si>
    <t>315186.7</t>
  </si>
  <si>
    <t>IREG_15185_U1_Anti_islanding_protection_active</t>
  </si>
  <si>
    <t>U1 PDP protection active</t>
  </si>
  <si>
    <t>315186.9</t>
  </si>
  <si>
    <t>IREG_15185_U1_PDP_protection_active</t>
  </si>
  <si>
    <t>U1 Module overtemperature alarm</t>
  </si>
  <si>
    <t>315186.10</t>
  </si>
  <si>
    <t>IREG_15185_U1_Module_overtemperature_alarm</t>
  </si>
  <si>
    <t>U1 Reactor overtemperature alarm</t>
  </si>
  <si>
    <t>315186.11</t>
  </si>
  <si>
    <t>IREG_15185_U1_Reactor_overtemperature_alarm</t>
  </si>
  <si>
    <t>U1 AC leakage current protection alarm</t>
  </si>
  <si>
    <t>315186.14</t>
  </si>
  <si>
    <t>IREG_15185_U1_AC_leakage_current_protection_alarm</t>
  </si>
  <si>
    <t>U1 GFDI protection active</t>
  </si>
  <si>
    <t>315186.17</t>
  </si>
  <si>
    <t>IREG_15185_U1_GFDI_protection_active</t>
  </si>
  <si>
    <t>U1 Fan fault</t>
  </si>
  <si>
    <t>315186.18</t>
  </si>
  <si>
    <t>IREG_15185_U1_Fan_fault</t>
  </si>
  <si>
    <t>U1 DC overcurrent</t>
  </si>
  <si>
    <t>315186.21</t>
  </si>
  <si>
    <t>IREG_15185_U1_DC_overcurrent</t>
  </si>
  <si>
    <t>U1 AC overcurrent</t>
  </si>
  <si>
    <t>315186.22</t>
  </si>
  <si>
    <t>IREG_15185_U1_AC_overcurrent</t>
  </si>
  <si>
    <t>U1 Frequency abnormal</t>
  </si>
  <si>
    <t>315186.23</t>
  </si>
  <si>
    <t>IREG_15185_U1_Frequency_abnormal</t>
  </si>
  <si>
    <t>U1 Temperature abnormal</t>
  </si>
  <si>
    <t>315186.24</t>
  </si>
  <si>
    <t>IREG_15185_U1_Temperature_abnormal</t>
  </si>
  <si>
    <t>U1 Hardware fault</t>
  </si>
  <si>
    <t>315186.25</t>
  </si>
  <si>
    <t>IREG_15185_U1_Hardware_fault</t>
  </si>
  <si>
    <t>U1 Grounding fault</t>
  </si>
  <si>
    <t>315186.26</t>
  </si>
  <si>
    <t>IREG_15185_U1_Grounding_fault</t>
  </si>
  <si>
    <t>U1 Bus overvoltage</t>
  </si>
  <si>
    <t>315186.27</t>
  </si>
  <si>
    <t>IREG_15185_U1_Bus_overvoltage</t>
  </si>
  <si>
    <t>U1 Bus undervoltage</t>
  </si>
  <si>
    <t>315186.28</t>
  </si>
  <si>
    <t>IREG_15185_U1_Bus_undervoltage</t>
  </si>
  <si>
    <t>U1 Inverter overvoltage</t>
  </si>
  <si>
    <t>315186.29</t>
  </si>
  <si>
    <t>IREG_15185_U1_Inverter_overvoltage</t>
  </si>
  <si>
    <t>U1 Fault State 2</t>
  </si>
  <si>
    <t>315188</t>
  </si>
  <si>
    <t>IREG_15187_U1_Fault_State_2</t>
  </si>
  <si>
    <t>U1 Insulation impedance fault</t>
  </si>
  <si>
    <t>315188.0</t>
  </si>
  <si>
    <t>IREG_15187_U1_Insulation_impedance_fault</t>
  </si>
  <si>
    <t>U1 AC SPD fault</t>
  </si>
  <si>
    <t>315188.1</t>
  </si>
  <si>
    <t>IREG_15187_U1_AC_SPD_fault</t>
  </si>
  <si>
    <t>U1 Sampling fault</t>
  </si>
  <si>
    <t>315188.2</t>
  </si>
  <si>
    <t>IREG_15187_U1_Sampling_fault</t>
  </si>
  <si>
    <t>U1 DC polarity reversed alarm</t>
  </si>
  <si>
    <t>315188.3</t>
  </si>
  <si>
    <t>IREG_15187_U1_DC_polarity_reversed_alarm</t>
  </si>
  <si>
    <t>U1 Control power supply fault</t>
  </si>
  <si>
    <t>315188.4</t>
  </si>
  <si>
    <t>IREG_15187_U1_Control_power_supply_fault</t>
  </si>
  <si>
    <t>U1 Backup power supply fault</t>
  </si>
  <si>
    <t>315188.5</t>
  </si>
  <si>
    <t>IREG_15187_U1_Backup_power_supply_fault</t>
  </si>
  <si>
    <t>U1 AC current imballance</t>
  </si>
  <si>
    <t>315188.6</t>
  </si>
  <si>
    <t>IREG_15187_U1_AC_current_imballance</t>
  </si>
  <si>
    <t>U1 AC fuse fault</t>
  </si>
  <si>
    <t>315188.7</t>
  </si>
  <si>
    <t>IREG_15187_U1_AC_fuse_fault</t>
  </si>
  <si>
    <t>U1 DC SPD fault</t>
  </si>
  <si>
    <t>315188.8</t>
  </si>
  <si>
    <t>IREG_15187_U1_DC_SPD_fault</t>
  </si>
  <si>
    <t>U1 Buffer contactor fault</t>
  </si>
  <si>
    <t>315188.9</t>
  </si>
  <si>
    <t>IREG_15187_U1_Buffer_contactor_fault</t>
  </si>
  <si>
    <t>U1 DC injection fault</t>
  </si>
  <si>
    <t>315188.10</t>
  </si>
  <si>
    <t>IREG_15187_U1_DC_injection_fault</t>
  </si>
  <si>
    <t>U1 DC switch fault</t>
  </si>
  <si>
    <t>315188.11</t>
  </si>
  <si>
    <t>IREG_15187_U1_DC_switch_fault</t>
  </si>
  <si>
    <t>U1 Device code repeat fault</t>
  </si>
  <si>
    <t>315188.12</t>
  </si>
  <si>
    <t>IREG_15187_U1_Device_code_repeat_fault</t>
  </si>
  <si>
    <t>U1 Parallel operation communication failure</t>
  </si>
  <si>
    <t>315188.13</t>
  </si>
  <si>
    <t>IREG_15187_U1_Parallel_operation_communication_failure</t>
  </si>
  <si>
    <t>U1 Control cabinet temperature alarm</t>
  </si>
  <si>
    <t>315188.14</t>
  </si>
  <si>
    <t>IREG_15187_U1_Control_cabinet_temperature_alarm</t>
  </si>
  <si>
    <t>U1 DC fuse grounding fault</t>
  </si>
  <si>
    <t>315188.15</t>
  </si>
  <si>
    <t>IREG_15187_U1_DC_fuse_grounding_fault</t>
  </si>
  <si>
    <t>U1 Reversed branch over current</t>
  </si>
  <si>
    <t>315188.16</t>
  </si>
  <si>
    <t>IREG_15187_U1_Reversed_branch_over_current</t>
  </si>
  <si>
    <t>U1 Grid voltage imballance</t>
  </si>
  <si>
    <t>315188.17</t>
  </si>
  <si>
    <t>IREG_15187_U1_Grid_voltage_imballance</t>
  </si>
  <si>
    <t>U1 inverter cabinet temperature alarm</t>
  </si>
  <si>
    <t>315188.19</t>
  </si>
  <si>
    <t>IREG_15187_U1_inverter_cabinet_temperature_alarm</t>
  </si>
  <si>
    <t>U1 AC cabinet temperature alarm</t>
  </si>
  <si>
    <t>315188.20</t>
  </si>
  <si>
    <t>IREG_15187_U1_AC_cabinet_temperature_alarm</t>
  </si>
  <si>
    <t>U1 AC switch disconnection</t>
  </si>
  <si>
    <t>315188.21</t>
  </si>
  <si>
    <t>IREG_15187_U1_AC_switch_disconnection</t>
  </si>
  <si>
    <t>U1 AC switch fault</t>
  </si>
  <si>
    <t>315188.22</t>
  </si>
  <si>
    <t>IREG_15187_U1_AC_switch_fault</t>
  </si>
  <si>
    <t>U1 Soft start fault</t>
  </si>
  <si>
    <t>315188.23</t>
  </si>
  <si>
    <t>IREG_15187_U1_Soft_start_fault</t>
  </si>
  <si>
    <t>U1 DC voltage sampling fault</t>
  </si>
  <si>
    <t>315188.24</t>
  </si>
  <si>
    <t>IREG_15187_U1_DC_voltage_sampling_fault</t>
  </si>
  <si>
    <t>U1 Fan 2 fault</t>
  </si>
  <si>
    <t>315188.25</t>
  </si>
  <si>
    <t>IREG_15187_U1_Fan_2_fault</t>
  </si>
  <si>
    <t>U1 Current unbalance 2</t>
  </si>
  <si>
    <t>315188.26</t>
  </si>
  <si>
    <t>IREG_15187_U1_Current_unbalance_2</t>
  </si>
  <si>
    <t>U1 Current unbalance 3</t>
  </si>
  <si>
    <t>315188.27</t>
  </si>
  <si>
    <t>IREG_15187_U1_Current_unbalance_3</t>
  </si>
  <si>
    <t>U1 DC cabinet temperature alarm</t>
  </si>
  <si>
    <t>315188.29</t>
  </si>
  <si>
    <t>IREG_15187_U1_DC_cabinet_temperature_alarm</t>
  </si>
  <si>
    <t>U1 Neutral point potential shift alarm</t>
  </si>
  <si>
    <t>315188.30</t>
  </si>
  <si>
    <t>IREG_15187_U1_Neutral_point_potential_shift_alarm</t>
  </si>
  <si>
    <t>U1 Carrier sync failure</t>
  </si>
  <si>
    <t>315188.31</t>
  </si>
  <si>
    <t>IREG_15187_U1_Carrier_sync_failure</t>
  </si>
  <si>
    <t>U1 Fault State 3</t>
  </si>
  <si>
    <t>315190</t>
  </si>
  <si>
    <t>IREG_15189_U1_Fault_State_3</t>
  </si>
  <si>
    <t>U1 smoke sensing fault</t>
  </si>
  <si>
    <t>315190.0</t>
  </si>
  <si>
    <t>IREG_15189_U1_smoke_sensing_fault</t>
  </si>
  <si>
    <t>U1 access control fault</t>
  </si>
  <si>
    <t>315190.1</t>
  </si>
  <si>
    <t>IREG_15189_U1_access_control_fault</t>
  </si>
  <si>
    <t>U1 Emergency fault shutdown fault</t>
  </si>
  <si>
    <t>315190.2</t>
  </si>
  <si>
    <t>IREG_15189_U1_Emergency_fault_shutdown_fault</t>
  </si>
  <si>
    <t>U1 Node State 1</t>
  </si>
  <si>
    <t>315194</t>
  </si>
  <si>
    <t>IREG_15193_U1_Node_State_1</t>
  </si>
  <si>
    <t>U1 AC circuit breaker status</t>
  </si>
  <si>
    <t>315194.0</t>
  </si>
  <si>
    <t>IREG_15193_U1_AC_circuit_breaker_status</t>
  </si>
  <si>
    <t>U1 DC switch 1 status</t>
  </si>
  <si>
    <t>315194.3</t>
  </si>
  <si>
    <t>IREG_15193_U1_DC_switch_1_status</t>
  </si>
  <si>
    <t>U1 smoke node status</t>
  </si>
  <si>
    <t>315194.17</t>
  </si>
  <si>
    <t>IREG_15193_U1_smoke_node_status</t>
  </si>
  <si>
    <t>U1 access node status</t>
  </si>
  <si>
    <t>315194.18</t>
  </si>
  <si>
    <t>IREG_15193_U1_access_node_status</t>
  </si>
  <si>
    <t>U1 emergency shutdown status</t>
  </si>
  <si>
    <t>315194.19</t>
  </si>
  <si>
    <t>IREG_15193_U1_emergency_shutdown_status</t>
  </si>
  <si>
    <t>U1 Temperature 1</t>
  </si>
  <si>
    <t>315198</t>
  </si>
  <si>
    <t>IREG_15197_U1_Temperature_1_degC</t>
  </si>
  <si>
    <t>U1 Temperature 3</t>
  </si>
  <si>
    <t>315200</t>
  </si>
  <si>
    <t>IREG_15199_U1_Temperature_3_degC</t>
  </si>
  <si>
    <t>U1 Temperature 5</t>
  </si>
  <si>
    <t>315202</t>
  </si>
  <si>
    <t>IREG_15201_U1_Temperature_5_degC</t>
  </si>
  <si>
    <t>U1 Positive Resistance to Ground</t>
  </si>
  <si>
    <t>315204</t>
  </si>
  <si>
    <t>kOhm</t>
  </si>
  <si>
    <t>IREG_15203_U1_Positive_Resistance_to_Ground_kOhm</t>
  </si>
  <si>
    <t>U1 Negative Resistance to Ground</t>
  </si>
  <si>
    <t>315206</t>
  </si>
  <si>
    <t>IREG_15205_U1_Negative_Resistance_to_Ground_kOhm</t>
  </si>
  <si>
    <t>U1 Work State</t>
  </si>
  <si>
    <t>315208</t>
  </si>
  <si>
    <t>IREG_15207_U1_Work_State</t>
  </si>
  <si>
    <t>U1 Running</t>
  </si>
  <si>
    <t>315208.0</t>
  </si>
  <si>
    <t>IREG_15207_U1_Running</t>
  </si>
  <si>
    <t>U1 Stopped</t>
  </si>
  <si>
    <t>315208.1</t>
  </si>
  <si>
    <t>IREG_15207_U1_Stopped</t>
  </si>
  <si>
    <t>U1 Initial Standby</t>
  </si>
  <si>
    <t>315208.2</t>
  </si>
  <si>
    <t>Standby</t>
  </si>
  <si>
    <t>Not Standby</t>
  </si>
  <si>
    <t>IREG_15207_U1_Initial_Standby</t>
  </si>
  <si>
    <t>U1 Press to shutdown</t>
  </si>
  <si>
    <t>315208.3</t>
  </si>
  <si>
    <t>IREG_15207_U1_Press_to_shutdown</t>
  </si>
  <si>
    <t>U1 Standby</t>
  </si>
  <si>
    <t>315208.4</t>
  </si>
  <si>
    <t>IREG_15207_U1_Standby</t>
  </si>
  <si>
    <t>U1 Emergency Stop</t>
  </si>
  <si>
    <t>315208.5</t>
  </si>
  <si>
    <t>IREG_15207_U1_Emergency_Stop</t>
  </si>
  <si>
    <t>U1 Starting</t>
  </si>
  <si>
    <t>315208.6</t>
  </si>
  <si>
    <t>Starting</t>
  </si>
  <si>
    <t>Not Starting</t>
  </si>
  <si>
    <t>IREG_15207_U1_Starting</t>
  </si>
  <si>
    <t>U1 Stopping</t>
  </si>
  <si>
    <t>315208.7</t>
  </si>
  <si>
    <t>Stopping</t>
  </si>
  <si>
    <t>Not Stopping</t>
  </si>
  <si>
    <t>IREG_15207_U1_Stopping</t>
  </si>
  <si>
    <t>U1 Fault Stop</t>
  </si>
  <si>
    <t>315208.9</t>
  </si>
  <si>
    <t>IREG_15207_U1_Fault_Stop</t>
  </si>
  <si>
    <t>U1 Alarm running</t>
  </si>
  <si>
    <t>315208.10</t>
  </si>
  <si>
    <t>IREG_15207_U1_Alarm_running</t>
  </si>
  <si>
    <t>U1 Derating running</t>
  </si>
  <si>
    <t>315208.11</t>
  </si>
  <si>
    <t>IREG_15207_U1_Derating_running</t>
  </si>
  <si>
    <t>U1 IO-DSP communication failure</t>
  </si>
  <si>
    <t>315208.13</t>
  </si>
  <si>
    <t>IREG_15207_U1_IO_DSP_communication_failure</t>
  </si>
  <si>
    <t>U1 Inverter is running</t>
  </si>
  <si>
    <t>315208.17</t>
  </si>
  <si>
    <t>IREG_15207_U1_Inverter_is_running</t>
  </si>
  <si>
    <t>U1 Inverter is stopped</t>
  </si>
  <si>
    <t>315208.18</t>
  </si>
  <si>
    <t>IREG_15207_U1_Inverter_is_stopped</t>
  </si>
  <si>
    <t>U1 Anti-PID active</t>
  </si>
  <si>
    <t>315208.19</t>
  </si>
  <si>
    <t>Active</t>
  </si>
  <si>
    <t>Not-Active</t>
  </si>
  <si>
    <t>IREG_15207_U1_Anti_PID_active</t>
  </si>
  <si>
    <t>U1 Alarm State</t>
  </si>
  <si>
    <t>315210</t>
  </si>
  <si>
    <t>IREG_15209_U1_Alarm_State</t>
  </si>
  <si>
    <t>U1 Temperature alarm</t>
  </si>
  <si>
    <t>315210.0</t>
  </si>
  <si>
    <t>IREG_15209_U1_Temperature_alarm</t>
  </si>
  <si>
    <t>U1 Low insulation resistance alarm</t>
  </si>
  <si>
    <t>315210.1</t>
  </si>
  <si>
    <t>IREG_15209_U1_Low_insulation_resistance_alarm</t>
  </si>
  <si>
    <t>U1 GFRT operation alarm</t>
  </si>
  <si>
    <t>315210.2</t>
  </si>
  <si>
    <t>IREG_15209_U1_GFRT_operation_alarm</t>
  </si>
  <si>
    <t>U1 CT unbalance</t>
  </si>
  <si>
    <t>315210.3</t>
  </si>
  <si>
    <t>IREG_15209_U1_CT_unbalance</t>
  </si>
  <si>
    <t>U1 DC sensor fault</t>
  </si>
  <si>
    <t>315210.6</t>
  </si>
  <si>
    <t>IREG_15209_U1_DC_sensor_fault</t>
  </si>
  <si>
    <t>315210.7</t>
  </si>
  <si>
    <t>IREG_15209_U1_DC_SPD_fault</t>
  </si>
  <si>
    <t>315210.8</t>
  </si>
  <si>
    <t>IREG_15209_U1_AC_SPD_fault</t>
  </si>
  <si>
    <t>315210.12</t>
  </si>
  <si>
    <t>IREG_15209_U1_DC_switch_fault</t>
  </si>
  <si>
    <t>U1 Anti-PID power supply</t>
  </si>
  <si>
    <t>315210.13</t>
  </si>
  <si>
    <t>IREG_15209_U1_Anti_PID_power_supply</t>
  </si>
  <si>
    <t>315210.14</t>
  </si>
  <si>
    <t>IREG_15209_U1_Fan_fault</t>
  </si>
  <si>
    <t>U1 DC bypass forward overcurrent alarm</t>
  </si>
  <si>
    <t>315210.16</t>
  </si>
  <si>
    <t>IREG_15209_U1_DC_bypass_forward_overcurrent_alarm</t>
  </si>
  <si>
    <t>U1 DC bypass reverse overcurrent alarm</t>
  </si>
  <si>
    <t>315210.17</t>
  </si>
  <si>
    <t>IREG_15209_U1_DC_bypass_reverse_overcurrent_alarm</t>
  </si>
  <si>
    <t>U1 AC circuit breaker fault</t>
  </si>
  <si>
    <t>315210.19</t>
  </si>
  <si>
    <t>IREG_15209_U1_AC_circuit_breaker_fault</t>
  </si>
  <si>
    <t>U1 Meter communication failure</t>
  </si>
  <si>
    <t>315210.20</t>
  </si>
  <si>
    <t>IREG_15209_U1_Meter_communication_failure</t>
  </si>
  <si>
    <t>315210.21</t>
  </si>
  <si>
    <t>IREG_15209_U1_Fan_2_fault</t>
  </si>
  <si>
    <t>U1 Temperature and humidity sensor fault</t>
  </si>
  <si>
    <t>315210.23</t>
  </si>
  <si>
    <t>IREG_15209_U1_Temperature_and_humidity_sensor_fault</t>
  </si>
  <si>
    <t>U1 Frequency deviation active power regulation</t>
  </si>
  <si>
    <t>315210.24</t>
  </si>
  <si>
    <t>IREG_15209_U1_Frequency_deviation_active_power_regulation</t>
  </si>
  <si>
    <t>U1 Voltage deviation reactive power regulation</t>
  </si>
  <si>
    <t>315210.25</t>
  </si>
  <si>
    <t>IREG_15209_U1_Voltage_deviation_reactive_power_regulation</t>
  </si>
  <si>
    <t>U1 Busbar temperature alarm</t>
  </si>
  <si>
    <t>315210.27</t>
  </si>
  <si>
    <t>IREG_15209_U1_Busbar_temperature_alarm</t>
  </si>
  <si>
    <t>U1 Abnormal derating of fan</t>
  </si>
  <si>
    <t>315210.28</t>
  </si>
  <si>
    <t>IREG_15209_U1_Abnormal_derating_of_fan</t>
  </si>
  <si>
    <t>315210.30</t>
  </si>
  <si>
    <t>IREG_15209_U1_Frequency_abnormal</t>
  </si>
  <si>
    <t>U1 Negative Voltage to Ground</t>
  </si>
  <si>
    <t>315212</t>
  </si>
  <si>
    <t>IREG_15211_U1_Negative_Voltage_to_Ground_V</t>
  </si>
  <si>
    <t>U1 Annual Power Yield</t>
  </si>
  <si>
    <t>315213</t>
  </si>
  <si>
    <t>IREG_15212_U1_Annual_Power_Yield_kWh</t>
  </si>
  <si>
    <t>U1 CO2 Emission Reduction</t>
  </si>
  <si>
    <t>315215</t>
  </si>
  <si>
    <t>IREG_15214_U1_CO2_Emission_Reduction_kg</t>
  </si>
  <si>
    <t>U1 leakage current</t>
  </si>
  <si>
    <t>315237</t>
  </si>
  <si>
    <t>IREG_15236_U1_leakage_current_A</t>
  </si>
  <si>
    <t>U1 DC Input #1</t>
  </si>
  <si>
    <t>315250</t>
  </si>
  <si>
    <t>IREG_15249_U1_DC_Input_1_A</t>
  </si>
  <si>
    <t>U1 DC Input #2</t>
  </si>
  <si>
    <t>315251</t>
  </si>
  <si>
    <t>IREG_15250_U1_DC_Input_2_A</t>
  </si>
  <si>
    <t>U1 DC Input #3</t>
  </si>
  <si>
    <t>315252</t>
  </si>
  <si>
    <t>IREG_15251_U1_DC_Input_3_A</t>
  </si>
  <si>
    <t>U1 DC Input #4</t>
  </si>
  <si>
    <t>315253</t>
  </si>
  <si>
    <t>IREG_15252_U1_DC_Input_4_A</t>
  </si>
  <si>
    <t>U1 DC Input #5</t>
  </si>
  <si>
    <t>315254</t>
  </si>
  <si>
    <t>IREG_15253_U1_DC_Input_5_A</t>
  </si>
  <si>
    <t>U1 DC Input #6</t>
  </si>
  <si>
    <t>315255</t>
  </si>
  <si>
    <t>IREG_15254_U1_DC_Input_6_A</t>
  </si>
  <si>
    <t>U1 DC Input #7</t>
  </si>
  <si>
    <t>315256</t>
  </si>
  <si>
    <t>IREG_15255_U1_DC_Input_7_A</t>
  </si>
  <si>
    <t>U1 running status</t>
  </si>
  <si>
    <t>315262</t>
  </si>
  <si>
    <t>IREG_15261_U1_running_status</t>
  </si>
  <si>
    <t>U1 HVRT operation</t>
  </si>
  <si>
    <t>315262.1</t>
  </si>
  <si>
    <t>On</t>
  </si>
  <si>
    <t>Off</t>
  </si>
  <si>
    <t>IREG_15261_U1_HVRT_operation</t>
  </si>
  <si>
    <t>U1 LVRT operation</t>
  </si>
  <si>
    <t>315262.2</t>
  </si>
  <si>
    <t>IREG_15261_U1_LVRT_operation</t>
  </si>
  <si>
    <t>U2 Daily power yield</t>
  </si>
  <si>
    <t>315270</t>
  </si>
  <si>
    <t>IREG_15269_U2_Daily_power_yield_kWh</t>
  </si>
  <si>
    <t>U2 Monthly power yield</t>
  </si>
  <si>
    <t>315272</t>
  </si>
  <si>
    <t>IREG_15271_U2_Monthly_power_yield_kWh</t>
  </si>
  <si>
    <t>U2 Total power yield</t>
  </si>
  <si>
    <t>315274</t>
  </si>
  <si>
    <t>IREG_15273_U2_Total_power_yield_kWh</t>
  </si>
  <si>
    <t>U2 Daily grid connected minutes</t>
  </si>
  <si>
    <t>315276</t>
  </si>
  <si>
    <t>IREG_15275_U2_Daily_grid_connected_minutes_min</t>
  </si>
  <si>
    <t>U2 Total running hours</t>
  </si>
  <si>
    <t>315277</t>
  </si>
  <si>
    <t>IREG_15276_U2_Total_running_hours_hr</t>
  </si>
  <si>
    <t>U2 Internal Module Temperature</t>
  </si>
  <si>
    <t>315279</t>
  </si>
  <si>
    <t>IREG_15278_U2_Internal_Module_Temperature_degC</t>
  </si>
  <si>
    <t>U2 DC Voltage</t>
  </si>
  <si>
    <t>315280</t>
  </si>
  <si>
    <t>IREG_15279_U2_DC_Voltage_V</t>
  </si>
  <si>
    <t>U2 DC Current</t>
  </si>
  <si>
    <t>315281</t>
  </si>
  <si>
    <t>IREG_15280_U2_DC_Current_A</t>
  </si>
  <si>
    <t>U2 DC Power</t>
  </si>
  <si>
    <t>315282</t>
  </si>
  <si>
    <t>IREG_15281_U2_DC_Power_W</t>
  </si>
  <si>
    <t>U2 Voltage A-B</t>
  </si>
  <si>
    <t>315284</t>
  </si>
  <si>
    <t>IREG_15283_U2_Voltage_A_B_V</t>
  </si>
  <si>
    <t>U2 Voltage B-C</t>
  </si>
  <si>
    <t>315285</t>
  </si>
  <si>
    <t>IREG_15284_U2_Voltage_B_C_V</t>
  </si>
  <si>
    <t>U2 Voltage C-A</t>
  </si>
  <si>
    <t>315286</t>
  </si>
  <si>
    <t>IREG_15285_U2_Voltage_C_A_V</t>
  </si>
  <si>
    <t>U2 Phase A Current</t>
  </si>
  <si>
    <t>315287</t>
  </si>
  <si>
    <t>IREG_15286_U2_Phase_A_Current_A</t>
  </si>
  <si>
    <t>U2 Phase B Current</t>
  </si>
  <si>
    <t>315288</t>
  </si>
  <si>
    <t>IREG_15287_U2_Phase_B_Current_A</t>
  </si>
  <si>
    <t>U2 Phase C Current</t>
  </si>
  <si>
    <t>315289</t>
  </si>
  <si>
    <t>IREG_15288_U2_Phase_C_Current_A</t>
  </si>
  <si>
    <t>U2 Active Power</t>
  </si>
  <si>
    <t>315290</t>
  </si>
  <si>
    <t>IREG_15289_U2_Active_Power_W</t>
  </si>
  <si>
    <t>U2 Reactive Power</t>
  </si>
  <si>
    <t>315292</t>
  </si>
  <si>
    <t>IREG_15291_U2_Reactive_Power_var</t>
  </si>
  <si>
    <t>U2 Power Factor</t>
  </si>
  <si>
    <t>315294</t>
  </si>
  <si>
    <t>IREG_15293_U2_Power_Factor_PU</t>
  </si>
  <si>
    <t>U2 Frequency</t>
  </si>
  <si>
    <t>315295</t>
  </si>
  <si>
    <t>IREG_15294_U2_Frequency_Hz</t>
  </si>
  <si>
    <t>U2 Efficiency</t>
  </si>
  <si>
    <t>315296</t>
  </si>
  <si>
    <t>IREG_15295_U2_Efficiency_pct</t>
  </si>
  <si>
    <t>U2 Clock Year</t>
  </si>
  <si>
    <t>315298</t>
  </si>
  <si>
    <t>IREG_15297_U2_Clock_Year_year</t>
  </si>
  <si>
    <t>U2 Clock Month</t>
  </si>
  <si>
    <t>315299</t>
  </si>
  <si>
    <t>IREG_15298_U2_Clock_Month_month</t>
  </si>
  <si>
    <t>U2 Clock Day</t>
  </si>
  <si>
    <t>315300</t>
  </si>
  <si>
    <t>IREG_15299_U2_Clock_Day_day</t>
  </si>
  <si>
    <t>U2 Clock Hour</t>
  </si>
  <si>
    <t>315301</t>
  </si>
  <si>
    <t>IREG_15300_U2_Clock_Hour_hr</t>
  </si>
  <si>
    <t>U2 Clock Minute</t>
  </si>
  <si>
    <t>315302</t>
  </si>
  <si>
    <t>IREG_15301_U2_Clock_Minute_min</t>
  </si>
  <si>
    <t>U2 Clock Second</t>
  </si>
  <si>
    <t>315303</t>
  </si>
  <si>
    <t>IREG_15302_U2_Clock_Second_s</t>
  </si>
  <si>
    <t>U2 Fault State 1</t>
  </si>
  <si>
    <t>315306</t>
  </si>
  <si>
    <t>IREG_15305_U2_Fault_State_1</t>
  </si>
  <si>
    <t>U2 DC undervoltage alarm</t>
  </si>
  <si>
    <t>315306.0</t>
  </si>
  <si>
    <t>IREG_15305_U2_DC_undervoltage_alarm</t>
  </si>
  <si>
    <t>U2 DC overvoltage alarm</t>
  </si>
  <si>
    <t>315306.1</t>
  </si>
  <si>
    <t>IREG_15305_U2_DC_overvoltage_alarm</t>
  </si>
  <si>
    <t>U2 AC undervoltage alarm</t>
  </si>
  <si>
    <t>315306.2</t>
  </si>
  <si>
    <t>IREG_15305_U2_AC_undervoltage_alarm</t>
  </si>
  <si>
    <t>U2 AC overvoltage alarm</t>
  </si>
  <si>
    <t>315306.3</t>
  </si>
  <si>
    <t>IREG_15305_U2_AC_overvoltage_alarm</t>
  </si>
  <si>
    <t>U2 Anti islanding protection active</t>
  </si>
  <si>
    <t>315306.7</t>
  </si>
  <si>
    <t>IREG_15305_U2_Anti_islanding_protection_active</t>
  </si>
  <si>
    <t>U2 PDP protection active</t>
  </si>
  <si>
    <t>315306.9</t>
  </si>
  <si>
    <t>IREG_15305_U2_PDP_protection_active</t>
  </si>
  <si>
    <t>U2 Module overtemperature alarm</t>
  </si>
  <si>
    <t>315306.10</t>
  </si>
  <si>
    <t>IREG_15305_U2_Module_overtemperature_alarm</t>
  </si>
  <si>
    <t>U2 Reactor overtemperature alarm</t>
  </si>
  <si>
    <t>315306.11</t>
  </si>
  <si>
    <t>IREG_15305_U2_Reactor_overtemperature_alarm</t>
  </si>
  <si>
    <t>U2 AC leakage current protection alarm</t>
  </si>
  <si>
    <t>315306.14</t>
  </si>
  <si>
    <t>IREG_15305_U2_AC_leakage_current_protection_alarm</t>
  </si>
  <si>
    <t>U2 GFDI protection active</t>
  </si>
  <si>
    <t>315306.17</t>
  </si>
  <si>
    <t>IREG_15305_U2_GFDI_protection_active</t>
  </si>
  <si>
    <t>U2 Fan fault</t>
  </si>
  <si>
    <t>315306.18</t>
  </si>
  <si>
    <t>IREG_15305_U2_Fan_fault</t>
  </si>
  <si>
    <t>U2 DC overcurrent</t>
  </si>
  <si>
    <t>315306.21</t>
  </si>
  <si>
    <t>IREG_15305_U2_DC_overcurrent</t>
  </si>
  <si>
    <t>U2 AC overcurrent</t>
  </si>
  <si>
    <t>315306.22</t>
  </si>
  <si>
    <t>IREG_15305_U2_AC_overcurrent</t>
  </si>
  <si>
    <t>U2 Frequency abnormal</t>
  </si>
  <si>
    <t>315306.23</t>
  </si>
  <si>
    <t>IREG_15305_U2_Frequency_abnormal</t>
  </si>
  <si>
    <t>U2 Temperature abnormal</t>
  </si>
  <si>
    <t>315306.24</t>
  </si>
  <si>
    <t>IREG_15305_U2_Temperature_abnormal</t>
  </si>
  <si>
    <t>U2 Hardware fault</t>
  </si>
  <si>
    <t>315306.25</t>
  </si>
  <si>
    <t>IREG_15305_U2_Hardware_fault</t>
  </si>
  <si>
    <t>U2 Grounding fault</t>
  </si>
  <si>
    <t>315306.26</t>
  </si>
  <si>
    <t>IREG_15305_U2_Grounding_fault</t>
  </si>
  <si>
    <t>U2 Bus overvoltage</t>
  </si>
  <si>
    <t>315306.27</t>
  </si>
  <si>
    <t>IREG_15305_U2_Bus_overvoltage</t>
  </si>
  <si>
    <t>U2 Bus undervoltage</t>
  </si>
  <si>
    <t>315306.28</t>
  </si>
  <si>
    <t>IREG_15305_U2_Bus_undervoltage</t>
  </si>
  <si>
    <t>U2 Inverter overvoltage</t>
  </si>
  <si>
    <t>315306.29</t>
  </si>
  <si>
    <t>IREG_15305_U2_Inverter_overvoltage</t>
  </si>
  <si>
    <t>U2 Fault State 2</t>
  </si>
  <si>
    <t>315308</t>
  </si>
  <si>
    <t>IREG_15307_U2_Fault_State_2</t>
  </si>
  <si>
    <t>U2 Insulation impedance fault</t>
  </si>
  <si>
    <t>315308.0</t>
  </si>
  <si>
    <t>IREG_15307_U2_Insulation_impedance_fault</t>
  </si>
  <si>
    <t>U2 AC SPD fault</t>
  </si>
  <si>
    <t>315308.1</t>
  </si>
  <si>
    <t>IREG_15307_U2_AC_SPD_fault</t>
  </si>
  <si>
    <t>U2 Sampling fault</t>
  </si>
  <si>
    <t>315308.2</t>
  </si>
  <si>
    <t>IREG_15307_U2_Sampling_fault</t>
  </si>
  <si>
    <t>U2 DC polarity reversed alarm</t>
  </si>
  <si>
    <t>315308.3</t>
  </si>
  <si>
    <t>IREG_15307_U2_DC_polarity_reversed_alarm</t>
  </si>
  <si>
    <t>U2 Control power supply fault</t>
  </si>
  <si>
    <t>315308.4</t>
  </si>
  <si>
    <t>IREG_15307_U2_Control_power_supply_fault</t>
  </si>
  <si>
    <t>U2 Backup power supply fault</t>
  </si>
  <si>
    <t>315308.5</t>
  </si>
  <si>
    <t>IREG_15307_U2_Backup_power_supply_fault</t>
  </si>
  <si>
    <t>U2 AC current imballance</t>
  </si>
  <si>
    <t>315308.6</t>
  </si>
  <si>
    <t>IREG_15307_U2_AC_current_imballance</t>
  </si>
  <si>
    <t>U2 AC fuse fault</t>
  </si>
  <si>
    <t>315308.7</t>
  </si>
  <si>
    <t>IREG_15307_U2_AC_fuse_fault</t>
  </si>
  <si>
    <t>U2 DC SPD fault</t>
  </si>
  <si>
    <t>315308.8</t>
  </si>
  <si>
    <t>IREG_15307_U2_DC_SPD_fault</t>
  </si>
  <si>
    <t>U2 Buffer contactor fault</t>
  </si>
  <si>
    <t>315308.9</t>
  </si>
  <si>
    <t>IREG_15307_U2_Buffer_contactor_fault</t>
  </si>
  <si>
    <t>U2 DC injection fault</t>
  </si>
  <si>
    <t>315308.10</t>
  </si>
  <si>
    <t>IREG_15307_U2_DC_injection_fault</t>
  </si>
  <si>
    <t>U2 DC switch fault</t>
  </si>
  <si>
    <t>315308.11</t>
  </si>
  <si>
    <t>IREG_15307_U2_DC_switch_fault</t>
  </si>
  <si>
    <t>U2 Device code repeat fault</t>
  </si>
  <si>
    <t>315308.12</t>
  </si>
  <si>
    <t>IREG_15307_U2_Device_code_repeat_fault</t>
  </si>
  <si>
    <t>U2 Parallel operation communication failure</t>
  </si>
  <si>
    <t>315308.13</t>
  </si>
  <si>
    <t>IREG_15307_U2_Parallel_operation_communication_failure</t>
  </si>
  <si>
    <t>U2 Control cabinet temperature alarm</t>
  </si>
  <si>
    <t>315308.14</t>
  </si>
  <si>
    <t>IREG_15307_U2_Control_cabinet_temperature_alarm</t>
  </si>
  <si>
    <t>U2 DC fuse grounding fault</t>
  </si>
  <si>
    <t>315308.15</t>
  </si>
  <si>
    <t>IREG_15307_U2_DC_fuse_grounding_fault</t>
  </si>
  <si>
    <t>U2 Reversed branch over current</t>
  </si>
  <si>
    <t>315308.16</t>
  </si>
  <si>
    <t>IREG_15307_U2_Reversed_branch_over_current</t>
  </si>
  <si>
    <t>U2 Grid voltage imballance</t>
  </si>
  <si>
    <t>315308.17</t>
  </si>
  <si>
    <t>IREG_15307_U2_Grid_voltage_imballance</t>
  </si>
  <si>
    <t>U2 inverter cabinet temperature alarm</t>
  </si>
  <si>
    <t>315308.19</t>
  </si>
  <si>
    <t>IREG_15307_U2_inverter_cabinet_temperature_alarm</t>
  </si>
  <si>
    <t>U2 AC cabinet temperature alarm</t>
  </si>
  <si>
    <t>315308.20</t>
  </si>
  <si>
    <t>IREG_15307_U2_AC_cabinet_temperature_alarm</t>
  </si>
  <si>
    <t>U2 AC switch disconnection</t>
  </si>
  <si>
    <t>315308.21</t>
  </si>
  <si>
    <t>IREG_15307_U2_AC_switch_disconnection</t>
  </si>
  <si>
    <t>U2 AC switch fault</t>
  </si>
  <si>
    <t>315308.22</t>
  </si>
  <si>
    <t>IREG_15307_U2_AC_switch_fault</t>
  </si>
  <si>
    <t>U2 Soft start fault</t>
  </si>
  <si>
    <t>315308.23</t>
  </si>
  <si>
    <t>IREG_15307_U2_Soft_start_fault</t>
  </si>
  <si>
    <t>U2 DC voltage sampling fault</t>
  </si>
  <si>
    <t>315308.24</t>
  </si>
  <si>
    <t>IREG_15307_U2_DC_voltage_sampling_fault</t>
  </si>
  <si>
    <t>U2 Fan 2 fault</t>
  </si>
  <si>
    <t>315308.25</t>
  </si>
  <si>
    <t>IREG_15307_U2_Fan_2_fault</t>
  </si>
  <si>
    <t>U2 Current unbalance 2</t>
  </si>
  <si>
    <t>315308.26</t>
  </si>
  <si>
    <t>IREG_15307_U2_Current_unbalance_2</t>
  </si>
  <si>
    <t>U2 Current unbalance 3</t>
  </si>
  <si>
    <t>315308.27</t>
  </si>
  <si>
    <t>IREG_15307_U2_Current_unbalance_3</t>
  </si>
  <si>
    <t>U2 DC cabinet temperature alarm</t>
  </si>
  <si>
    <t>315308.29</t>
  </si>
  <si>
    <t>IREG_15307_U2_DC_cabinet_temperature_alarm</t>
  </si>
  <si>
    <t>U2 Neutral point potential shift alarm</t>
  </si>
  <si>
    <t>315308.30</t>
  </si>
  <si>
    <t>IREG_15307_U2_Neutral_point_potential_shift_alarm</t>
  </si>
  <si>
    <t>U2 Carrier sync failure</t>
  </si>
  <si>
    <t>315308.31</t>
  </si>
  <si>
    <t>IREG_15307_U2_Carrier_sync_failure</t>
  </si>
  <si>
    <t>U2 Fault State 3</t>
  </si>
  <si>
    <t>315310</t>
  </si>
  <si>
    <t>IREG_15309_U2_Fault_State_3</t>
  </si>
  <si>
    <t>U2 smoke sensing fault</t>
  </si>
  <si>
    <t>315310.0</t>
  </si>
  <si>
    <t>IREG_15309_U2_smoke_sensing_fault</t>
  </si>
  <si>
    <t>U2 access control fault</t>
  </si>
  <si>
    <t>315310.1</t>
  </si>
  <si>
    <t>IREG_15309_U2_access_control_fault</t>
  </si>
  <si>
    <t>U2 Emergency fault shutdown fault</t>
  </si>
  <si>
    <t>315310.2</t>
  </si>
  <si>
    <t>IREG_15309_U2_Emergency_fault_shutdown_fault</t>
  </si>
  <si>
    <t>U2 Node State 1</t>
  </si>
  <si>
    <t>315314</t>
  </si>
  <si>
    <t>IREG_15313_U2_Node_State_1</t>
  </si>
  <si>
    <t>U2 AC circuit breaker status</t>
  </si>
  <si>
    <t>315314.0</t>
  </si>
  <si>
    <t>IREG_15313_U2_AC_circuit_breaker_status</t>
  </si>
  <si>
    <t>U2 DC switch 1 status</t>
  </si>
  <si>
    <t>315314.3</t>
  </si>
  <si>
    <t>IREG_15313_U2_DC_switch_1_status</t>
  </si>
  <si>
    <t>U2 smoke node status</t>
  </si>
  <si>
    <t>315314.17</t>
  </si>
  <si>
    <t>IREG_15313_U2_smoke_node_status</t>
  </si>
  <si>
    <t>U2 access node status</t>
  </si>
  <si>
    <t>315314.18</t>
  </si>
  <si>
    <t>IREG_15313_U2_access_node_status</t>
  </si>
  <si>
    <t>U2 emergency shutdown status</t>
  </si>
  <si>
    <t>315314.19</t>
  </si>
  <si>
    <t>IREG_15313_U2_emergency_shutdown_status</t>
  </si>
  <si>
    <t>U2 Temperature 1</t>
  </si>
  <si>
    <t>315318</t>
  </si>
  <si>
    <t>IREG_15317_U2_Temperature_1_degC</t>
  </si>
  <si>
    <t>U2 Temperature 3</t>
  </si>
  <si>
    <t>315320</t>
  </si>
  <si>
    <t>IREG_15319_U2_Temperature_3_degC</t>
  </si>
  <si>
    <t>U2 Temperature 5</t>
  </si>
  <si>
    <t>315322</t>
  </si>
  <si>
    <t>IREG_15321_U2_Temperature_5_degC</t>
  </si>
  <si>
    <t>U2 Positive Resistance to Ground</t>
  </si>
  <si>
    <t>315324</t>
  </si>
  <si>
    <t>IREG_15323_U2_Positive_Resistance_to_Ground_kOhm</t>
  </si>
  <si>
    <t>U2 Negative Resistance to Ground</t>
  </si>
  <si>
    <t>315326</t>
  </si>
  <si>
    <t>IREG_15325_U2_Negative_Resistance_to_Ground_kOhm</t>
  </si>
  <si>
    <t>U2 Work State</t>
  </si>
  <si>
    <t>315328</t>
  </si>
  <si>
    <t>IREG_15327_U2_Work_State</t>
  </si>
  <si>
    <t>U2 Running</t>
  </si>
  <si>
    <t>315328.0</t>
  </si>
  <si>
    <t>IREG_15327_U2_Running</t>
  </si>
  <si>
    <t>U2 Stopped</t>
  </si>
  <si>
    <t>315328.1</t>
  </si>
  <si>
    <t>IREG_15327_U2_Stopped</t>
  </si>
  <si>
    <t>U2 Initial Standby</t>
  </si>
  <si>
    <t>315328.2</t>
  </si>
  <si>
    <t>IREG_15327_U2_Initial_Standby</t>
  </si>
  <si>
    <t>U2 Press to shutdown</t>
  </si>
  <si>
    <t>315328.3</t>
  </si>
  <si>
    <t>IREG_15327_U2_Press_to_shutdown</t>
  </si>
  <si>
    <t>U2 Standby</t>
  </si>
  <si>
    <t>315328.4</t>
  </si>
  <si>
    <t>IREG_15327_U2_Standby</t>
  </si>
  <si>
    <t>U2 Emergency Stop</t>
  </si>
  <si>
    <t>315328.5</t>
  </si>
  <si>
    <t>IREG_15327_U2_Emergency_Stop</t>
  </si>
  <si>
    <t>U2 Starting</t>
  </si>
  <si>
    <t>315328.6</t>
  </si>
  <si>
    <t>IREG_15327_U2_Starting</t>
  </si>
  <si>
    <t>U2 Stopping</t>
  </si>
  <si>
    <t>315328.7</t>
  </si>
  <si>
    <t>IREG_15327_U2_Stopping</t>
  </si>
  <si>
    <t>U2 Fault Stop</t>
  </si>
  <si>
    <t>315328.9</t>
  </si>
  <si>
    <t>IREG_15327_U2_Fault_Stop</t>
  </si>
  <si>
    <t>U2 Alarm running</t>
  </si>
  <si>
    <t>315328.10</t>
  </si>
  <si>
    <t>IREG_15327_U2_Alarm_running</t>
  </si>
  <si>
    <t>U2 Derating running</t>
  </si>
  <si>
    <t>315328.11</t>
  </si>
  <si>
    <t>IREG_15327_U2_Derating_running</t>
  </si>
  <si>
    <t>U2 IO-DSP communication failure</t>
  </si>
  <si>
    <t>315328.13</t>
  </si>
  <si>
    <t>IREG_15327_U2_IO_DSP_communication_failure</t>
  </si>
  <si>
    <t>U2 Inverter is running</t>
  </si>
  <si>
    <t>315328.17</t>
  </si>
  <si>
    <t>IREG_15327_U2_Inverter_is_running</t>
  </si>
  <si>
    <t>U2 Inverter is stopped</t>
  </si>
  <si>
    <t>315328.18</t>
  </si>
  <si>
    <t>IREG_15327_U2_Inverter_is_stopped</t>
  </si>
  <si>
    <t>U2 Anti-PID active</t>
  </si>
  <si>
    <t>315328.19</t>
  </si>
  <si>
    <t>IREG_15327_U2_Anti_PID_active</t>
  </si>
  <si>
    <t>U2 Alarm State</t>
  </si>
  <si>
    <t>315330</t>
  </si>
  <si>
    <t>IREG_15329_U2_Alarm_State</t>
  </si>
  <si>
    <t>U2 Temperature alarm</t>
  </si>
  <si>
    <t>315330.0</t>
  </si>
  <si>
    <t>IREG_15329_U2_Temperature_alarm</t>
  </si>
  <si>
    <t>U2 Low insulation resistance alarm</t>
  </si>
  <si>
    <t>315330.1</t>
  </si>
  <si>
    <t>IREG_15329_U2_Low_insulation_resistance_alarm</t>
  </si>
  <si>
    <t>U2 GFRT operation alarm</t>
  </si>
  <si>
    <t>315330.2</t>
  </si>
  <si>
    <t>IREG_15329_U2_GFRT_operation_alarm</t>
  </si>
  <si>
    <t>U2 CT unbalance</t>
  </si>
  <si>
    <t>315330.3</t>
  </si>
  <si>
    <t>IREG_15329_U2_CT_unbalance</t>
  </si>
  <si>
    <t>U2 DC sensor fault</t>
  </si>
  <si>
    <t>315330.6</t>
  </si>
  <si>
    <t>IREG_15329_U2_DC_sensor_fault</t>
  </si>
  <si>
    <t>315330.7</t>
  </si>
  <si>
    <t>IREG_15329_U2_DC_SPD_fault</t>
  </si>
  <si>
    <t>315330.8</t>
  </si>
  <si>
    <t>IREG_15329_U2_AC_SPD_fault</t>
  </si>
  <si>
    <t>315330.12</t>
  </si>
  <si>
    <t>IREG_15329_U2_DC_switch_fault</t>
  </si>
  <si>
    <t>U2 Anti-PID power supply</t>
  </si>
  <si>
    <t>315330.13</t>
  </si>
  <si>
    <t>IREG_15329_U2_Anti_PID_power_supply</t>
  </si>
  <si>
    <t>315330.14</t>
  </si>
  <si>
    <t>IREG_15329_U2_Fan_fault</t>
  </si>
  <si>
    <t>U2 DC bypass forward overcurrent alarm</t>
  </si>
  <si>
    <t>315330.16</t>
  </si>
  <si>
    <t>IREG_15329_U2_DC_bypass_forward_overcurrent_alarm</t>
  </si>
  <si>
    <t>U2 DC bypass reverse overcurrent alarm</t>
  </si>
  <si>
    <t>315330.17</t>
  </si>
  <si>
    <t>IREG_15329_U2_DC_bypass_reverse_overcurrent_alarm</t>
  </si>
  <si>
    <t>U2 AC circuit breaker fault</t>
  </si>
  <si>
    <t>315330.19</t>
  </si>
  <si>
    <t>IREG_15329_U2_AC_circuit_breaker_fault</t>
  </si>
  <si>
    <t>U2 Meter communication failure</t>
  </si>
  <si>
    <t>315330.20</t>
  </si>
  <si>
    <t>IREG_15329_U2_Meter_communication_failure</t>
  </si>
  <si>
    <t>315330.21</t>
  </si>
  <si>
    <t>IREG_15329_U2_Fan_2_fault</t>
  </si>
  <si>
    <t>U2 Temperature and humidity sensor fault</t>
  </si>
  <si>
    <t>315330.23</t>
  </si>
  <si>
    <t>IREG_15329_U2_Temperature_and_humidity_sensor_fault</t>
  </si>
  <si>
    <t>U2 Frequency deviation active power regulation</t>
  </si>
  <si>
    <t>315330.24</t>
  </si>
  <si>
    <t>IREG_15329_U2_Frequency_deviation_active_power_regulation</t>
  </si>
  <si>
    <t>U2 Voltage deviation reactive power regulation</t>
  </si>
  <si>
    <t>315330.25</t>
  </si>
  <si>
    <t>IREG_15329_U2_Voltage_deviation_reactive_power_regulation</t>
  </si>
  <si>
    <t>U2 Busbar temperature alarm</t>
  </si>
  <si>
    <t>315330.27</t>
  </si>
  <si>
    <t>IREG_15329_U2_Busbar_temperature_alarm</t>
  </si>
  <si>
    <t>U2 Abnormal derating of fan</t>
  </si>
  <si>
    <t>315330.28</t>
  </si>
  <si>
    <t>IREG_15329_U2_Abnormal_derating_of_fan</t>
  </si>
  <si>
    <t>315330.30</t>
  </si>
  <si>
    <t>IREG_15329_U2_Frequency_abnormal</t>
  </si>
  <si>
    <t>U2 Negative Voltage to Ground</t>
  </si>
  <si>
    <t>315332</t>
  </si>
  <si>
    <t>IREG_15331_U2_Negative_Voltage_to_Ground_V</t>
  </si>
  <si>
    <t>U2 Annual Power Yield</t>
  </si>
  <si>
    <t>315333</t>
  </si>
  <si>
    <t>IREG_15332_U2_Annual_Power_Yield_kWh</t>
  </si>
  <si>
    <t>U2 CO2 Emission Reduction</t>
  </si>
  <si>
    <t>315335</t>
  </si>
  <si>
    <t>IREG_15334_U2_CO2_Emission_Reduction_kg</t>
  </si>
  <si>
    <t>U2 leakage current</t>
  </si>
  <si>
    <t>315357</t>
  </si>
  <si>
    <t>IREG_15356_U2_leakage_current_A</t>
  </si>
  <si>
    <t>U2 DC Input #1</t>
  </si>
  <si>
    <t>315370</t>
  </si>
  <si>
    <t>IREG_15369_U2_DC_Input_1_A</t>
  </si>
  <si>
    <t>U2 DC Input #2</t>
  </si>
  <si>
    <t>315371</t>
  </si>
  <si>
    <t>IREG_15370_U2_DC_Input_2_A</t>
  </si>
  <si>
    <t>U2 DC Input #3</t>
  </si>
  <si>
    <t>315372</t>
  </si>
  <si>
    <t>IREG_15371_U2_DC_Input_3_A</t>
  </si>
  <si>
    <t>U2 DC Input #4</t>
  </si>
  <si>
    <t>315373</t>
  </si>
  <si>
    <t>IREG_15372_U2_DC_Input_4_A</t>
  </si>
  <si>
    <t>U2 DC Input #5</t>
  </si>
  <si>
    <t>315374</t>
  </si>
  <si>
    <t>IREG_15373_U2_DC_Input_5_A</t>
  </si>
  <si>
    <t>U2 DC Input #6</t>
  </si>
  <si>
    <t>315375</t>
  </si>
  <si>
    <t>IREG_15374_U2_DC_Input_6_A</t>
  </si>
  <si>
    <t>U2 DC Input #7</t>
  </si>
  <si>
    <t>315376</t>
  </si>
  <si>
    <t>IREG_15375_U2_DC_Input_7_A</t>
  </si>
  <si>
    <t>U2 running status</t>
  </si>
  <si>
    <t>315382</t>
  </si>
  <si>
    <t>IREG_15381_U2_running_status</t>
  </si>
  <si>
    <t>U2 HVRT operation</t>
  </si>
  <si>
    <t>315382.1</t>
  </si>
  <si>
    <t>IREG_15381_U2_HVRT_operation</t>
  </si>
  <si>
    <t>U2 LVRT operation</t>
  </si>
  <si>
    <t>315382.2</t>
  </si>
  <si>
    <t>IREG_15381_U2_LVRT_operation</t>
  </si>
  <si>
    <t>U3 Daily power yield</t>
  </si>
  <si>
    <t>315390</t>
  </si>
  <si>
    <t>IREG_15389_U3_Daily_power_yield_kWh</t>
  </si>
  <si>
    <t>U3 Monthly power yield</t>
  </si>
  <si>
    <t>315392</t>
  </si>
  <si>
    <t>IREG_15391_U3_Monthly_power_yield_kWh</t>
  </si>
  <si>
    <t>U3 Total power yield</t>
  </si>
  <si>
    <t>315394</t>
  </si>
  <si>
    <t>IREG_15393_U3_Total_power_yield_kWh</t>
  </si>
  <si>
    <t>U3 Daily grid connected minutes</t>
  </si>
  <si>
    <t>315396</t>
  </si>
  <si>
    <t>IREG_15395_U3_Daily_grid_connected_minutes_min</t>
  </si>
  <si>
    <t>U3 Total running hours</t>
  </si>
  <si>
    <t>315397</t>
  </si>
  <si>
    <t>IREG_15396_U3_Total_running_hours_hr</t>
  </si>
  <si>
    <t>U3 Internal Module Temperature</t>
  </si>
  <si>
    <t>315399</t>
  </si>
  <si>
    <t>IREG_15398_U3_Internal_Module_Temperature_degC</t>
  </si>
  <si>
    <t>U3 DC Voltage</t>
  </si>
  <si>
    <t>315400</t>
  </si>
  <si>
    <t>IREG_15399_U3_DC_Voltage_V</t>
  </si>
  <si>
    <t>U3 DC Current</t>
  </si>
  <si>
    <t>315401</t>
  </si>
  <si>
    <t>IREG_15400_U3_DC_Current_A</t>
  </si>
  <si>
    <t>U3 DC Power</t>
  </si>
  <si>
    <t>315402</t>
  </si>
  <si>
    <t>IREG_15401_U3_DC_Power_W</t>
  </si>
  <si>
    <t>U3 Voltage A-B</t>
  </si>
  <si>
    <t>315404</t>
  </si>
  <si>
    <t>IREG_15403_U3_Voltage_A_B_V</t>
  </si>
  <si>
    <t>U3 Voltage B-C</t>
  </si>
  <si>
    <t>315405</t>
  </si>
  <si>
    <t>IREG_15404_U3_Voltage_B_C_V</t>
  </si>
  <si>
    <t>U3 Voltage C-A</t>
  </si>
  <si>
    <t>315406</t>
  </si>
  <si>
    <t>IREG_15405_U3_Voltage_C_A_V</t>
  </si>
  <si>
    <t>U3 Phase A Current</t>
  </si>
  <si>
    <t>315407</t>
  </si>
  <si>
    <t>IREG_15406_U3_Phase_A_Current_A</t>
  </si>
  <si>
    <t>U3 Phase B Current</t>
  </si>
  <si>
    <t>315408</t>
  </si>
  <si>
    <t>IREG_15407_U3_Phase_B_Current_A</t>
  </si>
  <si>
    <t>U3 Phase C Current</t>
  </si>
  <si>
    <t>315409</t>
  </si>
  <si>
    <t>IREG_15408_U3_Phase_C_Current_A</t>
  </si>
  <si>
    <t>U3 Active Power</t>
  </si>
  <si>
    <t>315410</t>
  </si>
  <si>
    <t>IREG_15409_U3_Active_Power_W</t>
  </si>
  <si>
    <t>U3 Reactive Power</t>
  </si>
  <si>
    <t>315412</t>
  </si>
  <si>
    <t>IREG_15411_U3_Reactive_Power_var</t>
  </si>
  <si>
    <t>U3 Power Factor</t>
  </si>
  <si>
    <t>315414</t>
  </si>
  <si>
    <t>IREG_15413_U3_Power_Factor_PU</t>
  </si>
  <si>
    <t>U3 Frequency</t>
  </si>
  <si>
    <t>315415</t>
  </si>
  <si>
    <t>IREG_15414_U3_Frequency_Hz</t>
  </si>
  <si>
    <t>U3 Efficiency</t>
  </si>
  <si>
    <t>315416</t>
  </si>
  <si>
    <t>IREG_15415_U3_Efficiency_pct</t>
  </si>
  <si>
    <t>U3 Clock Year</t>
  </si>
  <si>
    <t>315418</t>
  </si>
  <si>
    <t>IREG_15417_U3_Clock_Year_year</t>
  </si>
  <si>
    <t>U3 Clock Month</t>
  </si>
  <si>
    <t>315419</t>
  </si>
  <si>
    <t>IREG_15418_U3_Clock_Month_month</t>
  </si>
  <si>
    <t>U3 Clock Day</t>
  </si>
  <si>
    <t>315420</t>
  </si>
  <si>
    <t>IREG_15419_U3_Clock_Day_day</t>
  </si>
  <si>
    <t>U3 Clock Hour</t>
  </si>
  <si>
    <t>315421</t>
  </si>
  <si>
    <t>IREG_15420_U3_Clock_Hour_hr</t>
  </si>
  <si>
    <t>U3 Clock Minute</t>
  </si>
  <si>
    <t>315422</t>
  </si>
  <si>
    <t>IREG_15421_U3_Clock_Minute_min</t>
  </si>
  <si>
    <t>U3 Clock Second</t>
  </si>
  <si>
    <t>315423</t>
  </si>
  <si>
    <t>IREG_15422_U3_Clock_Second_s</t>
  </si>
  <si>
    <t>U3 Fault State 1</t>
  </si>
  <si>
    <t>315426</t>
  </si>
  <si>
    <t>IREG_15425_U3_Fault_State_1</t>
  </si>
  <si>
    <t>U3 DC undervoltage alarm</t>
  </si>
  <si>
    <t>315426.0</t>
  </si>
  <si>
    <t>IREG_15425_U3_DC_undervoltage_alarm</t>
  </si>
  <si>
    <t>U3 DC overvoltage alarm</t>
  </si>
  <si>
    <t>315426.1</t>
  </si>
  <si>
    <t>IREG_15425_U3_DC_overvoltage_alarm</t>
  </si>
  <si>
    <t>U3 AC undervoltage alarm</t>
  </si>
  <si>
    <t>315426.2</t>
  </si>
  <si>
    <t>IREG_15425_U3_AC_undervoltage_alarm</t>
  </si>
  <si>
    <t>U3 AC overvoltage alarm</t>
  </si>
  <si>
    <t>315426.3</t>
  </si>
  <si>
    <t>IREG_15425_U3_AC_overvoltage_alarm</t>
  </si>
  <si>
    <t>U3 Anti islanding protection active</t>
  </si>
  <si>
    <t>315426.7</t>
  </si>
  <si>
    <t>IREG_15425_U3_Anti_islanding_protection_active</t>
  </si>
  <si>
    <t>U3 PDP protection active</t>
  </si>
  <si>
    <t>315426.9</t>
  </si>
  <si>
    <t>IREG_15425_U3_PDP_protection_active</t>
  </si>
  <si>
    <t>U3 Module overtemperature alarm</t>
  </si>
  <si>
    <t>315426.10</t>
  </si>
  <si>
    <t>IREG_15425_U3_Module_overtemperature_alarm</t>
  </si>
  <si>
    <t>U3 Reactor overtemperature alarm</t>
  </si>
  <si>
    <t>315426.11</t>
  </si>
  <si>
    <t>IREG_15425_U3_Reactor_overtemperature_alarm</t>
  </si>
  <si>
    <t>U3 AC leakage current protection alarm</t>
  </si>
  <si>
    <t>315426.14</t>
  </si>
  <si>
    <t>IREG_15425_U3_AC_leakage_current_protection_alarm</t>
  </si>
  <si>
    <t>U3 GFDI protection active</t>
  </si>
  <si>
    <t>315426.17</t>
  </si>
  <si>
    <t>IREG_15425_U3_GFDI_protection_active</t>
  </si>
  <si>
    <t>U3 Fan fault</t>
  </si>
  <si>
    <t>315426.18</t>
  </si>
  <si>
    <t>IREG_15425_U3_Fan_fault</t>
  </si>
  <si>
    <t>U3 DC overcurrent</t>
  </si>
  <si>
    <t>315426.21</t>
  </si>
  <si>
    <t>IREG_15425_U3_DC_overcurrent</t>
  </si>
  <si>
    <t>U3 AC overcurrent</t>
  </si>
  <si>
    <t>315426.22</t>
  </si>
  <si>
    <t>IREG_15425_U3_AC_overcurrent</t>
  </si>
  <si>
    <t>U3 Frequency abnormal</t>
  </si>
  <si>
    <t>315426.23</t>
  </si>
  <si>
    <t>IREG_15425_U3_Frequency_abnormal</t>
  </si>
  <si>
    <t>U3 Temperature abnormal</t>
  </si>
  <si>
    <t>315426.24</t>
  </si>
  <si>
    <t>IREG_15425_U3_Temperature_abnormal</t>
  </si>
  <si>
    <t>U3 Hardware fault</t>
  </si>
  <si>
    <t>315426.25</t>
  </si>
  <si>
    <t>IREG_15425_U3_Hardware_fault</t>
  </si>
  <si>
    <t>U3 Grounding fault</t>
  </si>
  <si>
    <t>315426.26</t>
  </si>
  <si>
    <t>IREG_15425_U3_Grounding_fault</t>
  </si>
  <si>
    <t>U3 Bus overvoltage</t>
  </si>
  <si>
    <t>315426.27</t>
  </si>
  <si>
    <t>IREG_15425_U3_Bus_overvoltage</t>
  </si>
  <si>
    <t>U3 Bus undervoltage</t>
  </si>
  <si>
    <t>315426.28</t>
  </si>
  <si>
    <t>IREG_15425_U3_Bus_undervoltage</t>
  </si>
  <si>
    <t>U3 Inverter overvoltage</t>
  </si>
  <si>
    <t>315426.29</t>
  </si>
  <si>
    <t>IREG_15425_U3_Inverter_overvoltage</t>
  </si>
  <si>
    <t>U3 Fault State 2</t>
  </si>
  <si>
    <t>315428</t>
  </si>
  <si>
    <t>IREG_15427_U3_Fault_State_2</t>
  </si>
  <si>
    <t>U3 Insulation impedance fault</t>
  </si>
  <si>
    <t>315428.0</t>
  </si>
  <si>
    <t>IREG_15427_U3_Insulation_impedance_fault</t>
  </si>
  <si>
    <t>U3 AC SPD fault</t>
  </si>
  <si>
    <t>315428.1</t>
  </si>
  <si>
    <t>IREG_15427_U3_AC_SPD_fault</t>
  </si>
  <si>
    <t>U3 Sampling fault</t>
  </si>
  <si>
    <t>315428.2</t>
  </si>
  <si>
    <t>IREG_15427_U3_Sampling_fault</t>
  </si>
  <si>
    <t>U3 DC polarity reversed alarm</t>
  </si>
  <si>
    <t>315428.3</t>
  </si>
  <si>
    <t>IREG_15427_U3_DC_polarity_reversed_alarm</t>
  </si>
  <si>
    <t>U3 Control power supply fault</t>
  </si>
  <si>
    <t>315428.4</t>
  </si>
  <si>
    <t>IREG_15427_U3_Control_power_supply_fault</t>
  </si>
  <si>
    <t>U3 Backup power supply fault</t>
  </si>
  <si>
    <t>315428.5</t>
  </si>
  <si>
    <t>IREG_15427_U3_Backup_power_supply_fault</t>
  </si>
  <si>
    <t>U3 AC current imballance</t>
  </si>
  <si>
    <t>315428.6</t>
  </si>
  <si>
    <t>IREG_15427_U3_AC_current_imballance</t>
  </si>
  <si>
    <t>U3 AC fuse fault</t>
  </si>
  <si>
    <t>315428.7</t>
  </si>
  <si>
    <t>IREG_15427_U3_AC_fuse_fault</t>
  </si>
  <si>
    <t>U3 DC SPD fault</t>
  </si>
  <si>
    <t>315428.8</t>
  </si>
  <si>
    <t>IREG_15427_U3_DC_SPD_fault</t>
  </si>
  <si>
    <t>U3 Buffer contactor fault</t>
  </si>
  <si>
    <t>315428.9</t>
  </si>
  <si>
    <t>IREG_15427_U3_Buffer_contactor_fault</t>
  </si>
  <si>
    <t>U3 DC injection fault</t>
  </si>
  <si>
    <t>315428.10</t>
  </si>
  <si>
    <t>IREG_15427_U3_DC_injection_fault</t>
  </si>
  <si>
    <t>U3 DC switch fault</t>
  </si>
  <si>
    <t>315428.11</t>
  </si>
  <si>
    <t>IREG_15427_U3_DC_switch_fault</t>
  </si>
  <si>
    <t>U3 Device code repeat fault</t>
  </si>
  <si>
    <t>315428.12</t>
  </si>
  <si>
    <t>IREG_15427_U3_Device_code_repeat_fault</t>
  </si>
  <si>
    <t>U3 Parallel operation communication failure</t>
  </si>
  <si>
    <t>315428.13</t>
  </si>
  <si>
    <t>IREG_15427_U3_Parallel_operation_communication_failure</t>
  </si>
  <si>
    <t>U3 Control cabinet temperature alarm</t>
  </si>
  <si>
    <t>315428.14</t>
  </si>
  <si>
    <t>IREG_15427_U3_Control_cabinet_temperature_alarm</t>
  </si>
  <si>
    <t>U3 DC fuse grounding fault</t>
  </si>
  <si>
    <t>315428.15</t>
  </si>
  <si>
    <t>IREG_15427_U3_DC_fuse_grounding_fault</t>
  </si>
  <si>
    <t>U3 Reversed branch over current</t>
  </si>
  <si>
    <t>315428.16</t>
  </si>
  <si>
    <t>IREG_15427_U3_Reversed_branch_over_current</t>
  </si>
  <si>
    <t>U3 Grid voltage imballance</t>
  </si>
  <si>
    <t>315428.17</t>
  </si>
  <si>
    <t>IREG_15427_U3_Grid_voltage_imballance</t>
  </si>
  <si>
    <t>U3 inverter cabinet temperature alarm</t>
  </si>
  <si>
    <t>315428.19</t>
  </si>
  <si>
    <t>IREG_15427_U3_inverter_cabinet_temperature_alarm</t>
  </si>
  <si>
    <t>U3 AC cabinet temperature alarm</t>
  </si>
  <si>
    <t>315428.20</t>
  </si>
  <si>
    <t>IREG_15427_U3_AC_cabinet_temperature_alarm</t>
  </si>
  <si>
    <t>U3 AC switch disconnection</t>
  </si>
  <si>
    <t>315428.21</t>
  </si>
  <si>
    <t>IREG_15427_U3_AC_switch_disconnection</t>
  </si>
  <si>
    <t>U3 AC switch fault</t>
  </si>
  <si>
    <t>315428.22</t>
  </si>
  <si>
    <t>IREG_15427_U3_AC_switch_fault</t>
  </si>
  <si>
    <t>U3 Soft start fault</t>
  </si>
  <si>
    <t>315428.23</t>
  </si>
  <si>
    <t>IREG_15427_U3_Soft_start_fault</t>
  </si>
  <si>
    <t>U3 DC voltage sampling fault</t>
  </si>
  <si>
    <t>315428.24</t>
  </si>
  <si>
    <t>IREG_15427_U3_DC_voltage_sampling_fault</t>
  </si>
  <si>
    <t>U3 Fan 2 fault</t>
  </si>
  <si>
    <t>315428.25</t>
  </si>
  <si>
    <t>IREG_15427_U3_Fan_2_fault</t>
  </si>
  <si>
    <t>U3 Current unbalance 2</t>
  </si>
  <si>
    <t>315428.26</t>
  </si>
  <si>
    <t>IREG_15427_U3_Current_unbalance_2</t>
  </si>
  <si>
    <t>U3 Current unbalance 3</t>
  </si>
  <si>
    <t>315428.27</t>
  </si>
  <si>
    <t>IREG_15427_U3_Current_unbalance_3</t>
  </si>
  <si>
    <t>U3 DC cabinet temperature alarm</t>
  </si>
  <si>
    <t>315428.29</t>
  </si>
  <si>
    <t>IREG_15427_U3_DC_cabinet_temperature_alarm</t>
  </si>
  <si>
    <t>U3 Neutral point potential shift alarm</t>
  </si>
  <si>
    <t>315428.30</t>
  </si>
  <si>
    <t>IREG_15427_U3_Neutral_point_potential_shift_alarm</t>
  </si>
  <si>
    <t>U3 Carrier sync failure</t>
  </si>
  <si>
    <t>315428.31</t>
  </si>
  <si>
    <t>IREG_15427_U3_Carrier_sync_failure</t>
  </si>
  <si>
    <t>U3 Fault State 3</t>
  </si>
  <si>
    <t>315430</t>
  </si>
  <si>
    <t>IREG_15429_U3_Fault_State_3</t>
  </si>
  <si>
    <t>U3 smoke sensing fault</t>
  </si>
  <si>
    <t>315430.0</t>
  </si>
  <si>
    <t>IREG_15429_U3_smoke_sensing_fault</t>
  </si>
  <si>
    <t>U3 access control fault</t>
  </si>
  <si>
    <t>315430.1</t>
  </si>
  <si>
    <t>IREG_15429_U3_access_control_fault</t>
  </si>
  <si>
    <t>U3 Emergency fault shutdown fault</t>
  </si>
  <si>
    <t>315430.2</t>
  </si>
  <si>
    <t>IREG_15429_U3_Emergency_fault_shutdown_fault</t>
  </si>
  <si>
    <t>U3 Node State 1</t>
  </si>
  <si>
    <t>315434</t>
  </si>
  <si>
    <t>IREG_15433_U3_Node_State_1</t>
  </si>
  <si>
    <t>U3 AC circuit breaker status</t>
  </si>
  <si>
    <t>315434.0</t>
  </si>
  <si>
    <t>IREG_15433_U3_AC_circuit_breaker_status</t>
  </si>
  <si>
    <t>U3 DC switch 1 status</t>
  </si>
  <si>
    <t>315434.3</t>
  </si>
  <si>
    <t>IREG_15433_U3_DC_switch_1_status</t>
  </si>
  <si>
    <t>U3 smoke node status</t>
  </si>
  <si>
    <t>315434.17</t>
  </si>
  <si>
    <t>IREG_15433_U3_smoke_node_status</t>
  </si>
  <si>
    <t>U3 access node status</t>
  </si>
  <si>
    <t>315434.18</t>
  </si>
  <si>
    <t>IREG_15433_U3_access_node_status</t>
  </si>
  <si>
    <t>U3 emergency shutdown status</t>
  </si>
  <si>
    <t>315434.19</t>
  </si>
  <si>
    <t>IREG_15433_U3_emergency_shutdown_status</t>
  </si>
  <si>
    <t>U3 Temperature 1</t>
  </si>
  <si>
    <t>315438</t>
  </si>
  <si>
    <t>IREG_15437_U3_Temperature_1_degC</t>
  </si>
  <si>
    <t>U3 Temperature 3</t>
  </si>
  <si>
    <t>315440</t>
  </si>
  <si>
    <t>IREG_15439_U3_Temperature_3_degC</t>
  </si>
  <si>
    <t>U3 Temperature 5</t>
  </si>
  <si>
    <t>315442</t>
  </si>
  <si>
    <t>IREG_15441_U3_Temperature_5_degC</t>
  </si>
  <si>
    <t>U3 Positive Resistance to Ground</t>
  </si>
  <si>
    <t>315444</t>
  </si>
  <si>
    <t>IREG_15443_U3_Positive_Resistance_to_Ground_kOhm</t>
  </si>
  <si>
    <t>U3 Negative Resistance to Ground</t>
  </si>
  <si>
    <t>315446</t>
  </si>
  <si>
    <t>IREG_15445_U3_Negative_Resistance_to_Ground_kOhm</t>
  </si>
  <si>
    <t>U3 Work State</t>
  </si>
  <si>
    <t>315448</t>
  </si>
  <si>
    <t>IREG_15447_U3_Work_State</t>
  </si>
  <si>
    <t>U3 Running</t>
  </si>
  <si>
    <t>315448.0</t>
  </si>
  <si>
    <t>IREG_15447_U3_Running</t>
  </si>
  <si>
    <t>U3 Stopped</t>
  </si>
  <si>
    <t>315448.1</t>
  </si>
  <si>
    <t>IREG_15447_U3_Stopped</t>
  </si>
  <si>
    <t>U3 Initial Standby</t>
  </si>
  <si>
    <t>315448.2</t>
  </si>
  <si>
    <t>IREG_15447_U3_Initial_Standby</t>
  </si>
  <si>
    <t>U3 Press to shutdown</t>
  </si>
  <si>
    <t>315448.3</t>
  </si>
  <si>
    <t>IREG_15447_U3_Press_to_shutdown</t>
  </si>
  <si>
    <t>U3 Standby</t>
  </si>
  <si>
    <t>315448.4</t>
  </si>
  <si>
    <t>IREG_15447_U3_Standby</t>
  </si>
  <si>
    <t>U3 Emergency Stop</t>
  </si>
  <si>
    <t>315448.5</t>
  </si>
  <si>
    <t>IREG_15447_U3_Emergency_Stop</t>
  </si>
  <si>
    <t>U3 Starting</t>
  </si>
  <si>
    <t>315448.6</t>
  </si>
  <si>
    <t>IREG_15447_U3_Starting</t>
  </si>
  <si>
    <t>U3 Stopping</t>
  </si>
  <si>
    <t>315448.7</t>
  </si>
  <si>
    <t>IREG_15447_U3_Stopping</t>
  </si>
  <si>
    <t>U3 Fault Stop</t>
  </si>
  <si>
    <t>315448.9</t>
  </si>
  <si>
    <t>IREG_15447_U3_Fault_Stop</t>
  </si>
  <si>
    <t>U3 Alarm running</t>
  </si>
  <si>
    <t>315448.10</t>
  </si>
  <si>
    <t>IREG_15447_U3_Alarm_running</t>
  </si>
  <si>
    <t>U3 Derating running</t>
  </si>
  <si>
    <t>315448.11</t>
  </si>
  <si>
    <t>IREG_15447_U3_Derating_running</t>
  </si>
  <si>
    <t>U3 IO-DSP communication failure</t>
  </si>
  <si>
    <t>315448.13</t>
  </si>
  <si>
    <t>IREG_15447_U3_IO_DSP_communication_failure</t>
  </si>
  <si>
    <t>U3 Inverter is running</t>
  </si>
  <si>
    <t>315448.17</t>
  </si>
  <si>
    <t>IREG_15447_U3_Inverter_is_running</t>
  </si>
  <si>
    <t>U3 Inverter is stopped</t>
  </si>
  <si>
    <t>315448.18</t>
  </si>
  <si>
    <t>IREG_15447_U3_Inverter_is_stopped</t>
  </si>
  <si>
    <t>U3 Anti-PID active</t>
  </si>
  <si>
    <t>315448.19</t>
  </si>
  <si>
    <t>IREG_15447_U3_Anti_PID_active</t>
  </si>
  <si>
    <t>U3 Alarm State</t>
  </si>
  <si>
    <t>315450</t>
  </si>
  <si>
    <t>IREG_15449_U3_Alarm_State</t>
  </si>
  <si>
    <t>U3 Temperature alarm</t>
  </si>
  <si>
    <t>315450.0</t>
  </si>
  <si>
    <t>IREG_15449_U3_Temperature_alarm</t>
  </si>
  <si>
    <t>U3 Low insulation resistance alarm</t>
  </si>
  <si>
    <t>315450.1</t>
  </si>
  <si>
    <t>IREG_15449_U3_Low_insulation_resistance_alarm</t>
  </si>
  <si>
    <t>U3 GFRT operation alarm</t>
  </si>
  <si>
    <t>315450.2</t>
  </si>
  <si>
    <t>IREG_15449_U3_GFRT_operation_alarm</t>
  </si>
  <si>
    <t>U3 CT unbalance</t>
  </si>
  <si>
    <t>315450.3</t>
  </si>
  <si>
    <t>IREG_15449_U3_CT_unbalance</t>
  </si>
  <si>
    <t>U3 DC sensor fault</t>
  </si>
  <si>
    <t>315450.6</t>
  </si>
  <si>
    <t>IREG_15449_U3_DC_sensor_fault</t>
  </si>
  <si>
    <t>315450.7</t>
  </si>
  <si>
    <t>IREG_15449_U3_DC_SPD_fault</t>
  </si>
  <si>
    <t>315450.8</t>
  </si>
  <si>
    <t>IREG_15449_U3_AC_SPD_fault</t>
  </si>
  <si>
    <t>315450.12</t>
  </si>
  <si>
    <t>IREG_15449_U3_DC_switch_fault</t>
  </si>
  <si>
    <t>U3 Anti-PID power supply</t>
  </si>
  <si>
    <t>315450.13</t>
  </si>
  <si>
    <t>IREG_15449_U3_Anti_PID_power_supply</t>
  </si>
  <si>
    <t>315450.14</t>
  </si>
  <si>
    <t>IREG_15449_U3_Fan_fault</t>
  </si>
  <si>
    <t>U3 DC bypass forward overcurrent alarm</t>
  </si>
  <si>
    <t>315450.16</t>
  </si>
  <si>
    <t>IREG_15449_U3_DC_bypass_forward_overcurrent_alarm</t>
  </si>
  <si>
    <t>U3 DC bypass reverse overcurrent alarm</t>
  </si>
  <si>
    <t>315450.17</t>
  </si>
  <si>
    <t>IREG_15449_U3_DC_bypass_reverse_overcurrent_alarm</t>
  </si>
  <si>
    <t>U3 AC circuit breaker fault</t>
  </si>
  <si>
    <t>315450.19</t>
  </si>
  <si>
    <t>IREG_15449_U3_AC_circuit_breaker_fault</t>
  </si>
  <si>
    <t>U3 Meter communication failure</t>
  </si>
  <si>
    <t>315450.20</t>
  </si>
  <si>
    <t>IREG_15449_U3_Meter_communication_failure</t>
  </si>
  <si>
    <t>315450.21</t>
  </si>
  <si>
    <t>IREG_15449_U3_Fan_2_fault</t>
  </si>
  <si>
    <t>U3 Temperature and humidity sensor fault</t>
  </si>
  <si>
    <t>315450.23</t>
  </si>
  <si>
    <t>IREG_15449_U3_Temperature_and_humidity_sensor_fault</t>
  </si>
  <si>
    <t>U3 Frequency deviation active power regulation</t>
  </si>
  <si>
    <t>315450.24</t>
  </si>
  <si>
    <t>IREG_15449_U3_Frequency_deviation_active_power_regulation</t>
  </si>
  <si>
    <t>U3 Voltage deviation reactive power regulation</t>
  </si>
  <si>
    <t>315450.25</t>
  </si>
  <si>
    <t>IREG_15449_U3_Voltage_deviation_reactive_power_regulation</t>
  </si>
  <si>
    <t>U3 Busbar temperature alarm</t>
  </si>
  <si>
    <t>315450.27</t>
  </si>
  <si>
    <t>IREG_15449_U3_Busbar_temperature_alarm</t>
  </si>
  <si>
    <t>U3 Abnormal derating of fan</t>
  </si>
  <si>
    <t>315450.28</t>
  </si>
  <si>
    <t>IREG_15449_U3_Abnormal_derating_of_fan</t>
  </si>
  <si>
    <t>315450.30</t>
  </si>
  <si>
    <t>IREG_15449_U3_Frequency_abnormal</t>
  </si>
  <si>
    <t>U3 Negative Voltage to Ground</t>
  </si>
  <si>
    <t>315452</t>
  </si>
  <si>
    <t>IREG_15451_U3_Negative_Voltage_to_Ground_V</t>
  </si>
  <si>
    <t>U3 Annual Power Yield</t>
  </si>
  <si>
    <t>315453</t>
  </si>
  <si>
    <t>IREG_15452_U3_Annual_Power_Yield_kWh</t>
  </si>
  <si>
    <t>U3 CO2 Emission Reduction</t>
  </si>
  <si>
    <t>315455</t>
  </si>
  <si>
    <t>IREG_15454_U3_CO2_Emission_Reduction_kg</t>
  </si>
  <si>
    <t>U3 leakage current</t>
  </si>
  <si>
    <t>315485</t>
  </si>
  <si>
    <t>IREG_15484_U3_leakage_current_A</t>
  </si>
  <si>
    <t>U3 DC Input #1</t>
  </si>
  <si>
    <t>315490</t>
  </si>
  <si>
    <t>IREG_15489_U3_DC_Input_1_A</t>
  </si>
  <si>
    <t>U3 DC Input #2</t>
  </si>
  <si>
    <t>315491</t>
  </si>
  <si>
    <t>IREG_15490_U3_DC_Input_2_A</t>
  </si>
  <si>
    <t>U3 DC Input #3</t>
  </si>
  <si>
    <t>315492</t>
  </si>
  <si>
    <t>IREG_15491_U3_DC_Input_3_A</t>
  </si>
  <si>
    <t>U3 DC Input #4</t>
  </si>
  <si>
    <t>315493</t>
  </si>
  <si>
    <t>IREG_15492_U3_DC_Input_4_A</t>
  </si>
  <si>
    <t>U3 DC Input #5</t>
  </si>
  <si>
    <t>315494</t>
  </si>
  <si>
    <t>IREG_15493_U3_DC_Input_5_A</t>
  </si>
  <si>
    <t>U3 DC Input #6</t>
  </si>
  <si>
    <t>315495</t>
  </si>
  <si>
    <t>IREG_15494_U3_DC_Input_6_A</t>
  </si>
  <si>
    <t>U3 DC Input #7</t>
  </si>
  <si>
    <t>315496</t>
  </si>
  <si>
    <t>IREG_15495_U3_DC_Input_7_A</t>
  </si>
  <si>
    <t>U3 running status</t>
  </si>
  <si>
    <t>315502</t>
  </si>
  <si>
    <t>IREG_15501_U3_running_status</t>
  </si>
  <si>
    <t>U3 HVRT operation</t>
  </si>
  <si>
    <t>315502.1</t>
  </si>
  <si>
    <t>IREG_15501_U3_HVRT_operation</t>
  </si>
  <si>
    <t>U3 LVRT operation</t>
  </si>
  <si>
    <t>315502.2</t>
  </si>
  <si>
    <t>IREG_15501_U3_LVRT_operation</t>
  </si>
  <si>
    <t>U4 Daily power yield</t>
  </si>
  <si>
    <t>315510</t>
  </si>
  <si>
    <t>IREG_15509_U4_Daily_power_yield_kWh</t>
  </si>
  <si>
    <t>U4 Monthly power yield</t>
  </si>
  <si>
    <t>315512</t>
  </si>
  <si>
    <t>IREG_15511_U4_Monthly_power_yield_kWh</t>
  </si>
  <si>
    <t>U4 Total power yield</t>
  </si>
  <si>
    <t>315514</t>
  </si>
  <si>
    <t>IREG_15513_U4_Total_power_yield_kWh</t>
  </si>
  <si>
    <t>U4 Daily grid connected minutes</t>
  </si>
  <si>
    <t>315516</t>
  </si>
  <si>
    <t>IREG_15515_U4_Daily_grid_connected_minutes_min</t>
  </si>
  <si>
    <t>U4 Total running hours</t>
  </si>
  <si>
    <t>315517</t>
  </si>
  <si>
    <t>IREG_15516_U4_Total_running_hours_hr</t>
  </si>
  <si>
    <t>U4 Internal Module Temperature</t>
  </si>
  <si>
    <t>315519</t>
  </si>
  <si>
    <t>IREG_15518_U4_Internal_Module_Temperature_degC</t>
  </si>
  <si>
    <t>U4 DC Voltage</t>
  </si>
  <si>
    <t>315520</t>
  </si>
  <si>
    <t>IREG_15519_U4_DC_Voltage_V</t>
  </si>
  <si>
    <t>U4 DC Current</t>
  </si>
  <si>
    <t>315521</t>
  </si>
  <si>
    <t>IREG_15520_U4_DC_Current_A</t>
  </si>
  <si>
    <t>U4 DC Power</t>
  </si>
  <si>
    <t>315522</t>
  </si>
  <si>
    <t>IREG_15521_U4_DC_Power_W</t>
  </si>
  <si>
    <t>U4 Voltage A-B</t>
  </si>
  <si>
    <t>315524</t>
  </si>
  <si>
    <t>IREG_15523_U4_Voltage_A_B_V</t>
  </si>
  <si>
    <t>U4 Voltage B-C</t>
  </si>
  <si>
    <t>315525</t>
  </si>
  <si>
    <t>IREG_15524_U4_Voltage_B_C_V</t>
  </si>
  <si>
    <t>U4 Voltage C-A</t>
  </si>
  <si>
    <t>315526</t>
  </si>
  <si>
    <t>IREG_15525_U4_Voltage_C_A_V</t>
  </si>
  <si>
    <t>U4 Phase A Current</t>
  </si>
  <si>
    <t>315527</t>
  </si>
  <si>
    <t>IREG_15526_U4_Phase_A_Current_A</t>
  </si>
  <si>
    <t>U4 Phase B Current</t>
  </si>
  <si>
    <t>315528</t>
  </si>
  <si>
    <t>IREG_15527_U4_Phase_B_Current_A</t>
  </si>
  <si>
    <t>U4 Phase C Current</t>
  </si>
  <si>
    <t>315529</t>
  </si>
  <si>
    <t>IREG_15528_U4_Phase_C_Current_A</t>
  </si>
  <si>
    <t>U4 Active Power</t>
  </si>
  <si>
    <t>315530</t>
  </si>
  <si>
    <t>IREG_15529_U4_Active_Power_W</t>
  </si>
  <si>
    <t>U4 Reactive Power</t>
  </si>
  <si>
    <t>315532</t>
  </si>
  <si>
    <t>IREG_15531_U4_Reactive_Power_var</t>
  </si>
  <si>
    <t>U4 Power Factor</t>
  </si>
  <si>
    <t>315534</t>
  </si>
  <si>
    <t>IREG_15533_U4_Power_Factor_PU</t>
  </si>
  <si>
    <t>U4 Frequency</t>
  </si>
  <si>
    <t>315535</t>
  </si>
  <si>
    <t>IREG_15534_U4_Frequency_Hz</t>
  </si>
  <si>
    <t>U4 Efficiency</t>
  </si>
  <si>
    <t>315536</t>
  </si>
  <si>
    <t>IREG_15535_U4_Efficiency_pct</t>
  </si>
  <si>
    <t>U4 Clock Year</t>
  </si>
  <si>
    <t>315538</t>
  </si>
  <si>
    <t>IREG_15537_U4_Clock_Year_year</t>
  </si>
  <si>
    <t>U4 Clock Month</t>
  </si>
  <si>
    <t>315539</t>
  </si>
  <si>
    <t>IREG_15538_U4_Clock_Month_month</t>
  </si>
  <si>
    <t>U4 Clock Day</t>
  </si>
  <si>
    <t>315540</t>
  </si>
  <si>
    <t>IREG_15539_U4_Clock_Day_day</t>
  </si>
  <si>
    <t>U4 Clock Hour</t>
  </si>
  <si>
    <t>315541</t>
  </si>
  <si>
    <t>IREG_15540_U4_Clock_Hour_hr</t>
  </si>
  <si>
    <t>U4 Clock Minute</t>
  </si>
  <si>
    <t>315542</t>
  </si>
  <si>
    <t>IREG_15541_U4_Clock_Minute_min</t>
  </si>
  <si>
    <t>U4 Clock Second</t>
  </si>
  <si>
    <t>315543</t>
  </si>
  <si>
    <t>IREG_15542_U4_Clock_Second_s</t>
  </si>
  <si>
    <t>U4 Fault State 1</t>
  </si>
  <si>
    <t>315546</t>
  </si>
  <si>
    <t>IREG_15545_U4_Fault_State_1</t>
  </si>
  <si>
    <t>U4 DC undervoltage alarm</t>
  </si>
  <si>
    <t>315546.0</t>
  </si>
  <si>
    <t>IREG_15545_U4_DC_undervoltage_alarm</t>
  </si>
  <si>
    <t>U4 DC overvoltage alarm</t>
  </si>
  <si>
    <t>315546.1</t>
  </si>
  <si>
    <t>IREG_15545_U4_DC_overvoltage_alarm</t>
  </si>
  <si>
    <t>U4 AC undervoltage alarm</t>
  </si>
  <si>
    <t>315546.2</t>
  </si>
  <si>
    <t>IREG_15545_U4_AC_undervoltage_alarm</t>
  </si>
  <si>
    <t>U4 AC overvoltage alarm</t>
  </si>
  <si>
    <t>315546.3</t>
  </si>
  <si>
    <t>IREG_15545_U4_AC_overvoltage_alarm</t>
  </si>
  <si>
    <t>U4 Anti islanding protection active</t>
  </si>
  <si>
    <t>315546.7</t>
  </si>
  <si>
    <t>IREG_15545_U4_Anti_islanding_protection_active</t>
  </si>
  <si>
    <t>U4 PDP protection active</t>
  </si>
  <si>
    <t>315546.9</t>
  </si>
  <si>
    <t>IREG_15545_U4_PDP_protection_active</t>
  </si>
  <si>
    <t>U4 Module overtemperature alarm</t>
  </si>
  <si>
    <t>315546.10</t>
  </si>
  <si>
    <t>IREG_15545_U4_Module_overtemperature_alarm</t>
  </si>
  <si>
    <t>U4 Reactor overtemperature alarm</t>
  </si>
  <si>
    <t>315546.11</t>
  </si>
  <si>
    <t>IREG_15545_U4_Reactor_overtemperature_alarm</t>
  </si>
  <si>
    <t>U4 AC leakage current protection alarm</t>
  </si>
  <si>
    <t>315546.14</t>
  </si>
  <si>
    <t>IREG_15545_U4_AC_leakage_current_protection_alarm</t>
  </si>
  <si>
    <t>U4 GFDI protection active</t>
  </si>
  <si>
    <t>315546.17</t>
  </si>
  <si>
    <t>IREG_15545_U4_GFDI_protection_active</t>
  </si>
  <si>
    <t>U4 Fan fault</t>
  </si>
  <si>
    <t>315546.18</t>
  </si>
  <si>
    <t>IREG_15545_U4_Fan_fault</t>
  </si>
  <si>
    <t>U4 DC overcurrent</t>
  </si>
  <si>
    <t>315546.21</t>
  </si>
  <si>
    <t>IREG_15545_U4_DC_overcurrent</t>
  </si>
  <si>
    <t>U4 AC overcurrent</t>
  </si>
  <si>
    <t>315546.22</t>
  </si>
  <si>
    <t>IREG_15545_U4_AC_overcurrent</t>
  </si>
  <si>
    <t>U4 Frequency abnormal</t>
  </si>
  <si>
    <t>315546.23</t>
  </si>
  <si>
    <t>IREG_15545_U4_Frequency_abnormal</t>
  </si>
  <si>
    <t>U4 Temperature abnormal</t>
  </si>
  <si>
    <t>315546.24</t>
  </si>
  <si>
    <t>IREG_15545_U4_Temperature_abnormal</t>
  </si>
  <si>
    <t>U4 Hardware fault</t>
  </si>
  <si>
    <t>315546.25</t>
  </si>
  <si>
    <t>IREG_15545_U4_Hardware_fault</t>
  </si>
  <si>
    <t>U4 Grounding fault</t>
  </si>
  <si>
    <t>315546.26</t>
  </si>
  <si>
    <t>IREG_15545_U4_Grounding_fault</t>
  </si>
  <si>
    <t>U4 Bus overvoltage</t>
  </si>
  <si>
    <t>315546.27</t>
  </si>
  <si>
    <t>IREG_15545_U4_Bus_overvoltage</t>
  </si>
  <si>
    <t>U4 Bus undervoltage</t>
  </si>
  <si>
    <t>315546.28</t>
  </si>
  <si>
    <t>IREG_15545_U4_Bus_undervoltage</t>
  </si>
  <si>
    <t>U4 Inverter overvoltage</t>
  </si>
  <si>
    <t>315546.29</t>
  </si>
  <si>
    <t>IREG_15545_U4_Inverter_overvoltage</t>
  </si>
  <si>
    <t>U4 Fault State 2</t>
  </si>
  <si>
    <t>315548</t>
  </si>
  <si>
    <t>IREG_15547_U4_Fault_State_2</t>
  </si>
  <si>
    <t>U4 Insulation impedance fault</t>
  </si>
  <si>
    <t>315548.0</t>
  </si>
  <si>
    <t>IREG_15547_U4_Insulation_impedance_fault</t>
  </si>
  <si>
    <t>U4 AC SPD fault</t>
  </si>
  <si>
    <t>315548.1</t>
  </si>
  <si>
    <t>IREG_15547_U4_AC_SPD_fault</t>
  </si>
  <si>
    <t>U4 Sampling fault</t>
  </si>
  <si>
    <t>315548.2</t>
  </si>
  <si>
    <t>IREG_15547_U4_Sampling_fault</t>
  </si>
  <si>
    <t>U4 DC polarity reversed alarm</t>
  </si>
  <si>
    <t>315548.3</t>
  </si>
  <si>
    <t>IREG_15547_U4_DC_polarity_reversed_alarm</t>
  </si>
  <si>
    <t>U4 Control power supply fault</t>
  </si>
  <si>
    <t>315548.4</t>
  </si>
  <si>
    <t>IREG_15547_U4_Control_power_supply_fault</t>
  </si>
  <si>
    <t>U4 Backup power supply fault</t>
  </si>
  <si>
    <t>315548.5</t>
  </si>
  <si>
    <t>IREG_15547_U4_Backup_power_supply_fault</t>
  </si>
  <si>
    <t>U4 AC current imballance</t>
  </si>
  <si>
    <t>315548.6</t>
  </si>
  <si>
    <t>IREG_15547_U4_AC_current_imballance</t>
  </si>
  <si>
    <t>U4 AC fuse fault</t>
  </si>
  <si>
    <t>315548.7</t>
  </si>
  <si>
    <t>IREG_15547_U4_AC_fuse_fault</t>
  </si>
  <si>
    <t>U4 DC SPD fault</t>
  </si>
  <si>
    <t>315548.8</t>
  </si>
  <si>
    <t>IREG_15547_U4_DC_SPD_fault</t>
  </si>
  <si>
    <t>U4 Buffer contactor fault</t>
  </si>
  <si>
    <t>315548.9</t>
  </si>
  <si>
    <t>IREG_15547_U4_Buffer_contactor_fault</t>
  </si>
  <si>
    <t>U4 DC injection fault</t>
  </si>
  <si>
    <t>315548.10</t>
  </si>
  <si>
    <t>IREG_15547_U4_DC_injection_fault</t>
  </si>
  <si>
    <t>U4 DC switch fault</t>
  </si>
  <si>
    <t>315548.11</t>
  </si>
  <si>
    <t>IREG_15547_U4_DC_switch_fault</t>
  </si>
  <si>
    <t>U4 Device code repeat fault</t>
  </si>
  <si>
    <t>315548.12</t>
  </si>
  <si>
    <t>IREG_15547_U4_Device_code_repeat_fault</t>
  </si>
  <si>
    <t>U4 Parallel operation communication failure</t>
  </si>
  <si>
    <t>315548.13</t>
  </si>
  <si>
    <t>IREG_15547_U4_Parallel_operation_communication_failure</t>
  </si>
  <si>
    <t>U4 Control cabinet temperature alarm</t>
  </si>
  <si>
    <t>315548.14</t>
  </si>
  <si>
    <t>IREG_15547_U4_Control_cabinet_temperature_alarm</t>
  </si>
  <si>
    <t>U4 DC fuse grounding fault</t>
  </si>
  <si>
    <t>315548.15</t>
  </si>
  <si>
    <t>IREG_15547_U4_DC_fuse_grounding_fault</t>
  </si>
  <si>
    <t>U4 Reversed branch over current</t>
  </si>
  <si>
    <t>315548.16</t>
  </si>
  <si>
    <t>IREG_15547_U4_Reversed_branch_over_current</t>
  </si>
  <si>
    <t>U4 Grid voltage imballance</t>
  </si>
  <si>
    <t>315548.17</t>
  </si>
  <si>
    <t>IREG_15547_U4_Grid_voltage_imballance</t>
  </si>
  <si>
    <t>U4 inverter cabinet temperature alarm</t>
  </si>
  <si>
    <t>315548.19</t>
  </si>
  <si>
    <t>IREG_15547_U4_inverter_cabinet_temperature_alarm</t>
  </si>
  <si>
    <t>U4 AC cabinet temperature alarm</t>
  </si>
  <si>
    <t>315548.20</t>
  </si>
  <si>
    <t>IREG_15547_U4_AC_cabinet_temperature_alarm</t>
  </si>
  <si>
    <t>U4 AC switch disconnection</t>
  </si>
  <si>
    <t>315548.21</t>
  </si>
  <si>
    <t>IREG_15547_U4_AC_switch_disconnection</t>
  </si>
  <si>
    <t>U4 AC switch fault</t>
  </si>
  <si>
    <t>315548.22</t>
  </si>
  <si>
    <t>IREG_15547_U4_AC_switch_fault</t>
  </si>
  <si>
    <t>U4 Soft start fault</t>
  </si>
  <si>
    <t>315548.23</t>
  </si>
  <si>
    <t>IREG_15547_U4_Soft_start_fault</t>
  </si>
  <si>
    <t>U4 DC voltage sampling fault</t>
  </si>
  <si>
    <t>315548.24</t>
  </si>
  <si>
    <t>IREG_15547_U4_DC_voltage_sampling_fault</t>
  </si>
  <si>
    <t>U4 Fan 2 fault</t>
  </si>
  <si>
    <t>315548.25</t>
  </si>
  <si>
    <t>IREG_15547_U4_Fan_2_fault</t>
  </si>
  <si>
    <t>U4 Current unbalance 2</t>
  </si>
  <si>
    <t>315548.26</t>
  </si>
  <si>
    <t>IREG_15547_U4_Current_unbalance_2</t>
  </si>
  <si>
    <t>U4 Current unbalance 3</t>
  </si>
  <si>
    <t>315548.27</t>
  </si>
  <si>
    <t>IREG_15547_U4_Current_unbalance_3</t>
  </si>
  <si>
    <t>U4 DC cabinet temperature alarm</t>
  </si>
  <si>
    <t>315548.29</t>
  </si>
  <si>
    <t>IREG_15547_U4_DC_cabinet_temperature_alarm</t>
  </si>
  <si>
    <t>U4 Neutral point potential shift alarm</t>
  </si>
  <si>
    <t>315548.30</t>
  </si>
  <si>
    <t>IREG_15547_U4_Neutral_point_potential_shift_alarm</t>
  </si>
  <si>
    <t>U4 Carrier sync failure</t>
  </si>
  <si>
    <t>315548.31</t>
  </si>
  <si>
    <t>IREG_15547_U4_Carrier_sync_failure</t>
  </si>
  <si>
    <t>U4 Fault State 3</t>
  </si>
  <si>
    <t>315550</t>
  </si>
  <si>
    <t>IREG_15549_U4_Fault_State_3</t>
  </si>
  <si>
    <t>U4 smoke sensing fault</t>
  </si>
  <si>
    <t>315550.0</t>
  </si>
  <si>
    <t>IREG_15549_U4_smoke_sensing_fault</t>
  </si>
  <si>
    <t>U4 access control fault</t>
  </si>
  <si>
    <t>315550.1</t>
  </si>
  <si>
    <t>IREG_15549_U4_access_control_fault</t>
  </si>
  <si>
    <t>U4 Emergency fault shutdown fault</t>
  </si>
  <si>
    <t>315550.2</t>
  </si>
  <si>
    <t>IREG_15549_U4_Emergency_fault_shutdown_fault</t>
  </si>
  <si>
    <t>U4 Node State 1</t>
  </si>
  <si>
    <t>315554</t>
  </si>
  <si>
    <t>IREG_15553_U4_Node_State_1</t>
  </si>
  <si>
    <t>U4 AC circuit breaker status</t>
  </si>
  <si>
    <t>315554.0</t>
  </si>
  <si>
    <t>IREG_15553_U4_AC_circuit_breaker_status</t>
  </si>
  <si>
    <t>U4 DC switch 1 status</t>
  </si>
  <si>
    <t>315554.3</t>
  </si>
  <si>
    <t>IREG_15553_U4_DC_switch_1_status</t>
  </si>
  <si>
    <t>U4 smoke node status</t>
  </si>
  <si>
    <t>315554.17</t>
  </si>
  <si>
    <t>IREG_15553_U4_smoke_node_status</t>
  </si>
  <si>
    <t>U4 access node status</t>
  </si>
  <si>
    <t>315554.18</t>
  </si>
  <si>
    <t>IREG_15553_U4_access_node_status</t>
  </si>
  <si>
    <t>U4 emergency shutdown status</t>
  </si>
  <si>
    <t>315554.19</t>
  </si>
  <si>
    <t>IREG_15553_U4_emergency_shutdown_status</t>
  </si>
  <si>
    <t>U4 Temperature 1</t>
  </si>
  <si>
    <t>315558</t>
  </si>
  <si>
    <t>IREG_15557_U4_Temperature_1_degC</t>
  </si>
  <si>
    <t>U4 Temperature 3</t>
  </si>
  <si>
    <t>315560</t>
  </si>
  <si>
    <t>IREG_15559_U4_Temperature_3_degC</t>
  </si>
  <si>
    <t>U4 Temperature 5</t>
  </si>
  <si>
    <t>315562</t>
  </si>
  <si>
    <t>IREG_15561_U4_Temperature_5_degC</t>
  </si>
  <si>
    <t>U4 Positive Resistance to Ground</t>
  </si>
  <si>
    <t>315564</t>
  </si>
  <si>
    <t>IREG_15563_U4_Positive_Resistance_to_Ground_kOhm</t>
  </si>
  <si>
    <t>U4 Negative Resistance to Ground</t>
  </si>
  <si>
    <t>315566</t>
  </si>
  <si>
    <t>IREG_15565_U4_Negative_Resistance_to_Ground_kOhm</t>
  </si>
  <si>
    <t>U4 Work State</t>
  </si>
  <si>
    <t>315568</t>
  </si>
  <si>
    <t>IREG_15567_U4_Work_State</t>
  </si>
  <si>
    <t>U4 Running</t>
  </si>
  <si>
    <t>315568.0</t>
  </si>
  <si>
    <t>IREG_15567_U4_Running</t>
  </si>
  <si>
    <t>U4 Stopped</t>
  </si>
  <si>
    <t>315568.1</t>
  </si>
  <si>
    <t>IREG_15567_U4_Stopped</t>
  </si>
  <si>
    <t>U4 Initial Standby</t>
  </si>
  <si>
    <t>315568.2</t>
  </si>
  <si>
    <t>IREG_15567_U4_Initial_Standby</t>
  </si>
  <si>
    <t>U4 Press to shutdown</t>
  </si>
  <si>
    <t>315568.3</t>
  </si>
  <si>
    <t>IREG_15567_U4_Press_to_shutdown</t>
  </si>
  <si>
    <t>U4 Standby</t>
  </si>
  <si>
    <t>315568.4</t>
  </si>
  <si>
    <t>IREG_15567_U4_Standby</t>
  </si>
  <si>
    <t>U4 Emergency Stop</t>
  </si>
  <si>
    <t>315568.5</t>
  </si>
  <si>
    <t>IREG_15567_U4_Emergency_Stop</t>
  </si>
  <si>
    <t>U4 Starting</t>
  </si>
  <si>
    <t>315568.6</t>
  </si>
  <si>
    <t>IREG_15567_U4_Starting</t>
  </si>
  <si>
    <t>U4 Stopping</t>
  </si>
  <si>
    <t>315568.7</t>
  </si>
  <si>
    <t>IREG_15567_U4_Stopping</t>
  </si>
  <si>
    <t>U4 Fault Stop</t>
  </si>
  <si>
    <t>315568.9</t>
  </si>
  <si>
    <t>IREG_15567_U4_Fault_Stop</t>
  </si>
  <si>
    <t>U4 Alarm running</t>
  </si>
  <si>
    <t>315568.10</t>
  </si>
  <si>
    <t>IREG_15567_U4_Alarm_running</t>
  </si>
  <si>
    <t>U4 Derating running</t>
  </si>
  <si>
    <t>315568.11</t>
  </si>
  <si>
    <t>IREG_15567_U4_Derating_running</t>
  </si>
  <si>
    <t>U4 IO-DSP communication failure</t>
  </si>
  <si>
    <t>315568.13</t>
  </si>
  <si>
    <t>IREG_15567_U4_IO_DSP_communication_failure</t>
  </si>
  <si>
    <t>U4 Inverter is running</t>
  </si>
  <si>
    <t>315568.17</t>
  </si>
  <si>
    <t>IREG_15567_U4_Inverter_is_running</t>
  </si>
  <si>
    <t>U4 Inverter is stopped</t>
  </si>
  <si>
    <t>315568.18</t>
  </si>
  <si>
    <t>IREG_15567_U4_Inverter_is_stopped</t>
  </si>
  <si>
    <t>U4 Anti-PID active</t>
  </si>
  <si>
    <t>315568.19</t>
  </si>
  <si>
    <t>IREG_15567_U4_Anti_PID_active</t>
  </si>
  <si>
    <t>U4 Alarm State</t>
  </si>
  <si>
    <t>315570</t>
  </si>
  <si>
    <t>IREG_15569_U4_Alarm_State</t>
  </si>
  <si>
    <t>U4 Temperature alarm</t>
  </si>
  <si>
    <t>315570.0</t>
  </si>
  <si>
    <t>IREG_15569_U4_Temperature_alarm</t>
  </si>
  <si>
    <t>U4 Low insulation resistance alarm</t>
  </si>
  <si>
    <t>315570.1</t>
  </si>
  <si>
    <t>IREG_15569_U4_Low_insulation_resistance_alarm</t>
  </si>
  <si>
    <t>U4 GFRT operation alarm</t>
  </si>
  <si>
    <t>315570.2</t>
  </si>
  <si>
    <t>IREG_15569_U4_GFRT_operation_alarm</t>
  </si>
  <si>
    <t>U4 CT unbalance</t>
  </si>
  <si>
    <t>315570.3</t>
  </si>
  <si>
    <t>IREG_15569_U4_CT_unbalance</t>
  </si>
  <si>
    <t>U4 DC sensor fault</t>
  </si>
  <si>
    <t>315570.6</t>
  </si>
  <si>
    <t>IREG_15569_U4_DC_sensor_fault</t>
  </si>
  <si>
    <t>315570.7</t>
  </si>
  <si>
    <t>IREG_15569_U4_DC_SPD_fault</t>
  </si>
  <si>
    <t>315570.8</t>
  </si>
  <si>
    <t>IREG_15569_U4_AC_SPD_fault</t>
  </si>
  <si>
    <t>315570.12</t>
  </si>
  <si>
    <t>IREG_15569_U4_DC_switch_fault</t>
  </si>
  <si>
    <t>U4 Anti-PID power supply</t>
  </si>
  <si>
    <t>315570.13</t>
  </si>
  <si>
    <t>IREG_15569_U4_Anti_PID_power_supply</t>
  </si>
  <si>
    <t>315570.14</t>
  </si>
  <si>
    <t>IREG_15569_U4_Fan_fault</t>
  </si>
  <si>
    <t>U4 DC bypass forward overcurrent alarm</t>
  </si>
  <si>
    <t>315570.16</t>
  </si>
  <si>
    <t>IREG_15569_U4_DC_bypass_forward_overcurrent_alarm</t>
  </si>
  <si>
    <t>U4 DC bypass reverse overcurrent alarm</t>
  </si>
  <si>
    <t>315570.17</t>
  </si>
  <si>
    <t>IREG_15569_U4_DC_bypass_reverse_overcurrent_alarm</t>
  </si>
  <si>
    <t>U4 AC circuit breaker fault</t>
  </si>
  <si>
    <t>315570.19</t>
  </si>
  <si>
    <t>IREG_15569_U4_AC_circuit_breaker_fault</t>
  </si>
  <si>
    <t>U4 Meter communication failure</t>
  </si>
  <si>
    <t>315570.20</t>
  </si>
  <si>
    <t>IREG_15569_U4_Meter_communication_failure</t>
  </si>
  <si>
    <t>315570.21</t>
  </si>
  <si>
    <t>IREG_15569_U4_Fan_2_fault</t>
  </si>
  <si>
    <t>U4 Temperature and humidity sensor fault</t>
  </si>
  <si>
    <t>315570.23</t>
  </si>
  <si>
    <t>IREG_15569_U4_Temperature_and_humidity_sensor_fault</t>
  </si>
  <si>
    <t>U4 Frequency deviation active power regulation</t>
  </si>
  <si>
    <t>315570.24</t>
  </si>
  <si>
    <t>IREG_15569_U4_Frequency_deviation_active_power_regulation</t>
  </si>
  <si>
    <t>U4 Voltage deviation reactive power regulation</t>
  </si>
  <si>
    <t>315570.25</t>
  </si>
  <si>
    <t>IREG_15569_U4_Voltage_deviation_reactive_power_regulation</t>
  </si>
  <si>
    <t>U4 Busbar temperature alarm</t>
  </si>
  <si>
    <t>315570.27</t>
  </si>
  <si>
    <t>IREG_15569_U4_Busbar_temperature_alarm</t>
  </si>
  <si>
    <t>U4 Abnormal derating of fan</t>
  </si>
  <si>
    <t>315570.28</t>
  </si>
  <si>
    <t>IREG_15569_U4_Abnormal_derating_of_fan</t>
  </si>
  <si>
    <t>315570.30</t>
  </si>
  <si>
    <t>IREG_15569_U4_Frequency_abnormal</t>
  </si>
  <si>
    <t>U4 Negative Voltage to Ground</t>
  </si>
  <si>
    <t>315572</t>
  </si>
  <si>
    <t>IREG_15571_U4_Negative_Voltage_to_Ground_V</t>
  </si>
  <si>
    <t>U4 Annual Power Yield</t>
  </si>
  <si>
    <t>315573</t>
  </si>
  <si>
    <t>IREG_15572_U4_Annual_Power_Yield_kWh</t>
  </si>
  <si>
    <t>U4 CO2 Emission Reduction</t>
  </si>
  <si>
    <t>315575</t>
  </si>
  <si>
    <t>IREG_15574_U4_CO2_Emission_Reduction_kg</t>
  </si>
  <si>
    <t>U4 leakage current</t>
  </si>
  <si>
    <t>315605</t>
  </si>
  <si>
    <t>IREG_15604_U4_leakage_current_A</t>
  </si>
  <si>
    <t>U4 DC Input #1</t>
  </si>
  <si>
    <t>315610</t>
  </si>
  <si>
    <t>IREG_15609_U4_DC_Input_1_A</t>
  </si>
  <si>
    <t>U4 DC Input #2</t>
  </si>
  <si>
    <t>315611</t>
  </si>
  <si>
    <t>IREG_15610_U4_DC_Input_2_A</t>
  </si>
  <si>
    <t>U4 DC Input #3</t>
  </si>
  <si>
    <t>315612</t>
  </si>
  <si>
    <t>IREG_15611_U4_DC_Input_3_A</t>
  </si>
  <si>
    <t>U4 DC Input #4</t>
  </si>
  <si>
    <t>315613</t>
  </si>
  <si>
    <t>IREG_15612_U4_DC_Input_4_A</t>
  </si>
  <si>
    <t>U4 DC Input #5</t>
  </si>
  <si>
    <t>315614</t>
  </si>
  <si>
    <t>IREG_15613_U4_DC_Input_5_A</t>
  </si>
  <si>
    <t>U4 DC Input #6</t>
  </si>
  <si>
    <t>315615</t>
  </si>
  <si>
    <t>IREG_15614_U4_DC_Input_6_A</t>
  </si>
  <si>
    <t>U4 DC Input #7</t>
  </si>
  <si>
    <t>315616</t>
  </si>
  <si>
    <t>IREG_15615_U4_DC_Input_7_A</t>
  </si>
  <si>
    <t>U4 running status</t>
  </si>
  <si>
    <t>315622</t>
  </si>
  <si>
    <t>IREG_15621_U4_running_status</t>
  </si>
  <si>
    <t>U4 HVRT operation</t>
  </si>
  <si>
    <t>315622.1</t>
  </si>
  <si>
    <t>IREG_15621_U4_HVRT_operation</t>
  </si>
  <si>
    <t>U4 LVRT operation</t>
  </si>
  <si>
    <t>315622.2</t>
  </si>
  <si>
    <t>IREG_15621_U4_LVRT_operation</t>
  </si>
  <si>
    <t>ISO board fault status</t>
  </si>
  <si>
    <t>315630</t>
  </si>
  <si>
    <t>IREG_15629_ISO_board_fault_status</t>
  </si>
  <si>
    <t>ISO insulation detection abnormal</t>
  </si>
  <si>
    <t>315630.0</t>
  </si>
  <si>
    <t>IREG_15629_ISO_insulation_detection_abnormal</t>
  </si>
  <si>
    <t>ISO hardware fault</t>
  </si>
  <si>
    <t>315630.3</t>
  </si>
  <si>
    <t>IREG_15629_ISO_hardware_fault</t>
  </si>
  <si>
    <t>ISO overtemperature fault</t>
  </si>
  <si>
    <t>315630.4</t>
  </si>
  <si>
    <t>IREG_15629_ISO_overtemperature_fault</t>
  </si>
  <si>
    <t>ISO overvoltage fault</t>
  </si>
  <si>
    <t>315630.5</t>
  </si>
  <si>
    <t>IREG_15629_ISO_overvoltage_fault</t>
  </si>
  <si>
    <t>ISO board alarm status</t>
  </si>
  <si>
    <t>315631</t>
  </si>
  <si>
    <t>IREG_15630_ISO_board_alarm_status</t>
  </si>
  <si>
    <t>315631.0</t>
  </si>
  <si>
    <t>IREG_15630_ISO_insulation_detection_abnormal</t>
  </si>
  <si>
    <t>ISO overtemperature alarm</t>
  </si>
  <si>
    <t>315631.3</t>
  </si>
  <si>
    <t>IREG_15630_ISO_overtemperature_alarm</t>
  </si>
  <si>
    <t>ISO grid sampling abonormal</t>
  </si>
  <si>
    <t>315631.4</t>
  </si>
  <si>
    <t>IREG_15630_ISO_grid_sampling_abonormal</t>
  </si>
  <si>
    <t>24h insulation resistance</t>
  </si>
  <si>
    <t>315632</t>
  </si>
  <si>
    <t>kΩ</t>
  </si>
  <si>
    <t>IREG_15631_24h_insulation_resistance_kΩ</t>
  </si>
  <si>
    <t>Certified Software Version</t>
  </si>
  <si>
    <t>315634</t>
  </si>
  <si>
    <t>IREG_15633_Certified_Software_Version</t>
  </si>
  <si>
    <t>Overexcitation Specified Active Power</t>
  </si>
  <si>
    <t>315699</t>
  </si>
  <si>
    <t>IREG_15698_Overexcitation_Specified_Active_Power_kW</t>
  </si>
  <si>
    <t>Underexcitation Specified Active Power</t>
  </si>
  <si>
    <t>315701</t>
  </si>
  <si>
    <t>IREG_15700_Underexcitation_Specified_Active_Power_kW</t>
  </si>
  <si>
    <t>Commercial Plant Running Status</t>
  </si>
  <si>
    <t>315703</t>
  </si>
  <si>
    <t>Off (0)</t>
  </si>
  <si>
    <t>Offline</t>
  </si>
  <si>
    <t>boolean</t>
  </si>
  <si>
    <t>IREG_15702_Commercial_Plant_Running_Status_boolean</t>
  </si>
  <si>
    <t>Not Available</t>
  </si>
  <si>
    <t>Maximum Appearant Power</t>
  </si>
  <si>
    <t>315704</t>
  </si>
  <si>
    <t>kVA</t>
  </si>
  <si>
    <t>IREG_15703_Maximum_Appearant_Power_kVA</t>
  </si>
  <si>
    <t>Maximum Discharging Power</t>
  </si>
  <si>
    <t>315705</t>
  </si>
  <si>
    <t>IREG_15704_Maximum_Discharging_Power_kW</t>
  </si>
  <si>
    <t>Maximum inductive reactive power</t>
  </si>
  <si>
    <t>315706</t>
  </si>
  <si>
    <t>IREG_15705_Maximum_inductive_reactive_power_kvar</t>
  </si>
  <si>
    <t>Maximum capacitive reactive power</t>
  </si>
  <si>
    <t>315707</t>
  </si>
  <si>
    <t>IREG_15706_Maximum_capacitive_reactive_power_kvar</t>
  </si>
  <si>
    <t>Grid connected status of commercial plant</t>
  </si>
  <si>
    <t>315708</t>
  </si>
  <si>
    <t>Connected</t>
  </si>
  <si>
    <t>Disconnected</t>
  </si>
  <si>
    <t>IREG_15707_Grid_connected_status_of_commercial_plant_boolean</t>
  </si>
  <si>
    <t>Nominal AC voltage</t>
  </si>
  <si>
    <t>315709</t>
  </si>
  <si>
    <t>IREG_15708_Nominal_AC_voltage_V</t>
  </si>
  <si>
    <t>Max AC Voltage</t>
  </si>
  <si>
    <t>315710</t>
  </si>
  <si>
    <t>IREG_15709_Max_AC_Voltage_V</t>
  </si>
  <si>
    <t>Min AC Voltage</t>
  </si>
  <si>
    <t>315711</t>
  </si>
  <si>
    <t>IREG_15710_Min_AC_Voltage_V</t>
  </si>
  <si>
    <t>QU Reference Voltage Current Value</t>
  </si>
  <si>
    <t>315733</t>
  </si>
  <si>
    <t>IREG_15732_QU_Reference_Voltage_Current_Value_V</t>
  </si>
  <si>
    <t>U1 Valid Recorder Quantity</t>
  </si>
  <si>
    <t>315734</t>
  </si>
  <si>
    <t>count</t>
  </si>
  <si>
    <t>IREG_15733_U1_Valid_Recorder_Quantity_count</t>
  </si>
  <si>
    <t>U2 Valid Recorder Quantity</t>
  </si>
  <si>
    <t>315735</t>
  </si>
  <si>
    <t>IREG_15734_U2_Valid_Recorder_Quantity_count</t>
  </si>
  <si>
    <t>U3 Valid Recorder Quantity</t>
  </si>
  <si>
    <t>315736</t>
  </si>
  <si>
    <t>IREG_15735_U3_Valid_Recorder_Quantity_count</t>
  </si>
  <si>
    <t>U4 Valid Recorder Quantity</t>
  </si>
  <si>
    <t>315737</t>
  </si>
  <si>
    <t>IREG_15736_U4_Valid_Recorder_Quantity_count</t>
  </si>
  <si>
    <t>High side AB voltage</t>
  </si>
  <si>
    <t>315745</t>
  </si>
  <si>
    <t>kV</t>
  </si>
  <si>
    <t>IREG_15744_High_side_AB_voltage_kV</t>
  </si>
  <si>
    <t>High side BC voltage</t>
  </si>
  <si>
    <t>315746</t>
  </si>
  <si>
    <t>IREG_15745_High_side_BC_voltage_kV</t>
  </si>
  <si>
    <t>High side CA voltage</t>
  </si>
  <si>
    <t>315747</t>
  </si>
  <si>
    <t>IREG_15746_High_side_CA_voltage_kV</t>
  </si>
  <si>
    <t>High side active power</t>
  </si>
  <si>
    <t>315748</t>
  </si>
  <si>
    <t>IREG_15747_High_side_active_power_kW</t>
  </si>
  <si>
    <t>High side phase A current</t>
  </si>
  <si>
    <t>315750</t>
  </si>
  <si>
    <t>IREG_15749_High_side_phase_A_current_A</t>
  </si>
  <si>
    <t>High side phase B current</t>
  </si>
  <si>
    <t>315751</t>
  </si>
  <si>
    <t>IREG_15750_High_side_phase_B_current_A</t>
  </si>
  <si>
    <t>High side phase C current</t>
  </si>
  <si>
    <t>315752</t>
  </si>
  <si>
    <t>IREG_15751_High_side_phase_C_current_A</t>
  </si>
  <si>
    <t>High side reactive power</t>
  </si>
  <si>
    <t>315754</t>
  </si>
  <si>
    <t>IREG_15753_High_side_reactive_power_kvar</t>
  </si>
  <si>
    <t>Zone Monitor Work State</t>
  </si>
  <si>
    <t>Enumeration</t>
  </si>
  <si>
    <t>316000</t>
  </si>
  <si>
    <t>IREG_15999_Zone_Monitor_Work_State</t>
  </si>
  <si>
    <t>0 to 2</t>
  </si>
  <si>
    <t>Branch Open Circuit Alarm</t>
  </si>
  <si>
    <t>316001</t>
  </si>
  <si>
    <t>IREG_16000_Branch_Open_Circuit_Alarm</t>
  </si>
  <si>
    <t>U1 open circuit fault branch 1</t>
  </si>
  <si>
    <t>316001.0</t>
  </si>
  <si>
    <t>IREG_16000_U1_open_circuit_fault_branch_1</t>
  </si>
  <si>
    <t>U1 open circuit fault branch 2</t>
  </si>
  <si>
    <t>316001.1</t>
  </si>
  <si>
    <t>IREG_16000_U1_open_circuit_fault_branch_2</t>
  </si>
  <si>
    <t>U1 open circuit fault branch 3</t>
  </si>
  <si>
    <t>316001.2</t>
  </si>
  <si>
    <t>IREG_16000_U1_open_circuit_fault_branch_3</t>
  </si>
  <si>
    <t>U1 open circuit fault branch 4</t>
  </si>
  <si>
    <t>316001.3</t>
  </si>
  <si>
    <t>IREG_16000_U1_open_circuit_fault_branch_4</t>
  </si>
  <si>
    <t>U1 open circuit fault branch 5</t>
  </si>
  <si>
    <t>316001.4</t>
  </si>
  <si>
    <t>IREG_16000_U1_open_circuit_fault_branch_5</t>
  </si>
  <si>
    <t>U1 open circuit fault branch 6</t>
  </si>
  <si>
    <t>316001.5</t>
  </si>
  <si>
    <t>IREG_16000_U1_open_circuit_fault_branch_6</t>
  </si>
  <si>
    <t>U1 open circuit fault branch 7</t>
  </si>
  <si>
    <t>316001.6</t>
  </si>
  <si>
    <t>IREG_16000_U1_open_circuit_fault_branch_7</t>
  </si>
  <si>
    <t>U1 open circuit fault branch 8</t>
  </si>
  <si>
    <t>316001.7</t>
  </si>
  <si>
    <t>IREG_16000_U1_open_circuit_fault_branch_8</t>
  </si>
  <si>
    <t>U2 open circuit fault branch 1</t>
  </si>
  <si>
    <t>316001.8</t>
  </si>
  <si>
    <t>IREG_16000_U2_open_circuit_fault_branch_1</t>
  </si>
  <si>
    <t>U2 open circuit fault branch 2</t>
  </si>
  <si>
    <t>316001.9</t>
  </si>
  <si>
    <t>IREG_16000_U2_open_circuit_fault_branch_2</t>
  </si>
  <si>
    <t>U2 open circuit fault branch 3</t>
  </si>
  <si>
    <t>316001.10</t>
  </si>
  <si>
    <t>IREG_16000_U2_open_circuit_fault_branch_3</t>
  </si>
  <si>
    <t>U2 open circuit fault branch 4</t>
  </si>
  <si>
    <t>316001.11</t>
  </si>
  <si>
    <t>IREG_16000_U2_open_circuit_fault_branch_4</t>
  </si>
  <si>
    <t>U2 open circuit fault branch 5</t>
  </si>
  <si>
    <t>316001.12</t>
  </si>
  <si>
    <t>IREG_16000_U2_open_circuit_fault_branch_5</t>
  </si>
  <si>
    <t>U2 open circuit fault branch 6</t>
  </si>
  <si>
    <t>316001.13</t>
  </si>
  <si>
    <t>IREG_16000_U2_open_circuit_fault_branch_6</t>
  </si>
  <si>
    <t>U2 open circuit fault branch 7</t>
  </si>
  <si>
    <t>316001.14</t>
  </si>
  <si>
    <t>IREG_16000_U2_open_circuit_fault_branch_7</t>
  </si>
  <si>
    <t>U2 open circuit fault branch 8</t>
  </si>
  <si>
    <t>316001.15</t>
  </si>
  <si>
    <t>IREG_16000_U2_open_circuit_fault_branch_8</t>
  </si>
  <si>
    <t>U3 open circuit fault branch 1</t>
  </si>
  <si>
    <t>316001.16</t>
  </si>
  <si>
    <t>IREG_16000_U3_open_circuit_fault_branch_1</t>
  </si>
  <si>
    <t>U3 open circuit fault branch 2</t>
  </si>
  <si>
    <t>316001.17</t>
  </si>
  <si>
    <t>IREG_16000_U3_open_circuit_fault_branch_2</t>
  </si>
  <si>
    <t>U3 open circuit fault branch 3</t>
  </si>
  <si>
    <t>316001.18</t>
  </si>
  <si>
    <t>IREG_16000_U3_open_circuit_fault_branch_3</t>
  </si>
  <si>
    <t>U3 open circuit fault branch 4</t>
  </si>
  <si>
    <t>316001.19</t>
  </si>
  <si>
    <t>IREG_16000_U3_open_circuit_fault_branch_4</t>
  </si>
  <si>
    <t>U3 open circuit fault branch 5</t>
  </si>
  <si>
    <t>316001.20</t>
  </si>
  <si>
    <t>IREG_16000_U3_open_circuit_fault_branch_5</t>
  </si>
  <si>
    <t>U3 open circuit fault branch 6</t>
  </si>
  <si>
    <t>316001.21</t>
  </si>
  <si>
    <t>IREG_16000_U3_open_circuit_fault_branch_6</t>
  </si>
  <si>
    <t>U3 open circuit fault branch 7</t>
  </si>
  <si>
    <t>316001.22</t>
  </si>
  <si>
    <t>IREG_16000_U3_open_circuit_fault_branch_7</t>
  </si>
  <si>
    <t>U3 open circuit fault branch 8</t>
  </si>
  <si>
    <t>316001.23</t>
  </si>
  <si>
    <t>IREG_16000_U3_open_circuit_fault_branch_8</t>
  </si>
  <si>
    <t>U4 open circuit fault branch 1</t>
  </si>
  <si>
    <t>316001.24</t>
  </si>
  <si>
    <t>IREG_16000_U4_open_circuit_fault_branch_1</t>
  </si>
  <si>
    <t>U4 open circuit fault branch 2</t>
  </si>
  <si>
    <t>316001.25</t>
  </si>
  <si>
    <t>IREG_16000_U4_open_circuit_fault_branch_2</t>
  </si>
  <si>
    <t>U4 open circuit fault branch 3</t>
  </si>
  <si>
    <t>316001.26</t>
  </si>
  <si>
    <t>IREG_16000_U4_open_circuit_fault_branch_3</t>
  </si>
  <si>
    <t>U4 open circuit fault branch 4</t>
  </si>
  <si>
    <t>316001.27</t>
  </si>
  <si>
    <t>IREG_16000_U4_open_circuit_fault_branch_4</t>
  </si>
  <si>
    <t>U4 open circuit fault branch 5</t>
  </si>
  <si>
    <t>316001.28</t>
  </si>
  <si>
    <t>IREG_16000_U4_open_circuit_fault_branch_5</t>
  </si>
  <si>
    <t>U4 open circuit fault branch 6</t>
  </si>
  <si>
    <t>316001.29</t>
  </si>
  <si>
    <t>IREG_16000_U4_open_circuit_fault_branch_6</t>
  </si>
  <si>
    <t>U4 open circuit fault branch 7</t>
  </si>
  <si>
    <t>316001.30</t>
  </si>
  <si>
    <t>IREG_16000_U4_open_circuit_fault_branch_7</t>
  </si>
  <si>
    <t>U4 open circuit fault branch 8</t>
  </si>
  <si>
    <t>316001.31</t>
  </si>
  <si>
    <t>IREG_16000_U4_open_circuit_fault_branch_8</t>
  </si>
  <si>
    <t>Branch String Alarm</t>
  </si>
  <si>
    <t>316003</t>
  </si>
  <si>
    <t>IREG_16002_Branch_String_Alarm</t>
  </si>
  <si>
    <t>U1 string failure branch 1</t>
  </si>
  <si>
    <t>316003.0</t>
  </si>
  <si>
    <t>IREG_16002_U1_string_failure_branch_1</t>
  </si>
  <si>
    <t>U1 string failure branch 2</t>
  </si>
  <si>
    <t>316003.1</t>
  </si>
  <si>
    <t>IREG_16002_U1_string_failure_branch_2</t>
  </si>
  <si>
    <t>U1 string failure branch 3</t>
  </si>
  <si>
    <t>316003.2</t>
  </si>
  <si>
    <t>IREG_16002_U1_string_failure_branch_3</t>
  </si>
  <si>
    <t>U1 string failure branch 4</t>
  </si>
  <si>
    <t>316003.3</t>
  </si>
  <si>
    <t>IREG_16002_U1_string_failure_branch_4</t>
  </si>
  <si>
    <t>U1 string failure branch 5</t>
  </si>
  <si>
    <t>316003.4</t>
  </si>
  <si>
    <t>IREG_16002_U1_string_failure_branch_5</t>
  </si>
  <si>
    <t>U1 string failure branch 6</t>
  </si>
  <si>
    <t>316003.5</t>
  </si>
  <si>
    <t>IREG_16002_U1_string_failure_branch_6</t>
  </si>
  <si>
    <t>U1 string failure branch 7</t>
  </si>
  <si>
    <t>316003.6</t>
  </si>
  <si>
    <t>IREG_16002_U1_string_failure_branch_7</t>
  </si>
  <si>
    <t>U1 string failure branch 8</t>
  </si>
  <si>
    <t>316003.7</t>
  </si>
  <si>
    <t>IREG_16002_U1_string_failure_branch_8</t>
  </si>
  <si>
    <t>U2 string failure branch 1</t>
  </si>
  <si>
    <t>316003.8</t>
  </si>
  <si>
    <t>IREG_16002_U2_string_failure_branch_1</t>
  </si>
  <si>
    <t>U2 string failure branch 2</t>
  </si>
  <si>
    <t>316003.9</t>
  </si>
  <si>
    <t>IREG_16002_U2_string_failure_branch_2</t>
  </si>
  <si>
    <t>U2 string failure branch 3</t>
  </si>
  <si>
    <t>316003.10</t>
  </si>
  <si>
    <t>IREG_16002_U2_string_failure_branch_3</t>
  </si>
  <si>
    <t>U2 string failure branch 4</t>
  </si>
  <si>
    <t>316003.11</t>
  </si>
  <si>
    <t>IREG_16002_U2_string_failure_branch_4</t>
  </si>
  <si>
    <t>U2 string failure branch 5</t>
  </si>
  <si>
    <t>316003.12</t>
  </si>
  <si>
    <t>IREG_16002_U2_string_failure_branch_5</t>
  </si>
  <si>
    <t>U2 string failure branch 6</t>
  </si>
  <si>
    <t>316003.13</t>
  </si>
  <si>
    <t>IREG_16002_U2_string_failure_branch_6</t>
  </si>
  <si>
    <t>U2 string failure branch 7</t>
  </si>
  <si>
    <t>316003.14</t>
  </si>
  <si>
    <t>IREG_16002_U2_string_failure_branch_7</t>
  </si>
  <si>
    <t>U2 string failure branch 8</t>
  </si>
  <si>
    <t>316003.15</t>
  </si>
  <si>
    <t>IREG_16002_U2_string_failure_branch_8</t>
  </si>
  <si>
    <t>U3 string failure branch 1</t>
  </si>
  <si>
    <t>316003.16</t>
  </si>
  <si>
    <t>IREG_16002_U3_string_failure_branch_1</t>
  </si>
  <si>
    <t>U3 string failure branch 2</t>
  </si>
  <si>
    <t>316003.17</t>
  </si>
  <si>
    <t>IREG_16002_U3_string_failure_branch_2</t>
  </si>
  <si>
    <t>U3 string failure branch 3</t>
  </si>
  <si>
    <t>316003.18</t>
  </si>
  <si>
    <t>IREG_16002_U3_string_failure_branch_3</t>
  </si>
  <si>
    <t>U3 string failure branch 4</t>
  </si>
  <si>
    <t>316003.19</t>
  </si>
  <si>
    <t>IREG_16002_U3_string_failure_branch_4</t>
  </si>
  <si>
    <t>U3 string failure branch 5</t>
  </si>
  <si>
    <t>316003.20</t>
  </si>
  <si>
    <t>IREG_16002_U3_string_failure_branch_5</t>
  </si>
  <si>
    <t>U3 string failure branch 6</t>
  </si>
  <si>
    <t>316003.21</t>
  </si>
  <si>
    <t>IREG_16002_U3_string_failure_branch_6</t>
  </si>
  <si>
    <t>U3 string failure branch 7</t>
  </si>
  <si>
    <t>316003.22</t>
  </si>
  <si>
    <t>IREG_16002_U3_string_failure_branch_7</t>
  </si>
  <si>
    <t>U3 string failure branch 8</t>
  </si>
  <si>
    <t>316003.23</t>
  </si>
  <si>
    <t>IREG_16002_U3_string_failure_branch_8</t>
  </si>
  <si>
    <t>U4 string failure branch 1</t>
  </si>
  <si>
    <t>316003.24</t>
  </si>
  <si>
    <t>IREG_16002_U4_string_failure_branch_1</t>
  </si>
  <si>
    <t>U4 string failure branch 2</t>
  </si>
  <si>
    <t>316003.25</t>
  </si>
  <si>
    <t>IREG_16002_U4_string_failure_branch_2</t>
  </si>
  <si>
    <t>U4 string failure branch 3</t>
  </si>
  <si>
    <t>316003.26</t>
  </si>
  <si>
    <t>IREG_16002_U4_string_failure_branch_3</t>
  </si>
  <si>
    <t>U4 string failure branch 4</t>
  </si>
  <si>
    <t>316003.27</t>
  </si>
  <si>
    <t>IREG_16002_U4_string_failure_branch_4</t>
  </si>
  <si>
    <t>U4 string failure branch 5</t>
  </si>
  <si>
    <t>316003.28</t>
  </si>
  <si>
    <t>IREG_16002_U4_string_failure_branch_5</t>
  </si>
  <si>
    <t>U4 string failure branch 6</t>
  </si>
  <si>
    <t>316003.29</t>
  </si>
  <si>
    <t>IREG_16002_U4_string_failure_branch_6</t>
  </si>
  <si>
    <t>U4 string failure branch 7</t>
  </si>
  <si>
    <t>316003.30</t>
  </si>
  <si>
    <t>IREG_16002_U4_string_failure_branch_7</t>
  </si>
  <si>
    <t>U4 string failure branch 8</t>
  </si>
  <si>
    <t>316003.31</t>
  </si>
  <si>
    <t>IREG_16002_U4_string_failure_branch_8</t>
  </si>
  <si>
    <t>U1 Warning Number of Strings Branch 1</t>
  </si>
  <si>
    <t>316005</t>
  </si>
  <si>
    <t>IREG_16004_U1_Warning_Number_of_Strings_Branch_1_count</t>
  </si>
  <si>
    <t>U1 Warning Number of Strings Branch 2</t>
  </si>
  <si>
    <t>316006</t>
  </si>
  <si>
    <t>IREG_16005_U1_Warning_Number_of_Strings_Branch_2_count</t>
  </si>
  <si>
    <t>U1 Warning Number of Strings Branch 3</t>
  </si>
  <si>
    <t>316007</t>
  </si>
  <si>
    <t>IREG_16006_U1_Warning_Number_of_Strings_Branch_3_count</t>
  </si>
  <si>
    <t>U1 Warning Number of Strings Branch 4</t>
  </si>
  <si>
    <t>316008</t>
  </si>
  <si>
    <t>IREG_16007_U1_Warning_Number_of_Strings_Branch_4_count</t>
  </si>
  <si>
    <t>U1 Warning Number of Strings Branch 5</t>
  </si>
  <si>
    <t>316009</t>
  </si>
  <si>
    <t>IREG_16008_U1_Warning_Number_of_Strings_Branch_5_count</t>
  </si>
  <si>
    <t>U1 Warning Number of Strings Branch 6</t>
  </si>
  <si>
    <t>316010</t>
  </si>
  <si>
    <t>IREG_16009_U1_Warning_Number_of_Strings_Branch_6_count</t>
  </si>
  <si>
    <t>U1 Warning Number of Strings Branch 7</t>
  </si>
  <si>
    <t>316011</t>
  </si>
  <si>
    <t>IREG_16010_U1_Warning_Number_of_Strings_Branch_7_count</t>
  </si>
  <si>
    <t>U2 Warning Number of Strings Branch 1</t>
  </si>
  <si>
    <t>316021</t>
  </si>
  <si>
    <t>IREG_16020_U2_Warning_Number_of_Strings_Branch_1_count</t>
  </si>
  <si>
    <t>U2 Warning Number of Strings Branch 2</t>
  </si>
  <si>
    <t>316022</t>
  </si>
  <si>
    <t>IREG_16021_U2_Warning_Number_of_Strings_Branch_2_count</t>
  </si>
  <si>
    <t>U2 Warning Number of Strings Branch 3</t>
  </si>
  <si>
    <t>316023</t>
  </si>
  <si>
    <t>IREG_16022_U2_Warning_Number_of_Strings_Branch_3_count</t>
  </si>
  <si>
    <t>U2 Warning Number of Strings Branch 4</t>
  </si>
  <si>
    <t>316024</t>
  </si>
  <si>
    <t>IREG_16023_U2_Warning_Number_of_Strings_Branch_4_count</t>
  </si>
  <si>
    <t>U2 Warning Number of Strings Branch 5</t>
  </si>
  <si>
    <t>316025</t>
  </si>
  <si>
    <t>IREG_16024_U2_Warning_Number_of_Strings_Branch_5_count</t>
  </si>
  <si>
    <t>U2 Warning Number of Strings Branch 6</t>
  </si>
  <si>
    <t>316026</t>
  </si>
  <si>
    <t>IREG_16025_U2_Warning_Number_of_Strings_Branch_6_count</t>
  </si>
  <si>
    <t>U2 Warning Number of Strings Branch 7</t>
  </si>
  <si>
    <t>316027</t>
  </si>
  <si>
    <t>IREG_16026_U2_Warning_Number_of_Strings_Branch_7_count</t>
  </si>
  <si>
    <t>U3 Warning Number of Strings Branch 1</t>
  </si>
  <si>
    <t>316037</t>
  </si>
  <si>
    <t>IREG_16036_U3_Warning_Number_of_Strings_Branch_1_count</t>
  </si>
  <si>
    <t>U3 Warning Number of Strings Branch 2</t>
  </si>
  <si>
    <t>316038</t>
  </si>
  <si>
    <t>IREG_16037_U3_Warning_Number_of_Strings_Branch_2_count</t>
  </si>
  <si>
    <t>U3 Warning Number of Strings Branch 3</t>
  </si>
  <si>
    <t>316039</t>
  </si>
  <si>
    <t>IREG_16038_U3_Warning_Number_of_Strings_Branch_3_count</t>
  </si>
  <si>
    <t>U3 Warning Number of Strings Branch 4</t>
  </si>
  <si>
    <t>316040</t>
  </si>
  <si>
    <t>IREG_16039_U3_Warning_Number_of_Strings_Branch_4_count</t>
  </si>
  <si>
    <t>U3 Warning Number of Strings Branch 5</t>
  </si>
  <si>
    <t>316041</t>
  </si>
  <si>
    <t>IREG_16040_U3_Warning_Number_of_Strings_Branch_5_count</t>
  </si>
  <si>
    <t>U3 Warning Number of Strings Branch 6</t>
  </si>
  <si>
    <t>316042</t>
  </si>
  <si>
    <t>IREG_16041_U3_Warning_Number_of_Strings_Branch_6_count</t>
  </si>
  <si>
    <t>U3 Warning Number of Strings Branch 7</t>
  </si>
  <si>
    <t>316043</t>
  </si>
  <si>
    <t>IREG_16042_U3_Warning_Number_of_Strings_Branch_7_count</t>
  </si>
  <si>
    <t>U4 Warning Number of Strings Branch 1</t>
  </si>
  <si>
    <t>316053</t>
  </si>
  <si>
    <t>IREG_16052_U4_Warning_Number_of_Strings_Branch_1_count</t>
  </si>
  <si>
    <t>U4 Warning Number of Strings Branch 2</t>
  </si>
  <si>
    <t>316054</t>
  </si>
  <si>
    <t>IREG_16053_U4_Warning_Number_of_Strings_Branch_2_count</t>
  </si>
  <si>
    <t>U4 Warning Number of Strings Branch 3</t>
  </si>
  <si>
    <t>316055</t>
  </si>
  <si>
    <t>IREG_16054_U4_Warning_Number_of_Strings_Branch_3_count</t>
  </si>
  <si>
    <t>U4 Warning Number of Strings Branch 4</t>
  </si>
  <si>
    <t>316056</t>
  </si>
  <si>
    <t>IREG_16055_U4_Warning_Number_of_Strings_Branch_4_count</t>
  </si>
  <si>
    <t>U4 Warning Number of Strings Branch 5</t>
  </si>
  <si>
    <t>316057</t>
  </si>
  <si>
    <t>IREG_16056_U4_Warning_Number_of_Strings_Branch_5_count</t>
  </si>
  <si>
    <t>U4 Warning Number of Strings Branch 6</t>
  </si>
  <si>
    <t>316058</t>
  </si>
  <si>
    <t>IREG_16057_U4_Warning_Number_of_Strings_Branch_6_count</t>
  </si>
  <si>
    <t>U4 Warning Number of Strings Branch 7</t>
  </si>
  <si>
    <t>316059</t>
  </si>
  <si>
    <t>IREG_16058_U4_Warning_Number_of_Strings_Branch_7_count</t>
  </si>
  <si>
    <t>Holding Register</t>
  </si>
  <si>
    <t>Set system clock year</t>
  </si>
  <si>
    <t>415000</t>
  </si>
  <si>
    <t>HREG_14999_Set_system_clock_year_year</t>
  </si>
  <si>
    <t>Set system clock month</t>
  </si>
  <si>
    <t>415001</t>
  </si>
  <si>
    <t>HREG_15000_Set_system_clock_month_month</t>
  </si>
  <si>
    <t>Set system clock day</t>
  </si>
  <si>
    <t>415002</t>
  </si>
  <si>
    <t>HREG_15001_Set_system_clock_day_day</t>
  </si>
  <si>
    <t>Set system clock hour</t>
  </si>
  <si>
    <t>415003</t>
  </si>
  <si>
    <t>HREG_15002_Set_system_clock_hour_hr</t>
  </si>
  <si>
    <t>Set system clock minute</t>
  </si>
  <si>
    <t>415004</t>
  </si>
  <si>
    <t>HREG_15003_Set_system_clock_minute_min</t>
  </si>
  <si>
    <t>Set system clock second</t>
  </si>
  <si>
    <t>415005</t>
  </si>
  <si>
    <t>HREG_15004_Set_system_clock_second_s</t>
  </si>
  <si>
    <t>Start stop command</t>
  </si>
  <si>
    <t>415006</t>
  </si>
  <si>
    <t>HREG_15005_Start_stop_command</t>
  </si>
  <si>
    <t>16#CE to 16#CF</t>
  </si>
  <si>
    <t>Emergency stop command</t>
  </si>
  <si>
    <t>415007</t>
  </si>
  <si>
    <t>HREG_15006_Emergency_stop_command</t>
  </si>
  <si>
    <t>Active power percent</t>
  </si>
  <si>
    <t>415008</t>
  </si>
  <si>
    <t>HREG_15007_Active_power_percent_pct</t>
  </si>
  <si>
    <t>Local remote control</t>
  </si>
  <si>
    <t>415010</t>
  </si>
  <si>
    <t>HREG_15009_Local_remote_control</t>
  </si>
  <si>
    <t>0 to 1</t>
  </si>
  <si>
    <t>Reactive power mode</t>
  </si>
  <si>
    <t>415011</t>
  </si>
  <si>
    <t>HREG_15010_Reactive_power_mode</t>
  </si>
  <si>
    <t>16#55,16#A1 to 16#A5</t>
  </si>
  <si>
    <t>Reactive power percent setpoint</t>
  </si>
  <si>
    <t>415012</t>
  </si>
  <si>
    <t>HREG_15011_Reactive_power_percent_setpoint_pct</t>
  </si>
  <si>
    <t>Power factor setpoint</t>
  </si>
  <si>
    <t>415013</t>
  </si>
  <si>
    <t>HREG_15012_Power_factor_setpoint_PU</t>
  </si>
  <si>
    <t>Power limit actual value setpoint</t>
  </si>
  <si>
    <t>415014</t>
  </si>
  <si>
    <t>HREG_15013_Power_limit_actual_value_setpoint_kW</t>
  </si>
  <si>
    <t>Reactive power actual limit setpoint</t>
  </si>
  <si>
    <t>415015</t>
  </si>
  <si>
    <t>HREG_15014_Reactive_power_actual_limit_setpoint_kvar</t>
  </si>
  <si>
    <t>Active power ramp up rate setpoint</t>
  </si>
  <si>
    <t>415016</t>
  </si>
  <si>
    <t>%/s</t>
  </si>
  <si>
    <t>HREG_15015_Active_power_ramp_up_rate_setpoint_pct_per_s</t>
  </si>
  <si>
    <t>Active power ramp down rate setpoint</t>
  </si>
  <si>
    <t>415017</t>
  </si>
  <si>
    <t>HREG_15016_Active_power_ramp_down_rate_setpoint_pct_per_s</t>
  </si>
  <si>
    <t>Stop delay time</t>
  </si>
  <si>
    <t>415020</t>
  </si>
  <si>
    <t>HREG_15019_Stop_delay_time_s</t>
  </si>
  <si>
    <t>Stop slope</t>
  </si>
  <si>
    <t>415021</t>
  </si>
  <si>
    <t>HREG_15020_Stop_slope_pct_per_s</t>
  </si>
  <si>
    <t>U1 on off command</t>
  </si>
  <si>
    <t>415022</t>
  </si>
  <si>
    <t>HREG_15021_U1_on_off_command</t>
  </si>
  <si>
    <t>U2 on off command</t>
  </si>
  <si>
    <t>415023</t>
  </si>
  <si>
    <t>HREG_15022_U2_on_off_command</t>
  </si>
  <si>
    <t>U3 on off command</t>
  </si>
  <si>
    <t>415024</t>
  </si>
  <si>
    <t>HREG_15023_U3_on_off_command</t>
  </si>
  <si>
    <t>U4 on off command</t>
  </si>
  <si>
    <t>415025</t>
  </si>
  <si>
    <t>HREG_15024_U4_on_off_command</t>
  </si>
  <si>
    <t>High voltage load switch remote open</t>
  </si>
  <si>
    <t>415026</t>
  </si>
  <si>
    <t>HREG_15025_High_voltage_load_switch_remote_open_boolean</t>
  </si>
  <si>
    <t>Reactive power ramp up rate setpoint</t>
  </si>
  <si>
    <t>415027</t>
  </si>
  <si>
    <t>HREG_15026_Reactive_power_ramp_up_rate_setpoint_pct_per_s</t>
  </si>
  <si>
    <t>Reactive power ramp down rate setpoint</t>
  </si>
  <si>
    <t>415028</t>
  </si>
  <si>
    <t>HREG_15027_Reactive_power_ramp_down_rate_setpoint_pct_per_s</t>
  </si>
  <si>
    <t>Qu activation power point</t>
  </si>
  <si>
    <t>415029</t>
  </si>
  <si>
    <t>HREG_15028_Qu_activation_power_point_pct</t>
  </si>
  <si>
    <t>Qu operation mode</t>
  </si>
  <si>
    <t>415030</t>
  </si>
  <si>
    <t>HREG_15029_Qu_operation_mode</t>
  </si>
  <si>
    <t>16#A1 to 16#A3</t>
  </si>
  <si>
    <t>Qu input voltage source</t>
  </si>
  <si>
    <t>415031</t>
  </si>
  <si>
    <t>HREG_15030_Qu_input_voltage_source</t>
  </si>
  <si>
    <t>16#B1 to 16#B2</t>
  </si>
  <si>
    <t>Qu reactive reactive power limit setpoint</t>
  </si>
  <si>
    <t>415032</t>
  </si>
  <si>
    <t>HREG_15031_Qu_reactive_reactive_power_limit_setpoint_pct</t>
  </si>
  <si>
    <t>415033</t>
  </si>
  <si>
    <t>HREG_15032_Qu_reactive_reactive_power_limit_setpoint_pct</t>
  </si>
  <si>
    <t>Qu power factor end point</t>
  </si>
  <si>
    <t>415034</t>
  </si>
  <si>
    <t>HREG_15033_Qu_power_factor_end_point_PU</t>
  </si>
  <si>
    <t>Qu power factor start point</t>
  </si>
  <si>
    <t>415035</t>
  </si>
  <si>
    <t>HREG_15034_Qu_power_factor_start_point_PU</t>
  </si>
  <si>
    <t>Qu voltage rise start point</t>
  </si>
  <si>
    <t>415037</t>
  </si>
  <si>
    <t>HREG_15036_Qu_voltage_rise_start_point_pct</t>
  </si>
  <si>
    <t>Qu voltage rise end point</t>
  </si>
  <si>
    <t>415038</t>
  </si>
  <si>
    <t>HREG_15037_Qu_voltage_rise_end_point_pct</t>
  </si>
  <si>
    <t>Qu voltage drop start point</t>
  </si>
  <si>
    <t>415039</t>
  </si>
  <si>
    <t>HREG_15038_Qu_voltage_drop_start_point_pct</t>
  </si>
  <si>
    <t>Qu voltage drop end point</t>
  </si>
  <si>
    <t>415040</t>
  </si>
  <si>
    <t>HREG_15039_Qu_voltage_drop_end_point_pct</t>
  </si>
  <si>
    <t>HV load switch remote close</t>
  </si>
  <si>
    <t>415049</t>
  </si>
  <si>
    <t>HREG_15048_HV_load_switch_remote_close</t>
  </si>
  <si>
    <t>Qu reactive power rising start</t>
  </si>
  <si>
    <t>415051</t>
  </si>
  <si>
    <t>HREG_15050_Qu_reactive_power_rising_start_pct</t>
  </si>
  <si>
    <t>Qu reactive power decline start</t>
  </si>
  <si>
    <t>415052</t>
  </si>
  <si>
    <t>HREG_15051_Qu_reactive_power_decline_start_pct</t>
  </si>
  <si>
    <t>Enable pu</t>
  </si>
  <si>
    <t>415055</t>
  </si>
  <si>
    <t>HREG_15054_Enable_pu</t>
  </si>
  <si>
    <t>16#55,16#AA</t>
  </si>
  <si>
    <t>Pu active power rising gradiant</t>
  </si>
  <si>
    <t>415056</t>
  </si>
  <si>
    <t>HREG_15055_Pu_active_power_rising_gradiant_pct</t>
  </si>
  <si>
    <t>Pu active power decline gradiant</t>
  </si>
  <si>
    <t>415057</t>
  </si>
  <si>
    <t>HREG_15056_Pu_active_power_decline_gradiant_pct</t>
  </si>
  <si>
    <t>Dc switch open close</t>
  </si>
  <si>
    <t>415060</t>
  </si>
  <si>
    <t>HREG_15059_Dc_switch_open_close</t>
  </si>
  <si>
    <t>Night svg enable disable</t>
  </si>
  <si>
    <t>415061</t>
  </si>
  <si>
    <t>HREG_15060_Night_svg_enable_disable</t>
  </si>
  <si>
    <t>Start waiting time</t>
  </si>
  <si>
    <t>415062</t>
  </si>
  <si>
    <t>HREG_15061_Start_waiting_time_s</t>
  </si>
  <si>
    <t>Time for automatic recovery from fault</t>
  </si>
  <si>
    <t>415063</t>
  </si>
  <si>
    <t>HREG_15062_Time_for_automatic_recovery_from_fault_s</t>
  </si>
  <si>
    <t>Overfrequency recovery threshold</t>
  </si>
  <si>
    <t>415064</t>
  </si>
  <si>
    <t>HREG_15063_Overfrequency_recovery_threshold_Hz</t>
  </si>
  <si>
    <t>Underfrequency recovery threshold</t>
  </si>
  <si>
    <t>415065</t>
  </si>
  <si>
    <t>HREG_15064_Underfrequency_recovery_threshold_Hz</t>
  </si>
  <si>
    <t>Dc starting voltage</t>
  </si>
  <si>
    <t>415066</t>
  </si>
  <si>
    <t>HREG_15065_Dc_starting_voltage_V</t>
  </si>
  <si>
    <t>Frequency modulation enable</t>
  </si>
  <si>
    <t>415073</t>
  </si>
  <si>
    <t>HREG_15072_Frequency_modulation_enable</t>
  </si>
  <si>
    <t>Overfrequency derating start point</t>
  </si>
  <si>
    <t>415075</t>
  </si>
  <si>
    <t>HREG_15074_Overfrequency_derating_start_point_Hz</t>
  </si>
  <si>
    <t>Overfrequency derating end point</t>
  </si>
  <si>
    <t>415076</t>
  </si>
  <si>
    <t>HREG_15075_Overfrequency_derating_end_point_Hz</t>
  </si>
  <si>
    <t>Overfrequency derating factor</t>
  </si>
  <si>
    <t>415077</t>
  </si>
  <si>
    <t>HREG_15076_Overfrequency_derating_factor_PU</t>
  </si>
  <si>
    <t>Overfrequency derating limit</t>
  </si>
  <si>
    <t>415078</t>
  </si>
  <si>
    <t>HREG_15077_Overfrequency_derating_limit_pct</t>
  </si>
  <si>
    <t>Frequency regulation input source</t>
  </si>
  <si>
    <t>415079</t>
  </si>
  <si>
    <t>HREG_15078_Frequency_regulation_input_source</t>
  </si>
  <si>
    <t>Frequency regulation active power</t>
  </si>
  <si>
    <t>415080</t>
  </si>
  <si>
    <t>HREG_15079_Frequency_regulation_active_power_pct</t>
  </si>
  <si>
    <t>Underfrequency rising start point</t>
  </si>
  <si>
    <t>415081</t>
  </si>
  <si>
    <t>HREG_15080_Underfrequency_rising_start_point_Hz</t>
  </si>
  <si>
    <t>Underfrequency rising end point</t>
  </si>
  <si>
    <t>415082</t>
  </si>
  <si>
    <t>HREG_15081_Underfrequency_rising_end_point_Hz</t>
  </si>
  <si>
    <t>Underfrequency rise factor</t>
  </si>
  <si>
    <t>415083</t>
  </si>
  <si>
    <t>HREG_15082_Underfrequency_rise_factor_PU</t>
  </si>
  <si>
    <t>Underfrequency rising limit</t>
  </si>
  <si>
    <t>415084</t>
  </si>
  <si>
    <t>HREG_15083_Underfrequency_rising_limit_pct</t>
  </si>
  <si>
    <t>Leakage current protection value</t>
  </si>
  <si>
    <t>415088</t>
  </si>
  <si>
    <t>HREG_15087_Leakage_current_protection_value_A</t>
  </si>
  <si>
    <t>Insulation monitoring protection threshold</t>
  </si>
  <si>
    <t>415116</t>
  </si>
  <si>
    <t>HREG_15115_Insulation_monitoring_protection_threshold_kΩ</t>
  </si>
  <si>
    <t>Ac overvoltage level 1 protection</t>
  </si>
  <si>
    <t>415120</t>
  </si>
  <si>
    <t>HREG_15119_Ac_overvoltage_level_1_protection_pct</t>
  </si>
  <si>
    <t>Ac overvoltage level 2 protection</t>
  </si>
  <si>
    <t>415121</t>
  </si>
  <si>
    <t>HREG_15120_Ac_overvoltage_level_2_protection_pct</t>
  </si>
  <si>
    <t>Ac overvoltage level 3 protection</t>
  </si>
  <si>
    <t>415122</t>
  </si>
  <si>
    <t>HREG_15121_Ac_overvoltage_level_3_protection_pct</t>
  </si>
  <si>
    <t>Ac overvoltage level 4 protection</t>
  </si>
  <si>
    <t>415123</t>
  </si>
  <si>
    <t>HREG_15122_Ac_overvoltage_level_4_protection_pct</t>
  </si>
  <si>
    <t>Ac overvoltage level 5 protection</t>
  </si>
  <si>
    <t>415124</t>
  </si>
  <si>
    <t>HREG_15123_Ac_overvoltage_level_5_protection_pct</t>
  </si>
  <si>
    <t>Vmax recover</t>
  </si>
  <si>
    <t>415130</t>
  </si>
  <si>
    <t>HREG_15129_Vmax_recover_pct</t>
  </si>
  <si>
    <t>Ac undervoltage level 1 protection</t>
  </si>
  <si>
    <t>415131</t>
  </si>
  <si>
    <t>HREG_15130_Ac_undervoltage_level_1_protection_pct</t>
  </si>
  <si>
    <t>Ac undervoltage level 2 protection</t>
  </si>
  <si>
    <t>415132</t>
  </si>
  <si>
    <t>HREG_15131_Ac_undervoltage_level_2_protection_pct</t>
  </si>
  <si>
    <t>Ac undervoltage level 3 protection</t>
  </si>
  <si>
    <t>415133</t>
  </si>
  <si>
    <t>HREG_15132_Ac_undervoltage_level_3_protection_pct</t>
  </si>
  <si>
    <t>Ac undervoltage level 4 protection</t>
  </si>
  <si>
    <t>415134</t>
  </si>
  <si>
    <t>HREG_15133_Ac_undervoltage_level_4_protection_pct</t>
  </si>
  <si>
    <t>Ac undervoltage level 5 protection</t>
  </si>
  <si>
    <t>415135</t>
  </si>
  <si>
    <t>HREG_15134_Ac_undervoltage_level_5_protection_pct</t>
  </si>
  <si>
    <t>Vmin recover</t>
  </si>
  <si>
    <t>415141</t>
  </si>
  <si>
    <t>HREG_15140_Vmin_recover_pct</t>
  </si>
  <si>
    <t>Grid over frequency level 1 protection</t>
  </si>
  <si>
    <t>415142</t>
  </si>
  <si>
    <t>HREG_15141_Grid_over_frequency_level_1_protection_Hz</t>
  </si>
  <si>
    <t>Grid over frequency level 2 protection</t>
  </si>
  <si>
    <t>415143</t>
  </si>
  <si>
    <t>HREG_15142_Grid_over_frequency_level_2_protection_Hz</t>
  </si>
  <si>
    <t>Grid over frequency level 3 protection</t>
  </si>
  <si>
    <t>415144</t>
  </si>
  <si>
    <t>HREG_15143_Grid_over_frequency_level_3_protection_Hz</t>
  </si>
  <si>
    <t>Grid over frequency level 4 protection</t>
  </si>
  <si>
    <t>415145</t>
  </si>
  <si>
    <t>HREG_15144_Grid_over_frequency_level_4_protection_Hz</t>
  </si>
  <si>
    <t>Grid over frequency level 5 protection</t>
  </si>
  <si>
    <t>415146</t>
  </si>
  <si>
    <t>HREG_15145_Grid_over_frequency_level_5_protection_Hz</t>
  </si>
  <si>
    <t>Fmax recover</t>
  </si>
  <si>
    <t>415152</t>
  </si>
  <si>
    <t>HREG_15151_Fmax_recover_Hz</t>
  </si>
  <si>
    <t>AC under frequency level 1 protection</t>
  </si>
  <si>
    <t>415153</t>
  </si>
  <si>
    <t>HREG_15152_AC_under_frequency_level_1_protection_Hz</t>
  </si>
  <si>
    <t>AC under frequency level 2 protection</t>
  </si>
  <si>
    <t>415154</t>
  </si>
  <si>
    <t>HREG_15153_AC_under_frequency_level_2_protection_Hz</t>
  </si>
  <si>
    <t>AC under frequency level 3 protection</t>
  </si>
  <si>
    <t>415155</t>
  </si>
  <si>
    <t>HREG_15154_AC_under_frequency_level_3_protection_Hz</t>
  </si>
  <si>
    <t>AC under frequency level 4 protection</t>
  </si>
  <si>
    <t>415156</t>
  </si>
  <si>
    <t>HREG_15155_AC_under_frequency_level_4_protection_Hz</t>
  </si>
  <si>
    <t>AC under frequency level 5 protection</t>
  </si>
  <si>
    <t>415157</t>
  </si>
  <si>
    <t>HREG_15156_AC_under_frequency_level_5_protection_Hz</t>
  </si>
  <si>
    <t>Fmin recover</t>
  </si>
  <si>
    <t>415163</t>
  </si>
  <si>
    <t>HREG_15162_Fmin_recover_Hz</t>
  </si>
  <si>
    <t>Floating mode</t>
  </si>
  <si>
    <t>415168</t>
  </si>
  <si>
    <t>HREG_15167_Floating_mode_Hz</t>
  </si>
  <si>
    <t>Over voltage level 1 trip time</t>
  </si>
  <si>
    <t>415170</t>
  </si>
  <si>
    <t>ms</t>
  </si>
  <si>
    <t>HREG_15169_Over_voltage_level_1_trip_time_ms</t>
  </si>
  <si>
    <t>Over voltage level 2 trip time</t>
  </si>
  <si>
    <t>415172</t>
  </si>
  <si>
    <t>HREG_15171_Over_voltage_level_2_trip_time_ms</t>
  </si>
  <si>
    <t>Over voltage level 3 trip time</t>
  </si>
  <si>
    <t>415174</t>
  </si>
  <si>
    <t>HREG_15173_Over_voltage_level_3_trip_time_ms</t>
  </si>
  <si>
    <t>Over voltage level 4 trip time</t>
  </si>
  <si>
    <t>415176</t>
  </si>
  <si>
    <t>HREG_15175_Over_voltage_level_4_trip_time_ms</t>
  </si>
  <si>
    <t>Over voltage level 5 trip time</t>
  </si>
  <si>
    <t>415178</t>
  </si>
  <si>
    <t>HREG_15177_Over_voltage_level_5_trip_time_ms</t>
  </si>
  <si>
    <t>Under voltage level 1 trip time</t>
  </si>
  <si>
    <t>415180</t>
  </si>
  <si>
    <t>HREG_15179_Under_voltage_level_1_trip_time_ms</t>
  </si>
  <si>
    <t>Under voltage level 2 trip time</t>
  </si>
  <si>
    <t>415182</t>
  </si>
  <si>
    <t>HREG_15181_Under_voltage_level_2_trip_time_ms</t>
  </si>
  <si>
    <t>Under voltage level 3 trip time</t>
  </si>
  <si>
    <t>415184</t>
  </si>
  <si>
    <t>HREG_15183_Under_voltage_level_3_trip_time_ms</t>
  </si>
  <si>
    <t>Under voltage level 4 trip time</t>
  </si>
  <si>
    <t>415186</t>
  </si>
  <si>
    <t>HREG_15185_Under_voltage_level_4_trip_time_ms</t>
  </si>
  <si>
    <t>Under voltage level 5 trip time</t>
  </si>
  <si>
    <t>415188</t>
  </si>
  <si>
    <t>HREG_15187_Under_voltage_level_5_trip_time_ms</t>
  </si>
  <si>
    <t>Over frequency level 1 trip time</t>
  </si>
  <si>
    <t>415190</t>
  </si>
  <si>
    <t>HREG_15189_Over_frequency_level_1_trip_time_ms</t>
  </si>
  <si>
    <t>Over frequency level 2 trip time</t>
  </si>
  <si>
    <t>415192</t>
  </si>
  <si>
    <t>HREG_15191_Over_frequency_level_2_trip_time_ms</t>
  </si>
  <si>
    <t>Over frequency level 3 trip time</t>
  </si>
  <si>
    <t>415194</t>
  </si>
  <si>
    <t>HREG_15193_Over_frequency_level_3_trip_time_ms</t>
  </si>
  <si>
    <t>Over frequency level 4 trip time</t>
  </si>
  <si>
    <t>415196</t>
  </si>
  <si>
    <t>HREG_15195_Over_frequency_level_4_trip_time_ms</t>
  </si>
  <si>
    <t>Over frequency level 5 trip time</t>
  </si>
  <si>
    <t>415198</t>
  </si>
  <si>
    <t>HREG_15197_Over_frequency_level_5_trip_time_ms</t>
  </si>
  <si>
    <t>Under frequency level 1 trip time</t>
  </si>
  <si>
    <t>415200</t>
  </si>
  <si>
    <t>HREG_15199_Under_frequency_level_1_trip_time_ms</t>
  </si>
  <si>
    <t>Under frequency level 2 trip time</t>
  </si>
  <si>
    <t>415202</t>
  </si>
  <si>
    <t>HREG_15201_Under_frequency_level_2_trip_time_ms</t>
  </si>
  <si>
    <t>Under frequency level 3 trip time</t>
  </si>
  <si>
    <t>415204</t>
  </si>
  <si>
    <t>HREG_15203_Under_frequency_level_3_trip_time_ms</t>
  </si>
  <si>
    <t>Under frequency level 4 trip time</t>
  </si>
  <si>
    <t>415206</t>
  </si>
  <si>
    <t>HREG_15205_Under_frequency_level_4_trip_time_ms</t>
  </si>
  <si>
    <t>Under frequency level 5 trip time</t>
  </si>
  <si>
    <t>415208</t>
  </si>
  <si>
    <t>HREG_15207_Under_frequency_level_5_trip_time_ms</t>
  </si>
  <si>
    <t>Active power control closed loop enable disable</t>
  </si>
  <si>
    <t>415212</t>
  </si>
  <si>
    <t>HREG_15211_Active_power_control_closed_loop_enable_disable</t>
  </si>
  <si>
    <t>Reactive power control closed loop enable disable</t>
  </si>
  <si>
    <t>415213</t>
  </si>
  <si>
    <t>HREG_15212_Reactive_power_control_closed_loop_enable_disable</t>
  </si>
  <si>
    <t>Overfrequency derating output variation baseline</t>
  </si>
  <si>
    <t>415222</t>
  </si>
  <si>
    <t>HREG_15221_Overfrequency_derating_output_variation_baseline</t>
  </si>
  <si>
    <t>16#A1-16#A4</t>
  </si>
  <si>
    <t>Underfrequency rising output change base</t>
  </si>
  <si>
    <t>415223</t>
  </si>
  <si>
    <t>HREG_15222_Underfrequency_rising_output_change_base</t>
  </si>
  <si>
    <t>Reactive power response time</t>
  </si>
  <si>
    <t>415224</t>
  </si>
  <si>
    <t>HREG_15223_Reactive_power_response_time_s</t>
  </si>
  <si>
    <t>QP_K1</t>
  </si>
  <si>
    <t>415225</t>
  </si>
  <si>
    <t>HREG_15224_QP_K1_PU</t>
  </si>
  <si>
    <t>QP_K2</t>
  </si>
  <si>
    <t>415226</t>
  </si>
  <si>
    <t>HREG_15225_QP_K2_PU</t>
  </si>
  <si>
    <t>QP_K3</t>
  </si>
  <si>
    <t>415227</t>
  </si>
  <si>
    <t>HREG_15226_QP_K3_PU</t>
  </si>
  <si>
    <t>QP_P1</t>
  </si>
  <si>
    <t>415228</t>
  </si>
  <si>
    <t>HREG_15227_QP_P1_PU</t>
  </si>
  <si>
    <t>QP_P2</t>
  </si>
  <si>
    <t>415229</t>
  </si>
  <si>
    <t>HREG_15228_QP_P2_PU</t>
  </si>
  <si>
    <t>QP_P3</t>
  </si>
  <si>
    <t>415230</t>
  </si>
  <si>
    <t>HREG_15229_QP_P3_PU</t>
  </si>
  <si>
    <t>QP mode</t>
  </si>
  <si>
    <t>415231</t>
  </si>
  <si>
    <t>HREG_15230_QP_mode</t>
  </si>
  <si>
    <t>16#A1 to 16#A2</t>
  </si>
  <si>
    <t>Heartbeat timeout period</t>
  </si>
  <si>
    <t>415249</t>
  </si>
  <si>
    <t>HREG_15248_Heartbeat_timeout_period_s</t>
  </si>
  <si>
    <t>Grid connection maximum voltage</t>
  </si>
  <si>
    <t>415257</t>
  </si>
  <si>
    <t>HREG_15256_Grid_connection_maximum_voltage_pct</t>
  </si>
  <si>
    <t>Grid connection minimum voltage</t>
  </si>
  <si>
    <t>415258</t>
  </si>
  <si>
    <t>HREG_15257_Grid_connection_minimum_voltage_pct</t>
  </si>
  <si>
    <t>Grid connection maximum frequency</t>
  </si>
  <si>
    <t>415259</t>
  </si>
  <si>
    <t>HREG_15258_Grid_connection_maximum_frequency_Hz</t>
  </si>
  <si>
    <t>Grid connection minimum frequency</t>
  </si>
  <si>
    <t>415260</t>
  </si>
  <si>
    <t>HREG_15259_Grid_connection_minimum_frequency_Hz</t>
  </si>
  <si>
    <t>Grid detection before connection</t>
  </si>
  <si>
    <t>415261</t>
  </si>
  <si>
    <t>HREG_15260_Grid_detection_before_connection</t>
  </si>
  <si>
    <t>Boot waiting time</t>
  </si>
  <si>
    <t>415262</t>
  </si>
  <si>
    <t>HREG_15261_Boot_waiting_time</t>
  </si>
  <si>
    <t>Active power soft start</t>
  </si>
  <si>
    <t>415263</t>
  </si>
  <si>
    <t>Enabled</t>
  </si>
  <si>
    <t>Disabled</t>
  </si>
  <si>
    <t>HREG_15262_Active_power_soft_start</t>
  </si>
  <si>
    <t>Reactive power soft start</t>
  </si>
  <si>
    <t>415264</t>
  </si>
  <si>
    <t>HREG_15263_Reactive_power_soft_start</t>
  </si>
  <si>
    <t>Specified overexcitation PF</t>
  </si>
  <si>
    <t>415265</t>
  </si>
  <si>
    <t>HREG_15264_Specified_overexcitation_PF</t>
  </si>
  <si>
    <t>Specified underrexcitation PF</t>
  </si>
  <si>
    <t>415266</t>
  </si>
  <si>
    <t>HREG_15265_Specified_underrexcitation_PF</t>
  </si>
  <si>
    <t>QU reference voltage automatic adjustment</t>
  </si>
  <si>
    <t>415267</t>
  </si>
  <si>
    <t>HREG_15266_QU_reference_voltage_automatic_adjustment</t>
  </si>
  <si>
    <t>QU reference voltage adjustment</t>
  </si>
  <si>
    <t>415268</t>
  </si>
  <si>
    <t>HREG_15267_QU_reference_voltage_adjustment</t>
  </si>
  <si>
    <t>QU reference voltage automatic adjustment time</t>
  </si>
  <si>
    <t>415269</t>
  </si>
  <si>
    <t>HREG_15268_QU_reference_voltage_automatic_adjustment_time</t>
  </si>
  <si>
    <t>Overvoltage derating start point</t>
  </si>
  <si>
    <t>415270</t>
  </si>
  <si>
    <t>HREG_15269_Overvoltage_derating_start_point_pct</t>
  </si>
  <si>
    <t>Overvoltage derating power start point</t>
  </si>
  <si>
    <t>415271</t>
  </si>
  <si>
    <t>HREG_15270_Overvoltage_derating_power_start_point_pct</t>
  </si>
  <si>
    <t>Overvoltage derating end point</t>
  </si>
  <si>
    <t>415272</t>
  </si>
  <si>
    <t>HREG_15271_Overvoltage_derating_end_point_pct</t>
  </si>
  <si>
    <t>Overvoltage derating power end point</t>
  </si>
  <si>
    <t>415273</t>
  </si>
  <si>
    <t>HREG_15272_Overvoltage_derating_power_end_point_pct</t>
  </si>
  <si>
    <t>Voltage derating response time</t>
  </si>
  <si>
    <t>415274</t>
  </si>
  <si>
    <t>HREG_15273_Voltage_derating_response_time_s</t>
  </si>
  <si>
    <t>Over frequency response time</t>
  </si>
  <si>
    <t>415275</t>
  </si>
  <si>
    <t>HREG_15274_Over_frequency_response_time_s</t>
  </si>
  <si>
    <t>Under frequency response time</t>
  </si>
  <si>
    <t>415276</t>
  </si>
  <si>
    <t>HREG_15275_Under_frequency_response_time_s</t>
  </si>
  <si>
    <t>Over frequency response delay time</t>
  </si>
  <si>
    <t>415281</t>
  </si>
  <si>
    <t>HREG_15280_Over_frequency_response_delay_time_ms</t>
  </si>
  <si>
    <t>Under frequency response delay time</t>
  </si>
  <si>
    <t>415282</t>
  </si>
  <si>
    <t>HREG_15281_Under_frequency_response_delay_time_ms</t>
  </si>
  <si>
    <t>Disconnection countdown time</t>
  </si>
  <si>
    <t>415306</t>
  </si>
  <si>
    <t>HREG_15305_Disconnection_countdown_time_s</t>
  </si>
  <si>
    <t>Number of disconnections</t>
  </si>
  <si>
    <t>415307</t>
  </si>
  <si>
    <t>HREG_15306_Number_of_disconnections</t>
  </si>
  <si>
    <t>Disconnection time</t>
  </si>
  <si>
    <t>415308</t>
  </si>
  <si>
    <t>HREG_15307_Disconnection_time_ms</t>
  </si>
  <si>
    <t>Shutdown slope at disconnections</t>
  </si>
  <si>
    <t>415309</t>
  </si>
  <si>
    <t>HREG_15308_Shutdown_slope_at_disconnections_pct_per_s</t>
  </si>
  <si>
    <t>Zone monitoring</t>
  </si>
  <si>
    <t>415800</t>
  </si>
  <si>
    <t>State change</t>
  </si>
  <si>
    <t>Enable</t>
  </si>
  <si>
    <t>Disable</t>
  </si>
  <si>
    <t>HREG_15799_Zone_monitoring_boolean</t>
  </si>
  <si>
    <t>Sensitivity</t>
  </si>
  <si>
    <t>415802</t>
  </si>
  <si>
    <t>HREG_15801_Sensitivity</t>
  </si>
  <si>
    <t>Clear zone monitor data</t>
  </si>
  <si>
    <t>415803</t>
  </si>
  <si>
    <t>Clear</t>
  </si>
  <si>
    <t>No Action</t>
  </si>
  <si>
    <t>HREG_15802_Clear_zone_monitor_data_boolean</t>
  </si>
  <si>
    <t>Clear fault</t>
  </si>
  <si>
    <t>415804</t>
  </si>
  <si>
    <t>HREG_15803_Clear_fault_boolean</t>
  </si>
  <si>
    <t>U1 number of strings on branch 1</t>
  </si>
  <si>
    <t>415805</t>
  </si>
  <si>
    <t>HREG_15804_U1_number_of_strings_on_branch_1_count</t>
  </si>
  <si>
    <t>U1 number of strings on branch 2</t>
  </si>
  <si>
    <t>415806</t>
  </si>
  <si>
    <t>HREG_15805_U1_number_of_strings_on_branch_2_count</t>
  </si>
  <si>
    <t>U1 number of strings on branch 3</t>
  </si>
  <si>
    <t>415807</t>
  </si>
  <si>
    <t>HREG_15806_U1_number_of_strings_on_branch_3_count</t>
  </si>
  <si>
    <t>U1 number of strings on branch 4</t>
  </si>
  <si>
    <t>415808</t>
  </si>
  <si>
    <t>HREG_15807_U1_number_of_strings_on_branch_4_count</t>
  </si>
  <si>
    <t>U1 number of strings on branch 5</t>
  </si>
  <si>
    <t>415809</t>
  </si>
  <si>
    <t>HREG_15808_U1_number_of_strings_on_branch_5_count</t>
  </si>
  <si>
    <t>U1 number of strings on branch 6</t>
  </si>
  <si>
    <t>415810</t>
  </si>
  <si>
    <t>HREG_15809_U1_number_of_strings_on_branch_6_count</t>
  </si>
  <si>
    <t>U1 number of strings on branch 7</t>
  </si>
  <si>
    <t>415811</t>
  </si>
  <si>
    <t>HREG_15810_U1_number_of_strings_on_branch_7_count</t>
  </si>
  <si>
    <t>U2 number of strings on branch 1</t>
  </si>
  <si>
    <t>415821</t>
  </si>
  <si>
    <t>HREG_15820_U2_number_of_strings_on_branch_1_count</t>
  </si>
  <si>
    <t>U2 number of strings on branch 2</t>
  </si>
  <si>
    <t>415822</t>
  </si>
  <si>
    <t>HREG_15821_U2_number_of_strings_on_branch_2_count</t>
  </si>
  <si>
    <t>U2 number of strings on branch 3</t>
  </si>
  <si>
    <t>415823</t>
  </si>
  <si>
    <t>HREG_15822_U2_number_of_strings_on_branch_3_count</t>
  </si>
  <si>
    <t>U2 number of strings on branch 4</t>
  </si>
  <si>
    <t>415824</t>
  </si>
  <si>
    <t>HREG_15823_U2_number_of_strings_on_branch_4_count</t>
  </si>
  <si>
    <t>U2 number of strings on branch 5</t>
  </si>
  <si>
    <t>415825</t>
  </si>
  <si>
    <t>HREG_15824_U2_number_of_strings_on_branch_5_count</t>
  </si>
  <si>
    <t>U2 number of strings on branch 6</t>
  </si>
  <si>
    <t>415826</t>
  </si>
  <si>
    <t>HREG_15825_U2_number_of_strings_on_branch_6_count</t>
  </si>
  <si>
    <t>U2 number of strings on branch 7</t>
  </si>
  <si>
    <t>415827</t>
  </si>
  <si>
    <t>HREG_15826_U2_number_of_strings_on_branch_7_count</t>
  </si>
  <si>
    <t>U3 number of strings on branch 1</t>
  </si>
  <si>
    <t>415837</t>
  </si>
  <si>
    <t>HREG_15836_U3_number_of_strings_on_branch_1_count</t>
  </si>
  <si>
    <t>U3 number of strings on branch 2</t>
  </si>
  <si>
    <t>415838</t>
  </si>
  <si>
    <t>HREG_15837_U3_number_of_strings_on_branch_2_count</t>
  </si>
  <si>
    <t>U3 number of strings on branch 3</t>
  </si>
  <si>
    <t>415839</t>
  </si>
  <si>
    <t>HREG_15838_U3_number_of_strings_on_branch_3_count</t>
  </si>
  <si>
    <t>U3 number of strings on branch 4</t>
  </si>
  <si>
    <t>415840</t>
  </si>
  <si>
    <t>HREG_15839_U3_number_of_strings_on_branch_4_count</t>
  </si>
  <si>
    <t>U3 number of strings on branch 5</t>
  </si>
  <si>
    <t>415841</t>
  </si>
  <si>
    <t>HREG_15840_U3_number_of_strings_on_branch_5_count</t>
  </si>
  <si>
    <t>U3 number of strings on branch 6</t>
  </si>
  <si>
    <t>415842</t>
  </si>
  <si>
    <t>HREG_15841_U3_number_of_strings_on_branch_6_count</t>
  </si>
  <si>
    <t>U3 number of strings on branch 7</t>
  </si>
  <si>
    <t>415843</t>
  </si>
  <si>
    <t>HREG_15842_U3_number_of_strings_on_branch_7_count</t>
  </si>
  <si>
    <t>U4 number of strings on branch 1</t>
  </si>
  <si>
    <t>415853</t>
  </si>
  <si>
    <t>HREG_15852_U4_number_of_strings_on_branch_1_count</t>
  </si>
  <si>
    <t>U4 number of strings on branch 2</t>
  </si>
  <si>
    <t>415854</t>
  </si>
  <si>
    <t>HREG_15853_U4_number_of_strings_on_branch_2_count</t>
  </si>
  <si>
    <t>U4 number of strings on branch 3</t>
  </si>
  <si>
    <t>415855</t>
  </si>
  <si>
    <t>HREG_15854_U4_number_of_strings_on_branch_3_count</t>
  </si>
  <si>
    <t>U4 number of strings on branch 4</t>
  </si>
  <si>
    <t>415856</t>
  </si>
  <si>
    <t>HREG_15855_U4_number_of_strings_on_branch_4_count</t>
  </si>
  <si>
    <t>U4 number of strings on branch 5</t>
  </si>
  <si>
    <t>415857</t>
  </si>
  <si>
    <t>HREG_15856_U4_number_of_strings_on_branch_5_count</t>
  </si>
  <si>
    <t>U4 number of strings on branch 6</t>
  </si>
  <si>
    <t>415858</t>
  </si>
  <si>
    <t>HREG_15857_U4_number_of_strings_on_branch_6_count</t>
  </si>
  <si>
    <t>U4 number of strings on branch 7</t>
  </si>
  <si>
    <t>415859</t>
  </si>
  <si>
    <t>HREG_15858_U4_number_of_strings_on_branch_7_count</t>
  </si>
  <si>
    <t>Met Tower to PPC</t>
  </si>
  <si>
    <t>Groundwork Zenith</t>
  </si>
  <si>
    <t>Environmental</t>
  </si>
  <si>
    <t>Scan count</t>
  </si>
  <si>
    <t>32-bit float</t>
  </si>
  <si>
    <t>HREG_0000_Scan_count_s</t>
  </si>
  <si>
    <t>Skipped scans</t>
  </si>
  <si>
    <t>HREG_0002_Skipped_scans_count</t>
  </si>
  <si>
    <t>Logger voltage</t>
  </si>
  <si>
    <t>HREG_0004_Logger_voltage_V</t>
  </si>
  <si>
    <t>Logger temp</t>
  </si>
  <si>
    <t>HREG_0006_Logger_temp_DegC</t>
  </si>
  <si>
    <t>Skipped slow scans</t>
  </si>
  <si>
    <t>HREG_0008_Skipped_slow_scans_count</t>
  </si>
  <si>
    <t>Logger lithium</t>
  </si>
  <si>
    <t>HREG_0010_Logger_lithium_V</t>
  </si>
  <si>
    <t>Logger low volt 12</t>
  </si>
  <si>
    <t>HREG_0012_Logger_low_volt_12_count</t>
  </si>
  <si>
    <t>Solar zenith</t>
  </si>
  <si>
    <t>HREG_0016_Solar_zenith_degrees</t>
  </si>
  <si>
    <t>Solar elevation</t>
  </si>
  <si>
    <t>HREG_0018_Solar_elevation_degrees</t>
  </si>
  <si>
    <t>Solar azimuth</t>
  </si>
  <si>
    <t>HREG_0020_Solar_azimuth_degrees</t>
  </si>
  <si>
    <t>Heat state</t>
  </si>
  <si>
    <t>HREG_0022_Heat_state_boolean</t>
  </si>
  <si>
    <t>Logger data map version</t>
  </si>
  <si>
    <t>HREG_0024_Logger_data_map_version</t>
  </si>
  <si>
    <t>Maint event</t>
  </si>
  <si>
    <t>HREG_0026_Maint_event_boolean</t>
  </si>
  <si>
    <t>Logger AC power available</t>
  </si>
  <si>
    <t>HREG_0028_Logger_AC_power_available_boolean</t>
  </si>
  <si>
    <t>Batt voltage</t>
  </si>
  <si>
    <t>HREG_0030_Batt_voltage_V</t>
  </si>
  <si>
    <t>Batt current</t>
  </si>
  <si>
    <t>HREG_0032_Batt_current_A</t>
  </si>
  <si>
    <t>Load current</t>
  </si>
  <si>
    <t>HREG_0034_Load_current_A</t>
  </si>
  <si>
    <t>Input voltage 1</t>
  </si>
  <si>
    <t>HREG_0036_Input_voltage_1_V</t>
  </si>
  <si>
    <t>Chargesource</t>
  </si>
  <si>
    <t>HREG_0040_Chargesource</t>
  </si>
  <si>
    <t>0 = None, 1 = Solar, 2 = AC Power</t>
  </si>
  <si>
    <t>Checkbattery</t>
  </si>
  <si>
    <t>HREG_0042_Checkbattery</t>
  </si>
  <si>
    <t>Input voltage 2</t>
  </si>
  <si>
    <t>HREG_0044_Input_voltage_2_V</t>
  </si>
  <si>
    <t>POA</t>
  </si>
  <si>
    <t>HREG_0046_POA_W_per_m2</t>
  </si>
  <si>
    <t>POA temperature compensated</t>
  </si>
  <si>
    <t>HREG_0048_POA_temperature_compensated_W_per_m2</t>
  </si>
  <si>
    <t>POA temp</t>
  </si>
  <si>
    <t>HREG_0050_POA_temp_DegC</t>
  </si>
  <si>
    <t>GHI</t>
  </si>
  <si>
    <t>HREG_0052_GHI_W_per_m2</t>
  </si>
  <si>
    <t>GHI temperature compensated</t>
  </si>
  <si>
    <t>HREG_0054_GHI_temperature_compensated_W_per_m2</t>
  </si>
  <si>
    <t>GHI temp</t>
  </si>
  <si>
    <t>HREG_0056_GHI_temp_DegC</t>
  </si>
  <si>
    <t>Ambient temp</t>
  </si>
  <si>
    <t>HREG_0074_Ambient_temp_DegC</t>
  </si>
  <si>
    <t>Dew point</t>
  </si>
  <si>
    <t>HREG_0076_Dew_point_DegC</t>
  </si>
  <si>
    <t>RH</t>
  </si>
  <si>
    <t>HREG_0078_RH_pct</t>
  </si>
  <si>
    <t>Wind speed</t>
  </si>
  <si>
    <t>HREG_0080_Wind_speed_m_per_s</t>
  </si>
  <si>
    <t>Wind speed max</t>
  </si>
  <si>
    <t>HREG_0082_Wind_speed_max_m_per_s</t>
  </si>
  <si>
    <t>Wind dir</t>
  </si>
  <si>
    <t>HREG_0084_Wind_dir_degrees</t>
  </si>
  <si>
    <t>Wsxxx wind quality</t>
  </si>
  <si>
    <t>HREG_0086_Wsxxx_wind_quality_pct</t>
  </si>
  <si>
    <t>BP</t>
  </si>
  <si>
    <t>HREG_0088_BP_mbar</t>
  </si>
  <si>
    <t>BP sea level</t>
  </si>
  <si>
    <t>HREG_0090_BP_sea_level_mbar</t>
  </si>
  <si>
    <t>Wsxxx compass</t>
  </si>
  <si>
    <t>HREG_0092_Wsxxx_compass_degrees</t>
  </si>
  <si>
    <t>Wind chill</t>
  </si>
  <si>
    <t>HREG_0094_Wind_chill_DegC</t>
  </si>
  <si>
    <t>Heat index</t>
  </si>
  <si>
    <t>HREG_0096_Heat_index_DegC</t>
  </si>
  <si>
    <t>Rain instantaneous</t>
  </si>
  <si>
    <t>HREG_0104_Rain_instantaneous_mm</t>
  </si>
  <si>
    <t>Rain intensity</t>
  </si>
  <si>
    <t>HREG_0106_Rain_intensity_mm_per_hr</t>
  </si>
  <si>
    <t>Rain today</t>
  </si>
  <si>
    <t>HREG_0108_Rain_today_mm_per_day</t>
  </si>
  <si>
    <t>BOM temp 1</t>
  </si>
  <si>
    <t>HREG_0124_BOM_temp_1_DegC</t>
  </si>
  <si>
    <t>BOM temp 2</t>
  </si>
  <si>
    <t>HREG_0126_BOM_temp_2_DegC</t>
  </si>
  <si>
    <t>BOM temp 3</t>
  </si>
  <si>
    <t>HREG_0128_BOM_temp_3_DegC</t>
  </si>
  <si>
    <t>POA insolation</t>
  </si>
  <si>
    <t>HREG_0174_POA_insolation_Wh_per_m²</t>
  </si>
  <si>
    <t>GHI insolation</t>
  </si>
  <si>
    <t>HREG_0176_GHI_insolation_Wh_per_m²</t>
  </si>
  <si>
    <t>Hourly POA avg</t>
  </si>
  <si>
    <t>HREG_0198_Hourly_POA_avg_W_per_m2</t>
  </si>
  <si>
    <t>Hourly POA temperature compensated avg</t>
  </si>
  <si>
    <t>HREG_0200_Hourly_POA_temperature_compensated_avg_W_per_m2</t>
  </si>
  <si>
    <t>Hourly POA temp avg</t>
  </si>
  <si>
    <t>HREG_0202_Hourly_POA_temp_avg_DegC</t>
  </si>
  <si>
    <t>Hourly GHI avg</t>
  </si>
  <si>
    <t>HREG_0204_Hourly_GHI_avg_W_per_m2</t>
  </si>
  <si>
    <t>Hourly GHI temperature compensated avg</t>
  </si>
  <si>
    <t>HREG_0206_Hourly_GHI_temperature_compensated_avg_W_per_m2</t>
  </si>
  <si>
    <t>Hourly GHI temp avg</t>
  </si>
  <si>
    <t>HREG_0208_Hourly_GHI_temp_avg_DegC</t>
  </si>
  <si>
    <t>Hourly ambient temp avg</t>
  </si>
  <si>
    <t>HREG_0226_Hourly_ambient_temp_avg_DegC</t>
  </si>
  <si>
    <t>Hourly dew point avg</t>
  </si>
  <si>
    <t>HREG_0228_Hourly_dew_point_avg_DegC</t>
  </si>
  <si>
    <t>Hourly RH</t>
  </si>
  <si>
    <t>HREG_0230_Hourly_RH_pct</t>
  </si>
  <si>
    <t>Hourly wind speed mean</t>
  </si>
  <si>
    <t>HREG_0232_Hourly_wind_speed_mean_m_per_s</t>
  </si>
  <si>
    <t>Hourly wind speed max</t>
  </si>
  <si>
    <t>HREG_0234_Hourly_wind_speed_max_m_per_s</t>
  </si>
  <si>
    <t>Hourly wind dir mean</t>
  </si>
  <si>
    <t>HREG_0236_Hourly_wind_dir_mean_Degrees</t>
  </si>
  <si>
    <t>Hourly BP avg</t>
  </si>
  <si>
    <t>HREG_0238_Hourly_BP_avg_mbar</t>
  </si>
  <si>
    <t>Hourly BP sea level avg</t>
  </si>
  <si>
    <t>HREG_0240_Hourly_BP_sea_level_avg_mbar</t>
  </si>
  <si>
    <t>Hourly wsxxx compass</t>
  </si>
  <si>
    <t>HREG_0242_Hourly_wsxxx_compass_degrees</t>
  </si>
  <si>
    <t>Hourly wind chill avg</t>
  </si>
  <si>
    <t>HREG_0244_Hourly_wind_chill_avg_DegC</t>
  </si>
  <si>
    <t>Hourly heat index avg</t>
  </si>
  <si>
    <t>HREG_0246_Hourly_heat_index_avg_DegC</t>
  </si>
  <si>
    <t>Hourly rain instantaneous tot</t>
  </si>
  <si>
    <t>HREG_0254_Hourly_rain_instantaneous_tot_mm</t>
  </si>
  <si>
    <t>Hourly rain intensity avg</t>
  </si>
  <si>
    <t>HREG_0256_Hourly_rain_intensity_avg_mm_per_hr</t>
  </si>
  <si>
    <t>Hourly rain intensity max</t>
  </si>
  <si>
    <t>HREG_0258_Hourly_rain_intensity_max_mm_per_hr</t>
  </si>
  <si>
    <t>Hourly BOM temp 1 avg</t>
  </si>
  <si>
    <t>HREG_0274_Hourly_BOM_temp_1_avg_DegC</t>
  </si>
  <si>
    <t>Hourly BOM temp 2 avg</t>
  </si>
  <si>
    <t>HREG_0276_Hourly_BOM_temp_2_avg_DegC</t>
  </si>
  <si>
    <t>Hourly BOM temp 3 avg</t>
  </si>
  <si>
    <t>HREG_0278_Hourly_BOM_temp_3_avg_DegC</t>
  </si>
  <si>
    <t>Hourly POA insolation tot</t>
  </si>
  <si>
    <t>HREG_0324_Hourly_POA_insolation_tot_Wh_per_m²</t>
  </si>
  <si>
    <t>Hourly GHI insolation tot</t>
  </si>
  <si>
    <t>HREG_0326_Hourly_GHI_insolation_tot_Wh_per_m²</t>
  </si>
  <si>
    <t>POA humidity</t>
  </si>
  <si>
    <t>HREG_0350_POA_humidity_pct</t>
  </si>
  <si>
    <t>POA humidity temp</t>
  </si>
  <si>
    <t>HREG_0352_POA_humidity_temp_DegC</t>
  </si>
  <si>
    <t>POA tilt</t>
  </si>
  <si>
    <t>HREG_0354_POA_tilt_Degrees</t>
  </si>
  <si>
    <t>POA fan speed</t>
  </si>
  <si>
    <t>HREG_0356_POA_fan_speed_RPM</t>
  </si>
  <si>
    <t>POA heat current</t>
  </si>
  <si>
    <t>HREG_0358_POA_heat_current_mA</t>
  </si>
  <si>
    <t>GHI humidity</t>
  </si>
  <si>
    <t>HREG_0362_GHI_humidity_pct</t>
  </si>
  <si>
    <t>GHI humidity temp</t>
  </si>
  <si>
    <t>HREG_0364_GHI_humidity_temp_DegC</t>
  </si>
  <si>
    <t>GHI tilt</t>
  </si>
  <si>
    <t>HREG_0366_GHI_tilt_Degrees</t>
  </si>
  <si>
    <t>GHI fan speed</t>
  </si>
  <si>
    <t>HREG_0368_GHI_fan_speed_RPM</t>
  </si>
  <si>
    <t>GHI heat current</t>
  </si>
  <si>
    <t>HREG_0370_GHI_heat_current_mA</t>
  </si>
  <si>
    <t>HREG_0404_Logger_temp_DegF</t>
  </si>
  <si>
    <t>Ambient temp f</t>
  </si>
  <si>
    <t>HREG_0472_Ambient_temp_f_DegF</t>
  </si>
  <si>
    <t>HREG_0474_Dew_point_DegF</t>
  </si>
  <si>
    <t>HREG_0478_Wind_speed_mph</t>
  </si>
  <si>
    <t>HREG_0480_Wind_speed_max_mph</t>
  </si>
  <si>
    <t>BP hg</t>
  </si>
  <si>
    <t>HREG_0486_BP_hg_inHg</t>
  </si>
  <si>
    <t>BP sea level hg</t>
  </si>
  <si>
    <t>HREG_0488_BP_sea_level_hg_inHg</t>
  </si>
  <si>
    <t>HREG_0502_Rain_instantaneous_in</t>
  </si>
  <si>
    <t>HREG_0504_Rain_intensity_in_per_hr</t>
  </si>
  <si>
    <t>HREG_0506_Rain_today_in_per_day</t>
  </si>
  <si>
    <t>HREG_0522_BOM_temp_1_DegF</t>
  </si>
  <si>
    <t>HREG_0524_BOM_temp_2_DegF</t>
  </si>
  <si>
    <t>HREG_0526_BOM_temp_3_DegF</t>
  </si>
  <si>
    <t>RPOA irradiance</t>
  </si>
  <si>
    <t>HREG_0746_RPOA_irradiance_W_per_m2</t>
  </si>
  <si>
    <t>RPOA temperature corrected irradiance</t>
  </si>
  <si>
    <t>HREG_0748_RPOA_temperature_corrected_irradiance_W_per_m2</t>
  </si>
  <si>
    <t>RPOA case temp</t>
  </si>
  <si>
    <t>HREG_0750_RPOA_case_temp_degC</t>
  </si>
  <si>
    <t>RPOA isolation</t>
  </si>
  <si>
    <t>HREG_0752_RPOA_isolation_Wh_per_m2</t>
  </si>
  <si>
    <t xml:space="preserve">RPOA unit humidity </t>
  </si>
  <si>
    <t>HREG_0770_RPOA_unit_humidity__pct</t>
  </si>
  <si>
    <t xml:space="preserve">RPOA unit temp </t>
  </si>
  <si>
    <t>HREG_0772_RPOA_unit_temp__degC</t>
  </si>
  <si>
    <t>RPOA unit tilt</t>
  </si>
  <si>
    <t>HREG_0774_RPOA_unit_tilt_degrees</t>
  </si>
  <si>
    <t>RPOA unit fan speed</t>
  </si>
  <si>
    <t>HREG_0776_RPOA_unit_fan_speed_rpm</t>
  </si>
  <si>
    <t>Modeled GHI</t>
  </si>
  <si>
    <t>HREG_0798_Modeled_GHI_W_per_m2</t>
  </si>
  <si>
    <t>Modeled DHI</t>
  </si>
  <si>
    <t>HREG_0800_Modeled_DHI_W_per_m2</t>
  </si>
  <si>
    <t>Modeled DNI</t>
  </si>
  <si>
    <t>HREG_0802_Modeled_DNI_W_per_m2</t>
  </si>
  <si>
    <t>Modeled POA</t>
  </si>
  <si>
    <t>HREG_0803_Modeled_POA_W_per_m2</t>
  </si>
  <si>
    <t>RPOA hourly irradiance</t>
  </si>
  <si>
    <t>HREG_0838_RPOA_hourly_irradiance_W_per_m2</t>
  </si>
  <si>
    <t>RPOA hourly temperature corrected irradiance</t>
  </si>
  <si>
    <t>HREG_0840_RPOA_hourly_temperature_corrected_irradiance_W_per_m2</t>
  </si>
  <si>
    <t>RPOA hourly case temp</t>
  </si>
  <si>
    <t>HREG_0842_RPOA_hourly_case_temp_degC</t>
  </si>
  <si>
    <t>RPOA hourly insolation</t>
  </si>
  <si>
    <t>HREG_0844_RPOA_hourly_insolation_Wh_per_m2</t>
  </si>
  <si>
    <t>Summary alarm</t>
  </si>
  <si>
    <t>32-bit unsigned int</t>
  </si>
  <si>
    <t>HREG_2000_Summary_alarm</t>
  </si>
  <si>
    <t>Data logger alarms register</t>
  </si>
  <si>
    <t>HREG_2002_Data_logger_alarms_register</t>
  </si>
  <si>
    <t>Data logger watchdog error</t>
  </si>
  <si>
    <t>HREG_2002_Data_logger_watchdog_error</t>
  </si>
  <si>
    <t>Data logger skipped main scan</t>
  </si>
  <si>
    <t>HREG_2002_Data_logger_skipped_main_scan</t>
  </si>
  <si>
    <t>Data logger skipped slow scan</t>
  </si>
  <si>
    <t>HREG_2002_Data_logger_skipped_slow_scan</t>
  </si>
  <si>
    <t>Data logger program variable out of bounds</t>
  </si>
  <si>
    <t>HREG_2002_Data_logger_program_variable_out_of_bounds</t>
  </si>
  <si>
    <t>Data logger low 12V</t>
  </si>
  <si>
    <t>HREG_2002_Data_logger_low_12V</t>
  </si>
  <si>
    <t>Data logger low 5V</t>
  </si>
  <si>
    <t>HREG_2002_Data_logger_low_5V</t>
  </si>
  <si>
    <t>Data logger lithium battery error</t>
  </si>
  <si>
    <t>HREG_2002_Data_logger_lithium_battery_error</t>
  </si>
  <si>
    <t>Data logger lithium battery low</t>
  </si>
  <si>
    <t>HREG_2002_Data_logger_lithium_battery_low</t>
  </si>
  <si>
    <t>Data logger lithium battery critical</t>
  </si>
  <si>
    <t>HREG_2002_Data_logger_lithium_battery_critical</t>
  </si>
  <si>
    <t>Data logger voltage error</t>
  </si>
  <si>
    <t>HREG_2002_Data_logger_voltage_error</t>
  </si>
  <si>
    <t>Data logger low voltage warning</t>
  </si>
  <si>
    <t>HREG_2002_Data_logger_low_voltage_warning</t>
  </si>
  <si>
    <t>Data logger low voltage</t>
  </si>
  <si>
    <t>HREG_2002_Data_logger_low_voltage</t>
  </si>
  <si>
    <t>Data logger over voltage</t>
  </si>
  <si>
    <t>HREG_2002_Data_logger_over_voltage</t>
  </si>
  <si>
    <t>Data logger temperature error</t>
  </si>
  <si>
    <t>HREG_2002_Data_logger_temperature_error</t>
  </si>
  <si>
    <t>Data logger temperature below operating range</t>
  </si>
  <si>
    <t>HREG_2002_Data_logger_temperature_below_operating_range</t>
  </si>
  <si>
    <t>Data logger temperature above operating range</t>
  </si>
  <si>
    <t>HREG_2002_Data_logger_temperature_above_operating_range</t>
  </si>
  <si>
    <t>Battery alarms register</t>
  </si>
  <si>
    <t>HREG_2004_Battery_alarms_register</t>
  </si>
  <si>
    <t>Check battery</t>
  </si>
  <si>
    <t>HREG_2004_Check_battery</t>
  </si>
  <si>
    <t>Battery voltage error</t>
  </si>
  <si>
    <t>HREG_2004_Battery_voltage_error</t>
  </si>
  <si>
    <t>Low battery voltage warning</t>
  </si>
  <si>
    <t>HREG_2004_Low_battery_voltage_warning</t>
  </si>
  <si>
    <t>Low battery voltage critical</t>
  </si>
  <si>
    <t>HREG_2004_Low_battery_voltage_critical</t>
  </si>
  <si>
    <t>Low battery voltage deep discharge</t>
  </si>
  <si>
    <t>HREG_2004_Low_battery_voltage_deep_discharge</t>
  </si>
  <si>
    <t>Battery current error</t>
  </si>
  <si>
    <t>HREG_2004_Battery_current_error</t>
  </si>
  <si>
    <t>Excessive battery current warning</t>
  </si>
  <si>
    <t>HREG_2004_Excessive_battery_current_warning</t>
  </si>
  <si>
    <t>Excessive battery current critical</t>
  </si>
  <si>
    <t>HREG_2004_Excessive_battery_current_critical</t>
  </si>
  <si>
    <t>Charging alarms register</t>
  </si>
  <si>
    <t>HREG_2006_Charging_alarms_register</t>
  </si>
  <si>
    <t>Input voltage error</t>
  </si>
  <si>
    <t>HREG_2006_Input_voltage_error</t>
  </si>
  <si>
    <t>Rpu enabled</t>
  </si>
  <si>
    <t>HREG_2006_Rpu_enabled</t>
  </si>
  <si>
    <t>Input current error</t>
  </si>
  <si>
    <t>HREG_2006_Input_current_error</t>
  </si>
  <si>
    <t>Excessive input current</t>
  </si>
  <si>
    <t>HREG_2006_Excessive_input_current</t>
  </si>
  <si>
    <t>Load current error</t>
  </si>
  <si>
    <t>HREG_2006_Load_current_error</t>
  </si>
  <si>
    <t>Excessive load current warning</t>
  </si>
  <si>
    <t>HREG_2006_Excessive_load_current_warning</t>
  </si>
  <si>
    <t>Excessive load current</t>
  </si>
  <si>
    <t>HREG_2006_Excessive_load_current</t>
  </si>
  <si>
    <t>GHI 1 alarms register</t>
  </si>
  <si>
    <t>HREG_2018_GHI_alarms_register</t>
  </si>
  <si>
    <t>GHI 1 irradiance error</t>
  </si>
  <si>
    <t>HREG_2018_GHI_irradiance_error</t>
  </si>
  <si>
    <t>GHI 1 irradiance negative</t>
  </si>
  <si>
    <t>HREG_2018_GHI_irradiance_negative</t>
  </si>
  <si>
    <t>GHI 1 irradiance above solar constant</t>
  </si>
  <si>
    <t>HREG_2018_GHI_irradiance_above_solar_constant</t>
  </si>
  <si>
    <t>GHI 1 temperature corrected irradiance error</t>
  </si>
  <si>
    <t>HREG_2018_GHI_temperature_corrected_irradiance_error</t>
  </si>
  <si>
    <t>GHI 1 temperature corrected irradiance negative</t>
  </si>
  <si>
    <t>HREG_2018_GHI_temperature_corrected_irradiance_negative</t>
  </si>
  <si>
    <t>GHI 1 temperature corrected irradiance above solar constant</t>
  </si>
  <si>
    <t>HREG_2018_GHI_temperature_corrected_irradiance_above_solar_constant</t>
  </si>
  <si>
    <t>GHI 1 case temperature error</t>
  </si>
  <si>
    <t>HREG_2018_GHI_case_temperature_error</t>
  </si>
  <si>
    <t>GHI 1 case temperature below operating range</t>
  </si>
  <si>
    <t>HREG_2018_GHI_case_temperature_below_operating_range</t>
  </si>
  <si>
    <t>GHI 1 case temperature above operating range</t>
  </si>
  <si>
    <t>HREG_2018_GHI_case_temperature_above_operating_range</t>
  </si>
  <si>
    <t>POA alarms register</t>
  </si>
  <si>
    <t>HREG_2020_POA_alarms_register</t>
  </si>
  <si>
    <t>POA irradiance error</t>
  </si>
  <si>
    <t>HREG_2020_POA_irradiance_error</t>
  </si>
  <si>
    <t>POA irradiance negative</t>
  </si>
  <si>
    <t>HREG_2020_POA_irradiance_negative</t>
  </si>
  <si>
    <t>POA irradiance above solar constant</t>
  </si>
  <si>
    <t>HREG_2020_POA_irradiance_above_solar_constant</t>
  </si>
  <si>
    <t>POA temperature corrected irradiance error</t>
  </si>
  <si>
    <t>HREG_2020_POA_temperature_corrected_irradiance_error</t>
  </si>
  <si>
    <t>POA temperature corrected irradiance negative</t>
  </si>
  <si>
    <t>HREG_2020_POA_temperature_corrected_irradiance_negative</t>
  </si>
  <si>
    <t>POA temperature corrected irradiance above solar constant</t>
  </si>
  <si>
    <t>HREG_2020_POA_temperature_corrected_irradiance_above_solar_constant</t>
  </si>
  <si>
    <t>POA case temperature error</t>
  </si>
  <si>
    <t>HREG_2020_POA_case_temperature_error</t>
  </si>
  <si>
    <t>POA case temperature below operating range</t>
  </si>
  <si>
    <t>HREG_2020_POA_case_temperature_below_operating_range</t>
  </si>
  <si>
    <t>POA case temperature above operating range</t>
  </si>
  <si>
    <t>HREG_2020_POA_case_temperature_above_operating_range</t>
  </si>
  <si>
    <t>Multifunction alarms register</t>
  </si>
  <si>
    <t>HREG_2038_Multifunction_alarms_register</t>
  </si>
  <si>
    <t>Ambient temperature error</t>
  </si>
  <si>
    <t>HREG_2038_Ambient_temperature_error</t>
  </si>
  <si>
    <t>Ambient temperature below operating range</t>
  </si>
  <si>
    <t>HREG_2038_Ambient_temperature_below_operating_range</t>
  </si>
  <si>
    <t>Ambient temperature above operating range</t>
  </si>
  <si>
    <t>HREG_2038_Ambient_temperature_above_operating_range</t>
  </si>
  <si>
    <t>Dew point error</t>
  </si>
  <si>
    <t>HREG_2038_Dew_point_error</t>
  </si>
  <si>
    <t>Dew point above ambient temperature</t>
  </si>
  <si>
    <t>HREG_2038_Dew_point_above_ambient_temperature</t>
  </si>
  <si>
    <t>Condensation warning</t>
  </si>
  <si>
    <t>HREG_2038_Condensation_warning</t>
  </si>
  <si>
    <t>Relative humidity error</t>
  </si>
  <si>
    <t>HREG_2038_Relative_humidity_error</t>
  </si>
  <si>
    <t>Relative humidity below operating range</t>
  </si>
  <si>
    <t>HREG_2038_Relative_humidity_below_operating_range</t>
  </si>
  <si>
    <t>Relative humidity above operating range</t>
  </si>
  <si>
    <t>HREG_2038_Relative_humidity_above_operating_range</t>
  </si>
  <si>
    <t>Absolute barometric pressure error</t>
  </si>
  <si>
    <t>HREG_2038_Absolute_barometric_pressure_error</t>
  </si>
  <si>
    <t>Absolute barometric pressure below operating range</t>
  </si>
  <si>
    <t>HREG_2038_Absolute_barometric_pressure_below_operating_range</t>
  </si>
  <si>
    <t>Absolute barometric pressure above operating range</t>
  </si>
  <si>
    <t>HREG_2038_Absolute_barometric_pressure_above_operating_range</t>
  </si>
  <si>
    <t>Sea level barometric pressure error</t>
  </si>
  <si>
    <t>HREG_2038_Sea_level_barometric_pressure_error</t>
  </si>
  <si>
    <t>Sea level barometric pressure below operating range</t>
  </si>
  <si>
    <t>HREG_2038_Sea_level_barometric_pressure_below_operating_range</t>
  </si>
  <si>
    <t>Sea level barometric pressure above operating range</t>
  </si>
  <si>
    <t>HREG_2038_Sea_level_barometric_pressure_above_operating_range</t>
  </si>
  <si>
    <t>Wind alarms register</t>
  </si>
  <si>
    <t>HREG_2040_Wind_alarms_register</t>
  </si>
  <si>
    <t>Wind speed error</t>
  </si>
  <si>
    <t>HREG_2040_Wind_speed_error</t>
  </si>
  <si>
    <t>Wind speed below operating range</t>
  </si>
  <si>
    <t>HREG_2040_Wind_speed_below_operating_range</t>
  </si>
  <si>
    <t>Wind speed above operating range</t>
  </si>
  <si>
    <t>HREG_2040_Wind_speed_above_operating_range</t>
  </si>
  <si>
    <t>Wind speed unable to execute measurement due to ambient conditions</t>
  </si>
  <si>
    <t>HREG_2040_Wind_speed_unable_to_execute_measurement_due_to_ambient_conditions</t>
  </si>
  <si>
    <t>Wind speed quality warning</t>
  </si>
  <si>
    <t>HREG_2040_Wind_speed_quality_warning</t>
  </si>
  <si>
    <t>Wind speed quality error</t>
  </si>
  <si>
    <t>HREG_2040_Wind_speed_quality_error</t>
  </si>
  <si>
    <t>Wind speed max error</t>
  </si>
  <si>
    <t>HREG_2040_Wind_speed_max_error</t>
  </si>
  <si>
    <t>Wind speed max below operating range</t>
  </si>
  <si>
    <t>HREG_2040_Wind_speed_max_below_operating_range</t>
  </si>
  <si>
    <t>Wind speed max above operating range</t>
  </si>
  <si>
    <t>HREG_2040_Wind_speed_max_above_operating_range</t>
  </si>
  <si>
    <t>Wind direction error</t>
  </si>
  <si>
    <t>HREG_2040_Wind_direction_error</t>
  </si>
  <si>
    <t>Wind direction below operating range</t>
  </si>
  <si>
    <t>HREG_2040_Wind_direction_below_operating_range</t>
  </si>
  <si>
    <t>Wind direction above operating range</t>
  </si>
  <si>
    <t>HREG_2040_Wind_direction_above_operating_range</t>
  </si>
  <si>
    <t>Compass error</t>
  </si>
  <si>
    <t>HREG_2040_Compass_error</t>
  </si>
  <si>
    <t>Compass below operating range</t>
  </si>
  <si>
    <t>HREG_2040_Compass_below_operating_range</t>
  </si>
  <si>
    <t>Compass above operating range</t>
  </si>
  <si>
    <t>HREG_2040_Compass_above_operating_range</t>
  </si>
  <si>
    <t>Rain alarms regsiter</t>
  </si>
  <si>
    <t>HREG_2042_Rain_alarms_regsiter</t>
  </si>
  <si>
    <t>Rain total error</t>
  </si>
  <si>
    <t>HREG_2042_Rain_total_error</t>
  </si>
  <si>
    <t>Rain total negative</t>
  </si>
  <si>
    <t>HREG_2042_Rain_total_negative</t>
  </si>
  <si>
    <t>Rain total above operating range</t>
  </si>
  <si>
    <t>HREG_2042_Rain_total_above_operating_range</t>
  </si>
  <si>
    <t>Rain intensity error</t>
  </si>
  <si>
    <t>HREG_2042_Rain_intensity_error</t>
  </si>
  <si>
    <t>Rain intensity negative</t>
  </si>
  <si>
    <t>HREG_2042_Rain_intensity_negative</t>
  </si>
  <si>
    <t>Rain intensity above operating range</t>
  </si>
  <si>
    <t>HREG_2042_Rain_intensity_above_operating_range</t>
  </si>
  <si>
    <t>Rain today error</t>
  </si>
  <si>
    <t>HREG_2042_Rain_today_error</t>
  </si>
  <si>
    <t>Rain today is negative</t>
  </si>
  <si>
    <t>HREG_2042_Rain_today_is_negative</t>
  </si>
  <si>
    <t>Rain today above operating range</t>
  </si>
  <si>
    <t>HREG_2042_Rain_today_above_operating_range</t>
  </si>
  <si>
    <t>GHI alarm register</t>
  </si>
  <si>
    <t>HREG_2044_GHI_alarm_register</t>
  </si>
  <si>
    <t>Global irradiance error</t>
  </si>
  <si>
    <t>HREG_2044_Global_irradiance_error</t>
  </si>
  <si>
    <t>Global irradiance below operating range</t>
  </si>
  <si>
    <t>HREG_2044_Global_irradiance_below_operating_range</t>
  </si>
  <si>
    <t>Global irradiance above operating range</t>
  </si>
  <si>
    <t>HREG_2044_Global_irradiance_above_operating_range</t>
  </si>
  <si>
    <t>Diffuse irradiance error</t>
  </si>
  <si>
    <t>HREG_2044_Diffuse_irradiance_error</t>
  </si>
  <si>
    <t>Diffuse irradiance below operating range</t>
  </si>
  <si>
    <t>HREG_2044_Diffuse_irradiance_below_operating_range</t>
  </si>
  <si>
    <t>Diffuse irradiance above operating range</t>
  </si>
  <si>
    <t>HREG_2044_Diffuse_irradiance_above_operating_range</t>
  </si>
  <si>
    <t>Direct irradiance error</t>
  </si>
  <si>
    <t>HREG_2044_Direct_irradiance_error</t>
  </si>
  <si>
    <t>Direct irradiance below operating range</t>
  </si>
  <si>
    <t>HREG_2044_Direct_irradiance_below_operating_range</t>
  </si>
  <si>
    <t>Direct irradiance above operating range</t>
  </si>
  <si>
    <t>HREG_2044_Direct_irradiance_above_operating_range</t>
  </si>
  <si>
    <t>BOM 1 alarm register</t>
  </si>
  <si>
    <t>HREG_2058_BOM_1_alarm_register</t>
  </si>
  <si>
    <t>BOM 1 temperature error</t>
  </si>
  <si>
    <t>HREG_2058_BOM_1_temperature_error</t>
  </si>
  <si>
    <t>BOM 1 temperature below operating range</t>
  </si>
  <si>
    <t>HREG_2058_BOM_1_temperature_below_operating_range</t>
  </si>
  <si>
    <t>BOM 1 temperature above operating range</t>
  </si>
  <si>
    <t>HREG_2058_BOM_1_temperature_above_operating_range</t>
  </si>
  <si>
    <t>BOM 2 alarm register</t>
  </si>
  <si>
    <t>HREG_2060_BOM_2_alarm_register</t>
  </si>
  <si>
    <t>BOM 2 temperature error</t>
  </si>
  <si>
    <t>HREG_2060_BOM_2_temperature_error</t>
  </si>
  <si>
    <t>BOM 2 temperature below operating range</t>
  </si>
  <si>
    <t>HREG_2060_BOM_2_temperature_below_operating_range</t>
  </si>
  <si>
    <t>BOM 2 temperature above operating range</t>
  </si>
  <si>
    <t>HREG_2060_BOM_2_temperature_above_operating_range</t>
  </si>
  <si>
    <t>BOM 3 alarm register</t>
  </si>
  <si>
    <t>HREG_2062_BOM_3_alarm_register</t>
  </si>
  <si>
    <t>BOM 3 temperature error</t>
  </si>
  <si>
    <t>HREG_2062_BOM_3_temperature_error</t>
  </si>
  <si>
    <t>BOM 3 temperature below operating range</t>
  </si>
  <si>
    <t>HREG_2062_BOM_3_temperature_below_operating_range</t>
  </si>
  <si>
    <t>BOM 3 temperature above operating range</t>
  </si>
  <si>
    <t>HREG_2062_BOM_3_temperature_above_operating_range</t>
  </si>
  <si>
    <t>Soiling to PPC</t>
  </si>
  <si>
    <t>HREG_0026_Maint_event_enumaration</t>
  </si>
  <si>
    <t>Soiling Status:
0 - Normal
1 - Maintenance in last 24 hours
2 - Normalization in last 5 minutes</t>
  </si>
  <si>
    <t>ISC clean</t>
  </si>
  <si>
    <t>HREG_0138_ISC_clean_A</t>
  </si>
  <si>
    <t>ISC soiled</t>
  </si>
  <si>
    <t>HREG_0140_ISC_soiled_A</t>
  </si>
  <si>
    <t>Daily soiling loss factor</t>
  </si>
  <si>
    <t>HREG_0142_Daily_soiling_loss_factor</t>
  </si>
  <si>
    <t>Daily soiling ISC ratio</t>
  </si>
  <si>
    <t>HREG_0144_Daily_soiling_ISC_ratio</t>
  </si>
  <si>
    <t>BOM temp clean</t>
  </si>
  <si>
    <t>HREG_0146_BOM_temp_clean_DegC</t>
  </si>
  <si>
    <t>BOM temp soiled</t>
  </si>
  <si>
    <t>HREG_0148_BOM_temp_soiled_DegC</t>
  </si>
  <si>
    <t>Soiling loss factor</t>
  </si>
  <si>
    <t>HREG_0150_Soiling_loss_factor</t>
  </si>
  <si>
    <t>Soiling ISC ratio</t>
  </si>
  <si>
    <t>HREG_0152_Soiling_ISC_ratio</t>
  </si>
  <si>
    <t>ISC normalized soiled</t>
  </si>
  <si>
    <t>HREG_0154_ISC_normalized_soiled_A</t>
  </si>
  <si>
    <t>G clean</t>
  </si>
  <si>
    <t>HREG_0156_G_clean_W_per_m2</t>
  </si>
  <si>
    <t>G soiled</t>
  </si>
  <si>
    <t>HREG_0158_G_soiled_W_per_m2</t>
  </si>
  <si>
    <t>Soiling status</t>
  </si>
  <si>
    <t>HREG_0160_Soiling_status_enumeration</t>
  </si>
  <si>
    <t>Voc clean</t>
  </si>
  <si>
    <t>HREG_0162_Voc_clean_V</t>
  </si>
  <si>
    <t>Voc soiled</t>
  </si>
  <si>
    <t>HREG_0164_Voc_soiled_V</t>
  </si>
  <si>
    <t>Hourly ISC clean avg</t>
  </si>
  <si>
    <t>HREG_0288_Hourly_ISC_clean_avg_A</t>
  </si>
  <si>
    <t>Hourly ISC soiled avg</t>
  </si>
  <si>
    <t>HREG_0290_Hourly_ISC_soiled_avg_A</t>
  </si>
  <si>
    <t>Hourly ISC normalized soiled</t>
  </si>
  <si>
    <t>HREG_0292_Hourly_ISC_normalized_soiled_A</t>
  </si>
  <si>
    <t>Hourly BOM temp clean avg</t>
  </si>
  <si>
    <t>HREG_0296_Hourly_BOM_temp_clean_avg_DegC</t>
  </si>
  <si>
    <t>Hourly BOM temp soiled avg</t>
  </si>
  <si>
    <t>HREG_0298_Hourly_BOM_temp_soiled_avg_DegC</t>
  </si>
  <si>
    <t>Hourly soiling loss factor avg</t>
  </si>
  <si>
    <t>HREG_0300_Hourly_soiling_loss_factor_avg</t>
  </si>
  <si>
    <t>Hourly soiling ISC ratio avg</t>
  </si>
  <si>
    <t>HREG_0302_Hourly_soiling_ISC_ratio_avg</t>
  </si>
  <si>
    <t>Hourly G clean avg</t>
  </si>
  <si>
    <t>HREG_0304_Hourly_G_clean_avg_W_per_m2</t>
  </si>
  <si>
    <t>Hourly G soiled avg</t>
  </si>
  <si>
    <t>HREG_0306_Hourly_G_soiled_avg_W_per_m2</t>
  </si>
  <si>
    <t>Hourly VOC clean avg</t>
  </si>
  <si>
    <t>Hourly voc clean avg</t>
  </si>
  <si>
    <t>HREG_0308_Hourly_VOC_clean_avg_V</t>
  </si>
  <si>
    <t>Hourly VOC soiled avg</t>
  </si>
  <si>
    <t>Hourly voc soiled avg</t>
  </si>
  <si>
    <t>HREG_0310_Hourly_VOC_soiled_avg_V</t>
  </si>
  <si>
    <t>HREG_0404_Logger_temp_degF</t>
  </si>
  <si>
    <t>HREG_0544_BOM_temp_clean_degF</t>
  </si>
  <si>
    <t>HREG_0546_BOM_temp_soiled_degF</t>
  </si>
  <si>
    <t>Daily soiling quality</t>
  </si>
  <si>
    <t>HREG_0616_Daily_soiling_quality_pct</t>
  </si>
  <si>
    <t>Daily soiling age</t>
  </si>
  <si>
    <t>HREG_0618_Daily_soiling_age_days</t>
  </si>
  <si>
    <t>PPC</t>
  </si>
  <si>
    <t>High resolution</t>
  </si>
  <si>
    <t>KPI</t>
  </si>
  <si>
    <t> </t>
  </si>
  <si>
    <t>Power factor</t>
  </si>
  <si>
    <t>DNP3.0</t>
  </si>
  <si>
    <t>PPC to Ignition - Inverters</t>
  </si>
  <si>
    <t>Replace [n] with PCU number written as 2 digits</t>
  </si>
  <si>
    <t>Object</t>
  </si>
  <si>
    <t>DNP index</t>
  </si>
  <si>
    <t>Bit</t>
  </si>
  <si>
    <t>Ignt TagPath
Prefix: [MidcontinentSolar]Inverters/Inv[n|00]/</t>
  </si>
  <si>
    <t>Offset</t>
  </si>
  <si>
    <t>Analog input</t>
  </si>
  <si>
    <t>Inv [n] status</t>
  </si>
  <si>
    <t>PPC Logic</t>
  </si>
  <si>
    <t>enumeration</t>
  </si>
  <si>
    <t>Change events</t>
  </si>
  <si>
    <t>AI_0000_Inv_[n]_status_enumeration</t>
  </si>
  <si>
    <t>0 to 4</t>
  </si>
  <si>
    <t>Status/StatusCode (int)
Status/Status_string (string)</t>
  </si>
  <si>
    <t>Inv [n] active power</t>
  </si>
  <si>
    <t>IREG_15099</t>
  </si>
  <si>
    <t>Analog</t>
  </si>
  <si>
    <t>n/a,-10,3620,n/a</t>
  </si>
  <si>
    <t>Out of Band</t>
  </si>
  <si>
    <t>AI_0001_Inv_[n]_active_power_kW</t>
  </si>
  <si>
    <t>Metering/AC/P</t>
  </si>
  <si>
    <t>Inv [n] reactive power</t>
  </si>
  <si>
    <t>IREG_15101</t>
  </si>
  <si>
    <t>n/a,-2180,2180,n/a</t>
  </si>
  <si>
    <t>AI_0002_Inv_[n]_reactive_power_kvar</t>
  </si>
  <si>
    <t>Metering/AC/Q</t>
  </si>
  <si>
    <t>Inv [n] phase A current</t>
  </si>
  <si>
    <t>IREG_15096</t>
  </si>
  <si>
    <t>AI_0003_Inv_[n]_phase_A_current_A</t>
  </si>
  <si>
    <t>Metering/AC/Ia</t>
  </si>
  <si>
    <t>Inv [n] phase B current</t>
  </si>
  <si>
    <t>IREG_15097</t>
  </si>
  <si>
    <t>AI_0004_Inv_[n]_phase_B_current_A</t>
  </si>
  <si>
    <t>Metering/AC/Ib</t>
  </si>
  <si>
    <t>Inv [n] phase C current</t>
  </si>
  <si>
    <t>IREG_15098</t>
  </si>
  <si>
    <t>AI_0005_Inv_[n]_phase_C_current_A</t>
  </si>
  <si>
    <t>Metering/AC/Ic</t>
  </si>
  <si>
    <t>Inv [n] phase AB voltage</t>
  </si>
  <si>
    <t>IREG_15093</t>
  </si>
  <si>
    <t>AI_0006_Inv_[n]_phase_AB_voltage_V</t>
  </si>
  <si>
    <t>Metering/AC/Vab</t>
  </si>
  <si>
    <t>Inv [n] phase BC voltage</t>
  </si>
  <si>
    <t>IREG_15094</t>
  </si>
  <si>
    <t>AI_0007_Inv_[n]_phase_BC_voltage_V</t>
  </si>
  <si>
    <t>Metering/AC/Vbc</t>
  </si>
  <si>
    <t>Inv [n] phase CA voltage</t>
  </si>
  <si>
    <t>IREG_15095</t>
  </si>
  <si>
    <t>AI_0008_Inv_[n]_phase_CA_voltage_V</t>
  </si>
  <si>
    <t>Metering/AC/Vca</t>
  </si>
  <si>
    <t>Inv [n] power factor</t>
  </si>
  <si>
    <t>IREG_15105</t>
  </si>
  <si>
    <t>AI_0009_Inv_[n]_power_factor_PU</t>
  </si>
  <si>
    <t>Metering/AC/PF</t>
  </si>
  <si>
    <t>Inv [n] frequency</t>
  </si>
  <si>
    <t>IREG_15106</t>
  </si>
  <si>
    <t>AI_0010_Inv_[n]_frequency_Hz</t>
  </si>
  <si>
    <t>Metering/AC/f</t>
  </si>
  <si>
    <t>Inv [n] active power setpoint</t>
  </si>
  <si>
    <t>n/a,0,3600,n/a</t>
  </si>
  <si>
    <t>AI_0011_Inv_[n]_active_power_setpoint_kW</t>
  </si>
  <si>
    <t>Control/ActivePower/Setpoint</t>
  </si>
  <si>
    <t>Inv [n] active power setpoint feedback</t>
  </si>
  <si>
    <t>IREG_15108</t>
  </si>
  <si>
    <t>AI_0010 +/- 1%</t>
  </si>
  <si>
    <t>Not at Setpoint</t>
  </si>
  <si>
    <t>AI_0012_Inv_[n]_active_power_setpoint_feedback_kW</t>
  </si>
  <si>
    <t>Control/ActivePower/SetpointFeedback</t>
  </si>
  <si>
    <t>Inv [n] reactive power mode</t>
  </si>
  <si>
    <t>AI_0013_Inv_[n]_reactive_power_mode_enumeration</t>
  </si>
  <si>
    <t>0 to 3, 98,99</t>
  </si>
  <si>
    <t>Q(U) and Q(P) modes are not used, but are defined</t>
  </si>
  <si>
    <t>Control/ReactivePower/ModeCode
Control/ReactivePower/Mode_string</t>
  </si>
  <si>
    <t>Inv [n] reactive power mode feedback</t>
  </si>
  <si>
    <t>AI_0012 +/- 1%</t>
  </si>
  <si>
    <t>AI_0014_Inv_[n]_reactive_power_mode_feedback_enumeration</t>
  </si>
  <si>
    <t>Control/ReactivePower/ModeFeedbackCode
Control/ReactivePower/ModeFeedback_string</t>
  </si>
  <si>
    <t>Inv [n] reactive power setpoint</t>
  </si>
  <si>
    <t xml:space="preserve">kvar or PU </t>
  </si>
  <si>
    <t>-2160,-1,1,2160</t>
  </si>
  <si>
    <t>5-State</t>
  </si>
  <si>
    <t xml:space="preserve">AI_0015_Inv_[n]_reactive_power_setpoint_kvar or PU </t>
  </si>
  <si>
    <t>Control/ReactivePower/Setpoint</t>
  </si>
  <si>
    <t>Inv [n] reactive power setpoint feedback</t>
  </si>
  <si>
    <t>IREG_15110 or IREG_15112</t>
  </si>
  <si>
    <t>AI_0014 +/- 1%</t>
  </si>
  <si>
    <t xml:space="preserve">AI_0016_Inv_[n]_reactive_power_setpoint_feedback_kvar or PU </t>
  </si>
  <si>
    <t>Control/ReactivePower/SetpointFeedback</t>
  </si>
  <si>
    <t>Inv [n] total DC power</t>
  </si>
  <si>
    <t>IREG_15091</t>
  </si>
  <si>
    <t>AI_0017_Inv_[n]_total_DC_power_kW</t>
  </si>
  <si>
    <t>Metering/DC/P</t>
  </si>
  <si>
    <t>Inv [n] energy production today</t>
  </si>
  <si>
    <t>IREG_15072</t>
  </si>
  <si>
    <t>Low resolution</t>
  </si>
  <si>
    <t>AI_0018_Inv_[n]_energy_production_today_kWh</t>
  </si>
  <si>
    <t>Metering/Energy/ProductionToday</t>
  </si>
  <si>
    <t>Inv [n] energy production yesterday</t>
  </si>
  <si>
    <t>AI_0019_Inv_[n]_energy_production_yesterday_kWh</t>
  </si>
  <si>
    <t>Metering/Energy/ProductionYesterday</t>
  </si>
  <si>
    <t>Inv [n] total energy production</t>
  </si>
  <si>
    <t>IREG_15076</t>
  </si>
  <si>
    <t>Diagnostic</t>
  </si>
  <si>
    <t>AI_0020_Inv_[n]_total_energy_production_kWh</t>
  </si>
  <si>
    <t>Metering/Energy/ProductionTotal</t>
  </si>
  <si>
    <t>Inv [n] total running hours</t>
  </si>
  <si>
    <t>IREG_15081</t>
  </si>
  <si>
    <t>AI_0021_Inv_[n]_total_running_hours_hr</t>
  </si>
  <si>
    <t>Status/TotalRunningHours</t>
  </si>
  <si>
    <t>Inv [n] transformer oil temperature</t>
  </si>
  <si>
    <t>IREG_15118</t>
  </si>
  <si>
    <t>-40,-25,50,60</t>
  </si>
  <si>
    <t>Secondary Detail</t>
  </si>
  <si>
    <t>AI_0022_Inv_[n]_transformer_oil_temperature_degC</t>
  </si>
  <si>
    <t>Transformer/OilTemp</t>
  </si>
  <si>
    <t>Inv [n] transformer winding temperature</t>
  </si>
  <si>
    <t>IREG_15119</t>
  </si>
  <si>
    <t>AI_0023_Inv_[n]_transformer_winding_temperature_degC</t>
  </si>
  <si>
    <t>Transformer/WindingTemp</t>
  </si>
  <si>
    <t>Inv [n] maximum appearant power</t>
  </si>
  <si>
    <t>IREG_15704</t>
  </si>
  <si>
    <t>n/a,3600,3600,n/a</t>
  </si>
  <si>
    <t>AI_0024_Inv_[n]_maximum_appearant_power_kVA</t>
  </si>
  <si>
    <t>Real time derating</t>
  </si>
  <si>
    <t>Status/InvRatingLimit/MaximumApparentPower</t>
  </si>
  <si>
    <t>Inv [n] maximum lagging reactive power</t>
  </si>
  <si>
    <t>IREG_15706</t>
  </si>
  <si>
    <t>AI_0025_Inv_[n]_maximum_lagging_reactive_power_kvar</t>
  </si>
  <si>
    <t>Status/InvRatingLimit/MaximumLaggingReactivePower</t>
  </si>
  <si>
    <t>Inv [n] maximum leading reactive power</t>
  </si>
  <si>
    <t>IREG_15707</t>
  </si>
  <si>
    <t>AI_0026_Inv_[n]_maximum_leading_reactive_power_kvar</t>
  </si>
  <si>
    <t>Status/InvRatingLimit/MaximumLeadingReactivePower</t>
  </si>
  <si>
    <t>Inv [n] zone monitor status</t>
  </si>
  <si>
    <t>IREG_15999</t>
  </si>
  <si>
    <t>AI_0027_Inv_[n]_zone_monitor_status_enumeration</t>
  </si>
  <si>
    <t>ZoneMonitor/Status/StatusCode (int)
ZoneMonitor/Status/Status_string (string)</t>
  </si>
  <si>
    <t>Inv [n] appearant power</t>
  </si>
  <si>
    <t>IREG_15104</t>
  </si>
  <si>
    <t>Not historized</t>
  </si>
  <si>
    <t>Not Shown</t>
  </si>
  <si>
    <t>AI_0028_Inv_[n]_appearant_power</t>
  </si>
  <si>
    <t>Spares/SpareAnalog01</t>
  </si>
  <si>
    <t>Inv [n] zone monitor unit 1 warning number of strings branch 1</t>
  </si>
  <si>
    <t>IREG_16005</t>
  </si>
  <si>
    <t>AI_0029_Inv_[n]_zone_monitor_unit_1_warning_number_of_strings_branch_1_count</t>
  </si>
  <si>
    <t>Spares/SpareAnalog02</t>
  </si>
  <si>
    <t>Inv [n] zone monitor unit 1 warning number of strings branch 2</t>
  </si>
  <si>
    <t>IREG_16006</t>
  </si>
  <si>
    <t>AI_0030_Inv_[n]_zone_monitor_unit_1_warning_number_of_strings_branch_2_count</t>
  </si>
  <si>
    <t>Spares/SpareAnalog03</t>
  </si>
  <si>
    <t>Inv [n] zone monitor unit 1 warning number of strings branch 3</t>
  </si>
  <si>
    <t>IREG_16007</t>
  </si>
  <si>
    <t>AI_0031_Inv_[n]_zone_monitor_unit_1_warning_number_of_strings_branch_3_count</t>
  </si>
  <si>
    <t>Spares/SpareAnalog04</t>
  </si>
  <si>
    <t>Inv [n] zone monitor unit 1 warning number of strings branch 4</t>
  </si>
  <si>
    <t>IREG_16008</t>
  </si>
  <si>
    <t>AI_0032_Inv_[n]_zone_monitor_unit_1_warning_number_of_strings_branch_4_count</t>
  </si>
  <si>
    <t>Spares/SpareAnalog05</t>
  </si>
  <si>
    <t>Inv [n] zone monitor unit 1 warning number of strings branch 5</t>
  </si>
  <si>
    <t>IREG_16009</t>
  </si>
  <si>
    <t>AI_0033_Inv_[n]_zone_monitor_unit_1_warning_number_of_strings_branch_5_count</t>
  </si>
  <si>
    <t>Spares/SpareAnalog06</t>
  </si>
  <si>
    <t>Inv [n] zone monitor unit 1 warning number of strings branch 6</t>
  </si>
  <si>
    <t>IREG_16010</t>
  </si>
  <si>
    <t>AI_0034_Inv_[n]_zone_monitor_unit_1_warning_number_of_strings_branch_6_count</t>
  </si>
  <si>
    <t>Spares/SpareAnalog07</t>
  </si>
  <si>
    <t>Inv [n] zone monitor unit 1 warning number of strings branch 7</t>
  </si>
  <si>
    <t>IREG_16011</t>
  </si>
  <si>
    <t>AI_0035_Inv_[n]_zone_monitor_unit_1_warning_number_of_strings_branch_7_count</t>
  </si>
  <si>
    <t>Spares/SpareAnalog08</t>
  </si>
  <si>
    <t>Inv [n] zone monitor unit 2 warning number of strings branch 1</t>
  </si>
  <si>
    <t>IREG_16021</t>
  </si>
  <si>
    <t>AI_0036_Inv_[n]_zone_monitor_unit_2_warning_number_of_strings_branch_1_count</t>
  </si>
  <si>
    <t>Spares/SpareAnalog09</t>
  </si>
  <si>
    <t>Inv [n] zone monitor unit 2 warning number of strings branch 2</t>
  </si>
  <si>
    <t>IREG_16022</t>
  </si>
  <si>
    <t>AI_0037_Inv_[n]_zone_monitor_unit_2_warning_number_of_strings_branch_2_count</t>
  </si>
  <si>
    <t>Spares/SpareAnalog10</t>
  </si>
  <si>
    <t>Inv [n] zone monitor unit 2 warning number of strings branch 3</t>
  </si>
  <si>
    <t>IREG_16023</t>
  </si>
  <si>
    <t>AI_0038_Inv_[n]_zone_monitor_unit_2_warning_number_of_strings_branch_3_count</t>
  </si>
  <si>
    <t>Inv [n] zone monitor unit 2 warning number of strings branch 4</t>
  </si>
  <si>
    <t>IREG_16024</t>
  </si>
  <si>
    <t>AI_0039_Inv_[n]_zone_monitor_unit_2_warning_number_of_strings_branch_4_count</t>
  </si>
  <si>
    <t>Inv [n] zone monitor unit 2 warning number of strings branch 5</t>
  </si>
  <si>
    <t>IREG_16025</t>
  </si>
  <si>
    <t>AI_0040_Inv_[n]_zone_monitor_unit_2_warning_number_of_strings_branch_5_count</t>
  </si>
  <si>
    <t>Inv [n] zone monitor unit 2 warning number of strings branch 6</t>
  </si>
  <si>
    <t>IREG_16026</t>
  </si>
  <si>
    <t>AI_0041_Inv_[n]_zone_monitor_unit_2_warning_number_of_strings_branch_6_count</t>
  </si>
  <si>
    <t>Inv [n] zone monitor unit 2 warning number of strings branch 7</t>
  </si>
  <si>
    <t>IREG_16027</t>
  </si>
  <si>
    <t>AI_0042_Inv_[n]_zone_monitor_unit_2_warning_number_of_strings_branch_7_count</t>
  </si>
  <si>
    <t>Inv [n] zone monitor unit 3 warning number of strings branch 1</t>
  </si>
  <si>
    <t>IREG_16037</t>
  </si>
  <si>
    <t>AI_0043_Inv_[n]_zone_monitor_unit_3_warning_number_of_strings_branch_1_count</t>
  </si>
  <si>
    <t>Inv [n] zone monitor unit 3 warning number of strings branch 2</t>
  </si>
  <si>
    <t>IREG_16038</t>
  </si>
  <si>
    <t>AI_0044_Inv_[n]_zone_monitor_unit_3_warning_number_of_strings_branch_2_count</t>
  </si>
  <si>
    <t>Inv [n] zone monitor unit 3 warning number of strings branch 3</t>
  </si>
  <si>
    <t>IREG_16039</t>
  </si>
  <si>
    <t>AI_0045_Inv_[n]_zone_monitor_unit_3_warning_number_of_strings_branch_3_count</t>
  </si>
  <si>
    <t>Inv [n] zone monitor unit 3 warning number of strings branch 4</t>
  </si>
  <si>
    <t>IREG_16040</t>
  </si>
  <si>
    <t>AI_0046_Inv_[n]_zone_monitor_unit_3_warning_number_of_strings_branch_4_count</t>
  </si>
  <si>
    <t>Inv [n] zone monitor unit 3 warning number of strings branch 5</t>
  </si>
  <si>
    <t>IREG_16041</t>
  </si>
  <si>
    <t>AI_0047_Inv_[n]_zone_monitor_unit_3_warning_number_of_strings_branch_5_count</t>
  </si>
  <si>
    <t>Inv [n] zone monitor unit 3 warning number of strings branch 6</t>
  </si>
  <si>
    <t>IREG_16042</t>
  </si>
  <si>
    <t>AI_0048_Inv_[n]_zone_monitor_unit_3_warning_number_of_strings_branch_6_count</t>
  </si>
  <si>
    <t>Inv [n] zone monitor unit 3 warning number of strings branch 7</t>
  </si>
  <si>
    <t>IREG_16043</t>
  </si>
  <si>
    <t>AI_0049_Inv_[n]_zone_monitor_unit_3_warning_number_of_strings_branch_7_count</t>
  </si>
  <si>
    <t>Inv [n] zone monitor unit 4 warning number of strings branch 1</t>
  </si>
  <si>
    <t>IREG_16053</t>
  </si>
  <si>
    <t>AI_0050_Inv_[n]_zone_monitor_unit_4_warning_number_of_strings_branch_1_count</t>
  </si>
  <si>
    <t>Inv [n] zone monitor unit 4 warning number of strings branch 2</t>
  </si>
  <si>
    <t>IREG_16054</t>
  </si>
  <si>
    <t>AI_0051_Inv_[n]_zone_monitor_unit_4_warning_number_of_strings_branch_2_count</t>
  </si>
  <si>
    <t>Inv [n] zone monitor unit 4 warning number of strings branch 3</t>
  </si>
  <si>
    <t>IREG_16055</t>
  </si>
  <si>
    <t>AI_0052_Inv_[n]_zone_monitor_unit_4_warning_number_of_strings_branch_3_count</t>
  </si>
  <si>
    <t>Inv [n] zone monitor unit 4 warning number of strings branch 4</t>
  </si>
  <si>
    <t>IREG_16056</t>
  </si>
  <si>
    <t>AI_0053_Inv_[n]_zone_monitor_unit_4_warning_number_of_strings_branch_4_count</t>
  </si>
  <si>
    <t>Inv [n] zone monitor unit 4 warning number of strings branch 5</t>
  </si>
  <si>
    <t>IREG_16057</t>
  </si>
  <si>
    <t>AI_0054_Inv_[n]_zone_monitor_unit_4_warning_number_of_strings_branch_5_count</t>
  </si>
  <si>
    <t>Inv [n] zone monitor unit 4 warning number of strings branch 6</t>
  </si>
  <si>
    <t>IREG_16058</t>
  </si>
  <si>
    <t>AI_0055_Inv_[n]_zone_monitor_unit_4_warning_number_of_strings_branch_6_count</t>
  </si>
  <si>
    <t>Inv [n] zone monitor unit 4 warning number of strings branch 7</t>
  </si>
  <si>
    <t>IREG_16059</t>
  </si>
  <si>
    <t>AI_0056_Inv_[n]_zone_monitor_unit_4_warning_number_of_strings_branch_7_count</t>
  </si>
  <si>
    <t>Inv [n] unit 1 status</t>
  </si>
  <si>
    <t>Primary Detail</t>
  </si>
  <si>
    <t>AI_0100_Inv_[n]_unit_1_status_enumeration</t>
  </si>
  <si>
    <t>Module1/Status/StatusCode (int)
Module1/Status/Status_string (string)</t>
  </si>
  <si>
    <t>Inv [n] unit 1 active power</t>
  </si>
  <si>
    <t>IREG_15169</t>
  </si>
  <si>
    <t>AI_0101_Inv_[n]_unit_1_active_power_kW</t>
  </si>
  <si>
    <t>Module1/Metering/AC/P</t>
  </si>
  <si>
    <t>Inv [n] unit 1 reactive power</t>
  </si>
  <si>
    <t>IREG_15171</t>
  </si>
  <si>
    <t>AI_0102_Inv_[n]_unit_1_reactive_power_kvar</t>
  </si>
  <si>
    <t>Module1/Metering/AC/Q</t>
  </si>
  <si>
    <t>Inv [n] unit 1 phase A current</t>
  </si>
  <si>
    <t>IREG_15166</t>
  </si>
  <si>
    <t>AI_0103_Inv_[n]_unit_1_phase_A_current_A</t>
  </si>
  <si>
    <t>Module1/Metering/AC/Ia</t>
  </si>
  <si>
    <t>Inv [n] unit 1 phase B current</t>
  </si>
  <si>
    <t>IREG_15167</t>
  </si>
  <si>
    <t>AI_0104_Inv_[n]_unit_1_phase_B_current_A</t>
  </si>
  <si>
    <t>True if any alarm is set for this inverter</t>
  </si>
  <si>
    <t>Module1/Metering/AC/Ib</t>
  </si>
  <si>
    <t>Inv [n] unit 1 phase C current</t>
  </si>
  <si>
    <t>IREG_15168</t>
  </si>
  <si>
    <t>AI_0105_Inv_[n]_unit_1_phase_C_current_A</t>
  </si>
  <si>
    <t>Module1/Metering/AC/Ic</t>
  </si>
  <si>
    <t>Inv [n] unit 1 phase AB voltage</t>
  </si>
  <si>
    <t>IREG_15163</t>
  </si>
  <si>
    <t>AI_0106_Inv_[n]_unit_1_phase_AB_voltage_V</t>
  </si>
  <si>
    <t>Module1/Metering/AC/Vab</t>
  </si>
  <si>
    <t>Inv [n] unit 1 phase BC voltage</t>
  </si>
  <si>
    <t>IREG_15164</t>
  </si>
  <si>
    <t>AI_0107_Inv_[n]_unit_1_phase_BC_voltage_V</t>
  </si>
  <si>
    <t>Module1/Metering/AC/Vbc</t>
  </si>
  <si>
    <t>Inv [n] unit 1 phase CA voltage</t>
  </si>
  <si>
    <t>IREG_15165</t>
  </si>
  <si>
    <t>AI_0108_Inv_[n]_unit_1_phase_CA_voltage_V</t>
  </si>
  <si>
    <t>Module1/Metering/AC/Vca</t>
  </si>
  <si>
    <t>Inv [n] unit 1 power factor</t>
  </si>
  <si>
    <t>IREG_15173</t>
  </si>
  <si>
    <t>AI_0109_Inv_[n]_unit_1_power_factor_PU</t>
  </si>
  <si>
    <t>Module1/Metering/AC/PF</t>
  </si>
  <si>
    <t>Inv [n] unit 1 frequency</t>
  </si>
  <si>
    <t>IREG_15174</t>
  </si>
  <si>
    <t>AI_0110_Inv_[n]_unit_1_frequency_Hz</t>
  </si>
  <si>
    <t>Module1/Metering/AC/f</t>
  </si>
  <si>
    <t>Inv [n] unit 1 DC power</t>
  </si>
  <si>
    <t>IREG_15161</t>
  </si>
  <si>
    <t>AI_0111_Inv_[n]_unit_1_DC_power_kW</t>
  </si>
  <si>
    <t>Module1/Metering/DC/P</t>
  </si>
  <si>
    <t>Inv [n] unit 1 total DC current</t>
  </si>
  <si>
    <t>IREG_15160</t>
  </si>
  <si>
    <t>AI_0112_Inv_[n]_unit_1_total_DC_current_A</t>
  </si>
  <si>
    <t>Module1/Metering/DC/I</t>
  </si>
  <si>
    <t>Inv [n] unit 1 DC voltage</t>
  </si>
  <si>
    <t>IREG_15159</t>
  </si>
  <si>
    <t>AI_0113_Inv_[n]_unit_1_DC_voltage_V</t>
  </si>
  <si>
    <t>Module1/Metering/DC/V</t>
  </si>
  <si>
    <t>Inv [n] unit 1 DC Input 1</t>
  </si>
  <si>
    <t>IREG_15029</t>
  </si>
  <si>
    <t>Analytic</t>
  </si>
  <si>
    <t>AI_0114_Inv_[n]_unit_1_DC_Input_1_A</t>
  </si>
  <si>
    <t>Module1/Branches/01/Current</t>
  </si>
  <si>
    <t>Inv [n] unit 1 DC Input 2</t>
  </si>
  <si>
    <t>IREG_15030</t>
  </si>
  <si>
    <t>AI_0115_Inv_[n]_unit_1_DC_Input_2_A</t>
  </si>
  <si>
    <t>Module1/Branches/02/Current</t>
  </si>
  <si>
    <t>Inv [n] unit 1 DC Input 3</t>
  </si>
  <si>
    <t>IREG_15031</t>
  </si>
  <si>
    <t>AI_0116_Inv_[n]_unit_1_DC_Input_3_A</t>
  </si>
  <si>
    <t>Module1/Branches/03/Current</t>
  </si>
  <si>
    <t>Inv [n] unit 1 DC Input 4</t>
  </si>
  <si>
    <t>IREG_15032</t>
  </si>
  <si>
    <t>AI_0117_Inv_[n]_unit_1_DC_Input_4_A</t>
  </si>
  <si>
    <t>Module1/Branches/04/Current</t>
  </si>
  <si>
    <t>Inv [n] unit 1 DC Input 5</t>
  </si>
  <si>
    <t>IREG_15033</t>
  </si>
  <si>
    <t>AI_0118_Inv_[n]_unit_1_DC_Input_5_A</t>
  </si>
  <si>
    <t>Module1/Branches/05/Current</t>
  </si>
  <si>
    <t>Inv [n] unit 1 DC Input 6</t>
  </si>
  <si>
    <t>IREG_15034</t>
  </si>
  <si>
    <t>AI_0119_Inv_[n]_unit_1_DC_Input_6_A</t>
  </si>
  <si>
    <t>Module1/Branches/06/Current</t>
  </si>
  <si>
    <t>Inv [n] unit 1 DC Input 7</t>
  </si>
  <si>
    <t>IREG_15035</t>
  </si>
  <si>
    <t>AI_0120_Inv_[n]_unit_1_DC_Input_7_A</t>
  </si>
  <si>
    <t>Module1/Branches/07/Current</t>
  </si>
  <si>
    <t>Inv [n] unit 1 energy production today</t>
  </si>
  <si>
    <t>IREG_15149</t>
  </si>
  <si>
    <t>AI_0134_Inv_[n]_unit_1_energy_production_today_kWh</t>
  </si>
  <si>
    <t>Module1/Metering/Energy/ProductionToday</t>
  </si>
  <si>
    <t>Inv [n] unit 1 energy production yesterday</t>
  </si>
  <si>
    <t>AI_0135_Inv_[n]_unit_1_energy_production_yesterday_kWh</t>
  </si>
  <si>
    <t>Module1/Metering/Energy/ProductionYesterday</t>
  </si>
  <si>
    <t>Inv [n] unit 1 total energy production</t>
  </si>
  <si>
    <t>IREG_15153</t>
  </si>
  <si>
    <t>AI_0136_Inv_[n]_unit_1_total_energy_production_kWh</t>
  </si>
  <si>
    <t>Module1/Metering/Energy/ProductionTotal</t>
  </si>
  <si>
    <t>Inv [n] unit 1 total running hours</t>
  </si>
  <si>
    <t>IREG_15156</t>
  </si>
  <si>
    <t>AI_0137_Inv_[n]_unit_1_total_running_hours_hr</t>
  </si>
  <si>
    <t>Module1/Status/TotalRunningHours</t>
  </si>
  <si>
    <t>Inv [n] unit 1 internal module temperature</t>
  </si>
  <si>
    <t>IREG_15158</t>
  </si>
  <si>
    <t>AI_0138_Inv_[n]_unit_1_internal_module_temperature_degC</t>
  </si>
  <si>
    <t>Module1/Temperature/InternalModuleTemp</t>
  </si>
  <si>
    <t>Inv [n] unit 1 daily grid connected minutes</t>
  </si>
  <si>
    <t>AI_0139_Inv_[n]_unit_1_daily_grid_connected_minutes_min</t>
  </si>
  <si>
    <t>Inv [n] unit 1 yesterday grid connected minutes</t>
  </si>
  <si>
    <t>AI_0140_Inv_[n]_unit_1_yesterday_grid_connected_minutes_min</t>
  </si>
  <si>
    <t>Module1/YesterdayGridConnectedMinutes</t>
  </si>
  <si>
    <t>Inv [n] unit 1 efficiency</t>
  </si>
  <si>
    <t>IREG_15175</t>
  </si>
  <si>
    <t>AI_0141_Inv_[n]_unit_1_efficiency_pct</t>
  </si>
  <si>
    <t>Module1/Efficiency</t>
  </si>
  <si>
    <t>Inv [n] unit 1 positive resitance to ground</t>
  </si>
  <si>
    <t>IREG_15203</t>
  </si>
  <si>
    <t>AI_0142_Inv_[n]_unit_1_positive_resitance_to_ground_kOhm</t>
  </si>
  <si>
    <t>Module1/Metering/Ground/RpositiveToGround</t>
  </si>
  <si>
    <t>Inv [n] unit 1 negative resitance to ground</t>
  </si>
  <si>
    <t>IREG_15205</t>
  </si>
  <si>
    <t>AI_0143_Inv_[n]_unit_1_negative_resitance_to_ground_kOhm</t>
  </si>
  <si>
    <t>Module1/Metering/Ground/RnegativeToGround</t>
  </si>
  <si>
    <t>Inv [n] unit 1 negative voltage to ground</t>
  </si>
  <si>
    <t>IREG_15211</t>
  </si>
  <si>
    <t>AI_0144_Inv_[n]_unit_1_negative_voltage_to_ground_V</t>
  </si>
  <si>
    <t>Module1/Metering/Ground/VnegativeToGround</t>
  </si>
  <si>
    <t>Inv [n] unit 1 leakage current</t>
  </si>
  <si>
    <t>IREG_15733</t>
  </si>
  <si>
    <t>AI_0145_Inv_[n]_unit_1_leakage_current_count</t>
  </si>
  <si>
    <t>Module1/Status/EventRecorderRecordCount</t>
  </si>
  <si>
    <t>Inv [n] unit 1 temperature 1</t>
  </si>
  <si>
    <t>IREG_15198</t>
  </si>
  <si>
    <t>AI_0146_Inv_[n]_unit_1_temperature_1_degC</t>
  </si>
  <si>
    <t>Module1/Temperature/ACcabinetTemp</t>
  </si>
  <si>
    <t>Inv [n] unit 1 temperature 3</t>
  </si>
  <si>
    <t>IREG_15200</t>
  </si>
  <si>
    <t>AI_0147_Inv_[n]_unit_1_temperature_3_degC</t>
  </si>
  <si>
    <t>Module1/Temperature/DCcabinetTemp</t>
  </si>
  <si>
    <t>Inv [n] unit 1 temperature 5</t>
  </si>
  <si>
    <t>IREG_15202</t>
  </si>
  <si>
    <t>AI_0148_Inv_[n]_unit_1_temperature_5_degC</t>
  </si>
  <si>
    <t>Module1/Temperature/ControlCabinetTemp</t>
  </si>
  <si>
    <t>Inv [n] unit 1 event recorder count</t>
  </si>
  <si>
    <t>AI_0149_Inv_[n]_unit_1_event_recorder_count_count</t>
  </si>
  <si>
    <t>Inv [n] unit 2 status</t>
  </si>
  <si>
    <t>Inv [n] unit 2 active power</t>
  </si>
  <si>
    <t>Inv [n] unit 2 reactive power</t>
  </si>
  <si>
    <t>Inv [n] unit 2 phase A current</t>
  </si>
  <si>
    <t>Inv [n] unit 2 phase B current</t>
  </si>
  <si>
    <t>Inv [n] unit 2 phase C current</t>
  </si>
  <si>
    <t>Inv [n] unit 2 phase AB voltage</t>
  </si>
  <si>
    <t>Inv [n] unit 2 phase BC voltage</t>
  </si>
  <si>
    <t>Inv [n] unit 2 phase CA voltage</t>
  </si>
  <si>
    <t>Inv [n] unit 2 power factor</t>
  </si>
  <si>
    <t>Inv [n] unit 2 frequency</t>
  </si>
  <si>
    <t>Inv [n] unit 2 DC power</t>
  </si>
  <si>
    <t>Inv [n] unit 2 total DC current</t>
  </si>
  <si>
    <t>Inv [n] unit 2 DC voltage</t>
  </si>
  <si>
    <t>Inv [n] unit 2 DC Input 1</t>
  </si>
  <si>
    <t>Inv [n] unit 2 DC Input 2</t>
  </si>
  <si>
    <t>Inv [n] unit 2 DC Input 3</t>
  </si>
  <si>
    <t>Inv [n] unit 2 DC Input 4</t>
  </si>
  <si>
    <t>Inv [n] unit 2 DC Input 5</t>
  </si>
  <si>
    <t>Inv [n] unit 2 DC Input 6</t>
  </si>
  <si>
    <t>Inv [n] unit 2 DC Input 7</t>
  </si>
  <si>
    <t>Inv [n] unit 2 energy production today</t>
  </si>
  <si>
    <t>Inv [n] unit 2 energy production yesterday</t>
  </si>
  <si>
    <t>Inv [n] unit 2 total energy production</t>
  </si>
  <si>
    <t>Inv [n] unit 2 total running hours</t>
  </si>
  <si>
    <t>Inv [n] unit 2 internal module temperature</t>
  </si>
  <si>
    <t>Inv [n] unit 2 daily grid connected minutes</t>
  </si>
  <si>
    <t>Inv [n] unit 2 yesterday grid connected minutes</t>
  </si>
  <si>
    <t>Inv [n] unit 2 efficiency</t>
  </si>
  <si>
    <t>Inv [n] unit 2 positive resitance to ground</t>
  </si>
  <si>
    <t>Inv [n] unit 2 negative resitance to ground</t>
  </si>
  <si>
    <t>Inv [n] unit 2 negative voltage to ground</t>
  </si>
  <si>
    <t>Inv [n] unit 2 leakage current</t>
  </si>
  <si>
    <t>Inv [n] unit 2 temperature 1</t>
  </si>
  <si>
    <t>Inv [n] unit 2 temperature 3</t>
  </si>
  <si>
    <t>Inv [n] unit 2 temperature 5</t>
  </si>
  <si>
    <t>Inv [n] unit 2 event recorder count</t>
  </si>
  <si>
    <t>IREG_15734</t>
  </si>
  <si>
    <t>AI_0149_Inv_[n]_unit_2_event_recorder_count_count</t>
  </si>
  <si>
    <t>Inv [n] unit 3 status</t>
  </si>
  <si>
    <t>Inv [n] unit 3 active power</t>
  </si>
  <si>
    <t>AI_0301_Inv_[n]_unit_3_active_power_kW</t>
  </si>
  <si>
    <t>Inv [n] unit 3 reactive power</t>
  </si>
  <si>
    <t>AI_0302_Inv_[n]_unit_3_reactive_power_kvar</t>
  </si>
  <si>
    <t>Inv [n] unit 3 phase A current</t>
  </si>
  <si>
    <t>AI_0303_Inv_[n]_unit_3_phase_A_current_A</t>
  </si>
  <si>
    <t>Inv [n] unit 3 phase B current</t>
  </si>
  <si>
    <t>AI_0304_Inv_[n]_unit_3_phase_B_current_A</t>
  </si>
  <si>
    <t>Inv [n] unit 3 phase C current</t>
  </si>
  <si>
    <t>AI_0305_Inv_[n]_unit_3_phase_C_current_A</t>
  </si>
  <si>
    <t>Inv [n] unit 3 phase AB voltage</t>
  </si>
  <si>
    <t>AI_0306_Inv_[n]_unit_3_phase_AB_voltage_V</t>
  </si>
  <si>
    <t>Inv [n] unit 3 phase BC voltage</t>
  </si>
  <si>
    <t>AI_0307_Inv_[n]_unit_3_phase_BC_voltage_V</t>
  </si>
  <si>
    <t>Inv [n] unit 3 phase CA voltage</t>
  </si>
  <si>
    <t>AI_0308_Inv_[n]_unit_3_phase_CA_voltage_V</t>
  </si>
  <si>
    <t>Inv [n] unit 3 power factor</t>
  </si>
  <si>
    <t>AI_0309_Inv_[n]_unit_3_power_factor_PU</t>
  </si>
  <si>
    <t>Inv [n] unit 3 frequency</t>
  </si>
  <si>
    <t>AI_0310_Inv_[n]_unit_3_frequency_Hz</t>
  </si>
  <si>
    <t>Inv [n] unit 3 DC power</t>
  </si>
  <si>
    <t>AI_0311_Inv_[n]_unit_3_DC_power_kW</t>
  </si>
  <si>
    <t>Inv [n] unit 3 total DC current</t>
  </si>
  <si>
    <t>AI_0312_Inv_[n]_unit_3_total_DC_current_A</t>
  </si>
  <si>
    <t>Inv [n] unit 3 DC voltage</t>
  </si>
  <si>
    <t>AI_0313_Inv_[n]_unit_3_DC_voltage_V</t>
  </si>
  <si>
    <t>Inv [n] unit 3 DC Input 1</t>
  </si>
  <si>
    <t>AI_0314_Inv_[n]_unit_3_DC_Input_1_A</t>
  </si>
  <si>
    <t>Inv [n] unit 3 DC Input 2</t>
  </si>
  <si>
    <t>AI_0315_Inv_[n]_unit_3_DC_Input_2_A</t>
  </si>
  <si>
    <t>Inv [n] unit 3 DC Input 3</t>
  </si>
  <si>
    <t>AI_0316_Inv_[n]_unit_3_DC_Input_3_A</t>
  </si>
  <si>
    <t>Inv [n] unit 3 DC Input 4</t>
  </si>
  <si>
    <t>AI_0317_Inv_[n]_unit_3_DC_Input_4_A</t>
  </si>
  <si>
    <t>Inv [n] unit 3 DC Input 5</t>
  </si>
  <si>
    <t>AI_0318_Inv_[n]_unit_3_DC_Input_5_A</t>
  </si>
  <si>
    <t>Inv [n] unit 3 DC Input 6</t>
  </si>
  <si>
    <t>AI_0319_Inv_[n]_unit_3_DC_Input_6_A</t>
  </si>
  <si>
    <t>Inv [n] unit 3 DC Input 7</t>
  </si>
  <si>
    <t>AI_0320_Inv_[n]_unit_3_DC_Input_7_A</t>
  </si>
  <si>
    <t>Inv [n] unit 3 energy production today</t>
  </si>
  <si>
    <t>AI_0334_Inv_[n]_unit_3_energy_production_today_kWh</t>
  </si>
  <si>
    <t>Inv [n] unit 3 energy production yesterday</t>
  </si>
  <si>
    <t>AI_0335_Inv_[n]_unit_3_energy_production_yesterday_kWh</t>
  </si>
  <si>
    <t>Inv [n] unit 3 total energy production</t>
  </si>
  <si>
    <t>AI_0336_Inv_[n]_unit_3_total_energy_production_kWh</t>
  </si>
  <si>
    <t>Inv [n] unit 3 total running hours</t>
  </si>
  <si>
    <t>AI_0337_Inv_[n]_unit_3_total_running_hours_hr</t>
  </si>
  <si>
    <t>Inv [n] unit 3 internal module temperature</t>
  </si>
  <si>
    <t>AI_0338_Inv_[n]_unit_3_internal_module_temperature_degC</t>
  </si>
  <si>
    <t>Inv [n] unit 3 daily grid connected minutes</t>
  </si>
  <si>
    <t>AI_0339_Inv_[n]_unit_3_daily_grid_connected_minutes_min</t>
  </si>
  <si>
    <t>Inv [n] unit 3 yesterday grid connected minutes</t>
  </si>
  <si>
    <t>AI_0340_Inv_[n]_unit_3_yesterday_grid_connected_minutes_min</t>
  </si>
  <si>
    <t>Inv [n] unit 3 efficiency</t>
  </si>
  <si>
    <t>AI_0341_Inv_[n]_unit_3_efficiency_pct</t>
  </si>
  <si>
    <t>Inv [n] unit 3 positive resitance to ground</t>
  </si>
  <si>
    <t>AI_0342_Inv_[n]_unit_3_positive_resitance_to_ground_kOhm</t>
  </si>
  <si>
    <t>Inv [n] unit 3 negative resitance to ground</t>
  </si>
  <si>
    <t>AI_0343_Inv_[n]_unit_3_negative_resitance_to_ground_kOhm</t>
  </si>
  <si>
    <t>Inv [n] unit 3 negative voltage to ground</t>
  </si>
  <si>
    <t>AI_0344_Inv_[n]_unit_3_negative_voltage_to_ground_V</t>
  </si>
  <si>
    <t>Inv [n] unit 3 leakage current</t>
  </si>
  <si>
    <t>AI_0345_Inv_[n]_unit_3_leakage_current_count</t>
  </si>
  <si>
    <t>Inv [n] unit 3 temperature 1</t>
  </si>
  <si>
    <t>AI_0346_Inv_[n]_unit_3_temperature_1_degC</t>
  </si>
  <si>
    <t>Inv [n] unit 3 temperature 3</t>
  </si>
  <si>
    <t>AI_0347_Inv_[n]_unit_3_temperature_3_degC</t>
  </si>
  <si>
    <t>Inv [n] unit 3 temperature 5</t>
  </si>
  <si>
    <t>AI_0348_Inv_[n]_unit_3_temperature_5_degC</t>
  </si>
  <si>
    <t>Inv [n] unit 3 event recorder count</t>
  </si>
  <si>
    <t>IREG_15735</t>
  </si>
  <si>
    <t>AI_0149_Inv_[n]_unit_3_event_recorder_count_count</t>
  </si>
  <si>
    <t>Inv [n] unit 4 status</t>
  </si>
  <si>
    <t>AI_0400_Inv_[n]_unit_4_status_enumeration</t>
  </si>
  <si>
    <t>Inv [n] unit 4 active power</t>
  </si>
  <si>
    <t>AI_0401_Inv_[n]_unit_4_active_power_kW</t>
  </si>
  <si>
    <t>Inv [n] unit 4 reactive power</t>
  </si>
  <si>
    <t>AI_0402_Inv_[n]_unit_4_reactive_power_kvar</t>
  </si>
  <si>
    <t>Inv [n] unit 4 phase A current</t>
  </si>
  <si>
    <t>AI_0403_Inv_[n]_unit_4_phase_A_current_A</t>
  </si>
  <si>
    <t>Inv [n] unit 4 phase B current</t>
  </si>
  <si>
    <t>AI_0404_Inv_[n]_unit_4_phase_B_current_A</t>
  </si>
  <si>
    <t>Inv [n] unit 4 phase C current</t>
  </si>
  <si>
    <t>AI_0405_Inv_[n]_unit_4_phase_C_current_A</t>
  </si>
  <si>
    <t>Inv [n] unit 4 phase AB voltage</t>
  </si>
  <si>
    <t>AI_0406_Inv_[n]_unit_4_phase_AB_voltage_V</t>
  </si>
  <si>
    <t>Inv [n] unit 4 phase BC voltage</t>
  </si>
  <si>
    <t>AI_0407_Inv_[n]_unit_4_phase_BC_voltage_V</t>
  </si>
  <si>
    <t>Inv [n] unit 4 phase CA voltage</t>
  </si>
  <si>
    <t>AI_0408_Inv_[n]_unit_4_phase_CA_voltage_V</t>
  </si>
  <si>
    <t>Inv [n] unit 4 power factor</t>
  </si>
  <si>
    <t>AI_0409_Inv_[n]_unit_4_power_factor_PU</t>
  </si>
  <si>
    <t>Inv [n] unit 4 frequency</t>
  </si>
  <si>
    <t>AI_0410_Inv_[n]_unit_4_frequency_Hz</t>
  </si>
  <si>
    <t>Inv [n] unit 4 DC power</t>
  </si>
  <si>
    <t>AI_0411_Inv_[n]_unit_4_DC_power_kW</t>
  </si>
  <si>
    <t>Inv [n] unit 4 total DC current</t>
  </si>
  <si>
    <t>AI_0412_Inv_[n]_unit_4_total_DC_current_A</t>
  </si>
  <si>
    <t>Inv [n] unit 4 DC voltage</t>
  </si>
  <si>
    <t>AI_0413_Inv_[n]_unit_4_DC_voltage_V</t>
  </si>
  <si>
    <t>Inv [n] unit 4 DC Input 1</t>
  </si>
  <si>
    <t>AI_0414_Inv_[n]_unit_4_DC_Input_1_A</t>
  </si>
  <si>
    <t>Inv [n] unit 4 DC Input 2</t>
  </si>
  <si>
    <t>AI_0415_Inv_[n]_unit_4_DC_Input_2_A</t>
  </si>
  <si>
    <t>Inv [n] unit 4 DC Input 3</t>
  </si>
  <si>
    <t>AI_0416_Inv_[n]_unit_4_DC_Input_3_A</t>
  </si>
  <si>
    <t>Inv [n] unit 4 DC Input 4</t>
  </si>
  <si>
    <t>AI_0417_Inv_[n]_unit_4_DC_Input_4_A</t>
  </si>
  <si>
    <t>Inv [n] unit 4 DC Input 5</t>
  </si>
  <si>
    <t>AI_0418_Inv_[n]_unit_4_DC_Input_5_A</t>
  </si>
  <si>
    <t>Inv [n] unit 4 DC Input 6</t>
  </si>
  <si>
    <t>AI_0419_Inv_[n]_unit_4_DC_Input_6_A</t>
  </si>
  <si>
    <t>Inv [n] unit 4 DC Input 7</t>
  </si>
  <si>
    <t>AI_0420_Inv_[n]_unit_4_DC_Input_7_A</t>
  </si>
  <si>
    <t>Inv [n] unit 4 energy production today</t>
  </si>
  <si>
    <t>AI_0434_Inv_[n]_unit_4_energy_production_today_kWh</t>
  </si>
  <si>
    <t>Inv [n] unit 4 energy production yesterday</t>
  </si>
  <si>
    <t>Inv [n] unit 4 total energy production</t>
  </si>
  <si>
    <t>Inv [n] unit 4 total running hours</t>
  </si>
  <si>
    <t>Inv [n] unit 4 internal module temperature</t>
  </si>
  <si>
    <t>Inv [n] unit 4 daily grid connected minutes</t>
  </si>
  <si>
    <t>Inv [n] unit 4 yesterday grid connected minutes</t>
  </si>
  <si>
    <t>Inv [n] unit 4 efficiency</t>
  </si>
  <si>
    <t>Inv [n] unit 4 positive resitance to ground</t>
  </si>
  <si>
    <t>Inv [n] unit 4 negative resitance to ground</t>
  </si>
  <si>
    <t>Inv [n] unit 4 negative voltage to ground</t>
  </si>
  <si>
    <t>Inv [n] unit 4 leakage current</t>
  </si>
  <si>
    <t>Inv [n] unit 4 temperature 1</t>
  </si>
  <si>
    <t>Inv [n] unit 4 temperature 3</t>
  </si>
  <si>
    <t>Inv [n] unit 4 temperature 5</t>
  </si>
  <si>
    <t>Inv [n] unit 4 event recorder count</t>
  </si>
  <si>
    <t>IREG_15736</t>
  </si>
  <si>
    <t>AI_0149_Inv_[n]_unit_4_event_recorder_count_count</t>
  </si>
  <si>
    <t>Counter</t>
  </si>
  <si>
    <t>Inv [n] skid level status register</t>
  </si>
  <si>
    <t>CNT_0000_Inv_[n]_skid_level_status_register</t>
  </si>
  <si>
    <t>Inv [n] MV load switch status</t>
  </si>
  <si>
    <t>IREG_15131.0</t>
  </si>
  <si>
    <t>CNT_0000_Inv_[n]_MV_load_switch_status</t>
  </si>
  <si>
    <t>Inv [n] HV remote control</t>
  </si>
  <si>
    <t>IREG_15126.14</t>
  </si>
  <si>
    <t>CNT_0000_Inv_[n]_HV_remote_control</t>
  </si>
  <si>
    <t>Inv [n] Inverter is Running</t>
  </si>
  <si>
    <t>IREG_15117.0</t>
  </si>
  <si>
    <t>CNT_0000_Inv_[n]_Inverter_is_Running</t>
  </si>
  <si>
    <t>Inv [n] Inverter is Stopped</t>
  </si>
  <si>
    <t>IREG_15117.1</t>
  </si>
  <si>
    <t>CNT_0000_Inv_[n]_Inverter_is_Stopped</t>
  </si>
  <si>
    <t>Inv [n] Remote E-stop</t>
  </si>
  <si>
    <t>IREG_15117.3</t>
  </si>
  <si>
    <t>CNT_0000_Inv_[n]_Remote_E_stop</t>
  </si>
  <si>
    <t>Inv [n] Local E-stop</t>
  </si>
  <si>
    <t>IREG_15117.6</t>
  </si>
  <si>
    <t>CNT_0000_Inv_[n]_Local_E_stop</t>
  </si>
  <si>
    <t>Inv [n] Running</t>
  </si>
  <si>
    <t>IREG_15117.8</t>
  </si>
  <si>
    <t>CNT_0000_Inv_[n]_Running</t>
  </si>
  <si>
    <t>Inv [n] Warn Run</t>
  </si>
  <si>
    <t>IREG_15117.9</t>
  </si>
  <si>
    <t>CNT_0000_Inv_[n]_Warn_Run</t>
  </si>
  <si>
    <t>Inv [n] Fault</t>
  </si>
  <si>
    <t>IREG_15117.10</t>
  </si>
  <si>
    <t>CNT_0000_Inv_[n]_Fault</t>
  </si>
  <si>
    <t>Inv [n] Stop</t>
  </si>
  <si>
    <t>IREG_15117.11</t>
  </si>
  <si>
    <t>CNT_0000_Inv_[n]_Stop</t>
  </si>
  <si>
    <t>Inv [n] HV room door</t>
  </si>
  <si>
    <t>IREG_15126.6</t>
  </si>
  <si>
    <t>CNT_0000_Inv_[n]_HV_room_door</t>
  </si>
  <si>
    <t>Inv [n] External E-stop</t>
  </si>
  <si>
    <t>IREG_15126.11</t>
  </si>
  <si>
    <t>CNT_0000_Inv_[n]_External_E_stop</t>
  </si>
  <si>
    <t>Inv [n] HV remote control trip</t>
  </si>
  <si>
    <t>IREG_15131.1</t>
  </si>
  <si>
    <t>CNT_0000_Inv_[n]_HV_remote_control_trip</t>
  </si>
  <si>
    <t>Inv [n] HV remote control close</t>
  </si>
  <si>
    <t>IREG_15131.6</t>
  </si>
  <si>
    <t>CNT_0000_Inv_[n]_HV_remote_control_close</t>
  </si>
  <si>
    <t>Inv [n] Transformer room door</t>
  </si>
  <si>
    <t>IREG_15131.7</t>
  </si>
  <si>
    <t>CNT_0000_Inv_[n]_Transformer_room_door</t>
  </si>
  <si>
    <t>Inv [n] MV earthing switch</t>
  </si>
  <si>
    <t>IREG_15131.11</t>
  </si>
  <si>
    <t>CNT_0000_Inv_[n]_MV_earthing_switch</t>
  </si>
  <si>
    <t>Inv [n] MV earthing switch 1</t>
  </si>
  <si>
    <t>IREG_15131.12</t>
  </si>
  <si>
    <t>CNT_0000_Inv_[n]_MV_earthing_switch_1</t>
  </si>
  <si>
    <t>Inv [n] MV earthing switch 2</t>
  </si>
  <si>
    <t>IREG_15131.13</t>
  </si>
  <si>
    <t>CNT_0000_Inv_[n]_MV_earthing_switch_2</t>
  </si>
  <si>
    <t>Inv [n] MV earthing switch 3</t>
  </si>
  <si>
    <t>IREG_15131.14</t>
  </si>
  <si>
    <t>CNT_0000_Inv_[n]_MV_earthing_switch_3</t>
  </si>
  <si>
    <t>Inv [n] Load switch T-A status</t>
  </si>
  <si>
    <t>IREG_15131.18</t>
  </si>
  <si>
    <t>CNT_0000_Inv_[n]_Load_switch_T_A_status</t>
  </si>
  <si>
    <t>Inv [n] Load switch T-B status</t>
  </si>
  <si>
    <t>IREG_15131.19</t>
  </si>
  <si>
    <t>CNT_0000_Inv_[n]_Load_switch_T_B_status</t>
  </si>
  <si>
    <t>Inv [n] Load switch T-AB status</t>
  </si>
  <si>
    <t>IREG_15131.20</t>
  </si>
  <si>
    <t>CNT_0000_Inv_[n]_Load_switch_T_AB_status</t>
  </si>
  <si>
    <t>Inv [n] Load switch A-B status</t>
  </si>
  <si>
    <t>IREG_15131.21</t>
  </si>
  <si>
    <t>CNT_0000_Inv_[n]_Load_switch_A_B_status</t>
  </si>
  <si>
    <t>Inv [n] Skid level faults register</t>
  </si>
  <si>
    <t>CNT_0001_Inv_[n]_Skid_level_faults_register</t>
  </si>
  <si>
    <t>Inv [n] SCU master fault</t>
  </si>
  <si>
    <t>IREG_15117.7</t>
  </si>
  <si>
    <t>Alarms</t>
  </si>
  <si>
    <t>CNT_0001_Inv_[n]_SCU_master_fault</t>
  </si>
  <si>
    <t>Inv [n] AC insulation fault</t>
  </si>
  <si>
    <t>IREG_15117.12</t>
  </si>
  <si>
    <t>CNT_0001_Inv_[n]_AC_insulation_fault</t>
  </si>
  <si>
    <t>Inv [n] SCU slave fault</t>
  </si>
  <si>
    <t>IREG_15117.13</t>
  </si>
  <si>
    <t>CNT_0001_Inv_[n]_SCU_slave_fault</t>
  </si>
  <si>
    <t>Inv [n] 24hr insulation fault</t>
  </si>
  <si>
    <t>IREG_15117.15</t>
  </si>
  <si>
    <t>CNT_0001_Inv_[n]_24hr_insulation_fault</t>
  </si>
  <si>
    <t>Inv [n] 24hr DC insulation fault</t>
  </si>
  <si>
    <t>IREG_15117.16</t>
  </si>
  <si>
    <t>CNT_0001_Inv_[n]_24hr_DC_insulation_fault</t>
  </si>
  <si>
    <t>Inv [n] 24hr AC insulation fault</t>
  </si>
  <si>
    <t>IREG_15117.17</t>
  </si>
  <si>
    <t>CNT_0001_Inv_[n]_24hr_AC_insulation_fault</t>
  </si>
  <si>
    <t>Inv [n] ISO insulation detection abnormal fault</t>
  </si>
  <si>
    <t>IREG_15630.0</t>
  </si>
  <si>
    <t>CNT_0001_Inv_[n]_ISO_insulation_detection_abnormal_fault</t>
  </si>
  <si>
    <t>Inv [n] ISO hardware fault</t>
  </si>
  <si>
    <t>IREG_15630.3</t>
  </si>
  <si>
    <t>CNT_0001_Inv_[n]_ISO_hardware_fault</t>
  </si>
  <si>
    <t>Inv [n] ISO overtemperature fault</t>
  </si>
  <si>
    <t>IREG_15630.4</t>
  </si>
  <si>
    <t>CNT_0001_Inv_[n]_ISO_overtemperature_fault</t>
  </si>
  <si>
    <t>Inv [n] ISO overvoltage fault</t>
  </si>
  <si>
    <t>IREG_15630.5</t>
  </si>
  <si>
    <t>CNT_0001_Inv_[n]_ISO_overvoltage_fault</t>
  </si>
  <si>
    <t>Inv [n] Skid level alarms register</t>
  </si>
  <si>
    <t>CNT_0002_Inv_[n]_Skid_level_alarms_register</t>
  </si>
  <si>
    <t>Inv [n] ISO insulation detection abnormal alarm</t>
  </si>
  <si>
    <t>IREG_15631.0</t>
  </si>
  <si>
    <t>CNT_0002_Inv_[n]_ISO_insulation_detection_abnormal_alarm</t>
  </si>
  <si>
    <t>Inv [n] ISO overtemperature alarm</t>
  </si>
  <si>
    <t>IREG_15631.3</t>
  </si>
  <si>
    <t>CNT_0002_Inv_[n]_ISO_overtemperature_alarm</t>
  </si>
  <si>
    <t>Inv [n] ISO grid sampling abnormal alarm</t>
  </si>
  <si>
    <t>IREG_15631.4</t>
  </si>
  <si>
    <t>CNT_0002_Inv_[n]_ISO_grid_sampling_abnormal_alarm</t>
  </si>
  <si>
    <t>Inv [n] MV fuse</t>
  </si>
  <si>
    <t>IREG_15126.12</t>
  </si>
  <si>
    <t>CNT_0002_Inv_[n]_MV_fuse</t>
  </si>
  <si>
    <t>Inv [n] HV room smoke</t>
  </si>
  <si>
    <t>IREG_15126.13</t>
  </si>
  <si>
    <t>CNT_0002_Inv_[n]_HV_room_smoke</t>
  </si>
  <si>
    <t>Inv [n] Transformer room smoke</t>
  </si>
  <si>
    <t>IREG_15131.8</t>
  </si>
  <si>
    <t>CNT_0002_Inv_[n]_Transformer_room_smoke</t>
  </si>
  <si>
    <t>Inv [n] UPS alarm</t>
  </si>
  <si>
    <t>IREG_15131.9</t>
  </si>
  <si>
    <t>CNT_0002_Inv_[n]_UPS_alarm</t>
  </si>
  <si>
    <t>Inv [n] High level trip</t>
  </si>
  <si>
    <t>IREG_15131.15</t>
  </si>
  <si>
    <t>CNT_0002_Inv_[n]_High_level_trip</t>
  </si>
  <si>
    <t>Inv [n] MV fan alarm</t>
  </si>
  <si>
    <t>IREG_15127.1</t>
  </si>
  <si>
    <t>CNT_0002_Inv_[n]_MV_fan_alarm</t>
  </si>
  <si>
    <t>Inv [n] AC insulation detection comm failure</t>
  </si>
  <si>
    <t>IREG_15127.4</t>
  </si>
  <si>
    <t>CNT_0002_Inv_[n]_AC_insulation_detection_comm_failure</t>
  </si>
  <si>
    <t>Inv [n] 24hr insulation alarm</t>
  </si>
  <si>
    <t>IREG_15127.6</t>
  </si>
  <si>
    <t>CNT_0002_Inv_[n]_24hr_insulation_alarm</t>
  </si>
  <si>
    <t>Inv [n] SCU master-slave comm failure</t>
  </si>
  <si>
    <t>IREG_15127.7</t>
  </si>
  <si>
    <t>CNT_0002_Inv_[n]_SCU_master_slave_comm_failure</t>
  </si>
  <si>
    <t>Inv [n] Heartbeat abnormal</t>
  </si>
  <si>
    <t>IREG_15127.8</t>
  </si>
  <si>
    <t>CNT_0002_Inv_[n]_Heartbeat_abnormal</t>
  </si>
  <si>
    <t>Inv [n] PMD IO board comm failure</t>
  </si>
  <si>
    <t>IREG_15127.9</t>
  </si>
  <si>
    <t>CNT_0002_Inv_[n]_PMD_IO_board_comm_failure</t>
  </si>
  <si>
    <t>Inv [n] Inverter IO board comm failure</t>
  </si>
  <si>
    <t>IREG_15127.11</t>
  </si>
  <si>
    <t>CNT_0002_Inv_[n]_Inverter_IO_board_comm_failure</t>
  </si>
  <si>
    <t>Inv [n] ISO board comm failure</t>
  </si>
  <si>
    <t>IREG_15127.14</t>
  </si>
  <si>
    <t>CNT_0002_Inv_[n]_ISO_board_comm_failure</t>
  </si>
  <si>
    <t>Inv [n] UPS fault alarm</t>
  </si>
  <si>
    <t>IREG_15147.0</t>
  </si>
  <si>
    <t>CNT_0002_Inv_[n]_UPS_fault_alarm</t>
  </si>
  <si>
    <t>Inv [n] UPS bypass alarm</t>
  </si>
  <si>
    <t>IREG_15147.1</t>
  </si>
  <si>
    <t>CNT_0002_Inv_[n]_UPS_bypass_alarm</t>
  </si>
  <si>
    <t>Inv [n] UPS battery undervoltage alarm</t>
  </si>
  <si>
    <t>IREG_15147.2</t>
  </si>
  <si>
    <t>CNT_0002_Inv_[n]_UPS_battery_undervoltage_alarm</t>
  </si>
  <si>
    <t>Inv [n] UPS mains disconnection alarm</t>
  </si>
  <si>
    <t>IREG_15147.4</t>
  </si>
  <si>
    <t>CNT_0002_Inv_[n]_UPS_mains_disconnection_alarm</t>
  </si>
  <si>
    <t>Need schematic to tell us what function each DI has</t>
  </si>
  <si>
    <t>Inv [n] UPS conversion</t>
  </si>
  <si>
    <t>IREG_15146.0</t>
  </si>
  <si>
    <t>CNT_0002_Inv_[n]_UPS_conversion</t>
  </si>
  <si>
    <t>Inv [n] Skid transformer alarms register</t>
  </si>
  <si>
    <t>CNT_0003_Inv_[n]_Skid_transformer_alarms_register</t>
  </si>
  <si>
    <t>Inv [n] Gas relay trip</t>
  </si>
  <si>
    <t>IREG_15114.0</t>
  </si>
  <si>
    <t>CNT_0003_Inv_[n]_Gas_relay_trip</t>
  </si>
  <si>
    <t>Inv [n] Gas relay alarm</t>
  </si>
  <si>
    <t>IREG_15114.1</t>
  </si>
  <si>
    <t>CNT_0003_Inv_[n]_Gas_relay_alarm</t>
  </si>
  <si>
    <t>Inv [n] Oil temperature alarm</t>
  </si>
  <si>
    <t>IREG_15114.2</t>
  </si>
  <si>
    <t>CNT_0003_Inv_[n]_Oil_temperature_alarm</t>
  </si>
  <si>
    <t>Inv [n] Oil temperature trip</t>
  </si>
  <si>
    <t>IREG_15114.3</t>
  </si>
  <si>
    <t>CNT_0003_Inv_[n]_Oil_temperature_trip</t>
  </si>
  <si>
    <t>Inv [n] Low oil level trip</t>
  </si>
  <si>
    <t>IREG_15114.4</t>
  </si>
  <si>
    <t>CNT_0003_Inv_[n]_Low_oil_level_trip</t>
  </si>
  <si>
    <t>Inv [n] Low oil level alarm</t>
  </si>
  <si>
    <t>IREG_15114.5</t>
  </si>
  <si>
    <t>CNT_0003_Inv_[n]_Low_oil_level_alarm</t>
  </si>
  <si>
    <t>Inv [n] Pressure relief trip</t>
  </si>
  <si>
    <t>IREG_15114.6</t>
  </si>
  <si>
    <t>CNT_0003_Inv_[n]_Pressure_relief_trip</t>
  </si>
  <si>
    <t>Inv [n] MV load switch 1</t>
  </si>
  <si>
    <t>IREG_15114.8</t>
  </si>
  <si>
    <t>CNT_0003_Inv_[n]_MV_load_switch_1</t>
  </si>
  <si>
    <t>Inv [n] MV load switch 2 status</t>
  </si>
  <si>
    <t>IREG_15114.9</t>
  </si>
  <si>
    <t>CNT_0003_Inv_[n]_MV_load_switch_2_status</t>
  </si>
  <si>
    <t>Inv [n] MV disconnector switch status</t>
  </si>
  <si>
    <t>IREG_15114.11</t>
  </si>
  <si>
    <t>CNT_0003_Inv_[n]_MV_disconnector_switch_status</t>
  </si>
  <si>
    <t>Inv [n] High level alarm</t>
  </si>
  <si>
    <t>IREG_15114.13</t>
  </si>
  <si>
    <t>CNT_0003_Inv_[n]_High_level_alarm</t>
  </si>
  <si>
    <t>Inv [n] Winding temperature trip</t>
  </si>
  <si>
    <t>IREG_15114.14</t>
  </si>
  <si>
    <t>CNT_0003_Inv_[n]_Winding_temperature_trip</t>
  </si>
  <si>
    <t>Inv [n] Winding temperature alarm</t>
  </si>
  <si>
    <t>IREG_15114.15</t>
  </si>
  <si>
    <t>CNT_0003_Inv_[n]_Winding_temperature_alarm</t>
  </si>
  <si>
    <t>Inv [n] Skid digital inputs register</t>
  </si>
  <si>
    <t>CNT_0004_Inv_[n]_Skid_digital_inputs_register</t>
  </si>
  <si>
    <t>Inv [n] DI01 status</t>
  </si>
  <si>
    <t>IREG_15129.0</t>
  </si>
  <si>
    <t>CNT_0004_Inv_[n]_DI01_status</t>
  </si>
  <si>
    <t>Inv [n] DI02 status</t>
  </si>
  <si>
    <t>IREG_15129.1</t>
  </si>
  <si>
    <t>CNT_0004_Inv_[n]_DI02_status</t>
  </si>
  <si>
    <t>Inv [n] DI03 status</t>
  </si>
  <si>
    <t>IREG_15129.2</t>
  </si>
  <si>
    <t>CNT_0004_Inv_[n]_DI03_status</t>
  </si>
  <si>
    <t>Inv [n] DI04 status</t>
  </si>
  <si>
    <t>IREG_15129.3</t>
  </si>
  <si>
    <t>CNT_0004_Inv_[n]_DI04_status</t>
  </si>
  <si>
    <t>Inv [n] DI05 status</t>
  </si>
  <si>
    <t>IREG_15129.4</t>
  </si>
  <si>
    <t>CNT_0004_Inv_[n]_DI05_status</t>
  </si>
  <si>
    <t>Inv [n] DI06 status</t>
  </si>
  <si>
    <t>IREG_15129.5</t>
  </si>
  <si>
    <t>CNT_0004_Inv_[n]_DI06_status</t>
  </si>
  <si>
    <t>Inv [n] DI07 status</t>
  </si>
  <si>
    <t>IREG_15129.6</t>
  </si>
  <si>
    <t>CNT_0004_Inv_[n]_DI07_status</t>
  </si>
  <si>
    <t>Inv [n] DI08 status</t>
  </si>
  <si>
    <t>IREG_15129.7</t>
  </si>
  <si>
    <t>CNT_0004_Inv_[n]_DI08_status</t>
  </si>
  <si>
    <t>Inv [n] DI09 status</t>
  </si>
  <si>
    <t>IREG_15129.8</t>
  </si>
  <si>
    <t>CNT_0004_Inv_[n]_DI09_status</t>
  </si>
  <si>
    <t>Inv [n] DI10 status</t>
  </si>
  <si>
    <t>IREG_15129.9</t>
  </si>
  <si>
    <t>CNT_0004_Inv_[n]_DI10_status</t>
  </si>
  <si>
    <t>Inv [n] DI11 status</t>
  </si>
  <si>
    <t>IREG_15129.10</t>
  </si>
  <si>
    <t>CNT_0004_Inv_[n]_DI11_status</t>
  </si>
  <si>
    <t>Inv [n] DI12 status</t>
  </si>
  <si>
    <t>IREG_15129.11</t>
  </si>
  <si>
    <t>CNT_0004_Inv_[n]_DI12_status</t>
  </si>
  <si>
    <t>Inv [n] DI13 status</t>
  </si>
  <si>
    <t>IREG_15129.12</t>
  </si>
  <si>
    <t>CNT_0004_Inv_[n]_DI13_status</t>
  </si>
  <si>
    <t>Inv [n] DI14 status</t>
  </si>
  <si>
    <t>IREG_15129.13</t>
  </si>
  <si>
    <t>CNT_0004_Inv_[n]_DI14_status</t>
  </si>
  <si>
    <t>Inv [n] DI15 status</t>
  </si>
  <si>
    <t>IREG_15129.14</t>
  </si>
  <si>
    <t>CNT_0004_Inv_[n]_DI15_status</t>
  </si>
  <si>
    <t>Inv [n] DI16 status</t>
  </si>
  <si>
    <t>IREG_15129.15</t>
  </si>
  <si>
    <t>CNT_0004_Inv_[n]_DI16_status</t>
  </si>
  <si>
    <t>Inv [n] DI17 status</t>
  </si>
  <si>
    <t>IREG_15129.16</t>
  </si>
  <si>
    <t>CNT_0004_Inv_[n]_DI17_status</t>
  </si>
  <si>
    <t>Inv [n] DI18 status</t>
  </si>
  <si>
    <t>IREG_15129.17</t>
  </si>
  <si>
    <t>CNT_0004_Inv_[n]_DI18_status</t>
  </si>
  <si>
    <t>Inv [n] DI19 status</t>
  </si>
  <si>
    <t>IREG_15129.18</t>
  </si>
  <si>
    <t>CNT_0004_Inv_[n]_DI19_status</t>
  </si>
  <si>
    <t>Inv [n] DI20 status</t>
  </si>
  <si>
    <t>IREG_15129.19</t>
  </si>
  <si>
    <t>CNT_0004_Inv_[n]_DI20_status</t>
  </si>
  <si>
    <t>Inv [n] DI21 status</t>
  </si>
  <si>
    <t>IREG_15129.20</t>
  </si>
  <si>
    <t>CNT_0004_Inv_[n]_DI21_status</t>
  </si>
  <si>
    <t>Inv [n] DI22 status</t>
  </si>
  <si>
    <t>IREG_15129.21</t>
  </si>
  <si>
    <t>CNT_0004_Inv_[n]_DI22_status</t>
  </si>
  <si>
    <t>Inv [n] DI23 status</t>
  </si>
  <si>
    <t>IREG_15129.22</t>
  </si>
  <si>
    <t>CNT_0004_Inv_[n]_DI23_status</t>
  </si>
  <si>
    <t>Inv [n] DI24 status</t>
  </si>
  <si>
    <t>IREG_15129.23</t>
  </si>
  <si>
    <t>CNT_0004_Inv_[n]_DI24_status</t>
  </si>
  <si>
    <t>Inv [n] PMD IO register</t>
  </si>
  <si>
    <t>CNT_0005_Inv_[n]_PMD_IO_register</t>
  </si>
  <si>
    <t>Inv [n] PMD DI01 status</t>
  </si>
  <si>
    <t>IREG_15142.0</t>
  </si>
  <si>
    <t>CNT_0005_Inv_[n]_PMD_DI01_status</t>
  </si>
  <si>
    <t>Inv [n] PMD DI02 status</t>
  </si>
  <si>
    <t>IREG_15142.1</t>
  </si>
  <si>
    <t>CNT_0005_Inv_[n]_PMD_DI02_status</t>
  </si>
  <si>
    <t>Inv [n] PMD DI03 status</t>
  </si>
  <si>
    <t>IREG_15142.2</t>
  </si>
  <si>
    <t>CNT_0005_Inv_[n]_PMD_DI03_status</t>
  </si>
  <si>
    <t>Inv [n] PMD DI04 status</t>
  </si>
  <si>
    <t>IREG_15142.3</t>
  </si>
  <si>
    <t>CNT_0005_Inv_[n]_PMD_DI04_status</t>
  </si>
  <si>
    <t>Inv [n] PMD DI05 status</t>
  </si>
  <si>
    <t>IREG_15142.4</t>
  </si>
  <si>
    <t>CNT_0005_Inv_[n]_PMD_DI05_status</t>
  </si>
  <si>
    <t>Inv [n] PMD DI06 status</t>
  </si>
  <si>
    <t>IREG_15142.5</t>
  </si>
  <si>
    <t>CNT_0005_Inv_[n]_PMD_DI06_status</t>
  </si>
  <si>
    <t>Inv [n] PMD DI07 status</t>
  </si>
  <si>
    <t>IREG_15142.6</t>
  </si>
  <si>
    <t>CNT_0005_Inv_[n]_PMD_DI07_status</t>
  </si>
  <si>
    <t>Inv [n] PMD DI08 status</t>
  </si>
  <si>
    <t>IREG_15142.7</t>
  </si>
  <si>
    <t>CNT_0005_Inv_[n]_PMD_DI08_status</t>
  </si>
  <si>
    <t>Inv [n] PMD DI09 status</t>
  </si>
  <si>
    <t>IREG_15142.8</t>
  </si>
  <si>
    <t>CNT_0005_Inv_[n]_PMD_DI09_status</t>
  </si>
  <si>
    <t>Inv [n] PMD DI10 status</t>
  </si>
  <si>
    <t>IREG_15142.9</t>
  </si>
  <si>
    <t>CNT_0005_Inv_[n]_PMD_DI10_status</t>
  </si>
  <si>
    <t>Inv [n] PMD DI11 status</t>
  </si>
  <si>
    <t>IREG_15142.10</t>
  </si>
  <si>
    <t>CNT_0005_Inv_[n]_PMD_DI11_status</t>
  </si>
  <si>
    <t>Inv [n] PMD DI12 status</t>
  </si>
  <si>
    <t>IREG_15142.11</t>
  </si>
  <si>
    <t>CNT_0005_Inv_[n]_PMD_DI12_status</t>
  </si>
  <si>
    <t>Inv [n] unit 1 status register</t>
  </si>
  <si>
    <t>CNT_0010_Inv_[n]_unit_1_status_register</t>
  </si>
  <si>
    <t>Inv [n] unit 1 Unit is running</t>
  </si>
  <si>
    <t>IREG_15208.17</t>
  </si>
  <si>
    <t>CNT_0010_Inv_[n]_unit_1_Unit_is_running</t>
  </si>
  <si>
    <t>Inv [n] unit 1 Unit is stopped</t>
  </si>
  <si>
    <t>IREG_15208.18</t>
  </si>
  <si>
    <t>CNT_0010_Inv_[n]_unit_1_Unit_is_stopped</t>
  </si>
  <si>
    <t>Inv [n] unit 1 Run</t>
  </si>
  <si>
    <t>IREG_15208.0</t>
  </si>
  <si>
    <t>CNT_0010_Inv_[n]_unit_1_Run</t>
  </si>
  <si>
    <t>Inv [n] unit 1 Stop</t>
  </si>
  <si>
    <t>IREG_15208.1</t>
  </si>
  <si>
    <t>CNT_0010_Inv_[n]_unit_1_Stop</t>
  </si>
  <si>
    <t>Inv [n] unit 1 Initial standby</t>
  </si>
  <si>
    <t>IREG_15208.2</t>
  </si>
  <si>
    <t>CNT_0010_Inv_[n]_unit_1_Initial_standby</t>
  </si>
  <si>
    <t>Inv [n] unit 1 Press to shutdown</t>
  </si>
  <si>
    <t>IREG_15208.3</t>
  </si>
  <si>
    <t>CNT_0010_Inv_[n]_unit_1_Press_to_shutdown</t>
  </si>
  <si>
    <t>Inv [n] unit 1 Standby</t>
  </si>
  <si>
    <t>IREG_15208.4</t>
  </si>
  <si>
    <t>CNT_0010_Inv_[n]_unit_1_Standby</t>
  </si>
  <si>
    <t>Inv [n] unit 1 Emergency stop</t>
  </si>
  <si>
    <t>IREG_15208.5</t>
  </si>
  <si>
    <t>CNT_0010_Inv_[n]_unit_1_Emergency_stop</t>
  </si>
  <si>
    <t>Inv [n] unit 1 Starting up</t>
  </si>
  <si>
    <t>IREG_15208.6</t>
  </si>
  <si>
    <t>CNT_0010_Inv_[n]_unit_1_Starting_up</t>
  </si>
  <si>
    <t>Inv [n] unit 1 Shutting down</t>
  </si>
  <si>
    <t>IREG_15208.7</t>
  </si>
  <si>
    <t>CNT_0010_Inv_[n]_unit_1_Shutting_down</t>
  </si>
  <si>
    <t>Inv [n] unit 1 Shut down</t>
  </si>
  <si>
    <t>IREG_15208.9</t>
  </si>
  <si>
    <t>CNT_0010_Inv_[n]_unit_1_Shut_down</t>
  </si>
  <si>
    <t>Inv [n] unit 1 Warning run</t>
  </si>
  <si>
    <t>IREG_15208.10</t>
  </si>
  <si>
    <t>CNT_0010_Inv_[n]_unit_1_Warning_run</t>
  </si>
  <si>
    <t>Inv [n] unit 1 Derating run</t>
  </si>
  <si>
    <t>IREG_15208.11</t>
  </si>
  <si>
    <t>CNT_0010_Inv_[n]_unit_1_Derating_run</t>
  </si>
  <si>
    <t>Inv [n] unit 1 IO and DSP communication error</t>
  </si>
  <si>
    <t>IREG_15208.13</t>
  </si>
  <si>
    <t>CNT_0010_Inv_[n]_unit_1_IO_and_DSP_communication_error</t>
  </si>
  <si>
    <t>Inv [n] unit 1 Anti-PID run</t>
  </si>
  <si>
    <t>IREG_15208.19</t>
  </si>
  <si>
    <t>CNT_0010_Inv_[n]_unit_1_Anti_PID_run</t>
  </si>
  <si>
    <t>Inv [n] unit 1 AC breaker status</t>
  </si>
  <si>
    <t>IREG_15194.0</t>
  </si>
  <si>
    <t>CNT_0010_Inv_[n]_unit_1_AC_breaker_status</t>
  </si>
  <si>
    <t>Inv [n] unit 1 DC switch 1 status</t>
  </si>
  <si>
    <t>IREG_15194.3</t>
  </si>
  <si>
    <t>CNT_0010_Inv_[n]_unit_1_DC_switch_1_status</t>
  </si>
  <si>
    <t>Inv [n] unit 1 Emergency shutdown node</t>
  </si>
  <si>
    <t>IREG_15194.19</t>
  </si>
  <si>
    <t>CNT_0010_Inv_[n]_unit_1_Emergency_shutdown_node</t>
  </si>
  <si>
    <t>Inv [n] unit 1 faults register 1</t>
  </si>
  <si>
    <t>CNT_0011_Inv_[n]_unit_1_faults_register_1</t>
  </si>
  <si>
    <t>Inv [n] unit 1 Smoke node</t>
  </si>
  <si>
    <t>IREG_15194.17</t>
  </si>
  <si>
    <t>CNT_0011_Inv_[n]_unit_1_Smoke_node</t>
  </si>
  <si>
    <t>Inv [n] unit 1 Access node</t>
  </si>
  <si>
    <t>IREG_15194.18</t>
  </si>
  <si>
    <t>CNT_0011_Inv_[n]_unit_1_Access_node</t>
  </si>
  <si>
    <t>Inv [n] unit 1 DC undervoltage fault</t>
  </si>
  <si>
    <t>IREG_15186.0</t>
  </si>
  <si>
    <t>CNT_0011_Inv_[n]_unit_1_DC_undervoltage_fault</t>
  </si>
  <si>
    <t>Inv [n] unit 1 DC overvoltage fault</t>
  </si>
  <si>
    <t>IREG_15186.1</t>
  </si>
  <si>
    <t>CNT_0011_Inv_[n]_unit_1_DC_overvoltage_fault</t>
  </si>
  <si>
    <t>Inv [n] unit 1 AC undervoltage fault</t>
  </si>
  <si>
    <t>IREG_15186.2</t>
  </si>
  <si>
    <t>CNT_0011_Inv_[n]_unit_1_AC_undervoltage_fault</t>
  </si>
  <si>
    <t>Inv [n] unit 1 AC overvoltage fault</t>
  </si>
  <si>
    <t>IREG_15186.3</t>
  </si>
  <si>
    <t>CNT_0011_Inv_[n]_unit_1_AC_overvoltage_fault</t>
  </si>
  <si>
    <t>Inv [n] unit 1 Anti islanding protection active</t>
  </si>
  <si>
    <t>IREG_15186.7</t>
  </si>
  <si>
    <t>CNT_0011_Inv_[n]_unit_1_Anti_islanding_protection_active</t>
  </si>
  <si>
    <t>Inv [n] unit 1 PDP protection active</t>
  </si>
  <si>
    <t>IREG_15186.9</t>
  </si>
  <si>
    <t>CNT_0011_Inv_[n]_unit_1_PDP_protection_active</t>
  </si>
  <si>
    <t>Inv [n] unit 1 Module overtemperature fault</t>
  </si>
  <si>
    <t>IREG_15186.10</t>
  </si>
  <si>
    <t>CNT_0011_Inv_[n]_unit_1_Module_overtemperature_fault</t>
  </si>
  <si>
    <t>Inv [n] unit 1 Reactor overtemperature fault</t>
  </si>
  <si>
    <t>IREG_15186.11</t>
  </si>
  <si>
    <t>CNT_0011_Inv_[n]_unit_1_Reactor_overtemperature_fault</t>
  </si>
  <si>
    <t>Inv [n] unit 1 AC leakage current protection fault</t>
  </si>
  <si>
    <t>IREG_15186.14</t>
  </si>
  <si>
    <t>CNT_0011_Inv_[n]_unit_1_AC_leakage_current_protection_fault</t>
  </si>
  <si>
    <t>Inv [n] unit 1 GFDI protection active</t>
  </si>
  <si>
    <t>IREG_15186.17</t>
  </si>
  <si>
    <t>CNT_0011_Inv_[n]_unit_1_GFDI_protection_active</t>
  </si>
  <si>
    <t>Inv [n] unit 1 Fan 1 fault</t>
  </si>
  <si>
    <t>IREG_15186.18</t>
  </si>
  <si>
    <t>CNT_0011_Inv_[n]_unit_1_Fan_1_fault</t>
  </si>
  <si>
    <t>Inv [n] unit 1 DC overcurrent</t>
  </si>
  <si>
    <t>IREG_15186.21</t>
  </si>
  <si>
    <t>CNT_0011_Inv_[n]_unit_1_DC_overcurrent</t>
  </si>
  <si>
    <t>Inv [n] unit 1 AC overcurrent</t>
  </si>
  <si>
    <t>IREG_15186.22</t>
  </si>
  <si>
    <t>CNT_0011_Inv_[n]_unit_1_AC_overcurrent</t>
  </si>
  <si>
    <t>Inv [n] unit 1 Frequency abnormal</t>
  </si>
  <si>
    <t>IREG_15186.23</t>
  </si>
  <si>
    <t>CNT_0011_Inv_[n]_unit_1_Frequency_abnormal</t>
  </si>
  <si>
    <t>Inv [n] unit 1 Temperature abnormal</t>
  </si>
  <si>
    <t>IREG_15186.24</t>
  </si>
  <si>
    <t>CNT_0011_Inv_[n]_unit_1_Temperature_abnormal</t>
  </si>
  <si>
    <t>Inv [n] unit 1 Hardware fault</t>
  </si>
  <si>
    <t>IREG_15186.25</t>
  </si>
  <si>
    <t>CNT_0011_Inv_[n]_unit_1_Hardware_fault</t>
  </si>
  <si>
    <t>Inv [n] unit 1 Grounding fault</t>
  </si>
  <si>
    <t>IREG_15186.26</t>
  </si>
  <si>
    <t>CNT_0011_Inv_[n]_unit_1_Grounding_fault</t>
  </si>
  <si>
    <t>Inv [n] unit 1 Bus overvoltage</t>
  </si>
  <si>
    <t>IREG_15186.27</t>
  </si>
  <si>
    <t>CNT_0011_Inv_[n]_unit_1_Bus_overvoltage</t>
  </si>
  <si>
    <t>Inv [n] unit 1 Bus undervoltage</t>
  </si>
  <si>
    <t>IREG_15186.28</t>
  </si>
  <si>
    <t>CNT_0011_Inv_[n]_unit_1_Bus_undervoltage</t>
  </si>
  <si>
    <t>Inv [n] unit 1 Inverter overvoltage</t>
  </si>
  <si>
    <t>IREG_15186.29</t>
  </si>
  <si>
    <t>CNT_0011_Inv_[n]_unit_1_Inverter_overvoltage</t>
  </si>
  <si>
    <t>Inv [n] unit 1 Low insulation resistance fault</t>
  </si>
  <si>
    <t>IREG_15188.0</t>
  </si>
  <si>
    <t>CNT_0011_Inv_[n]_unit_1_Low_insulation_resistance_fault</t>
  </si>
  <si>
    <t>Inv [n] unit 1 AC SPD fault</t>
  </si>
  <si>
    <t>IREG_15188.1</t>
  </si>
  <si>
    <t>CNT_0011_Inv_[n]_unit_1_AC_SPD_fault</t>
  </si>
  <si>
    <t>Inv [n] unit 1 Sampling fault</t>
  </si>
  <si>
    <t>IREG_15188.2</t>
  </si>
  <si>
    <t>CNT_0011_Inv_[n]_unit_1_Sampling_fault</t>
  </si>
  <si>
    <t>Inv [n] unit 1 DC polarity reversed fault</t>
  </si>
  <si>
    <t>IREG_15188.3</t>
  </si>
  <si>
    <t>CNT_0011_Inv_[n]_unit_1_DC_polarity_reversed_fault</t>
  </si>
  <si>
    <t>Inv [n] unit 1 Control power supply fault</t>
  </si>
  <si>
    <t>IREG_15188.4</t>
  </si>
  <si>
    <t>CNT_0011_Inv_[n]_unit_1_Control_power_supply_fault</t>
  </si>
  <si>
    <t>Inv [n] unit 1 AC current imballance</t>
  </si>
  <si>
    <t>IREG_15188.6</t>
  </si>
  <si>
    <t>CNT_0011_Inv_[n]_unit_1_AC_current_imballance</t>
  </si>
  <si>
    <t>Inv [n] unit 1 DC SPD fault</t>
  </si>
  <si>
    <t>IREG_15188.8</t>
  </si>
  <si>
    <t>CNT_0011_Inv_[n]_unit_1_DC_SPD_fault</t>
  </si>
  <si>
    <t>Inv [n] unit 1 DC component fault</t>
  </si>
  <si>
    <t>IREG_15188.10</t>
  </si>
  <si>
    <t>CNT_0011_Inv_[n]_unit_1_DC_component_fault</t>
  </si>
  <si>
    <t>Inv [n] unit 1 DC switch fault</t>
  </si>
  <si>
    <t>IREG_15188.11</t>
  </si>
  <si>
    <t>CNT_0011_Inv_[n]_unit_1_DC_switch_fault</t>
  </si>
  <si>
    <t>Inv [n] unit 1 Repeated fault</t>
  </si>
  <si>
    <t>IREG_15188.12</t>
  </si>
  <si>
    <t>CNT_0011_Inv_[n]_unit_1_Repeated_fault</t>
  </si>
  <si>
    <t>Inv [n] unit 1 faults register 2</t>
  </si>
  <si>
    <t>CNT_0012_Inv_[n]_unit_1_faults_register_2</t>
  </si>
  <si>
    <t>Inv [n] unit 1 Parallel operation communication failure</t>
  </si>
  <si>
    <t>IREG_15188.13</t>
  </si>
  <si>
    <t>CNT_0012_Inv_[n]_unit_1_Parallel_operation_communication_failure</t>
  </si>
  <si>
    <t>Inv [n] unit 1 Control cabinet temperature fault</t>
  </si>
  <si>
    <t>IREG_15188.14</t>
  </si>
  <si>
    <t>CNT_0012_Inv_[n]_unit_1_Control_cabinet_temperature_fault</t>
  </si>
  <si>
    <t>Inv [n] unit 1 DC fuse ground fault</t>
  </si>
  <si>
    <t>IREG_15188.15</t>
  </si>
  <si>
    <t>CNT_0012_Inv_[n]_unit_1_DC_fuse_ground_fault</t>
  </si>
  <si>
    <t>Inv [n] unit 1 Excessive DC reverse current fault</t>
  </si>
  <si>
    <t>IREG_15188.16</t>
  </si>
  <si>
    <t>CNT_0012_Inv_[n]_unit_1_Excessive_DC_reverse_current_fault</t>
  </si>
  <si>
    <t>Inv [n] unit 1 Grid voltage imballance fault</t>
  </si>
  <si>
    <t>IREG_15188.17</t>
  </si>
  <si>
    <t>CNT_0012_Inv_[n]_unit_1_Grid_voltage_imballance_fault</t>
  </si>
  <si>
    <t>Inv [n] unit 1 Inverter cabinet temperature fault</t>
  </si>
  <si>
    <t>IREG_15188.19</t>
  </si>
  <si>
    <t>CNT_0012_Inv_[n]_unit_1_Inverter_cabinet_temperature_fault</t>
  </si>
  <si>
    <t>Inv [n] unit 1 AC cabinet temperature fault</t>
  </si>
  <si>
    <t>IREG_15188.20</t>
  </si>
  <si>
    <t>CNT_0012_Inv_[n]_unit_1_AC_cabinet_temperature_fault</t>
  </si>
  <si>
    <t>Inv [n] unit 1 AC switch off</t>
  </si>
  <si>
    <t>IREG_15188.21</t>
  </si>
  <si>
    <t>CNT_0012_Inv_[n]_unit_1_AC_switch_off</t>
  </si>
  <si>
    <t>Inv [n] unit 1 AC switch fault</t>
  </si>
  <si>
    <t>IREG_15188.22</t>
  </si>
  <si>
    <t>CNT_0012_Inv_[n]_unit_1_AC_switch_fault</t>
  </si>
  <si>
    <t>Inv [n] unit 1 Soft start fault</t>
  </si>
  <si>
    <t>IREG_15188.23</t>
  </si>
  <si>
    <t>CNT_0012_Inv_[n]_unit_1_Soft_start_fault</t>
  </si>
  <si>
    <t>Inv [n] unit 1 DC voltage sampling fault</t>
  </si>
  <si>
    <t>IREG_15188.24</t>
  </si>
  <si>
    <t>CNT_0012_Inv_[n]_unit_1_DC_voltage_sampling_fault</t>
  </si>
  <si>
    <t>Inv [n] unit 1 Fan 2 fault</t>
  </si>
  <si>
    <t>IREG_15188.25</t>
  </si>
  <si>
    <t>CNT_0012_Inv_[n]_unit_1_Fan_2_fault</t>
  </si>
  <si>
    <t>Inv [n] unit 1 Current unbalance 2</t>
  </si>
  <si>
    <t>IREG_15188.26</t>
  </si>
  <si>
    <t>CNT_0012_Inv_[n]_unit_1_Current_unbalance_2</t>
  </si>
  <si>
    <t>Inv [n] unit 1 Current unbalance 3</t>
  </si>
  <si>
    <t>IREG_15188.27</t>
  </si>
  <si>
    <t>CNT_0012_Inv_[n]_unit_1_Current_unbalance_3</t>
  </si>
  <si>
    <t>Inv [n] unit 1 DC cabinet temperature alarm</t>
  </si>
  <si>
    <t>IREG_15188.29</t>
  </si>
  <si>
    <t>CNT_0012_Inv_[n]_unit_1_DC_cabinet_temperature_alarm</t>
  </si>
  <si>
    <t>Inv [n] unit 1 Neutral point potential shift alarm</t>
  </si>
  <si>
    <t>IREG_15188.30</t>
  </si>
  <si>
    <t>CNT_0012_Inv_[n]_unit_1_Neutral_point_potential_shift_alarm</t>
  </si>
  <si>
    <t>Inv [n] unit 1 Carrier sync failure</t>
  </si>
  <si>
    <t>IREG_15188.31</t>
  </si>
  <si>
    <t>CNT_0012_Inv_[n]_unit_1_Carrier_sync_failure</t>
  </si>
  <si>
    <t>Inv [n] unit 1 Smoke alarm</t>
  </si>
  <si>
    <t>IREG_15190.0</t>
  </si>
  <si>
    <t>CNT_0012_Inv_[n]_unit_1_Smoke_alarm</t>
  </si>
  <si>
    <t>Inv [n] unit 1 Access control protection alarm</t>
  </si>
  <si>
    <t>IREG_15190.1</t>
  </si>
  <si>
    <t>CNT_0012_Inv_[n]_unit_1_Access_control_protection_alarm</t>
  </si>
  <si>
    <t>Inv [n] unit 1 Emergency shutdown alarm</t>
  </si>
  <si>
    <t>IREG_15190.2</t>
  </si>
  <si>
    <t>CNT_0012_Inv_[n]_unit_1_Emergency_shutdown_alarm</t>
  </si>
  <si>
    <t>Inv [n] unit 1 alarms register</t>
  </si>
  <si>
    <t>CNT_0013_Inv_[n]_unit_1_alarms_register</t>
  </si>
  <si>
    <t>Inv [n] unit 1 Temperature abnormal alarm</t>
  </si>
  <si>
    <t>IREG_15210.0</t>
  </si>
  <si>
    <t>CNT_0013_Inv_[n]_unit_1_Temperature_abnormal_alarm</t>
  </si>
  <si>
    <t>Inv [n] unit 1 Low insulation resistance alarm</t>
  </si>
  <si>
    <t>IREG_15210.1</t>
  </si>
  <si>
    <t>CNT_0013_Inv_[n]_unit_1_Low_insulation_resistance_alarm</t>
  </si>
  <si>
    <t>Inv [n] unit 1 GFRT operation alarm</t>
  </si>
  <si>
    <t>IREG_15210.2</t>
  </si>
  <si>
    <t>CNT_0013_Inv_[n]_unit_1_GFRT_operation_alarm</t>
  </si>
  <si>
    <t>Inv [n] unit 1 CT unbalance alarm</t>
  </si>
  <si>
    <t>IREG_15210.3</t>
  </si>
  <si>
    <t>CNT_0013_Inv_[n]_unit_1_CT_unbalance_alarm</t>
  </si>
  <si>
    <t>Inv [n] unit 1 DC sensor alarm</t>
  </si>
  <si>
    <t>IREG_15210.6</t>
  </si>
  <si>
    <t>CNT_0013_Inv_[n]_unit_1_DC_sensor_alarm</t>
  </si>
  <si>
    <t>Inv [n] unit 1 DC SPD alarm</t>
  </si>
  <si>
    <t>IREG_15210.7</t>
  </si>
  <si>
    <t>CNT_0013_Inv_[n]_unit_1_DC_SPD_alarm</t>
  </si>
  <si>
    <t>Inv [n] unit 1 AC SPD alarm</t>
  </si>
  <si>
    <t>IREG_15210.8</t>
  </si>
  <si>
    <t>CNT_0013_Inv_[n]_unit_1_AC_SPD_alarm</t>
  </si>
  <si>
    <t>Inv [n] unit 1 DC switch alarm</t>
  </si>
  <si>
    <t>IREG_15210.12</t>
  </si>
  <si>
    <t>CNT_0013_Inv_[n]_unit_1_DC_switch_alarm</t>
  </si>
  <si>
    <t>Inv [n] unit 1 Anti-PID power alarm</t>
  </si>
  <si>
    <t>IREG_15210.13</t>
  </si>
  <si>
    <t>CNT_0013_Inv_[n]_unit_1_Anti_PID_power_alarm</t>
  </si>
  <si>
    <t>Inv [n] unit 1 Cooling fan 1 alarm</t>
  </si>
  <si>
    <t>IREG_15210.14</t>
  </si>
  <si>
    <t>CNT_0013_Inv_[n]_unit_1_Cooling_fan_1_alarm</t>
  </si>
  <si>
    <t>Inv [n] unit 1 DC branch forward alarm</t>
  </si>
  <si>
    <t>IREG_15210.16</t>
  </si>
  <si>
    <t>CNT_0013_Inv_[n]_unit_1_DC_branch_forward_alarm</t>
  </si>
  <si>
    <t>Inv [n] unit 1 DC branch reverse alarm</t>
  </si>
  <si>
    <t>IREG_15210.17</t>
  </si>
  <si>
    <t>CNT_0013_Inv_[n]_unit_1_DC_branch_reverse_alarm</t>
  </si>
  <si>
    <t>Inv [n] unit 1 AC switch alarm</t>
  </si>
  <si>
    <t>IREG_15210.19</t>
  </si>
  <si>
    <t>CNT_0013_Inv_[n]_unit_1_AC_switch_alarm</t>
  </si>
  <si>
    <t>Inv [n] unit 1 Meter communication failure alarm</t>
  </si>
  <si>
    <t>IREG_15210.20</t>
  </si>
  <si>
    <t>CNT_0013_Inv_[n]_unit_1_Meter_communication_failure_alarm</t>
  </si>
  <si>
    <t>Inv [n] unit 1 Cooling fan 2 alarm</t>
  </si>
  <si>
    <t>IREG_15210.21</t>
  </si>
  <si>
    <t>CNT_0013_Inv_[n]_unit_1_Cooling_fan_2_alarm</t>
  </si>
  <si>
    <t>Inv [n] unit 1 Temperature and humidity sensor alarm</t>
  </si>
  <si>
    <t>IREG_15210.23</t>
  </si>
  <si>
    <t>CNT_0013_Inv_[n]_unit_1_Temperature_and_humidity_sensor_alarm</t>
  </si>
  <si>
    <t>Inv [n] unit 1 Frequency deviation active power regulation</t>
  </si>
  <si>
    <t>IREG_15210.24</t>
  </si>
  <si>
    <t>CNT_0013_Inv_[n]_unit_1_Frequency_deviation_active_power_regulation</t>
  </si>
  <si>
    <t>Inv [n] unit 1 Voltage deviation reactive power regulation</t>
  </si>
  <si>
    <t>IREG_15210.25</t>
  </si>
  <si>
    <t>CNT_0013_Inv_[n]_unit_1_Voltage_deviation_reactive_power_regulation</t>
  </si>
  <si>
    <t>Inv [n] unit 1 Busbar temperature alarm</t>
  </si>
  <si>
    <t>IREG_15210.27</t>
  </si>
  <si>
    <t>CNT_0013_Inv_[n]_unit_1_Busbar_temperature_alarm</t>
  </si>
  <si>
    <t>Inv [n] unit 1 Cooling fan derating alarm</t>
  </si>
  <si>
    <t>IREG_15210.29</t>
  </si>
  <si>
    <t>CNT_0013_Inv_[n]_unit_1_Cooling_fan_derating_alarm</t>
  </si>
  <si>
    <t>IREG_15210.30</t>
  </si>
  <si>
    <t>CNT_0013_Inv_[n]_unit_1_Frequency_abnormal</t>
  </si>
  <si>
    <t>Inv [n] unit 1 HVRT operation</t>
  </si>
  <si>
    <t>IREG_15262.1</t>
  </si>
  <si>
    <t>CNT_0013_Inv_[n]_unit_1_HVRT_operation</t>
  </si>
  <si>
    <t>Inv [n] unit 1 LVRT operation</t>
  </si>
  <si>
    <t>IREG_15262.2</t>
  </si>
  <si>
    <t>CNT_0013_Inv_[n]_unit_1_LVRT_operation</t>
  </si>
  <si>
    <t>Inv [n] unit 1 array monitoring register</t>
  </si>
  <si>
    <t>CNT_0014_Inv_[n]_unit_1_array_monitoring_register</t>
  </si>
  <si>
    <t>Inv [n] unit 1 DC input 1 open circuit fault</t>
  </si>
  <si>
    <t>IREG_16001.0</t>
  </si>
  <si>
    <t>CNT_0014_Inv_[n]_unit_1_DC_input_1_open_circuit_fault</t>
  </si>
  <si>
    <t>Inv [n] unit 1 DC input 2 open circuit fault</t>
  </si>
  <si>
    <t>IREG_16001.1</t>
  </si>
  <si>
    <t>CNT_0014_Inv_[n]_unit_1_DC_input_2_open_circuit_fault</t>
  </si>
  <si>
    <t>Inv [n] unit 1 DC input 3 open circuit fault</t>
  </si>
  <si>
    <t>IREG_16001.2</t>
  </si>
  <si>
    <t>CNT_0014_Inv_[n]_unit_1_DC_input_3_open_circuit_fault</t>
  </si>
  <si>
    <t>Inv [n] unit 1 DC input 4 open circuit fault</t>
  </si>
  <si>
    <t>IREG_16001.3</t>
  </si>
  <si>
    <t>CNT_0014_Inv_[n]_unit_1_DC_input_4_open_circuit_fault</t>
  </si>
  <si>
    <t>Inv [n] unit 1 DC input 5 open circuit fault</t>
  </si>
  <si>
    <t>IREG_16001.4</t>
  </si>
  <si>
    <t>CNT_0014_Inv_[n]_unit_1_DC_input_5_open_circuit_fault</t>
  </si>
  <si>
    <t>Inv [n] unit 1 DC input 6 open circuit fault</t>
  </si>
  <si>
    <t>IREG_16001.5</t>
  </si>
  <si>
    <t>CNT_0014_Inv_[n]_unit_1_DC_input_6_open_circuit_fault</t>
  </si>
  <si>
    <t>Inv [n] unit 1 DC input 7 open circuit fault</t>
  </si>
  <si>
    <t>IREG_16001.6</t>
  </si>
  <si>
    <t>CNT_0014_Inv_[n]_unit_1_DC_input_7_open_circuit_fault</t>
  </si>
  <si>
    <t>Inv [n] unit 1 DC input 1 string failure alarm</t>
  </si>
  <si>
    <t>IREG_16003.0</t>
  </si>
  <si>
    <t>CNT_0014_Inv_[n]_unit_1_DC_input_1_string_failure_alarm</t>
  </si>
  <si>
    <t>Inv [n] unit 1 DC input 2 string failure alarm</t>
  </si>
  <si>
    <t>IREG_16003.1</t>
  </si>
  <si>
    <t>CNT_0014_Inv_[n]_unit_1_DC_input_2_string_failure_alarm</t>
  </si>
  <si>
    <t>Inv [n] unit 1 DC input 3 string failure alarm</t>
  </si>
  <si>
    <t>IREG_16003.2</t>
  </si>
  <si>
    <t>CNT_0014_Inv_[n]_unit_1_DC_input_3_string_failure_alarm</t>
  </si>
  <si>
    <t>Inv [n] unit 1 DC input 4 string failure alarm</t>
  </si>
  <si>
    <t>IREG_16003.3</t>
  </si>
  <si>
    <t>CNT_0014_Inv_[n]_unit_1_DC_input_4_string_failure_alarm</t>
  </si>
  <si>
    <t>Inv [n] unit 1 DC input 5 string failure alarm</t>
  </si>
  <si>
    <t>IREG_16003.4</t>
  </si>
  <si>
    <t>CNT_0014_Inv_[n]_unit_1_DC_input_5_string_failure_alarm</t>
  </si>
  <si>
    <t>Inv [n] unit 1 DC input 6 string failure alarm</t>
  </si>
  <si>
    <t>IREG_16003.5</t>
  </si>
  <si>
    <t>CNT_0014_Inv_[n]_unit_1_DC_input_6_string_failure_alarm</t>
  </si>
  <si>
    <t>Inv [n] unit 1 DC input 7 string failure alarm</t>
  </si>
  <si>
    <t>IREG_16003.6</t>
  </si>
  <si>
    <t>CNT_0014_Inv_[n]_unit_1_DC_input_7_string_failure_alarm</t>
  </si>
  <si>
    <t>Inv [n] unit 2 status register</t>
  </si>
  <si>
    <t>CNT_0020_Inv_[n]_unit_2_status_register</t>
  </si>
  <si>
    <t>Inv [n] unit 2 Unit is running</t>
  </si>
  <si>
    <t>IREG_15328.17</t>
  </si>
  <si>
    <t>CNT_0020_Inv_[n]_unit_2_Unit_is_running</t>
  </si>
  <si>
    <t>Inv [n] unit 2 Unit is stopped</t>
  </si>
  <si>
    <t>IREG_15328.18</t>
  </si>
  <si>
    <t>CNT_0020_Inv_[n]_unit_2_Unit_is_stopped</t>
  </si>
  <si>
    <t>Inv [n] unit 2 Run</t>
  </si>
  <si>
    <t>IREG_15328.0</t>
  </si>
  <si>
    <t>CNT_0020_Inv_[n]_unit_2_Run</t>
  </si>
  <si>
    <t>Inv [n] unit 2 Stop</t>
  </si>
  <si>
    <t>IREG_15328.1</t>
  </si>
  <si>
    <t>CNT_0020_Inv_[n]_unit_2_Stop</t>
  </si>
  <si>
    <t>Inv [n] unit 2 Initial standby</t>
  </si>
  <si>
    <t>IREG_15328.2</t>
  </si>
  <si>
    <t>CNT_0020_Inv_[n]_unit_2_Initial_standby</t>
  </si>
  <si>
    <t>Inv [n] unit 2 Press to shutdown</t>
  </si>
  <si>
    <t>IREG_15328.3</t>
  </si>
  <si>
    <t>CNT_0020_Inv_[n]_unit_2_Press_to_shutdown</t>
  </si>
  <si>
    <t>Inv [n] unit 2 Standby</t>
  </si>
  <si>
    <t>IREG_15328.4</t>
  </si>
  <si>
    <t>CNT_0020_Inv_[n]_unit_2_Standby</t>
  </si>
  <si>
    <t>Inv [n] unit 2 Emergency stop</t>
  </si>
  <si>
    <t>IREG_15328.5</t>
  </si>
  <si>
    <t>CNT_0020_Inv_[n]_unit_2_Emergency_stop</t>
  </si>
  <si>
    <t>Inv [n] unit 2 Starting up</t>
  </si>
  <si>
    <t>IREG_15328.6</t>
  </si>
  <si>
    <t>CNT_0020_Inv_[n]_unit_2_Starting_up</t>
  </si>
  <si>
    <t>Inv [n] unit 2 Shutting down</t>
  </si>
  <si>
    <t>IREG_15328.7</t>
  </si>
  <si>
    <t>CNT_0020_Inv_[n]_unit_2_Shutting_down</t>
  </si>
  <si>
    <t>Inv [n] unit 2 Shut down</t>
  </si>
  <si>
    <t>IREG_15328.9</t>
  </si>
  <si>
    <t>CNT_0020_Inv_[n]_unit_2_Shut_down</t>
  </si>
  <si>
    <t>Inv [n] unit 2 Warning run</t>
  </si>
  <si>
    <t>IREG_15328.10</t>
  </si>
  <si>
    <t>CNT_0020_Inv_[n]_unit_2_Warning_run</t>
  </si>
  <si>
    <t>Inv [n] unit 2 Derating run</t>
  </si>
  <si>
    <t>IREG_15328.11</t>
  </si>
  <si>
    <t>CNT_0020_Inv_[n]_unit_2_Derating_run</t>
  </si>
  <si>
    <t>Inv [n] unit 2 IO and DSP communication error</t>
  </si>
  <si>
    <t>IREG_15328.13</t>
  </si>
  <si>
    <t>CNT_0020_Inv_[n]_unit_2_IO_and_DSP_communication_error</t>
  </si>
  <si>
    <t>Inv [n] unit 2 Anti-PID run</t>
  </si>
  <si>
    <t>IREG_15328.19</t>
  </si>
  <si>
    <t>CNT_0020_Inv_[n]_unit_2_Anti_PID_run</t>
  </si>
  <si>
    <t>Inv [n] unit 2 AC breaker status</t>
  </si>
  <si>
    <t>IREG_15314.0</t>
  </si>
  <si>
    <t>CNT_0020_Inv_[n]_unit_2_AC_breaker_status</t>
  </si>
  <si>
    <t>Inv [n] unit 2 DC switch 1 status</t>
  </si>
  <si>
    <t>IREG_15314.3</t>
  </si>
  <si>
    <t>CNT_0020_Inv_[n]_unit_2_DC_switch_1_status</t>
  </si>
  <si>
    <t>Inv [n] unit 2 Emergency shutdown node</t>
  </si>
  <si>
    <t>IREG_15314.19</t>
  </si>
  <si>
    <t>CNT_0020_Inv_[n]_unit_2_Emergency_shutdown_node</t>
  </si>
  <si>
    <t>Inv [n] unit 2 faults register 1</t>
  </si>
  <si>
    <t>CNT_0021_Inv_[n]_unit_2_faults_register_1</t>
  </si>
  <si>
    <t>Inv [n] unit 2 Smoke node</t>
  </si>
  <si>
    <t>IREG_15314.17</t>
  </si>
  <si>
    <t>CNT_0021_Inv_[n]_unit_2_Smoke_node</t>
  </si>
  <si>
    <t>Inv [n] unit 2 Access node</t>
  </si>
  <si>
    <t>IREG_15314.18</t>
  </si>
  <si>
    <t>CNT_0021_Inv_[n]_unit_2_Access_node</t>
  </si>
  <si>
    <t>Inv [n] unit 2 DC undervoltage fault</t>
  </si>
  <si>
    <t>IREG_15306.0</t>
  </si>
  <si>
    <t>CNT_0021_Inv_[n]_unit_2_DC_undervoltage_fault</t>
  </si>
  <si>
    <t>Inv [n] unit 2 DC overvoltage fault</t>
  </si>
  <si>
    <t>IREG_15306.1</t>
  </si>
  <si>
    <t>CNT_0021_Inv_[n]_unit_2_DC_overvoltage_fault</t>
  </si>
  <si>
    <t>Inv [n] unit 2 AC undervoltage fault</t>
  </si>
  <si>
    <t>IREG_15306.2</t>
  </si>
  <si>
    <t>CNT_0021_Inv_[n]_unit_2_AC_undervoltage_fault</t>
  </si>
  <si>
    <t>Inv [n] unit 2 AC overvoltage fault</t>
  </si>
  <si>
    <t>IREG_15306.3</t>
  </si>
  <si>
    <t>CNT_0021_Inv_[n]_unit_2_AC_overvoltage_fault</t>
  </si>
  <si>
    <t>Inv [n] unit 2 Anti islanding protection active</t>
  </si>
  <si>
    <t>IREG_15306.7</t>
  </si>
  <si>
    <t>CNT_0021_Inv_[n]_unit_2_Anti_islanding_protection_active</t>
  </si>
  <si>
    <t>Inv [n] unit 2 PDP protection active</t>
  </si>
  <si>
    <t>IREG_15306.9</t>
  </si>
  <si>
    <t>CNT_0021_Inv_[n]_unit_2_PDP_protection_active</t>
  </si>
  <si>
    <t>Inv [n] unit 2 Module overtemperature fault</t>
  </si>
  <si>
    <t>IREG_15306.10</t>
  </si>
  <si>
    <t>CNT_0021_Inv_[n]_unit_2_Module_overtemperature_fault</t>
  </si>
  <si>
    <t>Inv [n] unit 2 Reactor overtemperature fault</t>
  </si>
  <si>
    <t>IREG_15306.11</t>
  </si>
  <si>
    <t>CNT_0021_Inv_[n]_unit_2_Reactor_overtemperature_fault</t>
  </si>
  <si>
    <t>Inv [n] unit 2 AC leakage current protection fault</t>
  </si>
  <si>
    <t>IREG_15306.14</t>
  </si>
  <si>
    <t>CNT_0021_Inv_[n]_unit_2_AC_leakage_current_protection_fault</t>
  </si>
  <si>
    <t>Inv [n] unit 2 GFDI protection active</t>
  </si>
  <si>
    <t>IREG_15306.17</t>
  </si>
  <si>
    <t>CNT_0021_Inv_[n]_unit_2_GFDI_protection_active</t>
  </si>
  <si>
    <t>Inv [n] unit 2 Fan 1 fault</t>
  </si>
  <si>
    <t>IREG_15306.18</t>
  </si>
  <si>
    <t>CNT_0021_Inv_[n]_unit_2_Fan_1_fault</t>
  </si>
  <si>
    <t>Inv [n] unit 2 DC overcurrent</t>
  </si>
  <si>
    <t>IREG_15306.21</t>
  </si>
  <si>
    <t>CNT_0021_Inv_[n]_unit_2_DC_overcurrent</t>
  </si>
  <si>
    <t>Inv [n] unit 2 AC overcurrent</t>
  </si>
  <si>
    <t>IREG_15306.22</t>
  </si>
  <si>
    <t>CNT_0021_Inv_[n]_unit_2_AC_overcurrent</t>
  </si>
  <si>
    <t>Inv [n] unit 2 Frequency abnormal</t>
  </si>
  <si>
    <t>IREG_15306.23</t>
  </si>
  <si>
    <t>CNT_0021_Inv_[n]_unit_2_Frequency_abnormal</t>
  </si>
  <si>
    <t>Inv [n] unit 2 Temperature abnormal</t>
  </si>
  <si>
    <t>IREG_15306.24</t>
  </si>
  <si>
    <t>CNT_0021_Inv_[n]_unit_2_Temperature_abnormal</t>
  </si>
  <si>
    <t>Inv [n] unit 2 Hardware fault</t>
  </si>
  <si>
    <t>IREG_15306.25</t>
  </si>
  <si>
    <t>CNT_0021_Inv_[n]_unit_2_Hardware_fault</t>
  </si>
  <si>
    <t>Inv [n] unit 2 Grounding fault</t>
  </si>
  <si>
    <t>IREG_15306.26</t>
  </si>
  <si>
    <t>CNT_0021_Inv_[n]_unit_2_Grounding_fault</t>
  </si>
  <si>
    <t>Inv [n] unit 2 Bus overvoltage</t>
  </si>
  <si>
    <t>IREG_15306.27</t>
  </si>
  <si>
    <t>CNT_0021_Inv_[n]_unit_2_Bus_overvoltage</t>
  </si>
  <si>
    <t>Inv [n] unit 2 Bus undervoltage</t>
  </si>
  <si>
    <t>IREG_15306.28</t>
  </si>
  <si>
    <t>CNT_0021_Inv_[n]_unit_2_Bus_undervoltage</t>
  </si>
  <si>
    <t>Inv [n] unit 2 Inverter overvoltage</t>
  </si>
  <si>
    <t>IREG_15306.29</t>
  </si>
  <si>
    <t>CNT_0021_Inv_[n]_unit_2_Inverter_overvoltage</t>
  </si>
  <si>
    <t>Inv [n] unit 2 Low insulation resistance fault</t>
  </si>
  <si>
    <t>IREG_15308.0</t>
  </si>
  <si>
    <t>CNT_0021_Inv_[n]_unit_2_Low_insulation_resistance_fault</t>
  </si>
  <si>
    <t>Inv [n] unit 2 AC SPD fault</t>
  </si>
  <si>
    <t>IREG_15308.1</t>
  </si>
  <si>
    <t>CNT_0021_Inv_[n]_unit_2_AC_SPD_fault</t>
  </si>
  <si>
    <t>Inv [n] unit 2 Sampling fault</t>
  </si>
  <si>
    <t>IREG_15308.2</t>
  </si>
  <si>
    <t>CNT_0021_Inv_[n]_unit_2_Sampling_fault</t>
  </si>
  <si>
    <t>Inv [n] unit 2 DC polarity reversed fault</t>
  </si>
  <si>
    <t>IREG_15308.3</t>
  </si>
  <si>
    <t>CNT_0021_Inv_[n]_unit_2_DC_polarity_reversed_fault</t>
  </si>
  <si>
    <t>Inv [n] unit 2 Control power supply fault</t>
  </si>
  <si>
    <t>IREG_15308.4</t>
  </si>
  <si>
    <t>CNT_0021_Inv_[n]_unit_2_Control_power_supply_fault</t>
  </si>
  <si>
    <t>Inv [n] unit 2 AC current imballance</t>
  </si>
  <si>
    <t>IREG_15308.6</t>
  </si>
  <si>
    <t>CNT_0021_Inv_[n]_unit_2_AC_current_imballance</t>
  </si>
  <si>
    <t>Inv [n] unit 2 DC SPD fault</t>
  </si>
  <si>
    <t>IREG_15308.8</t>
  </si>
  <si>
    <t>CNT_0021_Inv_[n]_unit_2_DC_SPD_fault</t>
  </si>
  <si>
    <t>Inv [n] unit 2 DC component fault</t>
  </si>
  <si>
    <t>IREG_15308.10</t>
  </si>
  <si>
    <t>CNT_0021_Inv_[n]_unit_2_DC_component_fault</t>
  </si>
  <si>
    <t>Inv [n] unit 2 DC switch fault</t>
  </si>
  <si>
    <t>IREG_15308.11</t>
  </si>
  <si>
    <t>CNT_0021_Inv_[n]_unit_2_DC_switch_fault</t>
  </si>
  <si>
    <t>Inv [n] unit 2 Repeated fault</t>
  </si>
  <si>
    <t>IREG_15308.12</t>
  </si>
  <si>
    <t>CNT_0021_Inv_[n]_unit_2_Repeated_fault</t>
  </si>
  <si>
    <t>Inv [n] unit 2 faults register 2</t>
  </si>
  <si>
    <t>CNT_0022_Inv_[n]_unit_2_faults_register_2</t>
  </si>
  <si>
    <t>Inv [n] unit 2 Parallel operation communication failure</t>
  </si>
  <si>
    <t>IREG_15308.13</t>
  </si>
  <si>
    <t>CNT_0022_Inv_[n]_unit_2_Parallel_operation_communication_failure</t>
  </si>
  <si>
    <t>Inv [n] unit 2 Control cabinet temperature fault</t>
  </si>
  <si>
    <t>IREG_15308.14</t>
  </si>
  <si>
    <t>CNT_0022_Inv_[n]_unit_2_Control_cabinet_temperature_fault</t>
  </si>
  <si>
    <t>Inv [n] unit 2 DC fuse ground fault</t>
  </si>
  <si>
    <t>IREG_15308.15</t>
  </si>
  <si>
    <t>CNT_0022_Inv_[n]_unit_2_DC_fuse_ground_fault</t>
  </si>
  <si>
    <t>Inv [n] unit 2 Excessive DC reverse current fault</t>
  </si>
  <si>
    <t>IREG_15308.16</t>
  </si>
  <si>
    <t>CNT_0022_Inv_[n]_unit_2_Excessive_DC_reverse_current_fault</t>
  </si>
  <si>
    <t>Inv [n] unit 2 Grid voltage imballance fault</t>
  </si>
  <si>
    <t>IREG_15308.17</t>
  </si>
  <si>
    <t>CNT_0022_Inv_[n]_unit_2_Grid_voltage_imballance_fault</t>
  </si>
  <si>
    <t>Inv [n] unit 2 Inverter cabinet temperature fault</t>
  </si>
  <si>
    <t>IREG_15308.19</t>
  </si>
  <si>
    <t>CNT_0022_Inv_[n]_unit_2_Inverter_cabinet_temperature_fault</t>
  </si>
  <si>
    <t>Inv [n] unit 2 AC cabinet temperature fault</t>
  </si>
  <si>
    <t>IREG_15308.20</t>
  </si>
  <si>
    <t>CNT_0022_Inv_[n]_unit_2_AC_cabinet_temperature_fault</t>
  </si>
  <si>
    <t>Inv [n] unit 2 AC switch off</t>
  </si>
  <si>
    <t>IREG_15308.21</t>
  </si>
  <si>
    <t>CNT_0022_Inv_[n]_unit_2_AC_switch_off</t>
  </si>
  <si>
    <t>Inv [n] unit 2 AC switch fault</t>
  </si>
  <si>
    <t>IREG_15308.22</t>
  </si>
  <si>
    <t>CNT_0022_Inv_[n]_unit_2_AC_switch_fault</t>
  </si>
  <si>
    <t>Inv [n] unit 2 Soft start fault</t>
  </si>
  <si>
    <t>IREG_15308.23</t>
  </si>
  <si>
    <t>CNT_0022_Inv_[n]_unit_2_Soft_start_fault</t>
  </si>
  <si>
    <t>Inv [n] unit 2 DC voltage sampling fault</t>
  </si>
  <si>
    <t>IREG_15308.24</t>
  </si>
  <si>
    <t>CNT_0022_Inv_[n]_unit_2_DC_voltage_sampling_fault</t>
  </si>
  <si>
    <t>Inv [n] unit 2 Fan 2 fault</t>
  </si>
  <si>
    <t>IREG_15308.25</t>
  </si>
  <si>
    <t>CNT_0022_Inv_[n]_unit_2_Fan_2_fault</t>
  </si>
  <si>
    <t>Inv [n] unit 2 Current unbalance 2</t>
  </si>
  <si>
    <t>IREG_15308.26</t>
  </si>
  <si>
    <t>CNT_0022_Inv_[n]_unit_2_Current_unbalance_2</t>
  </si>
  <si>
    <t>Inv [n] unit 2 Current unbalance 3</t>
  </si>
  <si>
    <t>IREG_15308.27</t>
  </si>
  <si>
    <t>CNT_0022_Inv_[n]_unit_2_Current_unbalance_3</t>
  </si>
  <si>
    <t>Inv [n] unit 2 DC cabinet temperature alarm</t>
  </si>
  <si>
    <t>IREG_15308.29</t>
  </si>
  <si>
    <t>CNT_0022_Inv_[n]_unit_2_DC_cabinet_temperature_alarm</t>
  </si>
  <si>
    <t>Inv [n] unit 2 Neutral point potential shift alarm</t>
  </si>
  <si>
    <t>IREG_15308.30</t>
  </si>
  <si>
    <t>CNT_0022_Inv_[n]_unit_2_Neutral_point_potential_shift_alarm</t>
  </si>
  <si>
    <t>Inv [n] unit 2 Carrier sync failure</t>
  </si>
  <si>
    <t>IREG_15308.31</t>
  </si>
  <si>
    <t>CNT_0022_Inv_[n]_unit_2_Carrier_sync_failure</t>
  </si>
  <si>
    <t>Inv [n] unit 2 Smoke alarm</t>
  </si>
  <si>
    <t>IREG_15310.0</t>
  </si>
  <si>
    <t>CNT_0022_Inv_[n]_unit_2_Smoke_alarm</t>
  </si>
  <si>
    <t>Inv [n] unit 2 Access control protection alarm</t>
  </si>
  <si>
    <t>IREG_15310.1</t>
  </si>
  <si>
    <t>CNT_0022_Inv_[n]_unit_2_Access_control_protection_alarm</t>
  </si>
  <si>
    <t>Inv [n] unit 2 Emergency shutdown alarm</t>
  </si>
  <si>
    <t>IREG_15310.2</t>
  </si>
  <si>
    <t>CNT_0022_Inv_[n]_unit_2_Emergency_shutdown_alarm</t>
  </si>
  <si>
    <t>Inv [n] unit 2 alarms register</t>
  </si>
  <si>
    <t>CNT_0023_Inv_[n]_unit_2_alarms_register</t>
  </si>
  <si>
    <t>Inv [n] unit 2 Temperature abnormal alarm</t>
  </si>
  <si>
    <t>IREG_15330.0</t>
  </si>
  <si>
    <t>CNT_0023_Inv_[n]_unit_2_Temperature_abnormal_alarm</t>
  </si>
  <si>
    <t>Inv [n] unit 2 Low insulation resistance alarm</t>
  </si>
  <si>
    <t>IREG_15330.1</t>
  </si>
  <si>
    <t>CNT_0023_Inv_[n]_unit_2_Low_insulation_resistance_alarm</t>
  </si>
  <si>
    <t>Inv [n] unit 2 GFRT operation alarm</t>
  </si>
  <si>
    <t>IREG_15330.2</t>
  </si>
  <si>
    <t>CNT_0023_Inv_[n]_unit_2_GFRT_operation_alarm</t>
  </si>
  <si>
    <t>Inv [n] unit 2 CT unbalance alarm</t>
  </si>
  <si>
    <t>IREG_15330.3</t>
  </si>
  <si>
    <t>CNT_0023_Inv_[n]_unit_2_CT_unbalance_alarm</t>
  </si>
  <si>
    <t>Inv [n] unit 2 DC sensor alarm</t>
  </si>
  <si>
    <t>IREG_15330.6</t>
  </si>
  <si>
    <t>CNT_0023_Inv_[n]_unit_2_DC_sensor_alarm</t>
  </si>
  <si>
    <t>Inv [n] unit 2 DC SPD alarm</t>
  </si>
  <si>
    <t>IREG_15330.7</t>
  </si>
  <si>
    <t>CNT_0023_Inv_[n]_unit_2_DC_SPD_alarm</t>
  </si>
  <si>
    <t>Inv [n] unit 2 AC SPD alarm</t>
  </si>
  <si>
    <t>IREG_15330.8</t>
  </si>
  <si>
    <t>CNT_0023_Inv_[n]_unit_2_AC_SPD_alarm</t>
  </si>
  <si>
    <t>Inv [n] unit 2 DC switch alarm</t>
  </si>
  <si>
    <t>IREG_15330.12</t>
  </si>
  <si>
    <t>CNT_0023_Inv_[n]_unit_2_DC_switch_alarm</t>
  </si>
  <si>
    <t>Inv [n] unit 2 Anti-PID power alarm</t>
  </si>
  <si>
    <t>IREG_15330.13</t>
  </si>
  <si>
    <t>CNT_0023_Inv_[n]_unit_2_Anti_PID_power_alarm</t>
  </si>
  <si>
    <t>Inv [n] unit 2 Cooling fan 1 alarm</t>
  </si>
  <si>
    <t>IREG_15330.14</t>
  </si>
  <si>
    <t>CNT_0023_Inv_[n]_unit_2_Cooling_fan_1_alarm</t>
  </si>
  <si>
    <t>Inv [n] unit 2 DC branch forward alarm</t>
  </si>
  <si>
    <t>IREG_15330.16</t>
  </si>
  <si>
    <t>CNT_0023_Inv_[n]_unit_2_DC_branch_forward_alarm</t>
  </si>
  <si>
    <t>Inv [n] unit 2 DC branch reverse alarm</t>
  </si>
  <si>
    <t>IREG_15330.17</t>
  </si>
  <si>
    <t>CNT_0023_Inv_[n]_unit_2_DC_branch_reverse_alarm</t>
  </si>
  <si>
    <t>Inv [n] unit 2 AC switch alarm</t>
  </si>
  <si>
    <t>IREG_15330.19</t>
  </si>
  <si>
    <t>CNT_0023_Inv_[n]_unit_2_AC_switch_alarm</t>
  </si>
  <si>
    <t>Inv [n] unit 2 Meter communication failure alarm</t>
  </si>
  <si>
    <t>IREG_15330.20</t>
  </si>
  <si>
    <t>CNT_0023_Inv_[n]_unit_2_Meter_communication_failure_alarm</t>
  </si>
  <si>
    <t>Inv [n] unit 2 Cooling fan 2 alarm</t>
  </si>
  <si>
    <t>IREG_15330.21</t>
  </si>
  <si>
    <t>CNT_0023_Inv_[n]_unit_2_Cooling_fan_2_alarm</t>
  </si>
  <si>
    <t>Inv [n] unit 2 Temperature and humidity sensor alarm</t>
  </si>
  <si>
    <t>IREG_15330.23</t>
  </si>
  <si>
    <t>CNT_0023_Inv_[n]_unit_2_Temperature_and_humidity_sensor_alarm</t>
  </si>
  <si>
    <t>Inv [n] unit 2 Frequency deviation active power regulation</t>
  </si>
  <si>
    <t>IREG_15330.24</t>
  </si>
  <si>
    <t>CNT_0023_Inv_[n]_unit_2_Frequency_deviation_active_power_regulation</t>
  </si>
  <si>
    <t>Inv [n] unit 2 Voltage deviation reactive power regulation</t>
  </si>
  <si>
    <t>IREG_15330.25</t>
  </si>
  <si>
    <t>CNT_0023_Inv_[n]_unit_2_Voltage_deviation_reactive_power_regulation</t>
  </si>
  <si>
    <t>Inv [n] unit 2 Busbar temperature alarm</t>
  </si>
  <si>
    <t>IREG_15330.27</t>
  </si>
  <si>
    <t>CNT_0023_Inv_[n]_unit_2_Busbar_temperature_alarm</t>
  </si>
  <si>
    <t>Inv [n] unit 2 Cooling fan derating alarm</t>
  </si>
  <si>
    <t>IREG_15330.29</t>
  </si>
  <si>
    <t>CNT_0023_Inv_[n]_unit_2_Cooling_fan_derating_alarm</t>
  </si>
  <si>
    <t>IREG_15330.30</t>
  </si>
  <si>
    <t>CNT_0023_Inv_[n]_unit_2_Frequency_abnormal</t>
  </si>
  <si>
    <t>Inv [n] unit 2 HVRT operation</t>
  </si>
  <si>
    <t>IREG_15382.1</t>
  </si>
  <si>
    <t>CNT_0023_Inv_[n]_unit_2_HVRT_operation</t>
  </si>
  <si>
    <t>Inv [n] unit 2 LVRT operation</t>
  </si>
  <si>
    <t>IREG_15382.2</t>
  </si>
  <si>
    <t>CNT_0023_Inv_[n]_unit_2_LVRT_operation</t>
  </si>
  <si>
    <t>Inv [n] unit 2 array monitoring register</t>
  </si>
  <si>
    <t>CNT_0024_Inv_[n]_unit_2_array_monitoring_register</t>
  </si>
  <si>
    <t>Inv [n] unit 2 DC input 1 open circuit fault</t>
  </si>
  <si>
    <t>IREG_16001.8</t>
  </si>
  <si>
    <t>CNT_0024_Inv_[n]_unit_2_DC_input_1_open_circuit_fault</t>
  </si>
  <si>
    <t>Inv [n] unit 2 DC input 2 open circuit fault</t>
  </si>
  <si>
    <t>IREG_16001.9</t>
  </si>
  <si>
    <t>CNT_0024_Inv_[n]_unit_2_DC_input_2_open_circuit_fault</t>
  </si>
  <si>
    <t>Inv [n] unit 2 DC input 3 open circuit fault</t>
  </si>
  <si>
    <t>IREG_16001.10</t>
  </si>
  <si>
    <t>CNT_0024_Inv_[n]_unit_2_DC_input_3_open_circuit_fault</t>
  </si>
  <si>
    <t>Inv [n] unit 2 DC input 4 open circuit fault</t>
  </si>
  <si>
    <t>IREG_16001.11</t>
  </si>
  <si>
    <t>CNT_0024_Inv_[n]_unit_2_DC_input_4_open_circuit_fault</t>
  </si>
  <si>
    <t>Inv [n] unit 2 DC input 5 open circuit fault</t>
  </si>
  <si>
    <t>IREG_16001.12</t>
  </si>
  <si>
    <t>CNT_0024_Inv_[n]_unit_2_DC_input_5_open_circuit_fault</t>
  </si>
  <si>
    <t>Inv [n] unit 2 DC input 6 open circuit fault</t>
  </si>
  <si>
    <t>IREG_16001.13</t>
  </si>
  <si>
    <t>CNT_0024_Inv_[n]_unit_2_DC_input_6_open_circuit_fault</t>
  </si>
  <si>
    <t>Inv [n] unit 2 DC input 7 open circuit fault</t>
  </si>
  <si>
    <t>IREG_16001.14</t>
  </si>
  <si>
    <t>CNT_0024_Inv_[n]_unit_2_DC_input_7_open_circuit_fault</t>
  </si>
  <si>
    <t>Inv [n] unit 2 DC input 1 string failure alarm</t>
  </si>
  <si>
    <t>IREG_16003.8</t>
  </si>
  <si>
    <t>CNT_0024_Inv_[n]_unit_2_DC_input_1_string_failure_alarm</t>
  </si>
  <si>
    <t>Inv [n] unit 2 DC input 2 string failure alarm</t>
  </si>
  <si>
    <t>IREG_16003.9</t>
  </si>
  <si>
    <t>CNT_0024_Inv_[n]_unit_2_DC_input_2_string_failure_alarm</t>
  </si>
  <si>
    <t>Inv [n] unit 2 DC input 3 string failure alarm</t>
  </si>
  <si>
    <t>IREG_16003.10</t>
  </si>
  <si>
    <t>CNT_0024_Inv_[n]_unit_2_DC_input_3_string_failure_alarm</t>
  </si>
  <si>
    <t>Inv [n] unit 2 DC input 4 string failure alarm</t>
  </si>
  <si>
    <t>IREG_16003.11</t>
  </si>
  <si>
    <t>CNT_0024_Inv_[n]_unit_2_DC_input_4_string_failure_alarm</t>
  </si>
  <si>
    <t>Inv [n] unit 2 DC input 5 string failure alarm</t>
  </si>
  <si>
    <t>IREG_16003.12</t>
  </si>
  <si>
    <t>CNT_0024_Inv_[n]_unit_2_DC_input_5_string_failure_alarm</t>
  </si>
  <si>
    <t>Inv [n] unit 2 DC input 6 string failure alarm</t>
  </si>
  <si>
    <t>IREG_16003.13</t>
  </si>
  <si>
    <t>CNT_0024_Inv_[n]_unit_2_DC_input_6_string_failure_alarm</t>
  </si>
  <si>
    <t>Inv [n] unit 2 DC input 7 string failure alarm</t>
  </si>
  <si>
    <t>IREG_16003.14</t>
  </si>
  <si>
    <t>CNT_0024_Inv_[n]_unit_2_DC_input_7_string_failure_alarm</t>
  </si>
  <si>
    <t>Inv [n] unit 3 status register</t>
  </si>
  <si>
    <t>CNT_0030_Inv_[n]_unit_3_status_register</t>
  </si>
  <si>
    <t>Inv [n] unit 3 Unit is running</t>
  </si>
  <si>
    <t>IREG_15448.17</t>
  </si>
  <si>
    <t>CNT_0030_Inv_[n]_unit_3_Unit_is_running</t>
  </si>
  <si>
    <t>Inv [n] unit 3 Unit is stopped</t>
  </si>
  <si>
    <t>IREG_15448.18</t>
  </si>
  <si>
    <t>CNT_0030_Inv_[n]_unit_3_Unit_is_stopped</t>
  </si>
  <si>
    <t>Inv [n] unit 3 Run</t>
  </si>
  <si>
    <t>IREG_15448.0</t>
  </si>
  <si>
    <t>CNT_0030_Inv_[n]_unit_3_Run</t>
  </si>
  <si>
    <t>Inv [n] unit 3 Stop</t>
  </si>
  <si>
    <t>IREG_15448.1</t>
  </si>
  <si>
    <t>CNT_0030_Inv_[n]_unit_3_Stop</t>
  </si>
  <si>
    <t>Inv [n] unit 3 Initial standby</t>
  </si>
  <si>
    <t>IREG_15448.2</t>
  </si>
  <si>
    <t>CNT_0030_Inv_[n]_unit_3_Initial_standby</t>
  </si>
  <si>
    <t>Inv [n] unit 3 Press to shutdown</t>
  </si>
  <si>
    <t>IREG_15448.3</t>
  </si>
  <si>
    <t>CNT_0030_Inv_[n]_unit_3_Press_to_shutdown</t>
  </si>
  <si>
    <t>Inv [n] unit 3 Standby</t>
  </si>
  <si>
    <t>IREG_15448.4</t>
  </si>
  <si>
    <t>CNT_0030_Inv_[n]_unit_3_Standby</t>
  </si>
  <si>
    <t>Inv [n] unit 3 Emergency stop</t>
  </si>
  <si>
    <t>IREG_15448.5</t>
  </si>
  <si>
    <t>CNT_0030_Inv_[n]_unit_3_Emergency_stop</t>
  </si>
  <si>
    <t>Inv [n] unit 3 Starting up</t>
  </si>
  <si>
    <t>IREG_15448.6</t>
  </si>
  <si>
    <t>CNT_0030_Inv_[n]_unit_3_Starting_up</t>
  </si>
  <si>
    <t>Inv [n] unit 3 Shutting down</t>
  </si>
  <si>
    <t>IREG_15448.7</t>
  </si>
  <si>
    <t>CNT_0030_Inv_[n]_unit_3_Shutting_down</t>
  </si>
  <si>
    <t>Inv [n] unit 3 Shut down</t>
  </si>
  <si>
    <t>IREG_15448.9</t>
  </si>
  <si>
    <t>CNT_0030_Inv_[n]_unit_3_Shut_down</t>
  </si>
  <si>
    <t>Inv [n] unit 3 Warning run</t>
  </si>
  <si>
    <t>IREG_15448.10</t>
  </si>
  <si>
    <t>CNT_0030_Inv_[n]_unit_3_Warning_run</t>
  </si>
  <si>
    <t>Inv [n] unit 3 Derating run</t>
  </si>
  <si>
    <t>IREG_15448.11</t>
  </si>
  <si>
    <t>CNT_0030_Inv_[n]_unit_3_Derating_run</t>
  </si>
  <si>
    <t>Inv [n] unit 3 IO and DSP communication error</t>
  </si>
  <si>
    <t>IREG_15448.13</t>
  </si>
  <si>
    <t>CNT_0030_Inv_[n]_unit_3_IO_and_DSP_communication_error</t>
  </si>
  <si>
    <t>Inv [n] unit 3 Anti-PID run</t>
  </si>
  <si>
    <t>IREG_15448.19</t>
  </si>
  <si>
    <t>CNT_0030_Inv_[n]_unit_3_Anti_PID_run</t>
  </si>
  <si>
    <t>Inv [n] unit 3 AC breaker status</t>
  </si>
  <si>
    <t>IREG_15434.0</t>
  </si>
  <si>
    <t>CNT_0030_Inv_[n]_unit_3_AC_breaker_status</t>
  </si>
  <si>
    <t>Inv [n] unit 3 DC switch 1 status</t>
  </si>
  <si>
    <t>IREG_15434.3</t>
  </si>
  <si>
    <t>CNT_0030_Inv_[n]_unit_3_DC_switch_1_status</t>
  </si>
  <si>
    <t>Inv [n] unit 3 Emergency shutdown node</t>
  </si>
  <si>
    <t>IREG_15434.19</t>
  </si>
  <si>
    <t>CNT_0030_Inv_[n]_unit_3_Emergency_shutdown_node</t>
  </si>
  <si>
    <t>Inv [n] unit 3 faults register 1</t>
  </si>
  <si>
    <t>CNT_0031_Inv_[n]_unit_3_faults_register_1</t>
  </si>
  <si>
    <t>Inv [n] unit 3 Smoke node</t>
  </si>
  <si>
    <t>IREG_15434.17</t>
  </si>
  <si>
    <t>CNT_0031_Inv_[n]_unit_3_Smoke_node</t>
  </si>
  <si>
    <t>Inv [n] unit 3 Access node</t>
  </si>
  <si>
    <t>IREG_15434.18</t>
  </si>
  <si>
    <t>CNT_0031_Inv_[n]_unit_3_Access_node</t>
  </si>
  <si>
    <t>Inv [n] unit 3 DC undervoltage fault</t>
  </si>
  <si>
    <t>IREG_15426.0</t>
  </si>
  <si>
    <t>CNT_0031_Inv_[n]_unit_3_DC_undervoltage_fault</t>
  </si>
  <si>
    <t>Inv [n] unit 3 DC overvoltage fault</t>
  </si>
  <si>
    <t>IREG_15426.1</t>
  </si>
  <si>
    <t>CNT_0031_Inv_[n]_unit_3_DC_overvoltage_fault</t>
  </si>
  <si>
    <t>Inv [n] unit 3 AC undervoltage fault</t>
  </si>
  <si>
    <t>IREG_15426.2</t>
  </si>
  <si>
    <t>CNT_0031_Inv_[n]_unit_3_AC_undervoltage_fault</t>
  </si>
  <si>
    <t>Inv [n] unit 3 AC overvoltage fault</t>
  </si>
  <si>
    <t>IREG_15426.3</t>
  </si>
  <si>
    <t>CNT_0031_Inv_[n]_unit_3_AC_overvoltage_fault</t>
  </si>
  <si>
    <t>Inv [n] unit 3 Anti islanding protection active</t>
  </si>
  <si>
    <t>IREG_15426.7</t>
  </si>
  <si>
    <t>CNT_0031_Inv_[n]_unit_3_Anti_islanding_protection_active</t>
  </si>
  <si>
    <t>Inv [n] unit 3 PDP protection active</t>
  </si>
  <si>
    <t>IREG_15426.9</t>
  </si>
  <si>
    <t>CNT_0031_Inv_[n]_unit_3_PDP_protection_active</t>
  </si>
  <si>
    <t>Inv [n] unit 3 Module overtemperature fault</t>
  </si>
  <si>
    <t>IREG_15426.10</t>
  </si>
  <si>
    <t>CNT_0031_Inv_[n]_unit_3_Module_overtemperature_fault</t>
  </si>
  <si>
    <t>Inv [n] unit 3 Reactor overtemperature fault</t>
  </si>
  <si>
    <t>IREG_15426.11</t>
  </si>
  <si>
    <t>CNT_0031_Inv_[n]_unit_3_Reactor_overtemperature_fault</t>
  </si>
  <si>
    <t>Inv [n] unit 3 AC leakage current protection fault</t>
  </si>
  <si>
    <t>IREG_15426.14</t>
  </si>
  <si>
    <t>CNT_0031_Inv_[n]_unit_3_AC_leakage_current_protection_fault</t>
  </si>
  <si>
    <t>Inv [n] unit 3 GFDI protection active</t>
  </si>
  <si>
    <t>IREG_15426.17</t>
  </si>
  <si>
    <t>CNT_0031_Inv_[n]_unit_3_GFDI_protection_active</t>
  </si>
  <si>
    <t>Inv [n] unit 3 Fan 1 fault</t>
  </si>
  <si>
    <t>IREG_15426.18</t>
  </si>
  <si>
    <t>CNT_0031_Inv_[n]_unit_3_Fan_1_fault</t>
  </si>
  <si>
    <t>Inv [n] unit 3 DC overcurrent</t>
  </si>
  <si>
    <t>IREG_15426.21</t>
  </si>
  <si>
    <t>CNT_0031_Inv_[n]_unit_3_DC_overcurrent</t>
  </si>
  <si>
    <t>Inv [n] unit 3 AC overcurrent</t>
  </si>
  <si>
    <t>IREG_15426.22</t>
  </si>
  <si>
    <t>CNT_0031_Inv_[n]_unit_3_AC_overcurrent</t>
  </si>
  <si>
    <t>Inv [n] unit 3 Frequency abnormal</t>
  </si>
  <si>
    <t>IREG_15426.23</t>
  </si>
  <si>
    <t>CNT_0031_Inv_[n]_unit_3_Frequency_abnormal</t>
  </si>
  <si>
    <t>Inv [n] unit 3 Temperature abnormal</t>
  </si>
  <si>
    <t>IREG_15426.24</t>
  </si>
  <si>
    <t>CNT_0031_Inv_[n]_unit_3_Temperature_abnormal</t>
  </si>
  <si>
    <t>Inv [n] unit 3 Hardware fault</t>
  </si>
  <si>
    <t>IREG_15426.25</t>
  </si>
  <si>
    <t>CNT_0031_Inv_[n]_unit_3_Hardware_fault</t>
  </si>
  <si>
    <t>Inv [n] unit 3 Grounding fault</t>
  </si>
  <si>
    <t>IREG_15426.26</t>
  </si>
  <si>
    <t>CNT_0031_Inv_[n]_unit_3_Grounding_fault</t>
  </si>
  <si>
    <t>Inv [n] unit 3 Bus overvoltage</t>
  </si>
  <si>
    <t>IREG_15426.27</t>
  </si>
  <si>
    <t>CNT_0031_Inv_[n]_unit_3_Bus_overvoltage</t>
  </si>
  <si>
    <t>Inv [n] unit 3 Bus undervoltage</t>
  </si>
  <si>
    <t>IREG_15426.28</t>
  </si>
  <si>
    <t>CNT_0031_Inv_[n]_unit_3_Bus_undervoltage</t>
  </si>
  <si>
    <t>Inv [n] unit 3 Inverter overvoltage</t>
  </si>
  <si>
    <t>IREG_15426.29</t>
  </si>
  <si>
    <t>CNT_0031_Inv_[n]_unit_3_Inverter_overvoltage</t>
  </si>
  <si>
    <t>Inv [n] unit 3 Low insulation resistance fault</t>
  </si>
  <si>
    <t>IREG_15428.0</t>
  </si>
  <si>
    <t>CNT_0031_Inv_[n]_unit_3_Low_insulation_resistance_fault</t>
  </si>
  <si>
    <t>Inv [n] unit 3 AC SPD fault</t>
  </si>
  <si>
    <t>IREG_15428.1</t>
  </si>
  <si>
    <t>CNT_0031_Inv_[n]_unit_3_AC_SPD_fault</t>
  </si>
  <si>
    <t>Inv [n] unit 3 Sampling fault</t>
  </si>
  <si>
    <t>IREG_15428.2</t>
  </si>
  <si>
    <t>CNT_0031_Inv_[n]_unit_3_Sampling_fault</t>
  </si>
  <si>
    <t>Inv [n] unit 3 DC polarity reversed fault</t>
  </si>
  <si>
    <t>IREG_15428.3</t>
  </si>
  <si>
    <t>CNT_0031_Inv_[n]_unit_3_DC_polarity_reversed_fault</t>
  </si>
  <si>
    <t>Inv [n] unit 3 Control power supply fault</t>
  </si>
  <si>
    <t>IREG_15428.4</t>
  </si>
  <si>
    <t>CNT_0031_Inv_[n]_unit_3_Control_power_supply_fault</t>
  </si>
  <si>
    <t>Inv [n] unit 3 AC current imballance</t>
  </si>
  <si>
    <t>IREG_15428.6</t>
  </si>
  <si>
    <t>CNT_0031_Inv_[n]_unit_3_AC_current_imballance</t>
  </si>
  <si>
    <t>Inv [n] unit 3 DC SPD fault</t>
  </si>
  <si>
    <t>IREG_15428.8</t>
  </si>
  <si>
    <t>CNT_0031_Inv_[n]_unit_3_DC_SPD_fault</t>
  </si>
  <si>
    <t>Inv [n] unit 3 DC component fault</t>
  </si>
  <si>
    <t>IREG_15428.10</t>
  </si>
  <si>
    <t>CNT_0031_Inv_[n]_unit_3_DC_component_fault</t>
  </si>
  <si>
    <t>Inv [n] unit 3 DC switch fault</t>
  </si>
  <si>
    <t>IREG_15428.11</t>
  </si>
  <si>
    <t>CNT_0031_Inv_[n]_unit_3_DC_switch_fault</t>
  </si>
  <si>
    <t>Inv [n] unit 3 Repeated fault</t>
  </si>
  <si>
    <t>IREG_15428.12</t>
  </si>
  <si>
    <t>CNT_0031_Inv_[n]_unit_3_Repeated_fault</t>
  </si>
  <si>
    <t>Inv [n] unit 3 faults register 2</t>
  </si>
  <si>
    <t>CNT_0032_Inv_[n]_unit_3_faults_register_2</t>
  </si>
  <si>
    <t>Inv [n] unit 3 Parallel operation communication failure</t>
  </si>
  <si>
    <t>IREG_15428.13</t>
  </si>
  <si>
    <t>CNT_0032_Inv_[n]_unit_3_Parallel_operation_communication_failure</t>
  </si>
  <si>
    <t>Inv [n] unit 3 Control cabinet temperature fault</t>
  </si>
  <si>
    <t>IREG_15428.14</t>
  </si>
  <si>
    <t>CNT_0032_Inv_[n]_unit_3_Control_cabinet_temperature_fault</t>
  </si>
  <si>
    <t>Inv [n] unit 3 DC fuse ground fault</t>
  </si>
  <si>
    <t>IREG_15428.15</t>
  </si>
  <si>
    <t>CNT_0032_Inv_[n]_unit_3_DC_fuse_ground_fault</t>
  </si>
  <si>
    <t>Inv [n] unit 3 Excessive DC reverse current fault</t>
  </si>
  <si>
    <t>IREG_15428.16</t>
  </si>
  <si>
    <t>CNT_0032_Inv_[n]_unit_3_Excessive_DC_reverse_current_fault</t>
  </si>
  <si>
    <t>Inv [n] unit 3 Grid voltage imballance fault</t>
  </si>
  <si>
    <t>IREG_15428.17</t>
  </si>
  <si>
    <t>CNT_0032_Inv_[n]_unit_3_Grid_voltage_imballance_fault</t>
  </si>
  <si>
    <t>Inv [n] unit 3 Inverter cabinet temperature fault</t>
  </si>
  <si>
    <t>IREG_15428.19</t>
  </si>
  <si>
    <t>CNT_0032_Inv_[n]_unit_3_Inverter_cabinet_temperature_fault</t>
  </si>
  <si>
    <t>Inv [n] unit 3 AC cabinet temperature fault</t>
  </si>
  <si>
    <t>IREG_15428.20</t>
  </si>
  <si>
    <t>CNT_0032_Inv_[n]_unit_3_AC_cabinet_temperature_fault</t>
  </si>
  <si>
    <t>Inv [n] unit 3 AC switch off</t>
  </si>
  <si>
    <t>IREG_15428.21</t>
  </si>
  <si>
    <t>CNT_0032_Inv_[n]_unit_3_AC_switch_off</t>
  </si>
  <si>
    <t>Inv [n] unit 3 AC switch fault</t>
  </si>
  <si>
    <t>IREG_15428.22</t>
  </si>
  <si>
    <t>CNT_0032_Inv_[n]_unit_3_AC_switch_fault</t>
  </si>
  <si>
    <t>Inv [n] unit 3 Soft start fault</t>
  </si>
  <si>
    <t>IREG_15428.23</t>
  </si>
  <si>
    <t>CNT_0032_Inv_[n]_unit_3_Soft_start_fault</t>
  </si>
  <si>
    <t>Inv [n] unit 3 DC voltage sampling fault</t>
  </si>
  <si>
    <t>IREG_15428.24</t>
  </si>
  <si>
    <t>CNT_0032_Inv_[n]_unit_3_DC_voltage_sampling_fault</t>
  </si>
  <si>
    <t>Inv [n] unit 3 Fan 2 fault</t>
  </si>
  <si>
    <t>IREG_15428.25</t>
  </si>
  <si>
    <t>CNT_0032_Inv_[n]_unit_3_Fan_2_fault</t>
  </si>
  <si>
    <t>Inv [n] unit 3 Current unbalance 2</t>
  </si>
  <si>
    <t>IREG_15428.26</t>
  </si>
  <si>
    <t>CNT_0032_Inv_[n]_unit_3_Current_unbalance_2</t>
  </si>
  <si>
    <t>Inv [n] unit 3 Current unbalance 3</t>
  </si>
  <si>
    <t>IREG_15428.27</t>
  </si>
  <si>
    <t>CNT_0032_Inv_[n]_unit_3_Current_unbalance_3</t>
  </si>
  <si>
    <t>Inv [n] unit 3 DC cabinet temperature alarm</t>
  </si>
  <si>
    <t>IREG_15428.29</t>
  </si>
  <si>
    <t>CNT_0032_Inv_[n]_unit_3_DC_cabinet_temperature_alarm</t>
  </si>
  <si>
    <t>Inv [n] unit 3 Neutral point potential shift alarm</t>
  </si>
  <si>
    <t>IREG_15428.30</t>
  </si>
  <si>
    <t>CNT_0032_Inv_[n]_unit_3_Neutral_point_potential_shift_alarm</t>
  </si>
  <si>
    <t>Inv [n] unit 3 Carrier sync failure</t>
  </si>
  <si>
    <t>IREG_15428.31</t>
  </si>
  <si>
    <t>CNT_0032_Inv_[n]_unit_3_Carrier_sync_failure</t>
  </si>
  <si>
    <t>Inv [n] unit 3 Smoke alarm</t>
  </si>
  <si>
    <t>IREG_15430.0</t>
  </si>
  <si>
    <t>CNT_0032_Inv_[n]_unit_3_Smoke_alarm</t>
  </si>
  <si>
    <t>Inv [n] unit 3 Access control protection alarm</t>
  </si>
  <si>
    <t>IREG_15430.1</t>
  </si>
  <si>
    <t>CNT_0032_Inv_[n]_unit_3_Access_control_protection_alarm</t>
  </si>
  <si>
    <t>Inv [n] unit 3 Emergency shutdown alarm</t>
  </si>
  <si>
    <t>IREG_15430.2</t>
  </si>
  <si>
    <t>CNT_0032_Inv_[n]_unit_3_Emergency_shutdown_alarm</t>
  </si>
  <si>
    <t>Inv [n] unit 3 alarms register</t>
  </si>
  <si>
    <t>CNT_0033_Inv_[n]_unit_3_alarms_register</t>
  </si>
  <si>
    <t>Inv [n] unit 3 Temperature abnormal alarm</t>
  </si>
  <si>
    <t>IREG_15450.0</t>
  </si>
  <si>
    <t>CNT_0033_Inv_[n]_unit_3_Temperature_abnormal_alarm</t>
  </si>
  <si>
    <t>Inv [n] unit 3 Low insulation resistance alarm</t>
  </si>
  <si>
    <t>IREG_15450.1</t>
  </si>
  <si>
    <t>CNT_0033_Inv_[n]_unit_3_Low_insulation_resistance_alarm</t>
  </si>
  <si>
    <t>Inv [n] unit 3 GFRT operation alarm</t>
  </si>
  <si>
    <t>IREG_15450.2</t>
  </si>
  <si>
    <t>CNT_0033_Inv_[n]_unit_3_GFRT_operation_alarm</t>
  </si>
  <si>
    <t>Inv [n] unit 3 CT unbalance alarm</t>
  </si>
  <si>
    <t>IREG_15450.3</t>
  </si>
  <si>
    <t>CNT_0033_Inv_[n]_unit_3_CT_unbalance_alarm</t>
  </si>
  <si>
    <t>Inv [n] unit 3 DC sensor alarm</t>
  </si>
  <si>
    <t>IREG_15450.6</t>
  </si>
  <si>
    <t>CNT_0033_Inv_[n]_unit_3_DC_sensor_alarm</t>
  </si>
  <si>
    <t>Inv [n] unit 3 DC SPD alarm</t>
  </si>
  <si>
    <t>IREG_15450.7</t>
  </si>
  <si>
    <t>CNT_0033_Inv_[n]_unit_3_DC_SPD_alarm</t>
  </si>
  <si>
    <t>Inv [n] unit 3 AC SPD alarm</t>
  </si>
  <si>
    <t>IREG_15450.8</t>
  </si>
  <si>
    <t>CNT_0033_Inv_[n]_unit_3_AC_SPD_alarm</t>
  </si>
  <si>
    <t>Inv [n] unit 3 DC switch alarm</t>
  </si>
  <si>
    <t>IREG_15450.12</t>
  </si>
  <si>
    <t>CNT_0033_Inv_[n]_unit_3_DC_switch_alarm</t>
  </si>
  <si>
    <t>Inv [n] unit 3 Anti-PID power alarm</t>
  </si>
  <si>
    <t>IREG_15450.13</t>
  </si>
  <si>
    <t>CNT_0033_Inv_[n]_unit_3_Anti_PID_power_alarm</t>
  </si>
  <si>
    <t>Inv [n] unit 3 Cooling fan 1 alarm</t>
  </si>
  <si>
    <t>IREG_15450.14</t>
  </si>
  <si>
    <t>CNT_0033_Inv_[n]_unit_3_Cooling_fan_1_alarm</t>
  </si>
  <si>
    <t>Inv [n] unit 3 DC branch forward alarm</t>
  </si>
  <si>
    <t>IREG_15450.16</t>
  </si>
  <si>
    <t>CNT_0033_Inv_[n]_unit_3_DC_branch_forward_alarm</t>
  </si>
  <si>
    <t>Inv [n] unit 3 DC branch reverse alarm</t>
  </si>
  <si>
    <t>IREG_15450.17</t>
  </si>
  <si>
    <t>CNT_0033_Inv_[n]_unit_3_DC_branch_reverse_alarm</t>
  </si>
  <si>
    <t>Inv [n] unit 3 AC switch alarm</t>
  </si>
  <si>
    <t>IREG_15450.19</t>
  </si>
  <si>
    <t>CNT_0033_Inv_[n]_unit_3_AC_switch_alarm</t>
  </si>
  <si>
    <t>Inv [n] unit 3 Meter communication failure alarm</t>
  </si>
  <si>
    <t>IREG_15450.20</t>
  </si>
  <si>
    <t>CNT_0033_Inv_[n]_unit_3_Meter_communication_failure_alarm</t>
  </si>
  <si>
    <t>Inv [n] unit 3 Cooling fan 2 alarm</t>
  </si>
  <si>
    <t>IREG_15450.21</t>
  </si>
  <si>
    <t>CNT_0033_Inv_[n]_unit_3_Cooling_fan_2_alarm</t>
  </si>
  <si>
    <t>Inv [n] unit 3 Temperature and humidity sensor alarm</t>
  </si>
  <si>
    <t>IREG_15450.23</t>
  </si>
  <si>
    <t>CNT_0033_Inv_[n]_unit_3_Temperature_and_humidity_sensor_alarm</t>
  </si>
  <si>
    <t>Inv [n] unit 3 Frequency deviation active power regulation</t>
  </si>
  <si>
    <t>IREG_15450.24</t>
  </si>
  <si>
    <t>CNT_0033_Inv_[n]_unit_3_Frequency_deviation_active_power_regulation</t>
  </si>
  <si>
    <t>Inv [n] unit 3 Voltage deviation reactive power regulation</t>
  </si>
  <si>
    <t>IREG_15450.25</t>
  </si>
  <si>
    <t>CNT_0033_Inv_[n]_unit_3_Voltage_deviation_reactive_power_regulation</t>
  </si>
  <si>
    <t>Inv [n] unit 3 Busbar temperature alarm</t>
  </si>
  <si>
    <t>IREG_15450.27</t>
  </si>
  <si>
    <t>CNT_0033_Inv_[n]_unit_3_Busbar_temperature_alarm</t>
  </si>
  <si>
    <t>Inv [n] unit 3 Cooling fan derating alarm</t>
  </si>
  <si>
    <t>IREG_15450.29</t>
  </si>
  <si>
    <t>CNT_0033_Inv_[n]_unit_3_Cooling_fan_derating_alarm</t>
  </si>
  <si>
    <t>IREG_15450.30</t>
  </si>
  <si>
    <t>CNT_0033_Inv_[n]_unit_3_Frequency_abnormal</t>
  </si>
  <si>
    <t>Inv [n] unit 3 HVRT operation</t>
  </si>
  <si>
    <t>IREG_15502.1</t>
  </si>
  <si>
    <t>CNT_0033_Inv_[n]_unit_3_HVRT_operation</t>
  </si>
  <si>
    <t>Inv [n] unit 3 LVRT operation</t>
  </si>
  <si>
    <t>IREG_15502.2</t>
  </si>
  <si>
    <t>CNT_0033_Inv_[n]_unit_3_LVRT_operation</t>
  </si>
  <si>
    <t>Inv [n] unit 3 array monitoring register</t>
  </si>
  <si>
    <t>CNT_0034_Inv_[n]_unit_3_array_monitoring_register</t>
  </si>
  <si>
    <t>Inv [n] unit 3 DC input 1 open circuit fault</t>
  </si>
  <si>
    <t>IREG_16001.16</t>
  </si>
  <si>
    <t>CNT_0034_Inv_[n]_unit_3_DC_input_1_open_circuit_fault</t>
  </si>
  <si>
    <t>Inv [n] unit 3 DC input 2 open circuit fault</t>
  </si>
  <si>
    <t>IREG_16001.17</t>
  </si>
  <si>
    <t>CNT_0034_Inv_[n]_unit_3_DC_input_2_open_circuit_fault</t>
  </si>
  <si>
    <t>Inv [n] unit 3 DC input 3 open circuit fault</t>
  </si>
  <si>
    <t>IREG_16001.18</t>
  </si>
  <si>
    <t>CNT_0034_Inv_[n]_unit_3_DC_input_3_open_circuit_fault</t>
  </si>
  <si>
    <t>Inv [n] unit 3 DC input 4 open circuit fault</t>
  </si>
  <si>
    <t>IREG_16001.19</t>
  </si>
  <si>
    <t>CNT_0034_Inv_[n]_unit_3_DC_input_4_open_circuit_fault</t>
  </si>
  <si>
    <t>Inv [n] unit 3 DC input 5 open circuit fault</t>
  </si>
  <si>
    <t>IREG_16001.20</t>
  </si>
  <si>
    <t>CNT_0034_Inv_[n]_unit_3_DC_input_5_open_circuit_fault</t>
  </si>
  <si>
    <t>Inv [n] unit 3 DC input 6 open circuit fault</t>
  </si>
  <si>
    <t>IREG_16001.21</t>
  </si>
  <si>
    <t>CNT_0034_Inv_[n]_unit_3_DC_input_6_open_circuit_fault</t>
  </si>
  <si>
    <t>Inv [n] unit 3 DC input 7 open circuit fault</t>
  </si>
  <si>
    <t>IREG_16001.22</t>
  </si>
  <si>
    <t>CNT_0034_Inv_[n]_unit_3_DC_input_7_open_circuit_fault</t>
  </si>
  <si>
    <t>Inv [n] unit 3 DC input 1 string failure alarm</t>
  </si>
  <si>
    <t>IREG_16003.16</t>
  </si>
  <si>
    <t>CNT_0034_Inv_[n]_unit_3_DC_input_1_string_failure_alarm</t>
  </si>
  <si>
    <t>Inv [n] unit 3 DC input 2 string failure alarm</t>
  </si>
  <si>
    <t>IREG_16003.17</t>
  </si>
  <si>
    <t>CNT_0034_Inv_[n]_unit_3_DC_input_2_string_failure_alarm</t>
  </si>
  <si>
    <t>Inv [n] unit 3 DC input 3 string failure alarm</t>
  </si>
  <si>
    <t>IREG_16003.18</t>
  </si>
  <si>
    <t>CNT_0034_Inv_[n]_unit_3_DC_input_3_string_failure_alarm</t>
  </si>
  <si>
    <t>Inv [n] unit 3 DC input 4 string failure alarm</t>
  </si>
  <si>
    <t>IREG_16003.19</t>
  </si>
  <si>
    <t>CNT_0034_Inv_[n]_unit_3_DC_input_4_string_failure_alarm</t>
  </si>
  <si>
    <t>Inv [n] unit 3 DC input 5 string failure alarm</t>
  </si>
  <si>
    <t>IREG_16003.20</t>
  </si>
  <si>
    <t>CNT_0034_Inv_[n]_unit_3_DC_input_5_string_failure_alarm</t>
  </si>
  <si>
    <t>Inv [n] unit 3 DC input 6 string failure alarm</t>
  </si>
  <si>
    <t>IREG_16003.21</t>
  </si>
  <si>
    <t>CNT_0034_Inv_[n]_unit_3_DC_input_6_string_failure_alarm</t>
  </si>
  <si>
    <t>Inv [n] unit 3 DC input 7 string failure alarm</t>
  </si>
  <si>
    <t>IREG_16003.22</t>
  </si>
  <si>
    <t>CNT_0034_Inv_[n]_unit_3_DC_input_7_string_failure_alarm</t>
  </si>
  <si>
    <t>Inv [n] unit 4 status register</t>
  </si>
  <si>
    <t>CNT_0040_Inv_[n]_unit_4_status_register</t>
  </si>
  <si>
    <t>Inv [n] unit 4 Unit is running</t>
  </si>
  <si>
    <t>IREG_15568.17</t>
  </si>
  <si>
    <t>CNT_0040_Inv_[n]_unit_4_Unit_is_running</t>
  </si>
  <si>
    <t>Inv [n] unit 4 Unit is stopped</t>
  </si>
  <si>
    <t>IREG_15568.18</t>
  </si>
  <si>
    <t>CNT_0040_Inv_[n]_unit_4_Unit_is_stopped</t>
  </si>
  <si>
    <t>Inv [n] unit 4 Run</t>
  </si>
  <si>
    <t>IREG_15568.0</t>
  </si>
  <si>
    <t>CNT_0040_Inv_[n]_unit_4_Run</t>
  </si>
  <si>
    <t>Inv [n] unit 4 Stop</t>
  </si>
  <si>
    <t>IREG_15568.1</t>
  </si>
  <si>
    <t>CNT_0040_Inv_[n]_unit_4_Stop</t>
  </si>
  <si>
    <t>Inv [n] unit 4 Initial standby</t>
  </si>
  <si>
    <t>IREG_15568.2</t>
  </si>
  <si>
    <t>CNT_0040_Inv_[n]_unit_4_Initial_standby</t>
  </si>
  <si>
    <t>Inv [n] unit 4 Press to shutdown</t>
  </si>
  <si>
    <t>IREG_15568.3</t>
  </si>
  <si>
    <t>CNT_0040_Inv_[n]_unit_4_Press_to_shutdown</t>
  </si>
  <si>
    <t>Inv [n] unit 4 Standby</t>
  </si>
  <si>
    <t>IREG_15568.4</t>
  </si>
  <si>
    <t>CNT_0040_Inv_[n]_unit_4_Standby</t>
  </si>
  <si>
    <t>Inv [n] unit 4 Emergency stop</t>
  </si>
  <si>
    <t>IREG_15568.5</t>
  </si>
  <si>
    <t>CNT_0040_Inv_[n]_unit_4_Emergency_stop</t>
  </si>
  <si>
    <t>Inv [n] unit 4 Starting up</t>
  </si>
  <si>
    <t>IREG_15568.6</t>
  </si>
  <si>
    <t>CNT_0040_Inv_[n]_unit_4_Starting_up</t>
  </si>
  <si>
    <t>Inv [n] unit 4 Shutting down</t>
  </si>
  <si>
    <t>IREG_15568.7</t>
  </si>
  <si>
    <t>CNT_0040_Inv_[n]_unit_4_Shutting_down</t>
  </si>
  <si>
    <t>Inv [n] unit 4 Shut down</t>
  </si>
  <si>
    <t>IREG_15568.9</t>
  </si>
  <si>
    <t>CNT_0040_Inv_[n]_unit_4_Shut_down</t>
  </si>
  <si>
    <t>Inv [n] unit 4 Warning run</t>
  </si>
  <si>
    <t>IREG_15568.10</t>
  </si>
  <si>
    <t>CNT_0040_Inv_[n]_unit_4_Warning_run</t>
  </si>
  <si>
    <t>Inv [n] unit 4 Derating run</t>
  </si>
  <si>
    <t>IREG_15568.11</t>
  </si>
  <si>
    <t>CNT_0040_Inv_[n]_unit_4_Derating_run</t>
  </si>
  <si>
    <t>Inv [n] unit 4 IO and DSP communication error</t>
  </si>
  <si>
    <t>IREG_15568.13</t>
  </si>
  <si>
    <t>CNT_0040_Inv_[n]_unit_4_IO_and_DSP_communication_error</t>
  </si>
  <si>
    <t>Inv [n] unit 4 Anti-PID run</t>
  </si>
  <si>
    <t>IREG_15568.19</t>
  </si>
  <si>
    <t>CNT_0040_Inv_[n]_unit_4_Anti_PID_run</t>
  </si>
  <si>
    <t>Inv [n] unit 4 AC breaker status</t>
  </si>
  <si>
    <t>IREG_15554.0</t>
  </si>
  <si>
    <t>CNT_0040_Inv_[n]_unit_4_AC_breaker_status</t>
  </si>
  <si>
    <t>Inv [n] unit 4 DC switch 1 status</t>
  </si>
  <si>
    <t>IREG_15554.3</t>
  </si>
  <si>
    <t>CNT_0040_Inv_[n]_unit_4_DC_switch_1_status</t>
  </si>
  <si>
    <t>Inv [n] unit 4 Emergency shutdown node</t>
  </si>
  <si>
    <t>IREG_15554.19</t>
  </si>
  <si>
    <t>CNT_0040_Inv_[n]_unit_4_Emergency_shutdown_node</t>
  </si>
  <si>
    <t>Inv [n] unit 4 faults register 1</t>
  </si>
  <si>
    <t>CNT_0041_Inv_[n]_unit_4_faults_register_1</t>
  </si>
  <si>
    <t>Inv [n] unit 4 Smoke node</t>
  </si>
  <si>
    <t>IREG_15554.17</t>
  </si>
  <si>
    <t>CNT_0041_Inv_[n]_unit_4_Smoke_node</t>
  </si>
  <si>
    <t>Inv [n] unit 4 Access node</t>
  </si>
  <si>
    <t>IREG_15554.18</t>
  </si>
  <si>
    <t>CNT_0041_Inv_[n]_unit_4_Access_node</t>
  </si>
  <si>
    <t>Inv [n] unit 4 DC undervoltage fault</t>
  </si>
  <si>
    <t>IREG_15546.0</t>
  </si>
  <si>
    <t>CNT_0041_Inv_[n]_unit_4_DC_undervoltage_fault</t>
  </si>
  <si>
    <t>Inv [n] unit 4 DC overvoltage fault</t>
  </si>
  <si>
    <t>IREG_15546.1</t>
  </si>
  <si>
    <t>CNT_0041_Inv_[n]_unit_4_DC_overvoltage_fault</t>
  </si>
  <si>
    <t>Inv [n] unit 4 AC undervoltage fault</t>
  </si>
  <si>
    <t>IREG_15546.2</t>
  </si>
  <si>
    <t>CNT_0041_Inv_[n]_unit_4_AC_undervoltage_fault</t>
  </si>
  <si>
    <t>Inv [n] unit 4 AC overvoltage fault</t>
  </si>
  <si>
    <t>IREG_15546.3</t>
  </si>
  <si>
    <t>CNT_0041_Inv_[n]_unit_4_AC_overvoltage_fault</t>
  </si>
  <si>
    <t>Inv [n] unit 4 Anti islanding protection active</t>
  </si>
  <si>
    <t>IREG_15546.7</t>
  </si>
  <si>
    <t>CNT_0041_Inv_[n]_unit_4_Anti_islanding_protection_active</t>
  </si>
  <si>
    <t>Inv [n] unit 4 PDP protection active</t>
  </si>
  <si>
    <t>IREG_15546.9</t>
  </si>
  <si>
    <t>CNT_0041_Inv_[n]_unit_4_PDP_protection_active</t>
  </si>
  <si>
    <t>Inv [n] unit 4 Module overtemperature fault</t>
  </si>
  <si>
    <t>IREG_15546.10</t>
  </si>
  <si>
    <t>CNT_0041_Inv_[n]_unit_4_Module_overtemperature_fault</t>
  </si>
  <si>
    <t>Inv [n] unit 4 Reactor overtemperature fault</t>
  </si>
  <si>
    <t>IREG_15546.11</t>
  </si>
  <si>
    <t>CNT_0041_Inv_[n]_unit_4_Reactor_overtemperature_fault</t>
  </si>
  <si>
    <t>Inv [n] unit 4 AC leakage current protection fault</t>
  </si>
  <si>
    <t>IREG_15546.14</t>
  </si>
  <si>
    <t>CNT_0041_Inv_[n]_unit_4_AC_leakage_current_protection_fault</t>
  </si>
  <si>
    <t>Inv [n] unit 4 GFDI protection active</t>
  </si>
  <si>
    <t>IREG_15546.17</t>
  </si>
  <si>
    <t>CNT_0041_Inv_[n]_unit_4_GFDI_protection_active</t>
  </si>
  <si>
    <t>Inv [n] unit 4 Fan 1 fault</t>
  </si>
  <si>
    <t>IREG_15546.18</t>
  </si>
  <si>
    <t>CNT_0041_Inv_[n]_unit_4_Fan_1_fault</t>
  </si>
  <si>
    <t>Inv [n] unit 4 DC overcurrent</t>
  </si>
  <si>
    <t>IREG_15546.21</t>
  </si>
  <si>
    <t>CNT_0041_Inv_[n]_unit_4_DC_overcurrent</t>
  </si>
  <si>
    <t>Inv [n] unit 4 AC overcurrent</t>
  </si>
  <si>
    <t>IREG_15546.22</t>
  </si>
  <si>
    <t>CNT_0041_Inv_[n]_unit_4_AC_overcurrent</t>
  </si>
  <si>
    <t>Inv [n] unit 4 Frequency abnormal</t>
  </si>
  <si>
    <t>IREG_15546.23</t>
  </si>
  <si>
    <t>CNT_0041_Inv_[n]_unit_4_Frequency_abnormal</t>
  </si>
  <si>
    <t>Inv [n] unit 4 Temperature abnormal</t>
  </si>
  <si>
    <t>IREG_15546.24</t>
  </si>
  <si>
    <t>CNT_0041_Inv_[n]_unit_4_Temperature_abnormal</t>
  </si>
  <si>
    <t>Inv [n] unit 4 Hardware fault</t>
  </si>
  <si>
    <t>IREG_15546.25</t>
  </si>
  <si>
    <t>CNT_0041_Inv_[n]_unit_4_Hardware_fault</t>
  </si>
  <si>
    <t>Inv [n] unit 4 Grounding fault</t>
  </si>
  <si>
    <t>IREG_15546.26</t>
  </si>
  <si>
    <t>CNT_0041_Inv_[n]_unit_4_Grounding_fault</t>
  </si>
  <si>
    <t>Inv [n] unit 4 Bus overvoltage</t>
  </si>
  <si>
    <t>IREG_15546.27</t>
  </si>
  <si>
    <t>CNT_0041_Inv_[n]_unit_4_Bus_overvoltage</t>
  </si>
  <si>
    <t>Inv [n] unit 4 Bus undervoltage</t>
  </si>
  <si>
    <t>IREG_15546.28</t>
  </si>
  <si>
    <t>CNT_0041_Inv_[n]_unit_4_Bus_undervoltage</t>
  </si>
  <si>
    <t>Inv [n] unit 4 Inverter overvoltage</t>
  </si>
  <si>
    <t>IREG_15546.29</t>
  </si>
  <si>
    <t>CNT_0041_Inv_[n]_unit_4_Inverter_overvoltage</t>
  </si>
  <si>
    <t>Inv [n] unit 4 Low insulation resistance fault</t>
  </si>
  <si>
    <t>IREG_15548.0</t>
  </si>
  <si>
    <t>CNT_0041_Inv_[n]_unit_4_Low_insulation_resistance_fault</t>
  </si>
  <si>
    <t>Inv [n] unit 4 AC SPD fault</t>
  </si>
  <si>
    <t>IREG_15548.1</t>
  </si>
  <si>
    <t>CNT_0041_Inv_[n]_unit_4_AC_SPD_fault</t>
  </si>
  <si>
    <t>Inv [n] unit 4 Sampling fault</t>
  </si>
  <si>
    <t>IREG_15548.2</t>
  </si>
  <si>
    <t>CNT_0041_Inv_[n]_unit_4_Sampling_fault</t>
  </si>
  <si>
    <t>Inv [n] unit 4 DC polarity reversed fault</t>
  </si>
  <si>
    <t>IREG_15548.3</t>
  </si>
  <si>
    <t>CNT_0041_Inv_[n]_unit_4_DC_polarity_reversed_fault</t>
  </si>
  <si>
    <t>Inv [n] unit 4 Control power supply fault</t>
  </si>
  <si>
    <t>IREG_15548.4</t>
  </si>
  <si>
    <t>CNT_0041_Inv_[n]_unit_4_Control_power_supply_fault</t>
  </si>
  <si>
    <t>Inv [n] unit 4 AC current imballance</t>
  </si>
  <si>
    <t>IREG_15548.6</t>
  </si>
  <si>
    <t>CNT_0041_Inv_[n]_unit_4_AC_current_imballance</t>
  </si>
  <si>
    <t>Inv [n] unit 4 DC SPD fault</t>
  </si>
  <si>
    <t>IREG_15548.8</t>
  </si>
  <si>
    <t>CNT_0041_Inv_[n]_unit_4_DC_SPD_fault</t>
  </si>
  <si>
    <t>Inv [n] unit 4 DC component fault</t>
  </si>
  <si>
    <t>IREG_15548.10</t>
  </si>
  <si>
    <t>CNT_0041_Inv_[n]_unit_4_DC_component_fault</t>
  </si>
  <si>
    <t>Inv [n] unit 4 DC switch fault</t>
  </si>
  <si>
    <t>IREG_15548.11</t>
  </si>
  <si>
    <t>CNT_0041_Inv_[n]_unit_4_DC_switch_fault</t>
  </si>
  <si>
    <t>Inv [n] unit 4 Repeated fault</t>
  </si>
  <si>
    <t>IREG_15548.12</t>
  </si>
  <si>
    <t>CNT_0041_Inv_[n]_unit_4_Repeated_fault</t>
  </si>
  <si>
    <t>Inv [n] unit 4 faults register 2</t>
  </si>
  <si>
    <t>CNT_0042_Inv_[n]_unit_4_faults_register_2</t>
  </si>
  <si>
    <t>Inv [n] unit 4 Parallel operation communication failure</t>
  </si>
  <si>
    <t>IREG_15548.13</t>
  </si>
  <si>
    <t>CNT_0042_Inv_[n]_unit_4_Parallel_operation_communication_failure</t>
  </si>
  <si>
    <t>Inv [n] unit 4 Control cabinet temperature fault</t>
  </si>
  <si>
    <t>IREG_15548.14</t>
  </si>
  <si>
    <t>CNT_0042_Inv_[n]_unit_4_Control_cabinet_temperature_fault</t>
  </si>
  <si>
    <t>Inv [n] unit 4 DC fuse ground fault</t>
  </si>
  <si>
    <t>IREG_15548.15</t>
  </si>
  <si>
    <t>CNT_0042_Inv_[n]_unit_4_DC_fuse_ground_fault</t>
  </si>
  <si>
    <t>Inv [n] unit 4 Excessive DC reverse current fault</t>
  </si>
  <si>
    <t>IREG_15548.16</t>
  </si>
  <si>
    <t>CNT_0042_Inv_[n]_unit_4_Excessive_DC_reverse_current_fault</t>
  </si>
  <si>
    <t>Inv [n] unit 4 Grid voltage imballance fault</t>
  </si>
  <si>
    <t>IREG_15548.17</t>
  </si>
  <si>
    <t>CNT_0042_Inv_[n]_unit_4_Grid_voltage_imballance_fault</t>
  </si>
  <si>
    <t>Inv [n] unit 4 Inverter cabinet temperature fault</t>
  </si>
  <si>
    <t>IREG_15548.19</t>
  </si>
  <si>
    <t>CNT_0042_Inv_[n]_unit_4_Inverter_cabinet_temperature_fault</t>
  </si>
  <si>
    <t>Inv [n] unit 4 AC cabinet temperature fault</t>
  </si>
  <si>
    <t>IREG_15548.20</t>
  </si>
  <si>
    <t>CNT_0042_Inv_[n]_unit_4_AC_cabinet_temperature_fault</t>
  </si>
  <si>
    <t>Inv [n] unit 4 AC switch off</t>
  </si>
  <si>
    <t>IREG_15548.21</t>
  </si>
  <si>
    <t>CNT_0042_Inv_[n]_unit_4_AC_switch_off</t>
  </si>
  <si>
    <t>Inv [n] unit 4 AC switch fault</t>
  </si>
  <si>
    <t>IREG_15548.22</t>
  </si>
  <si>
    <t>CNT_0042_Inv_[n]_unit_4_AC_switch_fault</t>
  </si>
  <si>
    <t>Inv [n] unit 4 Soft start fault</t>
  </si>
  <si>
    <t>IREG_15548.23</t>
  </si>
  <si>
    <t>CNT_0042_Inv_[n]_unit_4_Soft_start_fault</t>
  </si>
  <si>
    <t>Inv [n] unit 4 DC voltage sampling fault</t>
  </si>
  <si>
    <t>IREG_15548.24</t>
  </si>
  <si>
    <t>CNT_0042_Inv_[n]_unit_4_DC_voltage_sampling_fault</t>
  </si>
  <si>
    <t>Inv [n] unit 4 Fan 2 fault</t>
  </si>
  <si>
    <t>IREG_15548.25</t>
  </si>
  <si>
    <t>CNT_0042_Inv_[n]_unit_4_Fan_2_fault</t>
  </si>
  <si>
    <t>Inv [n] unit 4 Current unbalance 2</t>
  </si>
  <si>
    <t>IREG_15548.26</t>
  </si>
  <si>
    <t>CNT_0042_Inv_[n]_unit_4_Current_unbalance_2</t>
  </si>
  <si>
    <t>Inv [n] unit 4 Current unbalance 3</t>
  </si>
  <si>
    <t>IREG_15548.27</t>
  </si>
  <si>
    <t>CNT_0042_Inv_[n]_unit_4_Current_unbalance_3</t>
  </si>
  <si>
    <t>Inv [n] unit 4 DC cabinet temperature alarm</t>
  </si>
  <si>
    <t>IREG_15548.29</t>
  </si>
  <si>
    <t>CNT_0042_Inv_[n]_unit_4_DC_cabinet_temperature_alarm</t>
  </si>
  <si>
    <t>Inv [n] unit 4 Neutral point potential shift alarm</t>
  </si>
  <si>
    <t>IREG_15548.30</t>
  </si>
  <si>
    <t>CNT_0042_Inv_[n]_unit_4_Neutral_point_potential_shift_alarm</t>
  </si>
  <si>
    <t>Inv [n] unit 4 Carrier sync failure</t>
  </si>
  <si>
    <t>IREG_15548.31</t>
  </si>
  <si>
    <t>CNT_0042_Inv_[n]_unit_4_Carrier_sync_failure</t>
  </si>
  <si>
    <t>Inv [n] unit 4 Smoke alarm</t>
  </si>
  <si>
    <t>IREG_15550.0</t>
  </si>
  <si>
    <t>CNT_0042_Inv_[n]_unit_4_Smoke_alarm</t>
  </si>
  <si>
    <t>Inv [n] unit 4 Access control protection alarm</t>
  </si>
  <si>
    <t>IREG_15550.1</t>
  </si>
  <si>
    <t>CNT_0042_Inv_[n]_unit_4_Access_control_protection_alarm</t>
  </si>
  <si>
    <t>Inv [n] unit 4 Emergency shutdown alarm</t>
  </si>
  <si>
    <t>IREG_15550.2</t>
  </si>
  <si>
    <t>CNT_0042_Inv_[n]_unit_4_Emergency_shutdown_alarm</t>
  </si>
  <si>
    <t>Inv [n] unit 4 alarms register</t>
  </si>
  <si>
    <t>CNT_0043_Inv_[n]_unit_4_alarms_register</t>
  </si>
  <si>
    <t>Inv [n] unit 4 Temperature abnormal alarm</t>
  </si>
  <si>
    <t>IREG_15570.0</t>
  </si>
  <si>
    <t>CNT_0043_Inv_[n]_unit_4_Temperature_abnormal_alarm</t>
  </si>
  <si>
    <t>Inv [n] unit 4 Low insulation resistance alarm</t>
  </si>
  <si>
    <t>IREG_15570.1</t>
  </si>
  <si>
    <t>CNT_0043_Inv_[n]_unit_4_Low_insulation_resistance_alarm</t>
  </si>
  <si>
    <t>Inv [n] unit 4 GFRT operation alarm</t>
  </si>
  <si>
    <t>IREG_15570.2</t>
  </si>
  <si>
    <t>CNT_0043_Inv_[n]_unit_4_GFRT_operation_alarm</t>
  </si>
  <si>
    <t>Inv [n] unit 4 CT unbalance alarm</t>
  </si>
  <si>
    <t>IREG_15570.3</t>
  </si>
  <si>
    <t>CNT_0043_Inv_[n]_unit_4_CT_unbalance_alarm</t>
  </si>
  <si>
    <t>Inv [n] unit 4 DC sensor alarm</t>
  </si>
  <si>
    <t>IREG_15570.6</t>
  </si>
  <si>
    <t>CNT_0043_Inv_[n]_unit_4_DC_sensor_alarm</t>
  </si>
  <si>
    <t>Inv [n] unit 4 DC SPD alarm</t>
  </si>
  <si>
    <t>IREG_15570.7</t>
  </si>
  <si>
    <t>CNT_0043_Inv_[n]_unit_4_DC_SPD_alarm</t>
  </si>
  <si>
    <t>Inv [n] unit 4 AC SPD alarm</t>
  </si>
  <si>
    <t>IREG_15570.8</t>
  </si>
  <si>
    <t>CNT_0043_Inv_[n]_unit_4_AC_SPD_alarm</t>
  </si>
  <si>
    <t>Inv [n] unit 4 DC switch alarm</t>
  </si>
  <si>
    <t>IREG_15570.12</t>
  </si>
  <si>
    <t>CNT_0043_Inv_[n]_unit_4_DC_switch_alarm</t>
  </si>
  <si>
    <t>Inv [n] unit 4 Anti-PID power alarm</t>
  </si>
  <si>
    <t>IREG_15570.13</t>
  </si>
  <si>
    <t>CNT_0043_Inv_[n]_unit_4_Anti_PID_power_alarm</t>
  </si>
  <si>
    <t>Inv [n] unit 4 Cooling fan 1 alarm</t>
  </si>
  <si>
    <t>IREG_15570.14</t>
  </si>
  <si>
    <t>CNT_0043_Inv_[n]_unit_4_Cooling_fan_1_alarm</t>
  </si>
  <si>
    <t>Inv [n] unit 4 DC branch forward alarm</t>
  </si>
  <si>
    <t>IREG_15570.16</t>
  </si>
  <si>
    <t>CNT_0043_Inv_[n]_unit_4_DC_branch_forward_alarm</t>
  </si>
  <si>
    <t>Inv [n] unit 4 DC branch reverse alarm</t>
  </si>
  <si>
    <t>IREG_15570.17</t>
  </si>
  <si>
    <t>CNT_0043_Inv_[n]_unit_4_DC_branch_reverse_alarm</t>
  </si>
  <si>
    <t>Inv [n] unit 4 AC switch alarm</t>
  </si>
  <si>
    <t>IREG_15570.19</t>
  </si>
  <si>
    <t>CNT_0043_Inv_[n]_unit_4_AC_switch_alarm</t>
  </si>
  <si>
    <t>Inv [n] unit 4 Meter communication failure alarm</t>
  </si>
  <si>
    <t>IREG_15570.20</t>
  </si>
  <si>
    <t>CNT_0043_Inv_[n]_unit_4_Meter_communication_failure_alarm</t>
  </si>
  <si>
    <t>Inv [n] unit 4 Cooling fan 2 alarm</t>
  </si>
  <si>
    <t>IREG_15570.21</t>
  </si>
  <si>
    <t>CNT_0043_Inv_[n]_unit_4_Cooling_fan_2_alarm</t>
  </si>
  <si>
    <t>Inv [n] unit 4 Temperature and humidity sensor alarm</t>
  </si>
  <si>
    <t>IREG_15570.23</t>
  </si>
  <si>
    <t>CNT_0043_Inv_[n]_unit_4_Temperature_and_humidity_sensor_alarm</t>
  </si>
  <si>
    <t>Inv [n] unit 4 Frequency deviation active power regulation</t>
  </si>
  <si>
    <t>IREG_15570.24</t>
  </si>
  <si>
    <t>CNT_0043_Inv_[n]_unit_4_Frequency_deviation_active_power_regulation</t>
  </si>
  <si>
    <t>Inv [n] unit 4 Voltage deviation reactive power regulation</t>
  </si>
  <si>
    <t>IREG_15570.25</t>
  </si>
  <si>
    <t>CNT_0043_Inv_[n]_unit_4_Voltage_deviation_reactive_power_regulation</t>
  </si>
  <si>
    <t>Inv [n] unit 4 Busbar temperature alarm</t>
  </si>
  <si>
    <t>IREG_15570.27</t>
  </si>
  <si>
    <t>CNT_0043_Inv_[n]_unit_4_Busbar_temperature_alarm</t>
  </si>
  <si>
    <t>Inv [n] unit 4 Cooling fan derating alarm</t>
  </si>
  <si>
    <t>IREG_15570.29</t>
  </si>
  <si>
    <t>CNT_0043_Inv_[n]_unit_4_Cooling_fan_derating_alarm</t>
  </si>
  <si>
    <t>IREG_15570.30</t>
  </si>
  <si>
    <t>CNT_0043_Inv_[n]_unit_4_Frequency_abnormal</t>
  </si>
  <si>
    <t>Inv [n] unit 4 HVRT operation</t>
  </si>
  <si>
    <t>IREG_15622.1</t>
  </si>
  <si>
    <t>CNT_0043_Inv_[n]_unit_4_HVRT_operation</t>
  </si>
  <si>
    <t>Inv [n] unit 4 LVRT operation</t>
  </si>
  <si>
    <t>IREG_15622.2</t>
  </si>
  <si>
    <t>CNT_0043_Inv_[n]_unit_4_LVRT_operation</t>
  </si>
  <si>
    <t>Inv [n] unit 4 array monitoring register</t>
  </si>
  <si>
    <t>CNT_0044_Inv_[n]_unit_4_array_monitoring_register</t>
  </si>
  <si>
    <t>Inv [n] unit 4 DC input 1 open circuit fault</t>
  </si>
  <si>
    <t>IREG_16001.24</t>
  </si>
  <si>
    <t>CNT_0044_Inv_[n]_unit_4_DC_input_1_open_circuit_fault</t>
  </si>
  <si>
    <t>Inv [n] unit 4 DC input 2 open circuit fault</t>
  </si>
  <si>
    <t>IREG_16001.25</t>
  </si>
  <si>
    <t>CNT_0044_Inv_[n]_unit_4_DC_input_2_open_circuit_fault</t>
  </si>
  <si>
    <t>Inv [n] unit 4 DC input 3 open circuit fault</t>
  </si>
  <si>
    <t>IREG_16001.26</t>
  </si>
  <si>
    <t>CNT_0044_Inv_[n]_unit_4_DC_input_3_open_circuit_fault</t>
  </si>
  <si>
    <t>Inv [n] unit 4 DC input 4 open circuit fault</t>
  </si>
  <si>
    <t>IREG_16001.27</t>
  </si>
  <si>
    <t>CNT_0044_Inv_[n]_unit_4_DC_input_4_open_circuit_fault</t>
  </si>
  <si>
    <t>Inv [n] unit 4 DC input 5 open circuit fault</t>
  </si>
  <si>
    <t>IREG_16001.28</t>
  </si>
  <si>
    <t>CNT_0044_Inv_[n]_unit_4_DC_input_5_open_circuit_fault</t>
  </si>
  <si>
    <t>Inv [n] unit 4 DC input 6 open circuit fault</t>
  </si>
  <si>
    <t>IREG_16001.29</t>
  </si>
  <si>
    <t>CNT_0044_Inv_[n]_unit_4_DC_input_6_open_circuit_fault</t>
  </si>
  <si>
    <t>Inv [n] unit 4 DC input 7 open circuit fault</t>
  </si>
  <si>
    <t>IREG_16001.30</t>
  </si>
  <si>
    <t>CNT_0044_Inv_[n]_unit_4_DC_input_7_open_circuit_fault</t>
  </si>
  <si>
    <t>Inv [n] unit 4 DC input 1 string failure alarm</t>
  </si>
  <si>
    <t>IREG_16003.24</t>
  </si>
  <si>
    <t>CNT_0044_Inv_[n]_unit_4_DC_input_1_string_failure_alarm</t>
  </si>
  <si>
    <t>Inv [n] unit 4 DC input 2 string failure alarm</t>
  </si>
  <si>
    <t>IREG_16003.25</t>
  </si>
  <si>
    <t>CNT_0044_Inv_[n]_unit_4_DC_input_2_string_failure_alarm</t>
  </si>
  <si>
    <t>Inv [n] unit 4 DC input 3 string failure alarm</t>
  </si>
  <si>
    <t>IREG_16003.26</t>
  </si>
  <si>
    <t>CNT_0044_Inv_[n]_unit_4_DC_input_3_string_failure_alarm</t>
  </si>
  <si>
    <t>Inv [n] unit 4 DC input 4 string failure alarm</t>
  </si>
  <si>
    <t>IREG_16003.27</t>
  </si>
  <si>
    <t>CNT_0044_Inv_[n]_unit_4_DC_input_4_string_failure_alarm</t>
  </si>
  <si>
    <t>Inv [n] unit 4 DC input 5 string failure alarm</t>
  </si>
  <si>
    <t>IREG_16003.28</t>
  </si>
  <si>
    <t>CNT_0044_Inv_[n]_unit_4_DC_input_5_string_failure_alarm</t>
  </si>
  <si>
    <t>Inv [n] unit 4 DC input 6 string failure alarm</t>
  </si>
  <si>
    <t>IREG_16003.29</t>
  </si>
  <si>
    <t>CNT_0044_Inv_[n]_unit_4_DC_input_6_string_failure_alarm</t>
  </si>
  <si>
    <t>Inv [n] unit 4 DC input 7 string failure alarm</t>
  </si>
  <si>
    <t>IREG_16003.30</t>
  </si>
  <si>
    <t>CNT_0044_Inv_[n]_unit_4_DC_input_7_string_failure_alarm</t>
  </si>
  <si>
    <t>Inv [n] MV node status register (transformer)</t>
  </si>
  <si>
    <t>IREG_15114</t>
  </si>
  <si>
    <t>CNT_0100_Inv_[n]_MV_node_status_register_(transformer)</t>
  </si>
  <si>
    <t>Inv [n] Entire system working state register</t>
  </si>
  <si>
    <t>IREG_15117</t>
  </si>
  <si>
    <t>CNT_0101_Inv_[n]_Entire_system_working_state_register</t>
  </si>
  <si>
    <t>Inv [n] MV node status 1 register</t>
  </si>
  <si>
    <t>IREG_15126</t>
  </si>
  <si>
    <t>CNT_0102_Inv_[n]_MV_node_status_1_register</t>
  </si>
  <si>
    <t>Inv [n] MV node status 2 register</t>
  </si>
  <si>
    <t>IREG_15131</t>
  </si>
  <si>
    <t>CNT_0103_Inv_[n]_MV_node_status_2_register</t>
  </si>
  <si>
    <t>Inv [n] Overall alarm status register</t>
  </si>
  <si>
    <t>IREG_15127</t>
  </si>
  <si>
    <t>CNT_0104_Inv_[n]_Overall_alarm_status_register</t>
  </si>
  <si>
    <t>Inv [n] DI node status register</t>
  </si>
  <si>
    <t>IREG_15129</t>
  </si>
  <si>
    <t>CNT_0105_Inv_[n]_DI_node_status_register</t>
  </si>
  <si>
    <t>Inv [n] PMD_IODI input status register</t>
  </si>
  <si>
    <t>IREG_15142</t>
  </si>
  <si>
    <t>CNT_0106_Inv_[n]_PMD_IODI_input_status_register</t>
  </si>
  <si>
    <t>Inv [n] UPS conversion status register</t>
  </si>
  <si>
    <t>IREG_15146</t>
  </si>
  <si>
    <t>CNT_0107_Inv_[n]_UPS_conversion_status_register</t>
  </si>
  <si>
    <t>Inv [n] UPS alarm status regsiter</t>
  </si>
  <si>
    <t>IREG_15147</t>
  </si>
  <si>
    <t>CNT_0108_Inv_[n]_UPS_alarm_status_regsiter</t>
  </si>
  <si>
    <t>Inv [n] ISO board fault status register</t>
  </si>
  <si>
    <t>IREG_15630</t>
  </si>
  <si>
    <t>CNT_0109_Inv_[n]_ISO_board_fault_status_register</t>
  </si>
  <si>
    <t>Inv [n] ISO board alarm status register</t>
  </si>
  <si>
    <t>IREG_15631</t>
  </si>
  <si>
    <t>CNT_0110_Inv_[n]_ISO_board_alarm_status_register</t>
  </si>
  <si>
    <t>Inv [n] Branch open circuit alarm register</t>
  </si>
  <si>
    <t>IREG_16001</t>
  </si>
  <si>
    <t>CNT_0111_Inv_[n]_Branch_open_circuit_alarm_register</t>
  </si>
  <si>
    <t>Inv [n] Branch string fault alarm register</t>
  </si>
  <si>
    <t>IREG_16003</t>
  </si>
  <si>
    <t>CNT_0112_Inv_[n]_Branch_string_fault_alarm_register</t>
  </si>
  <si>
    <t>Inv [n] unit 1 fault status 1 register</t>
  </si>
  <si>
    <t>IREG_15186</t>
  </si>
  <si>
    <t>CNT_0113_Inv_[n]_unit_1_fault_status_1_register</t>
  </si>
  <si>
    <t>Inv [n] unit 1 fault status 2 register</t>
  </si>
  <si>
    <t>IREG_15188</t>
  </si>
  <si>
    <t>CNT_0114_Inv_[n]_unit_1_fault_status_2_register</t>
  </si>
  <si>
    <t>Inv [n] unit 1 fault status 3 register</t>
  </si>
  <si>
    <t>IREG_15190</t>
  </si>
  <si>
    <t>CNT_0115_Inv_[n]_unit_1_fault_status_3_register</t>
  </si>
  <si>
    <t xml:space="preserve">  </t>
  </si>
  <si>
    <t>Inv [n] unit 1 node status register</t>
  </si>
  <si>
    <t>IREG_15194</t>
  </si>
  <si>
    <t>CNT_0116_Inv_[n]_unit_1_node_status_register</t>
  </si>
  <si>
    <t>Inv [n] unit 1 working status register</t>
  </si>
  <si>
    <t>IREG_15208</t>
  </si>
  <si>
    <t>CNT_0117_Inv_[n]_unit_1_working_status_register</t>
  </si>
  <si>
    <t>Inv [n] unit 1 alarm status register</t>
  </si>
  <si>
    <t>IREG_15210</t>
  </si>
  <si>
    <t>CNT_0118_Inv_[n]_unit_1_alarm_status_register</t>
  </si>
  <si>
    <t>Inv [n] unit 1 running status register</t>
  </si>
  <si>
    <t>IREG_15262</t>
  </si>
  <si>
    <t>CNT_0119_Inv_[n]_unit_1_running_status_register</t>
  </si>
  <si>
    <t>Inv [n] unit 2 fault status 1 register</t>
  </si>
  <si>
    <t>IREG_15306</t>
  </si>
  <si>
    <t>CNT_0120_Inv_[n]_unit_2_fault_status_1_register</t>
  </si>
  <si>
    <t>Inv [n] unit 2 fault status 2 register</t>
  </si>
  <si>
    <t>IREG_15308</t>
  </si>
  <si>
    <t>CNT_0121_Inv_[n]_unit_2_fault_status_2_register</t>
  </si>
  <si>
    <t>Inv [n] unit 2 fault status 3 register</t>
  </si>
  <si>
    <t>IREG_15310</t>
  </si>
  <si>
    <t>CNT_0122_Inv_[n]_unit_2_fault_status_3_register</t>
  </si>
  <si>
    <t>Inv [n] unit 2 node status register</t>
  </si>
  <si>
    <t>IREG_15314</t>
  </si>
  <si>
    <t>CNT_0123_Inv_[n]_unit_2_node_status_register</t>
  </si>
  <si>
    <t>Inv [n] unit 2 working status register</t>
  </si>
  <si>
    <t>IREG_15328</t>
  </si>
  <si>
    <t>CNT_0124_Inv_[n]_unit_2_working_status_register</t>
  </si>
  <si>
    <t>Inv [n] unit 2 alarm status register</t>
  </si>
  <si>
    <t>IREG_15330</t>
  </si>
  <si>
    <t>CNT_0125_Inv_[n]_unit_2_alarm_status_register</t>
  </si>
  <si>
    <t>Inv [n] unit 2 running status register</t>
  </si>
  <si>
    <t>IREG_15382</t>
  </si>
  <si>
    <t>CNT_0126_Inv_[n]_unit_2_running_status_register</t>
  </si>
  <si>
    <t>Inv [n] unit 3 fault status 1 register</t>
  </si>
  <si>
    <t>IREG_15426</t>
  </si>
  <si>
    <t>CNT_0127_Inv_[n]_unit_3_fault_status_1_register</t>
  </si>
  <si>
    <t>Inv [n] unit 3 fault status 2 register</t>
  </si>
  <si>
    <t>IREG_15428</t>
  </si>
  <si>
    <t>CNT_0128_Inv_[n]_unit_3_fault_status_2_register</t>
  </si>
  <si>
    <t>Inv [n] unit 3 fault status 3 register</t>
  </si>
  <si>
    <t>IREG_15430</t>
  </si>
  <si>
    <t>CNT_0129_Inv_[n]_unit_3_fault_status_3_register</t>
  </si>
  <si>
    <t>Inv [n] unit 3 node status register</t>
  </si>
  <si>
    <t>IREG_15434</t>
  </si>
  <si>
    <t>CNT_0130_Inv_[n]_unit_3_node_status_register</t>
  </si>
  <si>
    <t>Inv [n] unit 3 working status register</t>
  </si>
  <si>
    <t>IREG_15448</t>
  </si>
  <si>
    <t>CNT_0131_Inv_[n]_unit_3_working_status_register</t>
  </si>
  <si>
    <t>Inv [n] unit 3 alarm status register</t>
  </si>
  <si>
    <t>IREG_15450</t>
  </si>
  <si>
    <t>CNT_0132_Inv_[n]_unit_3_alarm_status_register</t>
  </si>
  <si>
    <t>Inv [n] unit 3 running status register</t>
  </si>
  <si>
    <t>IREG_15502</t>
  </si>
  <si>
    <t>CNT_0133_Inv_[n]_unit_3_running_status_register</t>
  </si>
  <si>
    <t>Inv [n] unit 4 fault status 1 register</t>
  </si>
  <si>
    <t>IREG_15546</t>
  </si>
  <si>
    <t>CNT_0134_Inv_[n]_unit_4_fault_status_1_register</t>
  </si>
  <si>
    <t>Inv [n] unit 4 fault status 2 register</t>
  </si>
  <si>
    <t>IREG_15548</t>
  </si>
  <si>
    <t>CNT_0135_Inv_[n]_unit_4_fault_status_2_register</t>
  </si>
  <si>
    <t>Inv [n] unit 4 fault status 3 register</t>
  </si>
  <si>
    <t>IREG_15550</t>
  </si>
  <si>
    <t>CNT_0136_Inv_[n]_unit_4_fault_status_3_register</t>
  </si>
  <si>
    <t>Inv [n] unit 4 node status register</t>
  </si>
  <si>
    <t>IREG_15554</t>
  </si>
  <si>
    <t>CNT_0137_Inv_[n]_unit_4_node_status_register</t>
  </si>
  <si>
    <t>Inv [n] unit 4 working status register</t>
  </si>
  <si>
    <t>IREG_15568</t>
  </si>
  <si>
    <t>CNT_0138_Inv_[n]_unit_4_working_status_register</t>
  </si>
  <si>
    <t>Inv [n] unit 4 alarm status register</t>
  </si>
  <si>
    <t>IREG_15570</t>
  </si>
  <si>
    <t>CNT_0139_Inv_[n]_unit_4_alarm_status_register</t>
  </si>
  <si>
    <t>Inv [n] unit 4 running status register</t>
  </si>
  <si>
    <t>IREG_15622</t>
  </si>
  <si>
    <t>CNT_0140_Inv_[n]_unit_4_running_status_register</t>
  </si>
  <si>
    <t>Binary input</t>
  </si>
  <si>
    <t>Inv [n] any alarm</t>
  </si>
  <si>
    <t>BI_0000_Inv_[n]_any_alarm</t>
  </si>
  <si>
    <t>Alarms/AnyAlarm</t>
  </si>
  <si>
    <t>Inv [n] any fault</t>
  </si>
  <si>
    <t>BI_0001_Inv_[n]_any_fault</t>
  </si>
  <si>
    <t>Alarms/AnyFault</t>
  </si>
  <si>
    <t>Inv [n] communication failure alarm</t>
  </si>
  <si>
    <t>BI_0002_Inv_[n]_communication_failure_alarm</t>
  </si>
  <si>
    <t>Alarms/CommunicationFailureAlarm</t>
  </si>
  <si>
    <t>Inv [n] manual control status</t>
  </si>
  <si>
    <t>Manual</t>
  </si>
  <si>
    <t>Auto</t>
  </si>
  <si>
    <t>BI_0003_Inv_[n]_manual_control_status</t>
  </si>
  <si>
    <t>Status/InManualControl</t>
  </si>
  <si>
    <t>Analog output</t>
  </si>
  <si>
    <t>Inv [n] manual active power setpoint</t>
  </si>
  <si>
    <t>AO_0000_Inv_[n]_manual_active_power_setpoint_kW</t>
  </si>
  <si>
    <t>Inv [n] manual reactive power setpoint</t>
  </si>
  <si>
    <t xml:space="preserve">AO_0001_Inv_[n]_manual_reactive_power_setpoint_kvar or PU </t>
  </si>
  <si>
    <t>Inv [n] manual reactive power mode</t>
  </si>
  <si>
    <t>AO_0002_Inv_[n]_manual_reactive_power_mode_enumeration</t>
  </si>
  <si>
    <t>Voltage, Q(U) and Q(P) modes are not selectable through the HMI</t>
  </si>
  <si>
    <t>Binary output</t>
  </si>
  <si>
    <t>Inv [n] manual control</t>
  </si>
  <si>
    <t>BO_0000_Inv_[n]_manual_control</t>
  </si>
  <si>
    <t>Inv [n] manual start stop</t>
  </si>
  <si>
    <t>Start</t>
  </si>
  <si>
    <t>Stop</t>
  </si>
  <si>
    <t>BO_0001_Inv_[n]_manual_start_stop</t>
  </si>
  <si>
    <t>Inv [n] remote emergency stop</t>
  </si>
  <si>
    <t>HREG_15006</t>
  </si>
  <si>
    <t>E-stop</t>
  </si>
  <si>
    <t>BO_0002_Inv_[n]_remote_emergency_stop</t>
  </si>
  <si>
    <t>Inv [n] manual DC switch open close</t>
  </si>
  <si>
    <t>HREG_15059</t>
  </si>
  <si>
    <t>Close</t>
  </si>
  <si>
    <t>BO_0003_Inv_[n]_manual_DC_switch_open_close</t>
  </si>
  <si>
    <t>PPC to Ignition - Environmental</t>
  </si>
  <si>
    <t>Env Locations</t>
  </si>
  <si>
    <t>Number of multi-instrument towers</t>
  </si>
  <si>
    <t>Replace [n] with environmental instrument station number written as 2 digits</t>
  </si>
  <si>
    <t>ENV-01</t>
  </si>
  <si>
    <t>ENV-02</t>
  </si>
  <si>
    <t>ENV-03</t>
  </si>
  <si>
    <t>ENV-04</t>
  </si>
  <si>
    <t>ENV-05</t>
  </si>
  <si>
    <t>ENV-06</t>
  </si>
  <si>
    <t>ENV-07</t>
  </si>
  <si>
    <t>ENV-08</t>
  </si>
  <si>
    <t>ENV-09</t>
  </si>
  <si>
    <t>ENV-10</t>
  </si>
  <si>
    <t>Number of standalone POA pyranometers</t>
  </si>
  <si>
    <t>Replace [p] with standalone pyranometer instrument number written as 2 digits</t>
  </si>
  <si>
    <t>Block 4</t>
  </si>
  <si>
    <t>Block 12</t>
  </si>
  <si>
    <t>Block 24</t>
  </si>
  <si>
    <t>Block 30</t>
  </si>
  <si>
    <t>Block 41</t>
  </si>
  <si>
    <t>Block 55</t>
  </si>
  <si>
    <t>Block 63</t>
  </si>
  <si>
    <t>Block 73</t>
  </si>
  <si>
    <t>Block 84</t>
  </si>
  <si>
    <t>Block 93</t>
  </si>
  <si>
    <t>Number of soiling stations</t>
  </si>
  <si>
    <t>Replace [s] with soiling station instrument number written as 2 digits</t>
  </si>
  <si>
    <t>ENV-11</t>
  </si>
  <si>
    <t>ENV-12</t>
  </si>
  <si>
    <t>ENV-13</t>
  </si>
  <si>
    <t>ENV-14</t>
  </si>
  <si>
    <t>ENV-15</t>
  </si>
  <si>
    <t>ENV-16</t>
  </si>
  <si>
    <t>Number of albedometers</t>
  </si>
  <si>
    <t>Replace [a] with albedometer instrument number written as 2 digits</t>
  </si>
  <si>
    <t>Env [n] solar zenith angle</t>
  </si>
  <si>
    <t>HREG_0016</t>
  </si>
  <si>
    <t>degrees</t>
  </si>
  <si>
    <t>AI_0000_Env_[n]_solar_zenith_angle_degrees</t>
  </si>
  <si>
    <t>Env [n] solar elevation angle</t>
  </si>
  <si>
    <t>HREG_0018</t>
  </si>
  <si>
    <t>AI_0001_Env_[n]_solar_elevation_angle_degrees</t>
  </si>
  <si>
    <t>Env [n] solar azimuth angle</t>
  </si>
  <si>
    <t>HREG_0020</t>
  </si>
  <si>
    <t>AI_0002_Env_[n]_solar_azimuth_angle_degrees</t>
  </si>
  <si>
    <t>Env [n] POA irradiance raw</t>
  </si>
  <si>
    <t>HREG_0046</t>
  </si>
  <si>
    <t>W/m2</t>
  </si>
  <si>
    <t>AI_0003_Env_[n]_POA_irradiance_raw_W_per_m2</t>
  </si>
  <si>
    <t>Env [n] POA irradiance temperature compensated</t>
  </si>
  <si>
    <t>HREG_0048</t>
  </si>
  <si>
    <t>AI_0004_Env_[n]_POA_irradiance_temperature_compensated_W_per_m2</t>
  </si>
  <si>
    <t>Env [n] POA temperature</t>
  </si>
  <si>
    <t>HREG_0050</t>
  </si>
  <si>
    <t>AI_0005_Env_[n]_POA_temperature_degC</t>
  </si>
  <si>
    <t>Env [n] POA tilt angle</t>
  </si>
  <si>
    <t>HREG_0354</t>
  </si>
  <si>
    <t>AI_0006_Env_[n]_POA_tilt_angle_degrees</t>
  </si>
  <si>
    <t>Env [n] GHI irradiance raw</t>
  </si>
  <si>
    <t>HREG_0052</t>
  </si>
  <si>
    <t>AI_0007_Env_[n]_GHI_irradiance_raw_W_per_m2</t>
  </si>
  <si>
    <t>Env [n] GHI irradiance temperature compensated</t>
  </si>
  <si>
    <t>HREG_0054</t>
  </si>
  <si>
    <t>AI_0008_Env_[n]_GHI_irradiance_temperature_compensated_W_per_m2</t>
  </si>
  <si>
    <t>Env [n] GHI temperature</t>
  </si>
  <si>
    <t>HREG_0056</t>
  </si>
  <si>
    <t>AI_0009_Env_[n]_GHI_temperature_degC</t>
  </si>
  <si>
    <t>Env [n] ambient temp</t>
  </si>
  <si>
    <t>HREG_0074</t>
  </si>
  <si>
    <t>AI_0010_Env_[n]_ambient_temp_degC</t>
  </si>
  <si>
    <t>Env [n] dew point</t>
  </si>
  <si>
    <t>HREG_0076</t>
  </si>
  <si>
    <t>AI_0011_Env_[n]_dew_point_degC</t>
  </si>
  <si>
    <t>Env [n] relative humidity</t>
  </si>
  <si>
    <t>HREG_0078</t>
  </si>
  <si>
    <t>AI_0012_Env_[n]_relative_humidity_pct</t>
  </si>
  <si>
    <t>Env [n] wind speed</t>
  </si>
  <si>
    <t>HREG_0080</t>
  </si>
  <si>
    <t>m/s</t>
  </si>
  <si>
    <t>AI_0013_Env_[n]_wind_speed_m_per_s</t>
  </si>
  <si>
    <t>Env [n] wind speed max</t>
  </si>
  <si>
    <t>HREG_0082</t>
  </si>
  <si>
    <t>AI_0014_Env_[n]_wind_speed_max_m_per_s</t>
  </si>
  <si>
    <t>Env [n] wind direction</t>
  </si>
  <si>
    <t>HREG_0084</t>
  </si>
  <si>
    <t>AI_0015_Env_[n]_wind_direction_degrees</t>
  </si>
  <si>
    <t>Env [n] wind quality</t>
  </si>
  <si>
    <t>HREG_0086</t>
  </si>
  <si>
    <t>AI_0016_Env_[n]_wind_quality_pct</t>
  </si>
  <si>
    <t>Env [n] barometric pressure local</t>
  </si>
  <si>
    <t>HREG_0088</t>
  </si>
  <si>
    <t>mbar</t>
  </si>
  <si>
    <t>AI_0017_Env_[n]_barometric_pressure_local_mbar</t>
  </si>
  <si>
    <t>Env [n] barometric pressure sea level</t>
  </si>
  <si>
    <t>HREG_0090</t>
  </si>
  <si>
    <t>AI_0018_Env_[n]_barometric_pressure_sea_level_mbar</t>
  </si>
  <si>
    <t>Env [n] wind sensor compass</t>
  </si>
  <si>
    <t>HREG_0092</t>
  </si>
  <si>
    <t>AI_0019_Env_[n]_wind_sensor_compass_degrees</t>
  </si>
  <si>
    <t>Env [n] wind chill</t>
  </si>
  <si>
    <t>HREG_0094</t>
  </si>
  <si>
    <t>AI_0020_Env_[n]_wind_chill_degC</t>
  </si>
  <si>
    <t>Env [n] heat index</t>
  </si>
  <si>
    <t>HREG_0096</t>
  </si>
  <si>
    <t>AI_0021_Env_[n]_heat_index_degC</t>
  </si>
  <si>
    <t>Env [n] rainfall total monthly</t>
  </si>
  <si>
    <t>mm</t>
  </si>
  <si>
    <t>AI_0022_Env_[n]_rainfall_total_monthly_mm</t>
  </si>
  <si>
    <t>Env [n] rainfall instantaneous</t>
  </si>
  <si>
    <t>AI_0023_Env_[n]_rainfall_instantaneous_mm</t>
  </si>
  <si>
    <t>Env [n] rainfall intensity instantaneous</t>
  </si>
  <si>
    <t>mm/hr</t>
  </si>
  <si>
    <t>AI_0024_Env_[n]_rainfall_intensity_instantaneous_mm_per_hr</t>
  </si>
  <si>
    <t>Env [n] rainfall total today</t>
  </si>
  <si>
    <t>HREG_0108</t>
  </si>
  <si>
    <t>AI_0025_Env_[n]_rainfall_total_today_mm</t>
  </si>
  <si>
    <t>Env [n] BOM temperature 1</t>
  </si>
  <si>
    <t>HREG_0124</t>
  </si>
  <si>
    <t>AI_0026_Env_[n]_BOM_temperature_1_degC</t>
  </si>
  <si>
    <t>Env [n] BOM temperature 2</t>
  </si>
  <si>
    <t>HREG_0126</t>
  </si>
  <si>
    <t>AI_0027_Env_[n]_BOM_temperature_2_degC</t>
  </si>
  <si>
    <t>Env [n] BOM temperature 3</t>
  </si>
  <si>
    <t>HREG_0128</t>
  </si>
  <si>
    <t>AI_0028_Env_[n]_BOM_temperature_3_degC</t>
  </si>
  <si>
    <t>Env [n] data logger scan count</t>
  </si>
  <si>
    <t>HREG_0000</t>
  </si>
  <si>
    <t>AI_0029_Env_[n]_data_logger_scan_count_count</t>
  </si>
  <si>
    <t>Env [n] data logger skipped scans</t>
  </si>
  <si>
    <t>HREG_0002</t>
  </si>
  <si>
    <t>AI_0030_Env_[n]_data_logger_skipped_scans_count</t>
  </si>
  <si>
    <t>Env [n] data logger power supply voltage</t>
  </si>
  <si>
    <t>HREG_0004</t>
  </si>
  <si>
    <t>AI_0031_Env_[n]_data_logger_power_supply_voltage_V</t>
  </si>
  <si>
    <t>Env [n] data logger cabinet temperature</t>
  </si>
  <si>
    <t>HREG_0006</t>
  </si>
  <si>
    <t>AI_0032_Env_[n]_data_logger_cabinet_temperature_degC</t>
  </si>
  <si>
    <t>Env [n] data logger battery backup voltage</t>
  </si>
  <si>
    <t>HREG_0010</t>
  </si>
  <si>
    <t>AI_0033_Env_[n]_data_logger_battery_backup_voltage_V</t>
  </si>
  <si>
    <t>Env [n] data logger battery backup charging source</t>
  </si>
  <si>
    <t>HREG_0040</t>
  </si>
  <si>
    <t>AI_0034_Env_[n]_data_logger_battery_backup_charging_source_enumeration</t>
  </si>
  <si>
    <t>0 thru 2</t>
  </si>
  <si>
    <t>Env [n] reflected POA irradiance raw</t>
  </si>
  <si>
    <t>HREG_0746</t>
  </si>
  <si>
    <t>AI_0035_Env_[n]_reflected_POA_irradiance_raw_W_per_m2</t>
  </si>
  <si>
    <t>Env [n] reflected POA irradiance temperature compensated</t>
  </si>
  <si>
    <t>HREG_0748</t>
  </si>
  <si>
    <t>AI_0036_Env_[n]_reflected_POA_irradiance_temperature_compensated_W_per_m2</t>
  </si>
  <si>
    <t>Env [n] reflected POA temperature</t>
  </si>
  <si>
    <t>HREG_0750</t>
  </si>
  <si>
    <t>AI_0037_Env_[n]_reflected_POA_temperature_degC</t>
  </si>
  <si>
    <t>Env [n] reflected insolation</t>
  </si>
  <si>
    <t>HREG_0753</t>
  </si>
  <si>
    <t>Wh/m2</t>
  </si>
  <si>
    <t>AI_0038_Env_[n]_reflected_insolation_Wh_per_m2</t>
  </si>
  <si>
    <t>Env [n] reflected POA tilt angle</t>
  </si>
  <si>
    <t>HREG_0774</t>
  </si>
  <si>
    <t>AI_0039_Env_[n]_reflected_POA_tilt_angle_degrees</t>
  </si>
  <si>
    <t>Env [n] spare analog 01</t>
  </si>
  <si>
    <t>AI_0040_Env_[n]_spare_analog_01</t>
  </si>
  <si>
    <t>Env [n] spare analog 02</t>
  </si>
  <si>
    <t>AI_0041_Env_[n]_spare_analog_02</t>
  </si>
  <si>
    <t>Env [n] spare analog 03</t>
  </si>
  <si>
    <t>AI_0042_Env_[n]_spare_analog_03</t>
  </si>
  <si>
    <t>Env [n] spare analog 04</t>
  </si>
  <si>
    <t>AI_0043_Env_[n]_spare_analog_04</t>
  </si>
  <si>
    <t>Env [n] spare analog 05</t>
  </si>
  <si>
    <t>AI_0044_Env_[n]_spare_analog_05</t>
  </si>
  <si>
    <t>Env [p] POA irradiance raw</t>
  </si>
  <si>
    <t>AI_0045_Env_[p]_POA_irradiance_raw_W_per_m2</t>
  </si>
  <si>
    <t>Env [p] POA irradiance temperature compensated</t>
  </si>
  <si>
    <t>AI_0046_Env_[p]_POA_irradiance_temperature_compensated_W_per_m2</t>
  </si>
  <si>
    <t>Env [p] POA temperature</t>
  </si>
  <si>
    <t>AI_0047_Env_[p]_POA_temperature_degC</t>
  </si>
  <si>
    <t>Env [p] POA tilt angle</t>
  </si>
  <si>
    <t>HREG_0194</t>
  </si>
  <si>
    <t>AI_0048_Env_[p]_POA_tilt_angle_degrees</t>
  </si>
  <si>
    <t>Env [p] spare analog 01</t>
  </si>
  <si>
    <t>AI_0049_Env_[p]_spare_analog_01</t>
  </si>
  <si>
    <t>Env [p] spare analog 02</t>
  </si>
  <si>
    <t>AI_0050_Env_[p]_spare_analog_02</t>
  </si>
  <si>
    <t>Env [s] soiling ratio raw</t>
  </si>
  <si>
    <t>HREG_0152</t>
  </si>
  <si>
    <t>AI_0051_Env_[s]_soiling_ratio_raw</t>
  </si>
  <si>
    <t>Env [s] soiling ratio irradiance weighted</t>
  </si>
  <si>
    <t>HREG_0144</t>
  </si>
  <si>
    <t>AI_0052_Env_[s]_soiling_ratio_irradiance_weighted</t>
  </si>
  <si>
    <t>Env [s] soiling loss factor raw</t>
  </si>
  <si>
    <t>HREG_0150</t>
  </si>
  <si>
    <t>AI_0053_Env_[s]_soiling_loss_factor_raw</t>
  </si>
  <si>
    <t>Env [s] soiling loss factor irradiance weighted</t>
  </si>
  <si>
    <t>HREG_0142</t>
  </si>
  <si>
    <t>AI_0054_Env_[s]_soiling_loss_factor_irradiance_weighted</t>
  </si>
  <si>
    <t>Env [s] clean panel short circuit current</t>
  </si>
  <si>
    <t>HREG_0138</t>
  </si>
  <si>
    <t>AI_0055_Env_[s]_clean_panel_short_circuit_current_A</t>
  </si>
  <si>
    <t>Env [s] soiled panel short circuit current</t>
  </si>
  <si>
    <t>HREG_0140</t>
  </si>
  <si>
    <t>AI_0056_Env_[s]_soiled_panel_short_circuit_current_A</t>
  </si>
  <si>
    <t>Env [s] short circuit current normalization ratio</t>
  </si>
  <si>
    <t>HREG_0154</t>
  </si>
  <si>
    <t>AI_0057_Env_[s]_short_circuit_current_normalization_ratio</t>
  </si>
  <si>
    <t>ISC clean / ISC soiled at time of normalization</t>
  </si>
  <si>
    <t>Env [s] clean panel effective irradiance</t>
  </si>
  <si>
    <t>HREG_0156</t>
  </si>
  <si>
    <t>AI_0058_Env_[s]_clean_panel_effective_irradiance_W_per_m2</t>
  </si>
  <si>
    <t>Env [s] soiled panel effective irradiance</t>
  </si>
  <si>
    <t>HREG_0158</t>
  </si>
  <si>
    <t>AI_0059_Env_[s]_soiled_panel_effective_irradiance_W_per_m2</t>
  </si>
  <si>
    <t>Env [s] clean panel BOM temperature</t>
  </si>
  <si>
    <t>HREG_0146</t>
  </si>
  <si>
    <t>AI_0060_Env_[s]_clean_panel_BOM_temperature_degC</t>
  </si>
  <si>
    <t>Env [s] soiled panel BOM temperature</t>
  </si>
  <si>
    <t>HREG_0148</t>
  </si>
  <si>
    <t>AI_0061_Env_[s]_soiled_panel_BOM_temperature_degC</t>
  </si>
  <si>
    <t>Env [s] soiling quality</t>
  </si>
  <si>
    <t>HREG_0616</t>
  </si>
  <si>
    <t>AI_0062_Env_[s]_soiling_quality_pct</t>
  </si>
  <si>
    <t>Percent of possible samples that were actually sampled</t>
  </si>
  <si>
    <t>Env [s] number of days since last clear sky</t>
  </si>
  <si>
    <t>HREG_0618</t>
  </si>
  <si>
    <t>days</t>
  </si>
  <si>
    <t>AI_0063_Env_[s]_number_of_days_since_last_clear_sky_days</t>
  </si>
  <si>
    <t>Env [s] data logger scan count</t>
  </si>
  <si>
    <t>AI_0064_Env_[s]_data_logger_scan_count_count</t>
  </si>
  <si>
    <t>Env [s] data logger skipped scans</t>
  </si>
  <si>
    <t>AI_0065_Env_[s]_data_logger_skipped_scans_count</t>
  </si>
  <si>
    <t>Env [s] data logger power supply voltage</t>
  </si>
  <si>
    <t>AI_0066_Env_[s]_data_logger_power_supply_voltage_V</t>
  </si>
  <si>
    <t>Env [s] data logger cabinet temperature</t>
  </si>
  <si>
    <t>AI_0067_Env_[s]_data_logger_cabinet_temperature_degC</t>
  </si>
  <si>
    <t>Env [s] data logger battery backup voltage</t>
  </si>
  <si>
    <t>AI_0068_Env_[s]_data_logger_battery_backup_voltage_V</t>
  </si>
  <si>
    <t>Env [s] spare analog 01</t>
  </si>
  <si>
    <t>AI_0069_Env_[s]_spare_analog_01</t>
  </si>
  <si>
    <t>Env [s] spare analog 02</t>
  </si>
  <si>
    <t>AI_0070_Env_[s]_spare_analog_02</t>
  </si>
  <si>
    <t>Env [s] spare analog 03</t>
  </si>
  <si>
    <t>AI_0071_Env_[s]_spare_analog_03</t>
  </si>
  <si>
    <t>Env [s] spare analog 04</t>
  </si>
  <si>
    <t>AI_0072_Env_[s]_spare_analog_04</t>
  </si>
  <si>
    <t>Env [s] spare analog 05</t>
  </si>
  <si>
    <t>AI_0073_Env_[s]_spare_analog_05</t>
  </si>
  <si>
    <t>Env [s] spare analog 06</t>
  </si>
  <si>
    <t>AI_0074_Env_[s]_spare_analog_06</t>
  </si>
  <si>
    <t>Env [a] instantaneous albedo raw</t>
  </si>
  <si>
    <t>HREG_0608</t>
  </si>
  <si>
    <t>AI_0075_Env_[a]_instantaneous_albedo_raw</t>
  </si>
  <si>
    <t>Env [a] instantaneous albedo temperature compensated</t>
  </si>
  <si>
    <t>HREG_0610</t>
  </si>
  <si>
    <t>AI_0076_Env_[a]_instantaneous_albedo_temperature_compensated</t>
  </si>
  <si>
    <t>Env [a] daily average albedo raw</t>
  </si>
  <si>
    <t>HREG_0612</t>
  </si>
  <si>
    <t>AI_0077_Env_[a]_daily_average_albedo_raw</t>
  </si>
  <si>
    <t>Env [a] daily average albedo temperature compensated</t>
  </si>
  <si>
    <t>HREG_0614</t>
  </si>
  <si>
    <t>AI_0078_Env_[a]_daily_average_albedo_temperature_compensated</t>
  </si>
  <si>
    <t>Env [a] GHI irradiance raw</t>
  </si>
  <si>
    <t>HREG_0596</t>
  </si>
  <si>
    <t>AI_0079_Env_[a]_GHI_irradiance_raw_W_per_m2</t>
  </si>
  <si>
    <t>Env [a] GHI irradiance temperature compensated</t>
  </si>
  <si>
    <t>HREG_0598</t>
  </si>
  <si>
    <t>AI_0080_Env_[a]_GHI_irradiance_temperature_compensated_W_per_m2</t>
  </si>
  <si>
    <t>Env [a] GHI temperature</t>
  </si>
  <si>
    <t>HREG_0600</t>
  </si>
  <si>
    <t>AI_0081_Env_[a]_GHI_temperature_degC</t>
  </si>
  <si>
    <t>Env [a] RHI irradiance raw</t>
  </si>
  <si>
    <t>HREG_0602</t>
  </si>
  <si>
    <t>AI_0082_Env_[a]_RHI_irradiance_raw_W_per_m2</t>
  </si>
  <si>
    <t>Env [a] RHI irradiance temperature compensated</t>
  </si>
  <si>
    <t>HREG_0604</t>
  </si>
  <si>
    <t>AI_0083_Env_[a]_RHI_irradiance_temperature_compensated_W_per_m2</t>
  </si>
  <si>
    <t>Env [a] RHI temperature</t>
  </si>
  <si>
    <t>HREG_0606</t>
  </si>
  <si>
    <t>AI_0084_Env_[a]_RHI_temperature_degC</t>
  </si>
  <si>
    <t>Env [a] data logger scan count</t>
  </si>
  <si>
    <t>AI_0085_Env_[a]_data_logger_scan_count_count</t>
  </si>
  <si>
    <t>Env [a] data logger skipped scans</t>
  </si>
  <si>
    <t>AI_0086_Env_[a]_data_logger_skipped_scans_count</t>
  </si>
  <si>
    <t>Env [a] data logger power supply voltage</t>
  </si>
  <si>
    <t>AI_0087_Env_[a]_data_logger_power_supply_voltage_V</t>
  </si>
  <si>
    <t>Env [a] data logger cabinet temperature</t>
  </si>
  <si>
    <t>AI_0088_Env_[a]_data_logger_cabinet_temperature_degC</t>
  </si>
  <si>
    <t>Env [a] data logger battery backup voltage</t>
  </si>
  <si>
    <t>AI_0089_Env_[a]_data_logger_battery_backup_voltage_V</t>
  </si>
  <si>
    <t>Env [a] spare analog 01</t>
  </si>
  <si>
    <t>AI_0090_Env_[a]_spare_analog_01</t>
  </si>
  <si>
    <t>Env [a] spare analog 02</t>
  </si>
  <si>
    <t>AI_0091_Env_[a]_spare_analog_02</t>
  </si>
  <si>
    <t>Env [a] spare analog 03</t>
  </si>
  <si>
    <t>AI_0092_Env_[a]_spare_analog_03</t>
  </si>
  <si>
    <t>Env [a] spare analog 04</t>
  </si>
  <si>
    <t>AI_0093_Env_[a]_spare_analog_04</t>
  </si>
  <si>
    <t>Env [a] spare analog 05</t>
  </si>
  <si>
    <t>AI_0094_Env_[a]_spare_analog_05</t>
  </si>
  <si>
    <t>Env [a] spare analog 06</t>
  </si>
  <si>
    <t>AI_0095_Env_[a]_spare_analog_06</t>
  </si>
  <si>
    <t>Env [n] data logger alarms register</t>
  </si>
  <si>
    <t>HREG_2002</t>
  </si>
  <si>
    <t>Change Events</t>
  </si>
  <si>
    <t>CNT_0000_Env_[n]_data_logger_alarms_register</t>
  </si>
  <si>
    <t>Env [n] data logger watchdog error</t>
  </si>
  <si>
    <t>HREG_2002.0</t>
  </si>
  <si>
    <t>CNT_0000_Env_[n]_data_logger_watchdog_error</t>
  </si>
  <si>
    <t>Env [n] data logger skipped main scan</t>
  </si>
  <si>
    <t>HREG_2002.1</t>
  </si>
  <si>
    <t>CNT_0000_Env_[n]_data_logger_skipped_main_scan</t>
  </si>
  <si>
    <t>Env [n] data logger skipped slow scan</t>
  </si>
  <si>
    <t>HREG_2002.2</t>
  </si>
  <si>
    <t>CNT_0000_Env_[n]_data_logger_skipped_slow_scan</t>
  </si>
  <si>
    <t>Env [n] data logger program variable out of bounds</t>
  </si>
  <si>
    <t>HREG_2002.3</t>
  </si>
  <si>
    <t>CNT_0000_Env_[n]_data_logger_program_variable_out_of_bounds</t>
  </si>
  <si>
    <t>Env [n] data logger low 12V</t>
  </si>
  <si>
    <t>HREG_2002.4</t>
  </si>
  <si>
    <t>CNT_0000_Env_[n]_data_logger_low_12V</t>
  </si>
  <si>
    <t>Env [n] data logger low 5V</t>
  </si>
  <si>
    <t>HREG_2002.5</t>
  </si>
  <si>
    <t>CNT_0000_Env_[n]_data_logger_low_5V</t>
  </si>
  <si>
    <t>Env [n] data logger lithium battery error</t>
  </si>
  <si>
    <t>HREG_2002.8</t>
  </si>
  <si>
    <t>CNT_0000_Env_[n]_data_logger_lithium_battery_error</t>
  </si>
  <si>
    <t>Env [n] data logger lithium battery low</t>
  </si>
  <si>
    <t>HREG_2002.9</t>
  </si>
  <si>
    <t>CNT_0000_Env_[n]_data_logger_lithium_battery_low</t>
  </si>
  <si>
    <t>Env [n] data logger lithium battery critical</t>
  </si>
  <si>
    <t>HREG_2002.10</t>
  </si>
  <si>
    <t>CNT_0000_Env_[n]_data_logger_lithium_battery_critical</t>
  </si>
  <si>
    <t>Env [n] data logger voltage error</t>
  </si>
  <si>
    <t>HREG_2002.16</t>
  </si>
  <si>
    <t>CNT_0000_Env_[n]_data_logger_voltage_error</t>
  </si>
  <si>
    <t>Env [n] data logger low voltage warning</t>
  </si>
  <si>
    <t>HREG_2002.17</t>
  </si>
  <si>
    <t>CNT_0000_Env_[n]_data_logger_low_voltage_warning</t>
  </si>
  <si>
    <t>Env [n] data logger low voltage</t>
  </si>
  <si>
    <t>HREG_2002.18</t>
  </si>
  <si>
    <t>CNT_0000_Env_[n]_data_logger_low_voltage</t>
  </si>
  <si>
    <t>Env [n] data logger over voltage</t>
  </si>
  <si>
    <t>HREG_2002.19</t>
  </si>
  <si>
    <t>CNT_0000_Env_[n]_data_logger_over_voltage</t>
  </si>
  <si>
    <t>Env [n] data logger temperature error</t>
  </si>
  <si>
    <t>HREG_2002.24</t>
  </si>
  <si>
    <t>CNT_0000_Env_[n]_data_logger_temperature_error</t>
  </si>
  <si>
    <t>Env [n] data logger temperature below operating range</t>
  </si>
  <si>
    <t>HREG_2002.25</t>
  </si>
  <si>
    <t>CNT_0000_Env_[n]_data_logger_temperature_below_operating_range</t>
  </si>
  <si>
    <t>Env [n] data logger temperature above operating range</t>
  </si>
  <si>
    <t>HREG_2002.26</t>
  </si>
  <si>
    <t>CNT_0000_Env_[n]_data_logger_temperature_above_operating_range</t>
  </si>
  <si>
    <t>Env [n] battery alarms register</t>
  </si>
  <si>
    <t>HREG_2004</t>
  </si>
  <si>
    <t>CNT_0001_Env_[n]_battery_alarms_register</t>
  </si>
  <si>
    <t>Env [n] check battery</t>
  </si>
  <si>
    <t>HREG_2004.0</t>
  </si>
  <si>
    <t>CNT_0001_Env_[n]_check_battery</t>
  </si>
  <si>
    <t>Env [n] battery voltage error</t>
  </si>
  <si>
    <t>HREG_2004.8</t>
  </si>
  <si>
    <t>CNT_0001_Env_[n]_battery_voltage_error</t>
  </si>
  <si>
    <t>Env [n] low battery voltage warning</t>
  </si>
  <si>
    <t>HREG_2004.9</t>
  </si>
  <si>
    <t>CNT_0001_Env_[n]_low_battery_voltage_warning</t>
  </si>
  <si>
    <t>Env [n] low battery voltage critical</t>
  </si>
  <si>
    <t>HREG_2004.10</t>
  </si>
  <si>
    <t>CNT_0001_Env_[n]_low_battery_voltage_critical</t>
  </si>
  <si>
    <t>Env [n] low battery voltage deep discharge</t>
  </si>
  <si>
    <t>HREG_2004.11</t>
  </si>
  <si>
    <t>CNT_0001_Env_[n]_low_battery_voltage_deep_discharge</t>
  </si>
  <si>
    <t>Env [n] battery current error</t>
  </si>
  <si>
    <t>HREG_2004.16</t>
  </si>
  <si>
    <t>CNT_0001_Env_[n]_battery_current_error</t>
  </si>
  <si>
    <t>Env [n] excessive battery current warning</t>
  </si>
  <si>
    <t>HREG_2004.17</t>
  </si>
  <si>
    <t>CNT_0001_Env_[n]_excessive_battery_current_warning</t>
  </si>
  <si>
    <t>Env [n] excessive battery current critical</t>
  </si>
  <si>
    <t>HREG_2004.18</t>
  </si>
  <si>
    <t>CNT_0001_Env_[n]_excessive_battery_current_critical</t>
  </si>
  <si>
    <t>Env [n] charging alarms register</t>
  </si>
  <si>
    <t>HREG_2006</t>
  </si>
  <si>
    <t>CNT_0002_Env_[n]_charging_alarms_register</t>
  </si>
  <si>
    <t>Env [n] input voltage error</t>
  </si>
  <si>
    <t>HREG_2006.0</t>
  </si>
  <si>
    <t>CNT_0002_Env_[n]_input_voltage_error</t>
  </si>
  <si>
    <t>Env [n] rpu enabled</t>
  </si>
  <si>
    <t>HREG_2006.1</t>
  </si>
  <si>
    <t>CNT_0002_Env_[n]_rpu_enabled</t>
  </si>
  <si>
    <t>Env [n] input current error</t>
  </si>
  <si>
    <t>HREG_2006.8</t>
  </si>
  <si>
    <t>CNT_0002_Env_[n]_input_current_error</t>
  </si>
  <si>
    <t>Env [n] excessive input current</t>
  </si>
  <si>
    <t>HREG_2006.9</t>
  </si>
  <si>
    <t>CNT_0002_Env_[n]_excessive_input_current</t>
  </si>
  <si>
    <t>Env [n] load current error</t>
  </si>
  <si>
    <t>HREG_2006.16</t>
  </si>
  <si>
    <t>CNT_0002_Env_[n]_load_current_error</t>
  </si>
  <si>
    <t>Env [n] excessive load current warning</t>
  </si>
  <si>
    <t>HREG_2006.17</t>
  </si>
  <si>
    <t>CNT_0002_Env_[n]_excessive_load_current_warning</t>
  </si>
  <si>
    <t>Env [n] excessive load current</t>
  </si>
  <si>
    <t>HREG_2006.18</t>
  </si>
  <si>
    <t>CNT_0002_Env_[n]_excessive_load_current</t>
  </si>
  <si>
    <t>Env [n] GHI alarms register</t>
  </si>
  <si>
    <t>HREG_2018</t>
  </si>
  <si>
    <t>CNT_0003_Env_[n]_GHI_alarms_register</t>
  </si>
  <si>
    <t>Env [n] GHI irradiance error</t>
  </si>
  <si>
    <t>HREG_2018.0</t>
  </si>
  <si>
    <t>CNT_0003_Env_[n]_GHI_irradiance_error</t>
  </si>
  <si>
    <t>Env [n] GHI irradiance negative</t>
  </si>
  <si>
    <t>HREG_2018.1</t>
  </si>
  <si>
    <t>CNT_0003_Env_[n]_GHI_irradiance_negative</t>
  </si>
  <si>
    <t>Env [n] GHI irradiance above solar constant</t>
  </si>
  <si>
    <t>HREG_2018.2</t>
  </si>
  <si>
    <t>CNT_0003_Env_[n]_GHI_irradiance_above_solar_constant</t>
  </si>
  <si>
    <t>Env [n] GHI temperature corrected irradiance error</t>
  </si>
  <si>
    <t>HREG_2018.8</t>
  </si>
  <si>
    <t>CNT_0003_Env_[n]_GHI_temperature_corrected_irradiance_error</t>
  </si>
  <si>
    <t>Env [n] GHI temperature corrected irradiance negative</t>
  </si>
  <si>
    <t>HREG_2018.9</t>
  </si>
  <si>
    <t>CNT_0003_Env_[n]_GHI_temperature_corrected_irradiance_negative</t>
  </si>
  <si>
    <t>Env [n] GHI temperature corrected irradiance above solar constant</t>
  </si>
  <si>
    <t>HREG_2018.10</t>
  </si>
  <si>
    <t>CNT_0003_Env_[n]_GHI_temperature_corrected_irradiance_above_solar_constant</t>
  </si>
  <si>
    <t>Env [n] GHI case temperature error</t>
  </si>
  <si>
    <t>HREG_2018.16</t>
  </si>
  <si>
    <t>CNT_0003_Env_[n]_GHI_case_temperature_error</t>
  </si>
  <si>
    <t>Env [n] GHI case temperature below operating range</t>
  </si>
  <si>
    <t>HREG_2018.17</t>
  </si>
  <si>
    <t>CNT_0003_Env_[n]_GHI_case_temperature_below_operating_range</t>
  </si>
  <si>
    <t>Env [n] GHI case temperature above operating range</t>
  </si>
  <si>
    <t>HREG_2018.18</t>
  </si>
  <si>
    <t>CNT_0003_Env_[n]_GHI_case_temperature_above_operating_range</t>
  </si>
  <si>
    <t>Env [n] GHI irradiance insufficient activity</t>
  </si>
  <si>
    <t>CNT_0003_Env_[n]_GHI_irradiance_insufficient_activity</t>
  </si>
  <si>
    <t>Env [n] POA alarms register</t>
  </si>
  <si>
    <t>HREG_2020</t>
  </si>
  <si>
    <t>CNT_0004_Env_[n]_POA_alarms_register</t>
  </si>
  <si>
    <t>Env [n] POA irradiance error</t>
  </si>
  <si>
    <t>HREG_2020.0</t>
  </si>
  <si>
    <t>CNT_0003_Env_[n]_POA_irradiance_error</t>
  </si>
  <si>
    <t>Env [n] POA irradiance negative</t>
  </si>
  <si>
    <t>HREG_2020.1</t>
  </si>
  <si>
    <t>CNT_0003_Env_[n]_POA_irradiance_negative</t>
  </si>
  <si>
    <t>Env [n] POA irradiance above solar constant</t>
  </si>
  <si>
    <t>HREG_2020.2</t>
  </si>
  <si>
    <t>CNT_0003_Env_[n]_POA_irradiance_above_solar_constant</t>
  </si>
  <si>
    <t>Env [n] POA temperature corrected irradiance error</t>
  </si>
  <si>
    <t>HREG_2020.8</t>
  </si>
  <si>
    <t>CNT_0003_Env_[n]_POA_temperature_corrected_irradiance_error</t>
  </si>
  <si>
    <t>Env [n] POA temperature corrected irradiance negative</t>
  </si>
  <si>
    <t>HREG_2020.9</t>
  </si>
  <si>
    <t>CNT_0003_Env_[n]_POA_temperature_corrected_irradiance_negative</t>
  </si>
  <si>
    <t>Env [n] POA temperature corrected irradiance above solar constant</t>
  </si>
  <si>
    <t>HREG_2020.10</t>
  </si>
  <si>
    <t>CNT_0003_Env_[n]_POA_temperature_corrected_irradiance_above_solar_constant</t>
  </si>
  <si>
    <t>Env [n] POA case temperature error</t>
  </si>
  <si>
    <t>HREG_2020.16</t>
  </si>
  <si>
    <t>CNT_0003_Env_[n]_POA_case_temperature_error</t>
  </si>
  <si>
    <t>Env [n] POA case temperature below operating range</t>
  </si>
  <si>
    <t>HREG_2020.17</t>
  </si>
  <si>
    <t>CNT_0003_Env_[n]_POA_case_temperature_below_operating_range</t>
  </si>
  <si>
    <t>Env [n] POA case temperature above operating range</t>
  </si>
  <si>
    <t>HREG_2020.18</t>
  </si>
  <si>
    <t>CNT_0003_Env_[n]_POA_case_temperature_above_operating_range</t>
  </si>
  <si>
    <t>Env [n] POA irradiance insufficient activity</t>
  </si>
  <si>
    <t>CNT_0003_Env_[n]_POA_irradiance_insufficient_activity</t>
  </si>
  <si>
    <t>Env [n] multifunction alarms register</t>
  </si>
  <si>
    <t>HREG_2038</t>
  </si>
  <si>
    <t>CNT_0005_Env_[n]_multifunction_alarms_register</t>
  </si>
  <si>
    <t>Env [n] ambient temperature error</t>
  </si>
  <si>
    <t>HREG_2038.0</t>
  </si>
  <si>
    <t>CNT_0004_Env_[n]_ambient_temperature_error</t>
  </si>
  <si>
    <t>Env [n] ambient temperature below operating range</t>
  </si>
  <si>
    <t>HREG_2038.1</t>
  </si>
  <si>
    <t>CNT_0004_Env_[n]_ambient_temperature_below_operating_range</t>
  </si>
  <si>
    <t>Env [n] ambient temperature above operating range</t>
  </si>
  <si>
    <t>HREG_2038.2</t>
  </si>
  <si>
    <t>CNT_0004_Env_[n]_ambient_temperature_above_operating_range</t>
  </si>
  <si>
    <t>Env [n] dew point error</t>
  </si>
  <si>
    <t>HREG_2038.3</t>
  </si>
  <si>
    <t>CNT_0004_Env_[n]_dew_point_error</t>
  </si>
  <si>
    <t>Env [n] dew point above ambient temperature</t>
  </si>
  <si>
    <t>HREG_2038.4</t>
  </si>
  <si>
    <t>CNT_0004_Env_[n]_dew_point_above_ambient_temperature</t>
  </si>
  <si>
    <t>Env [n] condensation warning</t>
  </si>
  <si>
    <t>HREG_2038.5</t>
  </si>
  <si>
    <t>CNT_0004_Env_[n]_condensation_warning</t>
  </si>
  <si>
    <t>Env [n] relative humidity error</t>
  </si>
  <si>
    <t>HREG_2038.8</t>
  </si>
  <si>
    <t>CNT_0004_Env_[n]_relative_humidity_error</t>
  </si>
  <si>
    <t>Env [n] relative humidity below operating range</t>
  </si>
  <si>
    <t>HREG_2038.9</t>
  </si>
  <si>
    <t>CNT_0004_Env_[n]_relative_humidity_below_operating_range</t>
  </si>
  <si>
    <t>Env [n] relative humidity above operating range</t>
  </si>
  <si>
    <t>HREG_2038.10</t>
  </si>
  <si>
    <t>CNT_0004_Env_[n]_relative_humidity_above_operating_range</t>
  </si>
  <si>
    <t>Env [n] absolute barometric pressure error</t>
  </si>
  <si>
    <t>HREG_2038.16</t>
  </si>
  <si>
    <t>CNT_0004_Env_[n]_absolute_barometric_pressure_error</t>
  </si>
  <si>
    <t>Env [n] absolute barometric pressure below operating range</t>
  </si>
  <si>
    <t>HREG_2038.17</t>
  </si>
  <si>
    <t>CNT_0004_Env_[n]_absolute_barometric_pressure_below_operating_range</t>
  </si>
  <si>
    <t>Env [n] absolute barometric pressure above operating range</t>
  </si>
  <si>
    <t>HREG_2038.18</t>
  </si>
  <si>
    <t>CNT_0004_Env_[n]_absolute_barometric_pressure_above_operating_range</t>
  </si>
  <si>
    <t>Env [n] sea level barometric pressure error</t>
  </si>
  <si>
    <t>HREG_2038.24</t>
  </si>
  <si>
    <t>CNT_0004_Env_[n]_sea_level_barometric_pressure_error</t>
  </si>
  <si>
    <t>Env [n] sea level barometric pressure below operating range</t>
  </si>
  <si>
    <t>HREG_2038.25</t>
  </si>
  <si>
    <t>CNT_0004_Env_[n]_sea_level_barometric_pressure_below_operating_range</t>
  </si>
  <si>
    <t>Env [n] sea level barometric pressure above operating range</t>
  </si>
  <si>
    <t>HREG_2038.26</t>
  </si>
  <si>
    <t>CNT_0004_Env_[n]_sea_level_barometric_pressure_above_operating_range</t>
  </si>
  <si>
    <t>Env [n] wind alarms register</t>
  </si>
  <si>
    <t>HREG_2040</t>
  </si>
  <si>
    <t>CNT_0006_Env_[n]_wind_alarms_register</t>
  </si>
  <si>
    <t>Env [n] wind speed error</t>
  </si>
  <si>
    <t>HREG_2040.0</t>
  </si>
  <si>
    <t>CNT_0005_Env_[n]_wind_speed_error</t>
  </si>
  <si>
    <t>Env [n] wind speed below operating range</t>
  </si>
  <si>
    <t>HREG_2040.1</t>
  </si>
  <si>
    <t>CNT_0005_Env_[n]_wind_speed_below_operating_range</t>
  </si>
  <si>
    <t>Env [n] wind speed above operating range</t>
  </si>
  <si>
    <t>HREG_2040.2</t>
  </si>
  <si>
    <t>CNT_0005_Env_[n]_wind_speed_above_operating_range</t>
  </si>
  <si>
    <t>Env [n] wind speed unable to execute measurement due to ambient conditions</t>
  </si>
  <si>
    <t>HREG_2040.3</t>
  </si>
  <si>
    <t>CNT_0005_Env_[n]_wind_speed_unable_to_execute_measurement_due_to_ambient_conditions</t>
  </si>
  <si>
    <t>Env [n] wind speed quality warning</t>
  </si>
  <si>
    <t>HREG_2040.4</t>
  </si>
  <si>
    <t>CNT_0005_Env_[n]_wind_speed_quality_warning</t>
  </si>
  <si>
    <t>Env [n] wind speed quality error</t>
  </si>
  <si>
    <t>HREG_2040.5</t>
  </si>
  <si>
    <t>CNT_0005_Env_[n]_wind_speed_quality_error</t>
  </si>
  <si>
    <t>Env [n] wind speed max error</t>
  </si>
  <si>
    <t>HREG_2040.8</t>
  </si>
  <si>
    <t>CNT_0005_Env_[n]_wind_speed_max_error</t>
  </si>
  <si>
    <t>Env [n] wind speed max below operating range</t>
  </si>
  <si>
    <t>HREG_2040.9</t>
  </si>
  <si>
    <t>CNT_0005_Env_[n]_wind_speed_max_below_operating_range</t>
  </si>
  <si>
    <t>Env [n] wind speed max above operating range</t>
  </si>
  <si>
    <t>HREG_2040.10</t>
  </si>
  <si>
    <t>CNT_0005_Env_[n]_wind_speed_max_above_operating_range</t>
  </si>
  <si>
    <t>Env [n] wind direction error</t>
  </si>
  <si>
    <t>HREG_2040.16</t>
  </si>
  <si>
    <t>CNT_0005_Env_[n]_wind_direction_error</t>
  </si>
  <si>
    <t>Env [n] wind direction below operating range</t>
  </si>
  <si>
    <t>HREG_2040.17</t>
  </si>
  <si>
    <t>CNT_0005_Env_[n]_wind_direction_below_operating_range</t>
  </si>
  <si>
    <t>Env [n] wind direction above operating range</t>
  </si>
  <si>
    <t>HREG_2040.18</t>
  </si>
  <si>
    <t>CNT_0005_Env_[n]_wind_direction_above_operating_range</t>
  </si>
  <si>
    <t>Env [n] compass error</t>
  </si>
  <si>
    <t>HREG_2040.24</t>
  </si>
  <si>
    <t>CNT_0005_Env_[n]_compass_error</t>
  </si>
  <si>
    <t>Env [n] compass below operating range</t>
  </si>
  <si>
    <t>HREG_2040.25</t>
  </si>
  <si>
    <t>CNT_0005_Env_[n]_compass_below_operating_range</t>
  </si>
  <si>
    <t>Env [n] compass above operating range</t>
  </si>
  <si>
    <t>HREG_2040.26</t>
  </si>
  <si>
    <t>CNT_0005_Env_[n]_compass_above_operating_range</t>
  </si>
  <si>
    <t>Env [n] wind speed insufficient activity</t>
  </si>
  <si>
    <t>CNT_0005_Env_[n]_wind_speed_insufficient_activity</t>
  </si>
  <si>
    <t>Env [n] rain alarms regsiter</t>
  </si>
  <si>
    <t>HREG_2042</t>
  </si>
  <si>
    <t>CNT_0007_Env_[n]_rain_alarms_regsiter</t>
  </si>
  <si>
    <t>Env [n] rain total error</t>
  </si>
  <si>
    <t>HREG_2042.0</t>
  </si>
  <si>
    <t>CNT_0006_Env_[n]_rain_total_error</t>
  </si>
  <si>
    <t>Env [n] rain total negative</t>
  </si>
  <si>
    <t>HREG_2042.1</t>
  </si>
  <si>
    <t>CNT_0006_Env_[n]_rain_total_negative</t>
  </si>
  <si>
    <t>Env [n] rain total above operating range</t>
  </si>
  <si>
    <t>HREG_2042.2</t>
  </si>
  <si>
    <t>CNT_0006_Env_[n]_rain_total_above_operating_range</t>
  </si>
  <si>
    <t>Env [n] rain intensity error</t>
  </si>
  <si>
    <t>HREG_2042.8</t>
  </si>
  <si>
    <t>CNT_0006_Env_[n]_rain_intensity_error</t>
  </si>
  <si>
    <t>Env [n] rain intensity negative</t>
  </si>
  <si>
    <t>HREG_2042.9</t>
  </si>
  <si>
    <t>CNT_0006_Env_[n]_rain_intensity_negative</t>
  </si>
  <si>
    <t>Env [n] rain intensity above operating range</t>
  </si>
  <si>
    <t>HREG_2042.10</t>
  </si>
  <si>
    <t>CNT_0006_Env_[n]_rain_intensity_above_operating_range</t>
  </si>
  <si>
    <t>Env [n] rain today error</t>
  </si>
  <si>
    <t>HREG_2042.16</t>
  </si>
  <si>
    <t>CNT_0006_Env_[n]_rain_today_error</t>
  </si>
  <si>
    <t>Env [n] rain today is negative</t>
  </si>
  <si>
    <t>HREG_2042.17</t>
  </si>
  <si>
    <t>CNT_0006_Env_[n]_rain_today_is_negative</t>
  </si>
  <si>
    <t>Env [n] rain today above operating range</t>
  </si>
  <si>
    <t>HREG_2042.18</t>
  </si>
  <si>
    <t>CNT_0006_Env_[n]_rain_today_above_operating_range</t>
  </si>
  <si>
    <t>Env [n] BOM alarm register</t>
  </si>
  <si>
    <t>CNT_0008_Env_[n]_BOM_alarm_register</t>
  </si>
  <si>
    <t>Env [n] BOM 1 temperature error</t>
  </si>
  <si>
    <t>CNT_0007_Env_[n]_BOM_1_temperature_error</t>
  </si>
  <si>
    <t>Env [n] BOM 1 temperature below operating range</t>
  </si>
  <si>
    <t>CNT_0007_Env_[n]_BOM_1_temperature_below_operating_range</t>
  </si>
  <si>
    <t>Env [n] BOM 1 temperature above operating range</t>
  </si>
  <si>
    <t>CNT_0007_Env_[n]_BOM_1_temperature_above_operating_range</t>
  </si>
  <si>
    <t>Env [n] BOM 2 temperature error</t>
  </si>
  <si>
    <t>CNT_0007_Env_[n]_BOM_2_temperature_error</t>
  </si>
  <si>
    <t>Env [n] BOM 2 temperature below operating range</t>
  </si>
  <si>
    <t>CNT_0007_Env_[n]_BOM_2_temperature_below_operating_range</t>
  </si>
  <si>
    <t>Env [n] BOM 2 temperature above operating range</t>
  </si>
  <si>
    <t>CNT_0007_Env_[n]_BOM_2_temperature_above_operating_range</t>
  </si>
  <si>
    <t>Env [n] BOM 3 temperature error</t>
  </si>
  <si>
    <t>CNT_0007_Env_[n]_BOM_3_temperature_error</t>
  </si>
  <si>
    <t>Env [n] BOM 3 temperature below operating range</t>
  </si>
  <si>
    <t>CNT_0007_Env_[n]_BOM_3_temperature_below_operating_range</t>
  </si>
  <si>
    <t>Env [n] BOM 3 temperature above operating range</t>
  </si>
  <si>
    <t>CNT_0007_Env_[n]_BOM_3_temperature_above_operating_range</t>
  </si>
  <si>
    <t>Env [n] summary alarm</t>
  </si>
  <si>
    <t>HREG_2000</t>
  </si>
  <si>
    <t>BI_0000_Env_[n]_summary_alarm</t>
  </si>
  <si>
    <t>Env [n] maintenance button pressed</t>
  </si>
  <si>
    <t>HREG_0026</t>
  </si>
  <si>
    <t>BI_0001_Env_[n]_maintenance_button_pressed</t>
  </si>
  <si>
    <t>Env [n] pyranometer heat status</t>
  </si>
  <si>
    <t>HREG_0022</t>
  </si>
  <si>
    <t>BI_0002_Env_[n]_pyranometer_heat_status</t>
  </si>
  <si>
    <t>Env [n] communication failure alarm</t>
  </si>
  <si>
    <t>BI_0003_Env_[n]_communication_failure_alarm</t>
  </si>
  <si>
    <t>Env [p] POA irradiance error</t>
  </si>
  <si>
    <t>BI_0004_Env_[p]_POA_irradiance_error</t>
  </si>
  <si>
    <t>Env [p] POA irradiance negative</t>
  </si>
  <si>
    <t>BI_0005_Env_[p]_POA_irradiance_negative</t>
  </si>
  <si>
    <t>Env [p] POA irradiance above solar constant</t>
  </si>
  <si>
    <t>BI_0006_Env_[p]_POA_irradiance_above_solar_constant</t>
  </si>
  <si>
    <t>Env [p] POA temperature corrected irradiance error</t>
  </si>
  <si>
    <t>BI_0007_Env_[p]_POA_temperature_corrected_irradiance_error</t>
  </si>
  <si>
    <t>Env [p] POA temperature corrected irradiance negative</t>
  </si>
  <si>
    <t>BI_0008_Env_[p]_POA_temperature_corrected_irradiance_negative</t>
  </si>
  <si>
    <t>Env [p] POA temperature corrected irradiance above solar constant</t>
  </si>
  <si>
    <t>BI_0009_Env_[p]_POA_temperature_corrected_irradiance_above_solar_constant</t>
  </si>
  <si>
    <t>Env [p] POA case temperature error</t>
  </si>
  <si>
    <t>BI_0010_Env_[p]_POA_case_temperature_error</t>
  </si>
  <si>
    <t>Env [p] POA case temperature below operating range</t>
  </si>
  <si>
    <t>BI_0011_Env_[p]_POA_case_temperature_below_operating_range</t>
  </si>
  <si>
    <t>Env [p] POA case temperature above operating range</t>
  </si>
  <si>
    <t>BI_0012_Env_[p]_POA_case_temperature_above_operating_range</t>
  </si>
  <si>
    <t>Env [p] POA irradiance insufficient activity</t>
  </si>
  <si>
    <t>BI_0013_Env_[p]_POA_irradiance_insufficient_activity</t>
  </si>
  <si>
    <t>Env [p] communication failure alarm</t>
  </si>
  <si>
    <t>BI_0014_Env_[p]_communication_failure_alarm</t>
  </si>
  <si>
    <t>Env [s] soiling ratio out of range</t>
  </si>
  <si>
    <t>BI_0015_Env_[s]_soiling_ratio_out_of_range</t>
  </si>
  <si>
    <t>Env [s] heavy soiling alarm</t>
  </si>
  <si>
    <t>BI_0016_Env_[s]_heavy_soiling_alarm</t>
  </si>
  <si>
    <t>Soiling ratio below 0.93</t>
  </si>
  <si>
    <t>Env [s] extremely heavy soiling alarm</t>
  </si>
  <si>
    <t>BI_0017_Env_[s]_extremely_heavy_soiling_alarm</t>
  </si>
  <si>
    <t>Soiling ratio below 0.87</t>
  </si>
  <si>
    <t>Env [s] soiling ratio insufficient activity</t>
  </si>
  <si>
    <t>BI_0018_Env_[s]_soiling_ratio_insufficient_activity</t>
  </si>
  <si>
    <t>Env [s] clean panel BOM temperature error</t>
  </si>
  <si>
    <t>BI_0019_Env_[s]_clean_panel_BOM_temperature_error</t>
  </si>
  <si>
    <t>Env [s] clean panel BOM temperature below operating range</t>
  </si>
  <si>
    <t>BI_0020_Env_[s]_clean_panel_BOM_temperature_below_operating_range</t>
  </si>
  <si>
    <t>Env [s] clean panel BOM temperature above operating range</t>
  </si>
  <si>
    <t>BI_0021_Env_[s]_clean_panel_BOM_temperature_above_operating_range</t>
  </si>
  <si>
    <t>Env [s] soiled panel BOM temperature error</t>
  </si>
  <si>
    <t>BI_0022_Env_[s]_soiled_panel_BOM_temperature_error</t>
  </si>
  <si>
    <t>Env [s] soiled panel BOM temperature below operating range</t>
  </si>
  <si>
    <t>BI_0023_Env_[s]_soiled_panel_BOM_temperature_below_operating_range</t>
  </si>
  <si>
    <t>Env [s] soiled panel BOM temperature above operating range</t>
  </si>
  <si>
    <t>BI_0024_Env_[s]_soiled_panel_BOM_temperature_above_operating_range</t>
  </si>
  <si>
    <t>Env [s] BOM temperature difference too great</t>
  </si>
  <si>
    <t>BI_0025_Env_[s]_BOM_temperature_difference_too_great</t>
  </si>
  <si>
    <t>Env [s] clean panel ISC out of range</t>
  </si>
  <si>
    <t>BI_0026_Env_[s]_clean_panel_ISC_out_of_range</t>
  </si>
  <si>
    <t>Env [s] soiled panel ISC out of range</t>
  </si>
  <si>
    <t>BI_0027_Env_[s]_soiled_panel_ISC_out_of_range</t>
  </si>
  <si>
    <t>Env [s] ISC difference too great</t>
  </si>
  <si>
    <t>BI_0028_Env_[s]_ISC_difference_too_great</t>
  </si>
  <si>
    <t>Env [s] data logger watchdog error</t>
  </si>
  <si>
    <t>BI_0029_Env_[s]_data_logger_watchdog_error</t>
  </si>
  <si>
    <t>Env [s] data logger skipped main scan</t>
  </si>
  <si>
    <t>BI_0030_Env_[s]_data_logger_skipped_main_scan</t>
  </si>
  <si>
    <t>Env [s] data logger skipped slow scan</t>
  </si>
  <si>
    <t>BI_0031_Env_[s]_data_logger_skipped_slow_scan</t>
  </si>
  <si>
    <t>Env [s] data logger program variable out of bounds</t>
  </si>
  <si>
    <t>BI_0032_Env_[s]_data_logger_program_variable_out_of_bounds</t>
  </si>
  <si>
    <t>Env [s] data logger low 12V</t>
  </si>
  <si>
    <t>BI_0033_Env_[s]_data_logger_low_12V</t>
  </si>
  <si>
    <t>Env [s] data logger low 5V</t>
  </si>
  <si>
    <t>BI_0034_Env_[s]_data_logger_low_5V</t>
  </si>
  <si>
    <t>Env [s] data logger lithium battery error</t>
  </si>
  <si>
    <t>BI_0035_Env_[s]_data_logger_lithium_battery_error</t>
  </si>
  <si>
    <t>Env [s] data logger lithium battery low</t>
  </si>
  <si>
    <t>BI_0036_Env_[s]_data_logger_lithium_battery_low</t>
  </si>
  <si>
    <t>Env [s] data logger lithium battery critical</t>
  </si>
  <si>
    <t>BI_0037_Env_[s]_data_logger_lithium_battery_critical</t>
  </si>
  <si>
    <t>Env [s] data logger voltage error</t>
  </si>
  <si>
    <t>BI_0038_Env_[s]_data_logger_voltage_error</t>
  </si>
  <si>
    <t>Env [s] data logger low voltage warning</t>
  </si>
  <si>
    <t>BI_0039_Env_[s]_data_logger_low_voltage_warning</t>
  </si>
  <si>
    <t>Env [s] data logger low voltage</t>
  </si>
  <si>
    <t>BI_0040_Env_[s]_data_logger_low_voltage</t>
  </si>
  <si>
    <t>Env [s] data logger over voltage</t>
  </si>
  <si>
    <t>BI_0041_Env_[s]_data_logger_over_voltage</t>
  </si>
  <si>
    <t>Env [s] data logger temperature error</t>
  </si>
  <si>
    <t>BI_0042_Env_[s]_data_logger_temperature_error</t>
  </si>
  <si>
    <t>Env [s] data logger temperature below operating range</t>
  </si>
  <si>
    <t>BI_0043_Env_[s]_data_logger_temperature_below_operating_range</t>
  </si>
  <si>
    <t>Env [s] data logger temperature above operating range</t>
  </si>
  <si>
    <t>BI_0044_Env_[s]_data_logger_temperature_above_operating_range</t>
  </si>
  <si>
    <t>Env [s] communication failure alarm</t>
  </si>
  <si>
    <t>BI_0045_Env_[s]_communication_failure_alarm</t>
  </si>
  <si>
    <t>Env [a] GHI irradiance error</t>
  </si>
  <si>
    <t>BI_0046_Env_[a]_GHI_irradiance_error</t>
  </si>
  <si>
    <t>Env [a] GHI irradiance negative</t>
  </si>
  <si>
    <t>BI_0047_Env_[a]_GHI_irradiance_negative</t>
  </si>
  <si>
    <t>Env [a] GHI irradiance above solar constant</t>
  </si>
  <si>
    <t>BI_0048_Env_[a]_GHI_irradiance_above_solar_constant</t>
  </si>
  <si>
    <t>Env [a] GHI irradiance insufficient activity</t>
  </si>
  <si>
    <t>BI_0049_Env_[a]_GHI_irradiance_insufficient_activity</t>
  </si>
  <si>
    <t>Env [a] RHI irradiance error</t>
  </si>
  <si>
    <t>BI_0050_Env_[a]_RHI_irradiance_error</t>
  </si>
  <si>
    <t>Env [a] RHI irradiance negative</t>
  </si>
  <si>
    <t>BI_0051_Env_[a]_RHI_irradiance_negative</t>
  </si>
  <si>
    <t>Env [a] RHI irradiance above solar constant</t>
  </si>
  <si>
    <t>BI_0052_Env_[a]_RHI_irradiance_above_solar_constant</t>
  </si>
  <si>
    <t>Env [a] RHI irradiance insufficient activity</t>
  </si>
  <si>
    <t>BI_0053_Env_[a]_RHI_irradiance_insufficient_activity</t>
  </si>
  <si>
    <t>Env [a] GHI case temperature error</t>
  </si>
  <si>
    <t>BI_0054_Env_[a]_GHI_case_temperature_error</t>
  </si>
  <si>
    <t>Env [a] GHI case temperature below operating range</t>
  </si>
  <si>
    <t>BI_0055_Env_[a]_GHI_case_temperature_below_operating_range</t>
  </si>
  <si>
    <t>Env [a] GHI case temperature above operating range</t>
  </si>
  <si>
    <t>BI_0056_Env_[a]_GHI_case_temperature_above_operating_range</t>
  </si>
  <si>
    <t>Env [a] RHI case temperature error</t>
  </si>
  <si>
    <t>BI_0057_Env_[a]_RHI_case_temperature_error</t>
  </si>
  <si>
    <t>Env [a] RHI case temperature below operating range</t>
  </si>
  <si>
    <t>BI_0058_Env_[a]_RHI_case_temperature_below_operating_range</t>
  </si>
  <si>
    <t>Env [a] RHI case temperature above operating range</t>
  </si>
  <si>
    <t>BI_0059_Env_[a]_RHI_case_temperature_above_operating_range</t>
  </si>
  <si>
    <t>Env [a] albedo out of range</t>
  </si>
  <si>
    <t>BI_0060_Env_[a]_albedo_out_of_range</t>
  </si>
  <si>
    <t>Env [a] data logger watchdog error</t>
  </si>
  <si>
    <t>BI_0061_Env_[a]_data_logger_watchdog_error</t>
  </si>
  <si>
    <t>Env [a] data logger skipped main scan</t>
  </si>
  <si>
    <t>BI_0062_Env_[a]_data_logger_skipped_main_scan</t>
  </si>
  <si>
    <t>Env [a] data logger skipped slow scan</t>
  </si>
  <si>
    <t>BI_0063_Env_[a]_data_logger_skipped_slow_scan</t>
  </si>
  <si>
    <t>Env [a] data logger program variable out of bounds</t>
  </si>
  <si>
    <t>BI_0064_Env_[a]_data_logger_program_variable_out_of_bounds</t>
  </si>
  <si>
    <t>Env [a] data logger low 12V</t>
  </si>
  <si>
    <t>BI_0065_Env_[a]_data_logger_low_12V</t>
  </si>
  <si>
    <t>Env [a] data logger low 5V</t>
  </si>
  <si>
    <t>BI_0066_Env_[a]_data_logger_low_5V</t>
  </si>
  <si>
    <t>Env [a] data logger lithium battery error</t>
  </si>
  <si>
    <t>BI_0067_Env_[a]_data_logger_lithium_battery_error</t>
  </si>
  <si>
    <t>Env [a] data logger lithium battery low</t>
  </si>
  <si>
    <t>BI_0068_Env_[a]_data_logger_lithium_battery_low</t>
  </si>
  <si>
    <t>Env [a] data logger lithium battery critical</t>
  </si>
  <si>
    <t>BI_0069_Env_[a]_data_logger_lithium_battery_critical</t>
  </si>
  <si>
    <t>Env [a] data logger voltage error</t>
  </si>
  <si>
    <t>BI_0070_Env_[a]_data_logger_voltage_error</t>
  </si>
  <si>
    <t>Env [a] data logger low voltage warning</t>
  </si>
  <si>
    <t>BI_0071_Env_[a]_data_logger_low_voltage_warning</t>
  </si>
  <si>
    <t>Env [a] data logger low voltage</t>
  </si>
  <si>
    <t>BI_0072_Env_[a]_data_logger_low_voltage</t>
  </si>
  <si>
    <t>Env [a] data logger over voltage</t>
  </si>
  <si>
    <t>BI_0073_Env_[a]_data_logger_over_voltage</t>
  </si>
  <si>
    <t>Env [a] data logger temperature error</t>
  </si>
  <si>
    <t>BI_0074_Env_[a]_data_logger_temperature_error</t>
  </si>
  <si>
    <t>Env [a] data logger temperature below operating range</t>
  </si>
  <si>
    <t>BI_0075_Env_[a]_data_logger_temperature_below_operating_range</t>
  </si>
  <si>
    <t>Env [a] data logger temperature above operating range</t>
  </si>
  <si>
    <t>BI_0076_Env_[a]_data_logger_temperature_above_operating_range</t>
  </si>
  <si>
    <t>Env [a] communication failure alarm</t>
  </si>
  <si>
    <t>BI_0077_Env_[a]_communication_failure_alarm</t>
  </si>
  <si>
    <t>PPC to Ignition - PPC</t>
  </si>
  <si>
    <t>Ignt TagPath
Prefix: [MidcontinentSolar]PPC/</t>
  </si>
  <si>
    <t>Plant status</t>
  </si>
  <si>
    <t>AI_0000_Plant_status_enumeration</t>
  </si>
  <si>
    <t>0 thru 9</t>
  </si>
  <si>
    <t>Status/PlantStatusCode
Status/PlantStatus_string</t>
  </si>
  <si>
    <t>Active power mode feedback</t>
  </si>
  <si>
    <t>AI_0001_Active_power_mode_feedback_enumeration</t>
  </si>
  <si>
    <t>Control/ActivePower/ModeFeedbackCode
Control/ActivePower/ModeFeedback_string</t>
  </si>
  <si>
    <t>Active power setpoint feedback</t>
  </si>
  <si>
    <t>MW</t>
  </si>
  <si>
    <t>AI_0002_Active_power_setpoint_feedback_MW</t>
  </si>
  <si>
    <t>Reactive power mode feedback</t>
  </si>
  <si>
    <t>AI_0003_Reactive_power_mode_feedback_enumeration</t>
  </si>
  <si>
    <t>0 thru 3</t>
  </si>
  <si>
    <t>Voltage regulation setpoint feedback</t>
  </si>
  <si>
    <t>AI_0004_Voltage_regulation_setpoint_feedback_kV</t>
  </si>
  <si>
    <t>Control/ReactivePower/VoltageRegulationSetpointFeedback</t>
  </si>
  <si>
    <t>Power factor regulation setpoint feedback</t>
  </si>
  <si>
    <t>AI_0005_Power_factor_regulation_setpoint_feedback_PU</t>
  </si>
  <si>
    <t>Control/ReactivePower/PFRegulationSetpointFeedback</t>
  </si>
  <si>
    <t>Var output regulation setpoint feedback</t>
  </si>
  <si>
    <t>Mvar</t>
  </si>
  <si>
    <t>AI_0006_Var_output_regulation_setpoint_feedback_Mvar</t>
  </si>
  <si>
    <t>Control/ReactivePower/VarOutputRegulationSetpointFeedback</t>
  </si>
  <si>
    <t>Control command source feedback</t>
  </si>
  <si>
    <t>AI_0007_Control_command_source_feedback_enumeration</t>
  </si>
  <si>
    <t>Control/ControlCommandSourceFeedbackCode
Control/ControlCommandSourceFeedback_string</t>
  </si>
  <si>
    <t>Setpoint source feedback</t>
  </si>
  <si>
    <t>AI_0008_Setpoint_source_feedback_enumeration</t>
  </si>
  <si>
    <t>Control/SetpointSourceFeedbackCode
Control/SetpointSourceFeedback_string</t>
  </si>
  <si>
    <t>Generation output</t>
  </si>
  <si>
    <t>AI_0009_Generation_output_MW</t>
  </si>
  <si>
    <t>Metering/MWOut</t>
  </si>
  <si>
    <t>Reactive output</t>
  </si>
  <si>
    <t>AI_0010_Reactive_output_Mvar</t>
  </si>
  <si>
    <t>Metering/MvarOut</t>
  </si>
  <si>
    <t xml:space="preserve"> </t>
  </si>
  <si>
    <t>AI_0011_System_voltage_kV</t>
  </si>
  <si>
    <t>Metering/kVAverage</t>
  </si>
  <si>
    <t>AI_0012_Power_factor_PU</t>
  </si>
  <si>
    <t>Metering/PF</t>
  </si>
  <si>
    <t>AI_0013_Frequency_Hz</t>
  </si>
  <si>
    <t>Metering/Hz</t>
  </si>
  <si>
    <t>Maximum available generation output</t>
  </si>
  <si>
    <t>AI_0014_Maximum_available_generation_output_MW</t>
  </si>
  <si>
    <t>Projections/MWOut_MaxAvailable</t>
  </si>
  <si>
    <t>Maximum available reactive source</t>
  </si>
  <si>
    <t>AI_0015_Maximum_available_reactive_source_Mvar</t>
  </si>
  <si>
    <t>Projections/MvarSource_MaxAvailable</t>
  </si>
  <si>
    <t>Maximum available reactive sink</t>
  </si>
  <si>
    <t>AI_0016_Maximum_available_reactive_sink_Mvar</t>
  </si>
  <si>
    <t>Projections/MvarSink_MaxAvailable</t>
  </si>
  <si>
    <t>Site average insolation</t>
  </si>
  <si>
    <t>AI_0017_Site_average_insolation_W_per_m2</t>
  </si>
  <si>
    <t>Stats/SiteAvgInsolation</t>
  </si>
  <si>
    <t>Net energy generation today</t>
  </si>
  <si>
    <t>MWh</t>
  </si>
  <si>
    <t>AI_0018_Net_energy_generation_today_MWh</t>
  </si>
  <si>
    <t>Metering/Mwh_today</t>
  </si>
  <si>
    <t>Net energy generation yesterday</t>
  </si>
  <si>
    <t>AI_0019_Net_energy_generation_yesterday_MWh</t>
  </si>
  <si>
    <t>Metering/Mwh_yesterday</t>
  </si>
  <si>
    <t>Number of inverters online</t>
  </si>
  <si>
    <t>AI_0020_Number_of_inverters_online_count</t>
  </si>
  <si>
    <t>Stats/InvertersOnline</t>
  </si>
  <si>
    <t>Number of inverters available</t>
  </si>
  <si>
    <t>AI_0021_Spare</t>
  </si>
  <si>
    <t>Average BOM temperature</t>
  </si>
  <si>
    <t>AI_0022_Average_BOM_temperature_degC</t>
  </si>
  <si>
    <t>Average ambient temperature</t>
  </si>
  <si>
    <t>AI_0023_Average_ambient_temperature_degC</t>
  </si>
  <si>
    <t>Average wind speed</t>
  </si>
  <si>
    <t>AI_0024_Average_wind_speed_m_per_s</t>
  </si>
  <si>
    <t>Prevailing wind direction</t>
  </si>
  <si>
    <t>AI_0025_Prevailing_wind_direction_degrees</t>
  </si>
  <si>
    <t>Average GHI irradiance</t>
  </si>
  <si>
    <t>AI_0026_Average_GHI_irradiance_W_per_m2</t>
  </si>
  <si>
    <t>Average POA irradiance</t>
  </si>
  <si>
    <t>AI_0027_Average_POA_irradiance_W_per_m2</t>
  </si>
  <si>
    <t>Average relative humidity</t>
  </si>
  <si>
    <t>AI_0028_Average_relative_humidity_pct</t>
  </si>
  <si>
    <t>Average barometric pressure</t>
  </si>
  <si>
    <t>AI_0029_Average_barometric_pressure_mbar</t>
  </si>
  <si>
    <t>Average rain intensity</t>
  </si>
  <si>
    <t>AI_0030_Average_rain_intensity_mm_per_hr</t>
  </si>
  <si>
    <t>Active power ramp rate feedback</t>
  </si>
  <si>
    <t>kW/s</t>
  </si>
  <si>
    <t>AI_0031_Active_power_ramp_rate_feedback_kW_per_s</t>
  </si>
  <si>
    <t>Control/Active/RampRateFeedback</t>
  </si>
  <si>
    <t>Reactive power ramp rate feedback</t>
  </si>
  <si>
    <t>kvar/s</t>
  </si>
  <si>
    <t>AI_0032_Reactive_power_ramp_rate_feedback_kvar_per_s</t>
  </si>
  <si>
    <t>Control/Reactive/RampRateFeedback</t>
  </si>
  <si>
    <t>Grid curtailment setpoint (SPARE)</t>
  </si>
  <si>
    <t>AI_0033_Grid_curtailment_setpoint_(SPARE)_MW</t>
  </si>
  <si>
    <t>Active power mode</t>
  </si>
  <si>
    <t>AO_0000_Active_power_mode_enumeration</t>
  </si>
  <si>
    <t>Control/Active/ModeCommand</t>
  </si>
  <si>
    <t>Active power setpoint</t>
  </si>
  <si>
    <t>AO_0001_Active_power_setpoint_MW</t>
  </si>
  <si>
    <t>Control/Active/SetpointCommand</t>
  </si>
  <si>
    <t>AO_0002_Reactive_power_mode_enumeration</t>
  </si>
  <si>
    <t>Control/Reactive/ModeCommand</t>
  </si>
  <si>
    <t>Voltage regulation setpoint</t>
  </si>
  <si>
    <t>AO_0003_Voltage_regulation_setpoint_kV</t>
  </si>
  <si>
    <t>Control/Reactive/VoltageRegulationSetpointCommand</t>
  </si>
  <si>
    <t>Power factor regulation setpoint</t>
  </si>
  <si>
    <t>AO_0004_Power_factor_regulation_setpoint_PU</t>
  </si>
  <si>
    <t>Control/Reactive/PFRegulationSetpointCommand</t>
  </si>
  <si>
    <t>Var output regulation setpoint</t>
  </si>
  <si>
    <t>AO_0005_Var_output_regulation_setpoint_Mvar</t>
  </si>
  <si>
    <t>Control/Reactive/VarOutputRegulationSetpointCommand</t>
  </si>
  <si>
    <t>Control command source</t>
  </si>
  <si>
    <t>AO_0006_Control_command_source_enumeration</t>
  </si>
  <si>
    <t>Control/ControlCommandSourceCommand</t>
  </si>
  <si>
    <t>Setpoint source</t>
  </si>
  <si>
    <t>AO_0007_Setpoint_source_enumeration</t>
  </si>
  <si>
    <t>Control/SetpointSourceCommand</t>
  </si>
  <si>
    <t>Active power ramp rate</t>
  </si>
  <si>
    <t>AO_0008_Active_power_ramp_rate_kW_per_s</t>
  </si>
  <si>
    <t>Control/Active/RampRateCommand</t>
  </si>
  <si>
    <t>Reactive power ramp rate</t>
  </si>
  <si>
    <t>AO_0009_Reactive_power_ramp_rate_kvar_per_s</t>
  </si>
  <si>
    <t>Control/Reactive/RampRateCommand</t>
  </si>
  <si>
    <t>Primary meter communication alarm</t>
  </si>
  <si>
    <t>BI_0000_Primary_meter_communication_alarm</t>
  </si>
  <si>
    <t>Alarms/PrimaryMeterCommunicationAlarm</t>
  </si>
  <si>
    <t>Backup meter communication alarm</t>
  </si>
  <si>
    <t>BI_0001_Backup_meter_communication_alarm</t>
  </si>
  <si>
    <t>Alarms/BackupMeterCommunicationAlarm</t>
  </si>
  <si>
    <t>Backup meter in use for generation control</t>
  </si>
  <si>
    <t>BI_0002_Backup_meter_in_use_for_generation_control</t>
  </si>
  <si>
    <t>Alarms/BackupMeterInUseForGenerationControl</t>
  </si>
  <si>
    <t>Primary - backup meter disagreement alarm</t>
  </si>
  <si>
    <t>BI_0003_Primary___backup_meter_disagreement_alarm</t>
  </si>
  <si>
    <t>Alarms/MeterDisagreementAlarm</t>
  </si>
  <si>
    <t>Open loop operation alarm</t>
  </si>
  <si>
    <t>BI_0004_Open_loop_operation_alarm</t>
  </si>
  <si>
    <t>Alarms/OpenLoopOperationAlarm</t>
  </si>
  <si>
    <t>Night SVC enable feedback</t>
  </si>
  <si>
    <t>BI_0005_Night_SVC_enable_feedback</t>
  </si>
  <si>
    <t>Cap bank PPC control enable feedback</t>
  </si>
  <si>
    <t>BI_0006_Cap_bank_PPC_control_enable_feedback</t>
  </si>
  <si>
    <t>Cap bank in manual control</t>
  </si>
  <si>
    <t>BI_0007_Cap_bank_in_manual_control</t>
  </si>
  <si>
    <t>Cap bank position error</t>
  </si>
  <si>
    <t>BI_0008_Cap_bank_position_error</t>
  </si>
  <si>
    <t>Command source alarm</t>
  </si>
  <si>
    <t>BI_0009_Command_source_alarm</t>
  </si>
  <si>
    <t>Alarms/CommandSourceAlarm</t>
  </si>
  <si>
    <t>Invalid command value alarm</t>
  </si>
  <si>
    <t>BI_0010_Invalid_command_value_alarm</t>
  </si>
  <si>
    <t>Alarms/InvalidCommandValueAlarm</t>
  </si>
  <si>
    <t>Last setpoint source</t>
  </si>
  <si>
    <t>Interface</t>
  </si>
  <si>
    <t>HMI</t>
  </si>
  <si>
    <t>BI_0011_Last_setpoint_source</t>
  </si>
  <si>
    <t>Control/LastSetpointSource</t>
  </si>
  <si>
    <t>Grid curtailment flag</t>
  </si>
  <si>
    <t>BI_0012_Grid_curtailment_flag</t>
  </si>
  <si>
    <t>RTU permit to operate cap bank</t>
  </si>
  <si>
    <t>BI_0013_RTU_permit_to_operate_cap_bank</t>
  </si>
  <si>
    <t>Plant start stop command</t>
  </si>
  <si>
    <t>LOn:LOff</t>
  </si>
  <si>
    <t>BO_0000_Plant_start_stop_command</t>
  </si>
  <si>
    <t>Control/PlantStartStopCommand</t>
  </si>
  <si>
    <t>Night SVC enable disable command</t>
  </si>
  <si>
    <t>BO_0001_Night_SVC_enable_disable_command</t>
  </si>
  <si>
    <t>Cap bank PPC control enable disable command</t>
  </si>
  <si>
    <t>BO_0002_Cap_bank_PPC_control_enable_disable_command</t>
  </si>
  <si>
    <t>Cap bank manual close open command</t>
  </si>
  <si>
    <t>BO_0003_Cap_bank_manual_close_open_command</t>
  </si>
  <si>
    <t>Cap bank automatic control enable disable</t>
  </si>
  <si>
    <t>BO_0004_Cap_bank_automatic_control_enable_disable</t>
  </si>
  <si>
    <t>Control/Reactive/CapBankAutomaticControlEnableDisableCommand</t>
  </si>
  <si>
    <t>LOn</t>
  </si>
  <si>
    <t>BO_0005_Emergency_stop_command</t>
  </si>
  <si>
    <t>Control/EmergencyStopCommand</t>
  </si>
  <si>
    <t>Curtailment enable disable from grid control</t>
  </si>
  <si>
    <t>BO_0006_Curtailment_enable_disable_from_grid_control</t>
  </si>
  <si>
    <t>Battery Monitors to Ignition</t>
  </si>
  <si>
    <t>Victron MPPT 75/10</t>
  </si>
  <si>
    <t>SCADA System</t>
  </si>
  <si>
    <t>Modbus Server ID</t>
  </si>
  <si>
    <t>22.5,23,28.4,29.4</t>
  </si>
  <si>
    <t>1,4</t>
  </si>
  <si>
    <t>Value</t>
  </si>
  <si>
    <t>0, 2 thru 7, 11, 252</t>
  </si>
  <si>
    <t>90BAT-[n] PV voltage</t>
  </si>
  <si>
    <t>n/a,0,0,n/a</t>
  </si>
  <si>
    <t>Out of band</t>
  </si>
  <si>
    <t>0 thru 9, 17 thru 20, 22, 23, 34</t>
  </si>
  <si>
    <t>0 thru 2, 255</t>
  </si>
  <si>
    <t>Trackers to Ignition</t>
  </si>
  <si>
    <t>Nextracker NX Horizon</t>
  </si>
  <si>
    <t>Trackers</t>
  </si>
  <si>
    <t>Replace [r] with the row number expressed as three digits, up to the number of rows in the NCU</t>
  </si>
  <si>
    <t>Replace [w] with the number of rows in the NCU + 1 expressed as 3 digits for weather stations and snow sensors</t>
  </si>
  <si>
    <t>ASCII</t>
  </si>
  <si>
    <t>64-bit signed integer</t>
  </si>
  <si>
    <t>m</t>
  </si>
  <si>
    <t>mph</t>
  </si>
  <si>
    <t>in</t>
  </si>
  <si>
    <t>[r]49</t>
  </si>
  <si>
    <t>4[r]50</t>
  </si>
  <si>
    <t>[r]51</t>
  </si>
  <si>
    <t>4[r]52</t>
  </si>
  <si>
    <t>[r]59</t>
  </si>
  <si>
    <t>4[r]60</t>
  </si>
  <si>
    <t>[r]61</t>
  </si>
  <si>
    <t>4[r]62</t>
  </si>
  <si>
    <t>[r]62</t>
  </si>
  <si>
    <t>4[r]63</t>
  </si>
  <si>
    <t>[r]63</t>
  </si>
  <si>
    <t>4[r]64</t>
  </si>
  <si>
    <t>[r]64</t>
  </si>
  <si>
    <t>4[r]65</t>
  </si>
  <si>
    <t>[r]65</t>
  </si>
  <si>
    <t>4[r]66</t>
  </si>
  <si>
    <t>[r]66</t>
  </si>
  <si>
    <t>4[r]67</t>
  </si>
  <si>
    <t>[r]67</t>
  </si>
  <si>
    <t>4[r]68</t>
  </si>
  <si>
    <t>[r]68</t>
  </si>
  <si>
    <t>4[r]69</t>
  </si>
  <si>
    <t>[r]69</t>
  </si>
  <si>
    <t>4[r]70</t>
  </si>
  <si>
    <t>[r]70</t>
  </si>
  <si>
    <t>4[r]71</t>
  </si>
  <si>
    <t>[r]71</t>
  </si>
  <si>
    <t>4[r]72</t>
  </si>
  <si>
    <t>[r]72</t>
  </si>
  <si>
    <t>4[r]73</t>
  </si>
  <si>
    <t>[r]73</t>
  </si>
  <si>
    <t>4[r]74</t>
  </si>
  <si>
    <t>[w]49</t>
  </si>
  <si>
    <t>4[w]50</t>
  </si>
  <si>
    <t>[w]51</t>
  </si>
  <si>
    <t>4[w]52</t>
  </si>
  <si>
    <t>[w]59</t>
  </si>
  <si>
    <t>4[w]60</t>
  </si>
  <si>
    <t>[w]61</t>
  </si>
  <si>
    <t>4[w]62</t>
  </si>
  <si>
    <t>[w]62</t>
  </si>
  <si>
    <t>4[w]63</t>
  </si>
  <si>
    <t>[w]66</t>
  </si>
  <si>
    <t>4[w]67</t>
  </si>
  <si>
    <t>[w]67</t>
  </si>
  <si>
    <t>4[w]68</t>
  </si>
  <si>
    <t>[w]68</t>
  </si>
  <si>
    <t>4[w]69</t>
  </si>
  <si>
    <t>[w]69</t>
  </si>
  <si>
    <t>4[w]70</t>
  </si>
  <si>
    <t>[w]70</t>
  </si>
  <si>
    <t>4[w]71</t>
  </si>
  <si>
    <t>[w]71</t>
  </si>
  <si>
    <t>4[w]72</t>
  </si>
  <si>
    <t>[w]72</t>
  </si>
  <si>
    <t>4[w]73</t>
  </si>
  <si>
    <t>[w]73</t>
  </si>
  <si>
    <t>4[w]74</t>
  </si>
  <si>
    <t>[w]74</t>
  </si>
  <si>
    <t>4[w]75</t>
  </si>
  <si>
    <t>Lookup tables</t>
  </si>
  <si>
    <t>Input type</t>
  </si>
  <si>
    <t>Abbreviation</t>
  </si>
  <si>
    <t>DNP3 variations</t>
  </si>
  <si>
    <t>Invalid DNP Object</t>
  </si>
  <si>
    <t>AI_</t>
  </si>
  <si>
    <t>Analog Input</t>
  </si>
  <si>
    <t>Binary Input</t>
  </si>
  <si>
    <t>Analog Output</t>
  </si>
  <si>
    <t>Binary Output</t>
  </si>
  <si>
    <t>AO_</t>
  </si>
  <si>
    <t>BI_</t>
  </si>
  <si>
    <t>BO_</t>
  </si>
  <si>
    <t>CNT_</t>
  </si>
  <si>
    <t>Coil</t>
  </si>
  <si>
    <t>COIL_</t>
  </si>
  <si>
    <t>Discrete input</t>
  </si>
  <si>
    <t>DI_</t>
  </si>
  <si>
    <t>Binary</t>
  </si>
  <si>
    <t>Wh</t>
  </si>
  <si>
    <t>Holding register</t>
  </si>
  <si>
    <t>HREG_</t>
  </si>
  <si>
    <t>False</t>
  </si>
  <si>
    <t>Input register</t>
  </si>
  <si>
    <t>IREG_</t>
  </si>
  <si>
    <t>True</t>
  </si>
  <si>
    <t>-</t>
  </si>
  <si>
    <t>N/A</t>
  </si>
  <si>
    <t>32 bit float</t>
  </si>
  <si>
    <t>varh</t>
  </si>
  <si>
    <t>kvarh</t>
  </si>
  <si>
    <t>State</t>
  </si>
  <si>
    <t>Verb past tense</t>
  </si>
  <si>
    <t>Mvarh</t>
  </si>
  <si>
    <t>Alarmed</t>
  </si>
  <si>
    <t>MVA</t>
  </si>
  <si>
    <t>Locked out</t>
  </si>
  <si>
    <t>Returned to normal</t>
  </si>
  <si>
    <t>Went offline</t>
  </si>
  <si>
    <t>Online</t>
  </si>
  <si>
    <t>Came online</t>
  </si>
  <si>
    <t>degF</t>
  </si>
  <si>
    <t>Opened</t>
  </si>
  <si>
    <t>Reset</t>
  </si>
  <si>
    <t>ppm</t>
  </si>
  <si>
    <t>bar</t>
  </si>
  <si>
    <t>kPa</t>
  </si>
  <si>
    <r>
      <t>W/m</t>
    </r>
    <r>
      <rPr>
        <vertAlign val="superscript"/>
        <sz val="8"/>
        <color theme="1"/>
        <rFont val="Tahoma"/>
        <family val="2"/>
        <scheme val="minor"/>
      </rPr>
      <t>2</t>
    </r>
  </si>
  <si>
    <t>Inverters to PPC</t>
  </si>
  <si>
    <t>Sungrow SG3600UD</t>
  </si>
  <si>
    <t>Ignition Modbus index</t>
  </si>
  <si>
    <t>Machine Type</t>
  </si>
  <si>
    <t>U1 DC input #1</t>
  </si>
  <si>
    <t>U1 DC input #2</t>
  </si>
  <si>
    <t>U1 DC input #3</t>
  </si>
  <si>
    <t>U1 DC input #4</t>
  </si>
  <si>
    <t>U1 DC input #5</t>
  </si>
  <si>
    <t>U1 DC input #6</t>
  </si>
  <si>
    <t>U1 DC input #7</t>
  </si>
  <si>
    <t>U1 DC input #8</t>
  </si>
  <si>
    <t>U1 DC input #9</t>
  </si>
  <si>
    <t>U1 DC input #10</t>
  </si>
  <si>
    <t>U1 DC input #11</t>
  </si>
  <si>
    <t>U1 DC input #12</t>
  </si>
  <si>
    <t>U1 DC input #13</t>
  </si>
  <si>
    <t>U1 DC input #14</t>
  </si>
  <si>
    <t>U1 DC input #15</t>
  </si>
  <si>
    <t>U1 DC input #16</t>
  </si>
  <si>
    <t>U2 DC input #1</t>
  </si>
  <si>
    <t>U2 DC input #2</t>
  </si>
  <si>
    <t>U2 DC input #3</t>
  </si>
  <si>
    <t>U2 DC input #4</t>
  </si>
  <si>
    <t>U2 DC input #5</t>
  </si>
  <si>
    <t>U2 DC input #6</t>
  </si>
  <si>
    <t>U2 DC input #7</t>
  </si>
  <si>
    <t>U2 DC input #8</t>
  </si>
  <si>
    <t>U2 DC input #9</t>
  </si>
  <si>
    <t>U2 DC input #10</t>
  </si>
  <si>
    <t>U2 DC input #11</t>
  </si>
  <si>
    <t>U2 DC input #12</t>
  </si>
  <si>
    <t>U2 DC input #13</t>
  </si>
  <si>
    <t>U2 DC input #14</t>
  </si>
  <si>
    <t>U2 DC input #15</t>
  </si>
  <si>
    <t>U2 DC input #16</t>
  </si>
  <si>
    <t>Transformer pressure relief valve alarm</t>
  </si>
  <si>
    <t>U1 load switch status</t>
  </si>
  <si>
    <t>U2 load switch status</t>
  </si>
  <si>
    <t>Circuit breaker status</t>
  </si>
  <si>
    <t>Overcurrent protection trip</t>
  </si>
  <si>
    <t>External emergency stop overall work state</t>
  </si>
  <si>
    <t>Door opening protection</t>
  </si>
  <si>
    <t>Smoke alarm trip</t>
  </si>
  <si>
    <t>HV compartment door open alarm</t>
  </si>
  <si>
    <t>SF6 low pressure alarm</t>
  </si>
  <si>
    <t>Smoke sensor abnormal alarm</t>
  </si>
  <si>
    <t>Temperature sensor abnormal alarm</t>
  </si>
  <si>
    <t>U1 Underfrequency alarm</t>
  </si>
  <si>
    <t>U1 Overfrequency alarm</t>
  </si>
  <si>
    <t>U1 Contactor fault</t>
  </si>
  <si>
    <t>U1 Sensor failure</t>
  </si>
  <si>
    <t>U1 Transformer overtemperature alarm</t>
  </si>
  <si>
    <t>U1 DC leakage current protection alarm</t>
  </si>
  <si>
    <t>U1 Overload protection active</t>
  </si>
  <si>
    <t>U1 DC fuse failure</t>
  </si>
  <si>
    <t>U1 Detection fuse failure</t>
  </si>
  <si>
    <t>U1 Drive board fault</t>
  </si>
  <si>
    <t>U1 AC main contactor status</t>
  </si>
  <si>
    <t>U1 ABC fault</t>
  </si>
  <si>
    <t>U1 ABC local remote status</t>
  </si>
  <si>
    <t>U1 Node State 2</t>
  </si>
  <si>
    <t>U1 SPD status</t>
  </si>
  <si>
    <t>U1 DC switch 2 status</t>
  </si>
  <si>
    <t>U1 DC switch 3 status</t>
  </si>
  <si>
    <t>U1 DC switch 4 status</t>
  </si>
  <si>
    <t>U1 Temperature 2</t>
  </si>
  <si>
    <t>U1 Temperature 4</t>
  </si>
  <si>
    <t>U1 Temperature 6</t>
  </si>
  <si>
    <t>U1 Key Stop</t>
  </si>
  <si>
    <t>U1 IO-MDC communication abnormal</t>
  </si>
  <si>
    <t>U1 DSP-MDC communication failure</t>
  </si>
  <si>
    <t>U1 Bypass circuit breaker fault</t>
  </si>
  <si>
    <t>U1 Bypass fuse abnormal / branch fault</t>
  </si>
  <si>
    <t>U1 Ground fuse fault</t>
  </si>
  <si>
    <t>U1 External power supply fault</t>
  </si>
  <si>
    <t>U1 Tributary board communication failure</t>
  </si>
  <si>
    <t>U1 Contactor contact fault</t>
  </si>
  <si>
    <t>U1 Insulation impedance sensor fault</t>
  </si>
  <si>
    <t>U2 Total runninghours</t>
  </si>
  <si>
    <t>U2 Underfrequency alarm</t>
  </si>
  <si>
    <t>U2 Overfrequency alarm</t>
  </si>
  <si>
    <t>U2 Contactor fault</t>
  </si>
  <si>
    <t>U2 Sensor failure</t>
  </si>
  <si>
    <t>U2 Transformer overtemperature alarm</t>
  </si>
  <si>
    <t>U2 DC leakage current protection alarm</t>
  </si>
  <si>
    <t>U2 Overload protection active</t>
  </si>
  <si>
    <t>U2 DC fuse failure</t>
  </si>
  <si>
    <t>U2 Detection fuse failure</t>
  </si>
  <si>
    <t>U2 Drive board fault</t>
  </si>
  <si>
    <t>U2 AC main contactor status</t>
  </si>
  <si>
    <t>U2 ABC fault</t>
  </si>
  <si>
    <t>U2 ABC local remote status</t>
  </si>
  <si>
    <t>U2 Node State 2</t>
  </si>
  <si>
    <t>U2 SPD status</t>
  </si>
  <si>
    <t>U2 DC switch 2 status</t>
  </si>
  <si>
    <t>U2 DC switch 3 status</t>
  </si>
  <si>
    <t>U2 DC switch 4 status</t>
  </si>
  <si>
    <t>U2 Temperature 2</t>
  </si>
  <si>
    <t>U2 Temperature 4</t>
  </si>
  <si>
    <t>U2 Temperature 6</t>
  </si>
  <si>
    <t>U2 Key Stop</t>
  </si>
  <si>
    <t>U2 IO-MDC communication abnormal</t>
  </si>
  <si>
    <t>U2 DSP-MDC communication failure</t>
  </si>
  <si>
    <t>U2 Bypass circuit breaker fault</t>
  </si>
  <si>
    <t>U2 Bypass fuse abnormal / branch fault</t>
  </si>
  <si>
    <t>U2 Ground fuse fault</t>
  </si>
  <si>
    <t>U2 External power supply fault</t>
  </si>
  <si>
    <t>U2 Tributary board communication failure</t>
  </si>
  <si>
    <t>U2 Contactor contact fault</t>
  </si>
  <si>
    <t>U2 Insulation impedance sensor fault</t>
  </si>
  <si>
    <t>U1 open circuit fault branch 9</t>
  </si>
  <si>
    <t>U1 open circuit fault branch 10</t>
  </si>
  <si>
    <t>U1 open circuit fault branch 11</t>
  </si>
  <si>
    <t>U1 open circuit fault branch 12</t>
  </si>
  <si>
    <t>U1 open circuit fault branch 13</t>
  </si>
  <si>
    <t>U1 open circuit fault branch 14</t>
  </si>
  <si>
    <t>U1 open circuit fault branch 15</t>
  </si>
  <si>
    <t>U1 open circuit fault branch 16</t>
  </si>
  <si>
    <t>U2 open circuit fault branch 9</t>
  </si>
  <si>
    <t>U2 open circuit fault branch 10</t>
  </si>
  <si>
    <t>U2 open circuit fault branch 11</t>
  </si>
  <si>
    <t>U2 open circuit fault branch 12</t>
  </si>
  <si>
    <t>U2 open circuit fault branch 13</t>
  </si>
  <si>
    <t>U2 open circuit fault branch 14</t>
  </si>
  <si>
    <t>U2 open circuit fault branch 15</t>
  </si>
  <si>
    <t>U2 open circuit fault branch 16</t>
  </si>
  <si>
    <t>U1 string failure branch 9</t>
  </si>
  <si>
    <t>U1 string failure branch 10</t>
  </si>
  <si>
    <t>U1 string failure branch 11</t>
  </si>
  <si>
    <t>U1 string failure branch 12</t>
  </si>
  <si>
    <t>U1 string failure branch 13</t>
  </si>
  <si>
    <t>U1 string failure branch 14</t>
  </si>
  <si>
    <t>U1 string failure branch 15</t>
  </si>
  <si>
    <t>U1 string failure branch 16</t>
  </si>
  <si>
    <t>U2 string failure branch 9</t>
  </si>
  <si>
    <t>U2 string failure branch 10</t>
  </si>
  <si>
    <t>U2 string failure branch 11</t>
  </si>
  <si>
    <t>U2 string failure branch 12</t>
  </si>
  <si>
    <t>U2 string failure branch 13</t>
  </si>
  <si>
    <t>U2 string failure branch 14</t>
  </si>
  <si>
    <t>U2 string failure branch 15</t>
  </si>
  <si>
    <t>U2 string failure branch 16</t>
  </si>
  <si>
    <t>U1 Warning Number of Strings Branch 8</t>
  </si>
  <si>
    <t>U1 Warning Number of Strings Branch 9</t>
  </si>
  <si>
    <t>U1 Warning Number of Strings Branch 10</t>
  </si>
  <si>
    <t>U1 Warning Number of Strings Branch 11</t>
  </si>
  <si>
    <t>U1 Warning Number of Strings Branch 12</t>
  </si>
  <si>
    <t>U1 Warning Number of Strings Branch 13</t>
  </si>
  <si>
    <t>U1 Warning Number of Strings Branch 14</t>
  </si>
  <si>
    <t>U1 Warning Number of Strings Branch 15</t>
  </si>
  <si>
    <t>U1 Warning Number of Strings Branch 16</t>
  </si>
  <si>
    <t>U2 Warning Number of Strings Branch 8</t>
  </si>
  <si>
    <t>U2 Warning Number of Strings Branch 9</t>
  </si>
  <si>
    <t>U2 Warning Number of Strings Branch 10</t>
  </si>
  <si>
    <t>U2 Warning Number of Strings Branch 11</t>
  </si>
  <si>
    <t>U2 Warning Number of Strings Branch 12</t>
  </si>
  <si>
    <t>U2 Warning Number of Strings Branch 13</t>
  </si>
  <si>
    <t>U2 Warning Number of Strings Branch 14</t>
  </si>
  <si>
    <t>U2 Warning Number of Strings Branch 15</t>
  </si>
  <si>
    <t>U2 Warning Number of Strings Branch 16</t>
  </si>
  <si>
    <t>High voltage load switch remote switch</t>
  </si>
  <si>
    <t>Qu inductive reactive power limit setpoint</t>
  </si>
  <si>
    <t>Qu capacitive reactive power limit setpoint</t>
  </si>
  <si>
    <t>Automatic voltage regulation benchmark</t>
  </si>
  <si>
    <t>Automatic voltage regulation hysterisis</t>
  </si>
  <si>
    <t>Overall mppt</t>
  </si>
  <si>
    <t>Overall mppt calculation period</t>
  </si>
  <si>
    <t>Frequency regulation output change benchmark</t>
  </si>
  <si>
    <t>Heartbeat</t>
  </si>
  <si>
    <t>U1 number of strings on branch 8</t>
  </si>
  <si>
    <t>U1 number of strings on branch 9</t>
  </si>
  <si>
    <t>U1 number of strings on branch 10</t>
  </si>
  <si>
    <t>U1 number of strings on branch 11</t>
  </si>
  <si>
    <t>U1 number of strings on branch 12</t>
  </si>
  <si>
    <t>U1 number of strings on branch 13</t>
  </si>
  <si>
    <t>U1 number of strings on branch 14</t>
  </si>
  <si>
    <t>U1 number of strings on branch 15</t>
  </si>
  <si>
    <t>U1 number of strings on branch 16</t>
  </si>
  <si>
    <t>U2 number of strings on branch 8</t>
  </si>
  <si>
    <t>U2 number of strings on branch 9</t>
  </si>
  <si>
    <t>U2 number of strings on branch 10</t>
  </si>
  <si>
    <t>U2 number of strings on branch 11</t>
  </si>
  <si>
    <t>U2 number of strings on branch 12</t>
  </si>
  <si>
    <t>U2 number of strings on branch 13</t>
  </si>
  <si>
    <t>U2 number of strings on branch 14</t>
  </si>
  <si>
    <t>U2 number of strings on branch 15</t>
  </si>
  <si>
    <t>U2 number of strings on branch 16</t>
  </si>
  <si>
    <t>Groundwork Eclipse</t>
  </si>
  <si>
    <t>Sec</t>
  </si>
  <si>
    <t>Volts DC</t>
  </si>
  <si>
    <t>Deg C</t>
  </si>
  <si>
    <t>Degrees</t>
  </si>
  <si>
    <t>Pyranometer heaters on/off</t>
  </si>
  <si>
    <t xml:space="preserve"> 0 = Off, -1 = On.  Heat_State on only when vent fan is running</t>
  </si>
  <si>
    <t>0 = nominal operation, 1 = maintenance button pushed in last five minutes</t>
  </si>
  <si>
    <t>Logger AC Power</t>
  </si>
  <si>
    <t>0 = no AC power, 1 = AC power</t>
  </si>
  <si>
    <t>Battery Voltage</t>
  </si>
  <si>
    <t>Battery Current</t>
  </si>
  <si>
    <t>Amps</t>
  </si>
  <si>
    <t>+ if battery charging, - if battery discharging</t>
  </si>
  <si>
    <t>Load Current</t>
  </si>
  <si>
    <t>Solar Panel Voltage</t>
  </si>
  <si>
    <t>When both inputs are utilized, the higher voltage power source will be selected</t>
  </si>
  <si>
    <t>Charge Source</t>
  </si>
  <si>
    <t>Reserved</t>
  </si>
  <si>
    <t>0 = none, 1 = solar, 2 = AC/DC power supply</t>
  </si>
  <si>
    <t>Battery Status</t>
  </si>
  <si>
    <t>0 = normal, 1 = check battery</t>
  </si>
  <si>
    <t>Power Supply Voltage</t>
  </si>
  <si>
    <t>W/m²</t>
  </si>
  <si>
    <t>Most accurate irradiance value</t>
  </si>
  <si>
    <t>GHI Insolation</t>
  </si>
  <si>
    <t>Wh/m²</t>
  </si>
  <si>
    <t>Previous 3-second scan total; divide by 1000 for kWh/m²</t>
  </si>
  <si>
    <t>GHI Humidity</t>
  </si>
  <si>
    <t>Used to detect desiccant failure</t>
  </si>
  <si>
    <t>Reserved reserved</t>
  </si>
  <si>
    <t>Pyranometer Single Axis Tilt</t>
  </si>
  <si>
    <t>Shows degrees from horizontal</t>
  </si>
  <si>
    <t>Pyranometer Fan Speed</t>
  </si>
  <si>
    <t>RPM</t>
  </si>
  <si>
    <t>Pyranometer Heater Current</t>
  </si>
  <si>
    <t>mA</t>
  </si>
  <si>
    <t>Deg F</t>
  </si>
  <si>
    <t>Albedometer GHI</t>
  </si>
  <si>
    <t>Most accurate irradiance value.</t>
  </si>
  <si>
    <t>Albedometer RHI</t>
  </si>
  <si>
    <t>Albedo</t>
  </si>
  <si>
    <t>Calculated value: RHI_1 / GHI_1, See Daily_Albedo for filtered value</t>
  </si>
  <si>
    <t>Calculated value: RHI_TC_1 / GHI_TC_1, See Daily_Albedo for filtered value</t>
  </si>
  <si>
    <t>Ineichen Clear Sky Model**</t>
  </si>
  <si>
    <t>SG3600</t>
  </si>
  <si>
    <t>Inv [n] spare analog 01</t>
  </si>
  <si>
    <t>Inv [n] spare analog 02</t>
  </si>
  <si>
    <t>Inv [n] spare analog 03</t>
  </si>
  <si>
    <t>Inv [n] spare analog 04</t>
  </si>
  <si>
    <t>Inv [n] spare analog 05</t>
  </si>
  <si>
    <t>Inv [n] spare analog 06</t>
  </si>
  <si>
    <t>Inv [n] spare analog 07</t>
  </si>
  <si>
    <t>Inv [n] spare analog 08</t>
  </si>
  <si>
    <t>Inv [n] spare analog 09</t>
  </si>
  <si>
    <t>Inv [n] spare analog 10</t>
  </si>
  <si>
    <t>Inv [n] unit 1 DC Input 8</t>
  </si>
  <si>
    <t>IREG_15036</t>
  </si>
  <si>
    <t>Inv [n] unit 1 DC Input 9</t>
  </si>
  <si>
    <t>IREG_15037</t>
  </si>
  <si>
    <t>Inv [n] unit 1 DC Input 10</t>
  </si>
  <si>
    <t>IREG_15038</t>
  </si>
  <si>
    <t>Inv [n] unit 1 DC Input 11</t>
  </si>
  <si>
    <t>IREG_15039</t>
  </si>
  <si>
    <t>Inv [n] unit 1 DC Input 12</t>
  </si>
  <si>
    <t>IREG_15040</t>
  </si>
  <si>
    <t>Inv [n] unit 1 DC Input 13</t>
  </si>
  <si>
    <t>IREG_15041</t>
  </si>
  <si>
    <t>Inv [n] unit 1 DC Input 14</t>
  </si>
  <si>
    <t>IREG_15042</t>
  </si>
  <si>
    <t>Inv [n] unit 1 DC Input 15</t>
  </si>
  <si>
    <t>IREG_15043</t>
  </si>
  <si>
    <t>Inv [n] unit 1 DC Input 16</t>
  </si>
  <si>
    <t>IREG_15044</t>
  </si>
  <si>
    <t>Inv [n] unit 1 event recorder record count</t>
  </si>
  <si>
    <t>Inv [n] unit 1 AC cabinet temperature</t>
  </si>
  <si>
    <t>TBD</t>
  </si>
  <si>
    <t>Inv [n] unit 1 DC cabinet temperature</t>
  </si>
  <si>
    <t>Inv [n] unit 1 control cabinet temperature</t>
  </si>
  <si>
    <t>Inv [n] unit 1 busbar temperature</t>
  </si>
  <si>
    <t>Inv [n] unit 1 module cabinet temperature</t>
  </si>
  <si>
    <t>Inv [n] unit 1 reactor cabinet temperature</t>
  </si>
  <si>
    <t>Inv [n] unit 1 spare analog 01</t>
  </si>
  <si>
    <t>Inv [n] unit 1 spare analog 02</t>
  </si>
  <si>
    <t>Inv [n] unit 1 spare analog 03</t>
  </si>
  <si>
    <t>Inv [n] unit 1 spare analog 04</t>
  </si>
  <si>
    <t>Inv [n] unit 1 spare analog 05</t>
  </si>
  <si>
    <t>Inv [n] unit 1 spare analog 06</t>
  </si>
  <si>
    <t>Inv [n] unit 1 spare analog 07</t>
  </si>
  <si>
    <t>Inv [n] unit 1 spare analog 08</t>
  </si>
  <si>
    <t>Inv [n] unit 1 spare analog 09</t>
  </si>
  <si>
    <t>Inv [n] unit 1 spare analog 10</t>
  </si>
  <si>
    <t>Inv [n] unit 2 DC Input 8</t>
  </si>
  <si>
    <t>Inv [n] unit 2 DC Input 9</t>
  </si>
  <si>
    <t>Inv [n] unit 2 DC Input 10</t>
  </si>
  <si>
    <t>Inv [n] unit 2 DC Input 11</t>
  </si>
  <si>
    <t>Inv [n] unit 2 DC Input 12</t>
  </si>
  <si>
    <t>Inv [n] unit 2 DC Input 13</t>
  </si>
  <si>
    <t>Inv [n] unit 2 DC Input 14</t>
  </si>
  <si>
    <t>Inv [n] unit 2 DC Input 15</t>
  </si>
  <si>
    <t>Inv [n] unit 2 DC Input 16</t>
  </si>
  <si>
    <t>Inv [n] unit 2 event recorder record count</t>
  </si>
  <si>
    <t>Inv [n] unit 2 AC cabinet temperature</t>
  </si>
  <si>
    <t>Inv [n] unit 2 DC cabinet temperature</t>
  </si>
  <si>
    <t>Inv [n] unit 2 control cabinet temperature</t>
  </si>
  <si>
    <t>Inv [n] unit 2 busbar temperature</t>
  </si>
  <si>
    <t>Inv [n] unit 2 module cabinet temperature</t>
  </si>
  <si>
    <t>Inv [n] unit 2 reactor cabinet temperature</t>
  </si>
  <si>
    <t>Inv [n] unit 2 spare analog 01</t>
  </si>
  <si>
    <t>Inv [n] unit 2 spare analog 02</t>
  </si>
  <si>
    <t>Inv [n] unit 2 spare analog 03</t>
  </si>
  <si>
    <t>Inv [n] unit 2 spare analog 04</t>
  </si>
  <si>
    <t>Inv [n] unit 2 spare analog 05</t>
  </si>
  <si>
    <t>Inv [n] unit 2 spare analog 06</t>
  </si>
  <si>
    <t>Inv [n] unit 2 spare analog 07</t>
  </si>
  <si>
    <t>Inv [n] unit 2 spare analog 08</t>
  </si>
  <si>
    <t>Inv [n] unit 2 spare analog 09</t>
  </si>
  <si>
    <t>Inv [n] unit 2 spare analog 10</t>
  </si>
  <si>
    <t>IREG_16004</t>
  </si>
  <si>
    <t>Inv [n] zone monitor unit 1 warning number of strings branch 8</t>
  </si>
  <si>
    <t>Inv [n] zone monitor unit 1 warning number of strings branch 9</t>
  </si>
  <si>
    <t>IREG_16012</t>
  </si>
  <si>
    <t>Inv [n] zone monitor unit 1 warning number of strings branch 10</t>
  </si>
  <si>
    <t>IREG_16013</t>
  </si>
  <si>
    <t>Inv [n] zone monitor unit 1 warning number of strings branch 11</t>
  </si>
  <si>
    <t>IREG_16014</t>
  </si>
  <si>
    <t>Inv [n] zone monitor unit 1 warning number of strings branch 12</t>
  </si>
  <si>
    <t>IREG_16015</t>
  </si>
  <si>
    <t>Inv [n] zone monitor unit 1 warning number of strings branch 13</t>
  </si>
  <si>
    <t>IREG_16016</t>
  </si>
  <si>
    <t>Inv [n] zone monitor unit 1 warning number of strings branch 14</t>
  </si>
  <si>
    <t>IREG_16017</t>
  </si>
  <si>
    <t>Inv [n] zone monitor unit 1 warning number of strings branch 15</t>
  </si>
  <si>
    <t>IREG_16018</t>
  </si>
  <si>
    <t>Inv [n] zone monitor unit 1 warning number of strings branch 16</t>
  </si>
  <si>
    <t>IREG_16019</t>
  </si>
  <si>
    <t>IREG_16020</t>
  </si>
  <si>
    <t>Inv [n] zone monitor unit 2 warning number of strings branch 8</t>
  </si>
  <si>
    <t>Inv [n] zone monitor unit 2 warning number of strings branch 9</t>
  </si>
  <si>
    <t>IREG_16028</t>
  </si>
  <si>
    <t>Inv [n] zone monitor unit 2 warning number of strings branch 10</t>
  </si>
  <si>
    <t>IREG_16029</t>
  </si>
  <si>
    <t>Inv [n] zone monitor unit 2 warning number of strings branch 11</t>
  </si>
  <si>
    <t>IREG_16030</t>
  </si>
  <si>
    <t>Inv [n] zone monitor unit 2 warning number of strings branch 12</t>
  </si>
  <si>
    <t>IREG_16031</t>
  </si>
  <si>
    <t>Inv [n] zone monitor unit 2 warning number of strings branch 13</t>
  </si>
  <si>
    <t>IREG_16032</t>
  </si>
  <si>
    <t>Inv [n] zone monitor unit 2 warning number of strings branch 14</t>
  </si>
  <si>
    <t>IREG_16033</t>
  </si>
  <si>
    <t>Inv [n] zone monitor unit 2 warning number of strings branch 15</t>
  </si>
  <si>
    <t>IREG_16034</t>
  </si>
  <si>
    <t>Inv [n] zone monitor unit 2 warning number of strings branch 16</t>
  </si>
  <si>
    <t>IREG_16035</t>
  </si>
  <si>
    <t>Inv [n] circuit breaker status</t>
  </si>
  <si>
    <t>IREG_15113.10</t>
  </si>
  <si>
    <t>Inv [n] disconnector status</t>
  </si>
  <si>
    <t>IREG_15113.11</t>
  </si>
  <si>
    <t>IREG_15130.0</t>
  </si>
  <si>
    <t>Inv [n] HV local remote switch status</t>
  </si>
  <si>
    <t>IREG_15125.14</t>
  </si>
  <si>
    <t>Inv [n] running</t>
  </si>
  <si>
    <t>IREG_15116.0</t>
  </si>
  <si>
    <t>Inv [n] stopped</t>
  </si>
  <si>
    <t>IREG_15116.1</t>
  </si>
  <si>
    <t>Inv [n] unit 1 load switch status</t>
  </si>
  <si>
    <t>IREG_15113.8</t>
  </si>
  <si>
    <t>Inv [n] unit 1 circuit breaker status</t>
  </si>
  <si>
    <t>IREG_15193.0</t>
  </si>
  <si>
    <t>Inv [n] unit 1 main contactor status</t>
  </si>
  <si>
    <t>IREG_15193.1</t>
  </si>
  <si>
    <t>Inv [n] unit 1 SPD status</t>
  </si>
  <si>
    <t>IREG_15195.12</t>
  </si>
  <si>
    <t>IREG_15195.20</t>
  </si>
  <si>
    <t>Inv [n] unit 1 DC switch 2 status</t>
  </si>
  <si>
    <t>IREG_15195.21</t>
  </si>
  <si>
    <t>Inv [n] unit 1 DC switch 3 status</t>
  </si>
  <si>
    <t>IREG_15195.22</t>
  </si>
  <si>
    <t>Inv [n] unit 1 DC switch 4 status</t>
  </si>
  <si>
    <t>IREG_15195.23</t>
  </si>
  <si>
    <t>Inv [n] unit 1 running</t>
  </si>
  <si>
    <t>IREG_15207.0</t>
  </si>
  <si>
    <t>Inv [n] unit 1 stopped</t>
  </si>
  <si>
    <t>IREG_15207.1</t>
  </si>
  <si>
    <t>Inv [n] unit 1 initial standby</t>
  </si>
  <si>
    <t>IREG_15207.2</t>
  </si>
  <si>
    <t>Inv [n] unit 1 key stop</t>
  </si>
  <si>
    <t>IREG_15207.3</t>
  </si>
  <si>
    <t>Inv [n] unit 1 standby</t>
  </si>
  <si>
    <t>IREG_15207.4</t>
  </si>
  <si>
    <t>Inv [n] unit 1 emergency stop</t>
  </si>
  <si>
    <t>IREG_15207.5</t>
  </si>
  <si>
    <t>Inv [n] unit 1 starting</t>
  </si>
  <si>
    <t>IREG_15207.6</t>
  </si>
  <si>
    <t>Inv [n] unit 1 stopping</t>
  </si>
  <si>
    <t>IREG_15207.7</t>
  </si>
  <si>
    <t>Inv [n] unit 1 fault stop</t>
  </si>
  <si>
    <t>IREG_15207.9</t>
  </si>
  <si>
    <t>Inv [n] unit 1 alarm running</t>
  </si>
  <si>
    <t>IREG_15207.10</t>
  </si>
  <si>
    <t>Inv [n] unit 1 derating running</t>
  </si>
  <si>
    <t>IREG_15207.11</t>
  </si>
  <si>
    <t>Inv [n] unit 1 inverter is running</t>
  </si>
  <si>
    <t>IREG_15207.17</t>
  </si>
  <si>
    <t>Inv [n] unit 1 inverter is stopped</t>
  </si>
  <si>
    <t>IREG_15207.18</t>
  </si>
  <si>
    <t>Inv [n] unit 1 anti PID active</t>
  </si>
  <si>
    <t>IREG_15207.19</t>
  </si>
  <si>
    <t>Inv [n] unit 1 ABC local remote status</t>
  </si>
  <si>
    <t>IREG_15193.13</t>
  </si>
  <si>
    <t>Inv [n] unit 2 load switch status</t>
  </si>
  <si>
    <t>IREG_15113.9</t>
  </si>
  <si>
    <t>Inv [n] unit 2 circuit breaker status</t>
  </si>
  <si>
    <t>IREG_15313.0</t>
  </si>
  <si>
    <t>Inv [n] unit 2 main contactor status</t>
  </si>
  <si>
    <t>IREG_15313.1</t>
  </si>
  <si>
    <t>Inv [n] unit 2 SPD status</t>
  </si>
  <si>
    <t>IREG_15315.12</t>
  </si>
  <si>
    <t>IREG_15315.20</t>
  </si>
  <si>
    <t>Inv [n] unit 2 DC switch 2 status</t>
  </si>
  <si>
    <t>IREG_15315.21</t>
  </si>
  <si>
    <t>Inv [n] unit 2 DC switch 3 status</t>
  </si>
  <si>
    <t>IREG_15315.22</t>
  </si>
  <si>
    <t>Inv [n] unit 2 DC switch 4 status</t>
  </si>
  <si>
    <t>IREG_15315.23</t>
  </si>
  <si>
    <t>Inv [n] unit 2 running</t>
  </si>
  <si>
    <t>IREG_15327.0</t>
  </si>
  <si>
    <t>Inv [n] unit 2 stopped</t>
  </si>
  <si>
    <t>IREG_15327.1</t>
  </si>
  <si>
    <t>Inv [n] unit 2 initial standby</t>
  </si>
  <si>
    <t>IREG_15327.2</t>
  </si>
  <si>
    <t>Inv [n] unit 2 key stop</t>
  </si>
  <si>
    <t>IREG_15327.3</t>
  </si>
  <si>
    <t>Inv [n] unit 2 standby</t>
  </si>
  <si>
    <t>IREG_15327.4</t>
  </si>
  <si>
    <t>Inv [n] unit 2 emergency stop</t>
  </si>
  <si>
    <t>IREG_15327.5</t>
  </si>
  <si>
    <t>Inv [n] unit 2 starting</t>
  </si>
  <si>
    <t>IREG_15327.6</t>
  </si>
  <si>
    <t>Inv [n] unit 2 stopping</t>
  </si>
  <si>
    <t>IREG_15327.7</t>
  </si>
  <si>
    <t>Inv [n] unit 2 fault stop</t>
  </si>
  <si>
    <t>IREG_15327.9</t>
  </si>
  <si>
    <t>Inv [n] unit 2 alarm running</t>
  </si>
  <si>
    <t>IREG_15327.10</t>
  </si>
  <si>
    <t>Inv [n] unit 2 derating running</t>
  </si>
  <si>
    <t>IREG_15327.11</t>
  </si>
  <si>
    <t>Inv [n] unit 2 inverter is running</t>
  </si>
  <si>
    <t>IREG_15327.17</t>
  </si>
  <si>
    <t>Inv [n] unit 2 inverter is stopped</t>
  </si>
  <si>
    <t>IREG_15327.18</t>
  </si>
  <si>
    <t>Inv [n] unit 2 anti PID active</t>
  </si>
  <si>
    <t>IREG_15327.19</t>
  </si>
  <si>
    <t>Inv [n] unit 2 ABC local remote status</t>
  </si>
  <si>
    <t>IREG_15313.13</t>
  </si>
  <si>
    <t>Inv [n] alarms</t>
  </si>
  <si>
    <t>Inv [n] overcurrent protection trip</t>
  </si>
  <si>
    <t>IREG_15113.12</t>
  </si>
  <si>
    <t>Inv [n] external emergency stop overall</t>
  </si>
  <si>
    <t>IREG_15116.2</t>
  </si>
  <si>
    <t>IREG_15116.3</t>
  </si>
  <si>
    <t>Inv [n] local emergency stop</t>
  </si>
  <si>
    <t>IREG_15116.6</t>
  </si>
  <si>
    <t>Inv [n] external emergency stop mv node</t>
  </si>
  <si>
    <t>IREG_15125.11</t>
  </si>
  <si>
    <t>Inv [n] door opening protection</t>
  </si>
  <si>
    <t>IREG_15116.4</t>
  </si>
  <si>
    <t>Inv [n] smoke alarm trip</t>
  </si>
  <si>
    <t>IREG_15116.5</t>
  </si>
  <si>
    <t>Inv [n] HV compartment door open</t>
  </si>
  <si>
    <t>IREG_15125.6</t>
  </si>
  <si>
    <t>Inv [n] SF6 low pressure</t>
  </si>
  <si>
    <t>IREG_15125.10</t>
  </si>
  <si>
    <t>Inv [n] MV fuse failure</t>
  </si>
  <si>
    <t>IREG_15125.12</t>
  </si>
  <si>
    <t>Inv [n] HV compartment smoke alarm</t>
  </si>
  <si>
    <t>IREG_15125.13</t>
  </si>
  <si>
    <t>Inv [n] smoke sensor abnormal</t>
  </si>
  <si>
    <t>IREG_15126.0</t>
  </si>
  <si>
    <t>Inv [n] temperature sensor abnormal</t>
  </si>
  <si>
    <t>IREG_15126.3</t>
  </si>
  <si>
    <t>Inv [n] HV remote trip</t>
  </si>
  <si>
    <t>IREG_15130.1</t>
  </si>
  <si>
    <t>Inv [n] UPS fault</t>
  </si>
  <si>
    <t>IREG_15130.9</t>
  </si>
  <si>
    <t>Inv [n] transformer alarms</t>
  </si>
  <si>
    <t>Inv [n] transformer gas buildup alarm</t>
  </si>
  <si>
    <t>IREG_15113.1</t>
  </si>
  <si>
    <t>Inv [n] transformer gas buildup trip</t>
  </si>
  <si>
    <t>IREG_15113.0</t>
  </si>
  <si>
    <t>Inv [n] transformer oil temperature alarm</t>
  </si>
  <si>
    <t>IREG_15113.2</t>
  </si>
  <si>
    <t>Inv [n] transformer oil temperature trip</t>
  </si>
  <si>
    <t>IREG_15113.3</t>
  </si>
  <si>
    <t>Inv [n] transformer low oil level alarm</t>
  </si>
  <si>
    <t>IREG_15113.5</t>
  </si>
  <si>
    <t>Inv [n] transformer low oil level trip</t>
  </si>
  <si>
    <t>IREG_15113.4</t>
  </si>
  <si>
    <t>Inv [n] transformer high oil level alarm</t>
  </si>
  <si>
    <t>IREG_15113.13</t>
  </si>
  <si>
    <t>Inv [n] transformer pressure relief valve alarm</t>
  </si>
  <si>
    <t>IREG_15113.7</t>
  </si>
  <si>
    <t>Inv [n] transformer pressure relief valve trip</t>
  </si>
  <si>
    <t>IREG_15113.6</t>
  </si>
  <si>
    <t>Inv [n] transformer compartment door alarm</t>
  </si>
  <si>
    <t>IREG_15130.7</t>
  </si>
  <si>
    <t>Inv [n] transformer compartment smoke alarm</t>
  </si>
  <si>
    <t>IREG_15130.8</t>
  </si>
  <si>
    <t>Inv [n] unit 1 transformer over temperature alarm</t>
  </si>
  <si>
    <t>IREG_15185.12</t>
  </si>
  <si>
    <t>Inv [n] unit 2 transformer over temperature alarm</t>
  </si>
  <si>
    <t>IREG_15305.12</t>
  </si>
  <si>
    <t>Inv [n] unit 1 alarms 1</t>
  </si>
  <si>
    <t>Inv [n] unit 1 AC fuse fault</t>
  </si>
  <si>
    <t>IREG_15188.7</t>
  </si>
  <si>
    <t>Inv [n] unit 1 AC leakage current protection alarm</t>
  </si>
  <si>
    <t>Inv [n] unit 1 AC overvoltage alarm</t>
  </si>
  <si>
    <t>Inv [n] unit 1 AC undervoltage alarm</t>
  </si>
  <si>
    <t>Inv [n] unit 1 CT unbalance</t>
  </si>
  <si>
    <t>Inv [n] unit 1 Grid voltage imballance</t>
  </si>
  <si>
    <t>Inv [n] unit 1 Overfrequency alarm</t>
  </si>
  <si>
    <t>IREG_15186.5</t>
  </si>
  <si>
    <t>Inv [n] unit 1 Underfrequency alarm</t>
  </si>
  <si>
    <t>IREG_15186.4</t>
  </si>
  <si>
    <t>Inv [n] unit 1 DC bypass forward overcurrent alarm</t>
  </si>
  <si>
    <t>Inv [n] unit 1 DC bypass reverse overcurrent alarm</t>
  </si>
  <si>
    <t>Inv [n] unit 1 DC fuse failure</t>
  </si>
  <si>
    <t>IREG_15186.19</t>
  </si>
  <si>
    <t>IREG_15210.4</t>
  </si>
  <si>
    <t>Inv [n] unit 1 DC fuse grounding fault</t>
  </si>
  <si>
    <t>Inv [n] unit 1 DC injection fault</t>
  </si>
  <si>
    <t>Inv [n] unit 1 DC leakage current protection alarm</t>
  </si>
  <si>
    <t>IREG_15186.13</t>
  </si>
  <si>
    <t>Inv [n] unit 1 DC overvoltage alarm</t>
  </si>
  <si>
    <t>Inv [n] unit 1 DC polarity reversed alarm</t>
  </si>
  <si>
    <t>Inv [n] unit 1 alarms 2</t>
  </si>
  <si>
    <t>Inv [n] unit 1 DC sensor fault</t>
  </si>
  <si>
    <t>Inv [n] unit 1 DC undervoltage alarm</t>
  </si>
  <si>
    <t>Inv [n] unit 1 Detection fuse failure</t>
  </si>
  <si>
    <t>IREG_15186.20</t>
  </si>
  <si>
    <t>Inv [n] unit 1 Insulation impedance fault</t>
  </si>
  <si>
    <t>Inv [n] unit 1 Temperature alarm</t>
  </si>
  <si>
    <t>Inv [n] unit 1 AC cabinet temperature alarm</t>
  </si>
  <si>
    <t>Inv [n] unit 1 Control cabinet temperature alarm</t>
  </si>
  <si>
    <t>Inv [n] unit 1 Module overtemperature alarm</t>
  </si>
  <si>
    <t>Inv [n] unit 1 Reactor overtemperature alarm</t>
  </si>
  <si>
    <t>Inv [n] unit 1 AC circuit breaker fault</t>
  </si>
  <si>
    <t>Inv [n] unit 1 Bypass circuit breaker fault</t>
  </si>
  <si>
    <t>IREG_15210.9</t>
  </si>
  <si>
    <t>Inv [n] unit 1 AC switch disconnection</t>
  </si>
  <si>
    <t>Inv [n] unit 1 Buffer contactor fault</t>
  </si>
  <si>
    <t>IREG_15188.9</t>
  </si>
  <si>
    <t>Inv [n] unit 1 Contactor fault</t>
  </si>
  <si>
    <t>IREG_15186.6</t>
  </si>
  <si>
    <t>Inv [n] unit 1 Contactor contact fault</t>
  </si>
  <si>
    <t>IREG_15210.22</t>
  </si>
  <si>
    <t>Inv [n] unit 1 Anti-PID power supply</t>
  </si>
  <si>
    <t>Inv [n] unit 1 Backup power supply fault</t>
  </si>
  <si>
    <t>IREG_15188.5</t>
  </si>
  <si>
    <t>Inv [n] unit 1 Bypass fuse abnormal / branch fault</t>
  </si>
  <si>
    <t>IREG_15210.10</t>
  </si>
  <si>
    <t>Inv [n] unit 1 Ground fuse fault</t>
  </si>
  <si>
    <t>IREG_15210.11</t>
  </si>
  <si>
    <t>Inv [n] unit 1 Abnormal derating of fan</t>
  </si>
  <si>
    <t>IREG_15210.28</t>
  </si>
  <si>
    <t>Inv [n] unit 1 alarms 3</t>
  </si>
  <si>
    <t>Inv [n] unit 1 Fan fault</t>
  </si>
  <si>
    <t>Inv [n] unit 1 Drive board fault</t>
  </si>
  <si>
    <t>IREG_15188.28</t>
  </si>
  <si>
    <t>Inv [n] unit 1 Insulation impedance sensor fault</t>
  </si>
  <si>
    <t>IREG_15210.26</t>
  </si>
  <si>
    <t>Inv [n] unit 1 Sensor failure</t>
  </si>
  <si>
    <t>IREG_15186.8</t>
  </si>
  <si>
    <t>Inv [n] unit 1 Temperature and humidity sensor fault</t>
  </si>
  <si>
    <t>Inv [n] unit 1 DSP-MDC communication failure</t>
  </si>
  <si>
    <t>IREG_15210.5</t>
  </si>
  <si>
    <t>Inv [n] unit 1 IO-DSP communication failure</t>
  </si>
  <si>
    <t>Inv [n] unit 1 IO-MDC communication abnormal</t>
  </si>
  <si>
    <t>IREG_15208.20</t>
  </si>
  <si>
    <t>Inv [n] unit 1 Meter communication failure</t>
  </si>
  <si>
    <t>Inv [n] unit 1 Tributary board communication failure</t>
  </si>
  <si>
    <t>IREG_15210.18</t>
  </si>
  <si>
    <t>Inv [n] unit 1 ABC fault</t>
  </si>
  <si>
    <t>IREG_15194.12</t>
  </si>
  <si>
    <t>Inv [n] unit 1 Device code repeat fault</t>
  </si>
  <si>
    <t>Inv [n] unit 1 External power supply fault</t>
  </si>
  <si>
    <t>IREG_15210.15</t>
  </si>
  <si>
    <t>Inv [n] unit 1 Overload protection active</t>
  </si>
  <si>
    <t>IREG_15186.15</t>
  </si>
  <si>
    <t>Inv [n] unit 1 Reversed branch over current</t>
  </si>
  <si>
    <t>Inv [n] unit 2 alarms 1</t>
  </si>
  <si>
    <t>Inv [n] unit 2 AC fuse fault</t>
  </si>
  <si>
    <t>Inv [n] unit 2 AC leakage current protection alarm</t>
  </si>
  <si>
    <t>Inv [n] unit 2 AC overvoltage alarm</t>
  </si>
  <si>
    <t>Inv [n] unit 2 AC undervoltage alarm</t>
  </si>
  <si>
    <t>Inv [n] unit 2 CT unbalance</t>
  </si>
  <si>
    <t>Inv [n] unit 2 Grid voltage imballance</t>
  </si>
  <si>
    <t>Inv [n] unit 2 Overfrequency alarm</t>
  </si>
  <si>
    <t>Inv [n] unit 2 Underfrequency alarm</t>
  </si>
  <si>
    <t>Inv [n] unit 2 DC bypass forward overcurrent alarm</t>
  </si>
  <si>
    <t>Inv [n] unit 2 DC bypass reverse overcurrent alarm</t>
  </si>
  <si>
    <t>Inv [n] unit 2 DC fuse failure</t>
  </si>
  <si>
    <t>Inv [n] unit 2 DC fuse grounding fault</t>
  </si>
  <si>
    <t>Inv [n] unit 2 DC injection fault</t>
  </si>
  <si>
    <t>Inv [n] unit 2 DC leakage current protection alarm</t>
  </si>
  <si>
    <t>Inv [n] unit 2 DC overvoltage alarm</t>
  </si>
  <si>
    <t>Inv [n] unit 2 DC polarity reversed alarm</t>
  </si>
  <si>
    <t>Inv [n] unit 2 alarms 2</t>
  </si>
  <si>
    <t>Inv [n] unit 2 DC sensor fault</t>
  </si>
  <si>
    <t>IREG_15329.6</t>
  </si>
  <si>
    <t>IREG_15307.8</t>
  </si>
  <si>
    <t>IREG_15329.7</t>
  </si>
  <si>
    <t>IREG_15307.11</t>
  </si>
  <si>
    <t>Inv [n] unit 2 DC undervoltage alarm</t>
  </si>
  <si>
    <t>IREG_15305.0</t>
  </si>
  <si>
    <t>Inv [n] unit 2 Detection fuse failure</t>
  </si>
  <si>
    <t>IREG_15305.20</t>
  </si>
  <si>
    <t>Inv [n] unit 2 Insulation impedance fault</t>
  </si>
  <si>
    <t>IREG_15307.0</t>
  </si>
  <si>
    <t>IREG_15305.29</t>
  </si>
  <si>
    <t>IREG_15329.1</t>
  </si>
  <si>
    <t>IREG_15307.30</t>
  </si>
  <si>
    <t>IREG_15305.24</t>
  </si>
  <si>
    <t>Inv [n] unit 2 Temperature alarm</t>
  </si>
  <si>
    <t>IREG_15329.0</t>
  </si>
  <si>
    <t>Inv [n] unit 2 AC cabinet temperature alarm</t>
  </si>
  <si>
    <t>IREG_15307.20</t>
  </si>
  <si>
    <t>IREG_15307.29</t>
  </si>
  <si>
    <t>Inv [n] unit 2 Control cabinet temperature alarm</t>
  </si>
  <si>
    <t>IREG_15307.14</t>
  </si>
  <si>
    <t>IREG_15329.27</t>
  </si>
  <si>
    <t>Inv [n] unit 2 Module overtemperature alarm</t>
  </si>
  <si>
    <t>IREG_15305.10</t>
  </si>
  <si>
    <t>Inv [n] unit 2 Reactor overtemperature alarm</t>
  </si>
  <si>
    <t>IREG_15305.11</t>
  </si>
  <si>
    <t>Inv [n] unit 2 AC circuit breaker fault</t>
  </si>
  <si>
    <t>IREG_15329.19</t>
  </si>
  <si>
    <t>Inv [n] unit 2 Bypass circuit breaker fault</t>
  </si>
  <si>
    <t>IREG_15329.9</t>
  </si>
  <si>
    <t>IREG_15307.22</t>
  </si>
  <si>
    <t>Inv [n] unit 2 AC switch disconnection</t>
  </si>
  <si>
    <t>IREG_15307.21</t>
  </si>
  <si>
    <t>IREG_15329.12</t>
  </si>
  <si>
    <t>Inv [n] unit 2 Buffer contactor fault</t>
  </si>
  <si>
    <t>IREG_15307.9</t>
  </si>
  <si>
    <t>Inv [n] unit 2 Contactor fault</t>
  </si>
  <si>
    <t>IREG_15305.6</t>
  </si>
  <si>
    <t>Inv [n] unit 2 Contactor contact fault</t>
  </si>
  <si>
    <t>IREG_15329.22</t>
  </si>
  <si>
    <t>Inv [n] unit 2 Anti-PID power supply</t>
  </si>
  <si>
    <t>IREG_15329.13</t>
  </si>
  <si>
    <t>Inv [n] unit 2 Backup power supply fault</t>
  </si>
  <si>
    <t>IREG_15307.5</t>
  </si>
  <si>
    <t>IREG_15307.4</t>
  </si>
  <si>
    <t>Inv [n] unit 2 Bypass fuse abnormal / branch fault</t>
  </si>
  <si>
    <t>IREG_15329.10</t>
  </si>
  <si>
    <t>Inv [n] unit 2 Ground fuse fault</t>
  </si>
  <si>
    <t>IREG_15329.11</t>
  </si>
  <si>
    <t>Inv [n] unit 2 Abnormal derating of fan</t>
  </si>
  <si>
    <t>IREG_15329.28</t>
  </si>
  <si>
    <t>Inv [n] unit 2 alarms 3</t>
  </si>
  <si>
    <t>Inv [n] unit 2 Fan fault</t>
  </si>
  <si>
    <t>IREG_15305.18</t>
  </si>
  <si>
    <t>IREG_15329.14</t>
  </si>
  <si>
    <t>IREG_15307.25</t>
  </si>
  <si>
    <t>IREG_15329.21</t>
  </si>
  <si>
    <t>IREG_15305.26</t>
  </si>
  <si>
    <t>Inv [n] unit 2 Drive board fault</t>
  </si>
  <si>
    <t>IREG_15307.28</t>
  </si>
  <si>
    <t>IREG_15305.25</t>
  </si>
  <si>
    <t>Inv [n] unit 2 Insulation impedance sensor fault</t>
  </si>
  <si>
    <t>IREG_15329.26</t>
  </si>
  <si>
    <t>Inv [n] unit 2 Sensor failure</t>
  </si>
  <si>
    <t>IREG_15305.8</t>
  </si>
  <si>
    <t>Inv [n] unit 2 Temperature and humidity sensor fault</t>
  </si>
  <si>
    <t>IREG_15329.23</t>
  </si>
  <si>
    <t>IREG_15307.24</t>
  </si>
  <si>
    <t>IREG_15307.23</t>
  </si>
  <si>
    <t>Inv [n] unit 2 DSP-MDC communication failure</t>
  </si>
  <si>
    <t>IREG_15329.5</t>
  </si>
  <si>
    <t>Inv [n] unit 2 IO-DSP communication failure</t>
  </si>
  <si>
    <t>IREG_15327.13</t>
  </si>
  <si>
    <t>Inv [n] unit 2 IO-MDC communication abnormal</t>
  </si>
  <si>
    <t>IREG_15327.20</t>
  </si>
  <si>
    <t>Inv [n] unit 2 Meter communication failure</t>
  </si>
  <si>
    <t>IREG_15329.20</t>
  </si>
  <si>
    <t>IREG_15307.13</t>
  </si>
  <si>
    <t>Inv [n] unit 2 Tributary board communication failure</t>
  </si>
  <si>
    <t>IREG_15329.18</t>
  </si>
  <si>
    <t>Inv [n] unit 2 ABC fault</t>
  </si>
  <si>
    <t>IREG_15313.12</t>
  </si>
  <si>
    <t>IREG_15307.31</t>
  </si>
  <si>
    <t>Inv [n] unit 2 Device code repeat fault</t>
  </si>
  <si>
    <t>IREG_15307.12</t>
  </si>
  <si>
    <t>Inv [n] unit 2 External power supply fault</t>
  </si>
  <si>
    <t>IREG_15329.15</t>
  </si>
  <si>
    <t>IREG_15305.17</t>
  </si>
  <si>
    <t>IREG_15329.2</t>
  </si>
  <si>
    <t>Inv [n] unit 2 Overload protection active</t>
  </si>
  <si>
    <t>IREG_15305.15</t>
  </si>
  <si>
    <t>IREG_15305.9</t>
  </si>
  <si>
    <t>Inv [n] unit 2 Reversed branch over current</t>
  </si>
  <si>
    <t>IREG_15307.16</t>
  </si>
  <si>
    <t>Inv [n] zone monitor branch open circuit</t>
  </si>
  <si>
    <t>IREG_16000</t>
  </si>
  <si>
    <t>Inv [n] unit 1 open circuit fault branch 1</t>
  </si>
  <si>
    <t>IREG_16000.0</t>
  </si>
  <si>
    <t>Inv [n] unit 1 open circuit fault branch 2</t>
  </si>
  <si>
    <t>IREG_16000.1</t>
  </si>
  <si>
    <t>Inv [n] unit 1 open circuit fault branch 3</t>
  </si>
  <si>
    <t>IREG_16000.2</t>
  </si>
  <si>
    <t>Inv [n] unit 1 open circuit fault branch 4</t>
  </si>
  <si>
    <t>IREG_16000.3</t>
  </si>
  <si>
    <t>Inv [n] unit 1 open circuit fault branch 5</t>
  </si>
  <si>
    <t>IREG_16000.4</t>
  </si>
  <si>
    <t>Inv [n] unit 1 open circuit fault branch 6</t>
  </si>
  <si>
    <t>IREG_16000.5</t>
  </si>
  <si>
    <t>Inv [n] unit 1 open circuit fault branch 7</t>
  </si>
  <si>
    <t>IREG_16000.6</t>
  </si>
  <si>
    <t>Inv [n] unit 1 open circuit fault branch 8</t>
  </si>
  <si>
    <t>IREG_16000.7</t>
  </si>
  <si>
    <t>Inv [n] unit 1 open circuit fault branch 9</t>
  </si>
  <si>
    <t>IREG_16000.8</t>
  </si>
  <si>
    <t>Inv [n] unit 1 open circuit fault branch 10</t>
  </si>
  <si>
    <t>IREG_16000.9</t>
  </si>
  <si>
    <t>Inv [n] unit 1 open circuit fault branch 11</t>
  </si>
  <si>
    <t>IREG_16000.10</t>
  </si>
  <si>
    <t>Inv [n] unit 1 open circuit fault branch 12</t>
  </si>
  <si>
    <t>IREG_16000.11</t>
  </si>
  <si>
    <t>Inv [n] unit 1 open circuit fault branch 13</t>
  </si>
  <si>
    <t>IREG_16000.12</t>
  </si>
  <si>
    <t>Inv [n] unit 1 open circuit fault branch 14</t>
  </si>
  <si>
    <t>IREG_16000.13</t>
  </si>
  <si>
    <t>Inv [n] unit 1 open circuit fault branch 15</t>
  </si>
  <si>
    <t>IREG_16000.14</t>
  </si>
  <si>
    <t>Inv [n] unit 1 open circuit fault branch 16</t>
  </si>
  <si>
    <t>IREG_16000.15</t>
  </si>
  <si>
    <t>Inv [n] unit 2 open circuit fault branch 1</t>
  </si>
  <si>
    <t>IREG_16000.16</t>
  </si>
  <si>
    <t>Inv [n] unit 2 open circuit fault branch 2</t>
  </si>
  <si>
    <t>IREG_16000.17</t>
  </si>
  <si>
    <t>Inv [n] unit 2 open circuit fault branch 3</t>
  </si>
  <si>
    <t>IREG_16000.18</t>
  </si>
  <si>
    <t>Inv [n] unit 2 open circuit fault branch 4</t>
  </si>
  <si>
    <t>IREG_16000.19</t>
  </si>
  <si>
    <t>Inv [n] unit 2 open circuit fault branch 5</t>
  </si>
  <si>
    <t>IREG_16000.20</t>
  </si>
  <si>
    <t>Inv [n] unit 2 open circuit fault branch 6</t>
  </si>
  <si>
    <t>IREG_16000.21</t>
  </si>
  <si>
    <t>Inv [n] unit 2 open circuit fault branch 7</t>
  </si>
  <si>
    <t>IREG_16000.22</t>
  </si>
  <si>
    <t>Inv [n] unit 2 open circuit fault branch 8</t>
  </si>
  <si>
    <t>IREG_16000.23</t>
  </si>
  <si>
    <t>Inv [n] unit 2 open circuit fault branch 9</t>
  </si>
  <si>
    <t>IREG_16000.24</t>
  </si>
  <si>
    <t>Inv [n] unit 2 open circuit fault branch 10</t>
  </si>
  <si>
    <t>IREG_16000.25</t>
  </si>
  <si>
    <t>Inv [n] unit 2 open circuit fault branch 11</t>
  </si>
  <si>
    <t>IREG_16000.26</t>
  </si>
  <si>
    <t>Inv [n] unit 2 open circuit fault branch 12</t>
  </si>
  <si>
    <t>IREG_16000.27</t>
  </si>
  <si>
    <t>Inv [n] unit 2 open circuit fault branch 13</t>
  </si>
  <si>
    <t>IREG_16000.28</t>
  </si>
  <si>
    <t>Inv [n] unit 2 open circuit fault branch 14</t>
  </si>
  <si>
    <t>IREG_16000.29</t>
  </si>
  <si>
    <t>Inv [n] unit 2 open circuit fault branch 15</t>
  </si>
  <si>
    <t>IREG_16000.30</t>
  </si>
  <si>
    <t>Inv [n] unit 2 open circuit fault branch 16</t>
  </si>
  <si>
    <t>IREG_16000.31</t>
  </si>
  <si>
    <t>Inv [n] zone monitor string failure</t>
  </si>
  <si>
    <t>IREG_16002</t>
  </si>
  <si>
    <t>Inv [n] unit 1 string failure branch 1</t>
  </si>
  <si>
    <t>IREG_16002.0</t>
  </si>
  <si>
    <t>Inv [n] unit 1 string failure branch 2</t>
  </si>
  <si>
    <t>IREG_16002.1</t>
  </si>
  <si>
    <t>Inv [n] unit 1 string failure branch 3</t>
  </si>
  <si>
    <t>IREG_16002.2</t>
  </si>
  <si>
    <t>Inv [n] unit 1 string failure branch 4</t>
  </si>
  <si>
    <t>IREG_16002.3</t>
  </si>
  <si>
    <t>Inv [n] unit 1 string failure branch 5</t>
  </si>
  <si>
    <t>IREG_16002.4</t>
  </si>
  <si>
    <t>Inv [n] unit 1 string failure branch 6</t>
  </si>
  <si>
    <t>IREG_16002.5</t>
  </si>
  <si>
    <t>Inv [n] unit 1 string failure branch 7</t>
  </si>
  <si>
    <t>IREG_16002.6</t>
  </si>
  <si>
    <t>Inv [n] unit 1 string failure branch 8</t>
  </si>
  <si>
    <t>IREG_16002.7</t>
  </si>
  <si>
    <t>Inv [n] unit 1 string failure branch 9</t>
  </si>
  <si>
    <t>IREG_16002.8</t>
  </si>
  <si>
    <t>Inv [n] unit 1 string failure branch 10</t>
  </si>
  <si>
    <t>IREG_16002.9</t>
  </si>
  <si>
    <t>Inv [n] unit 1 string failure branch 11</t>
  </si>
  <si>
    <t>IREG_16002.10</t>
  </si>
  <si>
    <t>Inv [n] unit 1 string failure branch 12</t>
  </si>
  <si>
    <t>IREG_16002.11</t>
  </si>
  <si>
    <t>Inv [n] unit 1 string failure branch 13</t>
  </si>
  <si>
    <t>IREG_16002.12</t>
  </si>
  <si>
    <t>Inv [n] unit 1 string failure branch 14</t>
  </si>
  <si>
    <t>IREG_16002.13</t>
  </si>
  <si>
    <t>Inv [n] unit 1 string failure branch 15</t>
  </si>
  <si>
    <t>IREG_16002.14</t>
  </si>
  <si>
    <t>Inv [n] unit 1 string failure branch 16</t>
  </si>
  <si>
    <t>IREG_16002.15</t>
  </si>
  <si>
    <t>Inv [n] unit 2 string failure branch 1</t>
  </si>
  <si>
    <t>IREG_16002.16</t>
  </si>
  <si>
    <t>Inv [n] unit 2 string failure branch 2</t>
  </si>
  <si>
    <t>IREG_16002.17</t>
  </si>
  <si>
    <t>Inv [n] unit 2 string failure branch 3</t>
  </si>
  <si>
    <t>IREG_16002.18</t>
  </si>
  <si>
    <t>Inv [n] unit 2 string failure branch 4</t>
  </si>
  <si>
    <t>IREG_16002.19</t>
  </si>
  <si>
    <t>Inv [n] unit 2 string failure branch 5</t>
  </si>
  <si>
    <t>IREG_16002.20</t>
  </si>
  <si>
    <t>Inv [n] unit 2 string failure branch 6</t>
  </si>
  <si>
    <t>IREG_16002.21</t>
  </si>
  <si>
    <t>Inv [n] unit 2 string failure branch 7</t>
  </si>
  <si>
    <t>IREG_16002.22</t>
  </si>
  <si>
    <t>Inv [n] unit 2 string failure branch 8</t>
  </si>
  <si>
    <t>IREG_16002.23</t>
  </si>
  <si>
    <t>Inv [n] unit 2 string failure branch 9</t>
  </si>
  <si>
    <t>IREG_16002.24</t>
  </si>
  <si>
    <t>Inv [n] unit 2 string failure branch 10</t>
  </si>
  <si>
    <t>IREG_16002.25</t>
  </si>
  <si>
    <t>Inv [n] unit 2 string failure branch 11</t>
  </si>
  <si>
    <t>IREG_16002.26</t>
  </si>
  <si>
    <t>Inv [n] unit 2 string failure branch 12</t>
  </si>
  <si>
    <t>IREG_16002.27</t>
  </si>
  <si>
    <t>Inv [n] unit 2 string failure branch 13</t>
  </si>
  <si>
    <t>IREG_16002.28</t>
  </si>
  <si>
    <t>Inv [n] unit 2 string failure branch 14</t>
  </si>
  <si>
    <t>IREG_16002.29</t>
  </si>
  <si>
    <t>Inv [n] unit 2 string failure branch 15</t>
  </si>
  <si>
    <t>IREG_16002.30</t>
  </si>
  <si>
    <t>Inv [n] unit 2 string failure branch 16</t>
  </si>
  <si>
    <t>IREG_16002.31</t>
  </si>
  <si>
    <t>Inv [n] unit 1 fault state 1 register</t>
  </si>
  <si>
    <t>IREG_15185</t>
  </si>
  <si>
    <t>Inv [n] unit 1 fault state 2 register</t>
  </si>
  <si>
    <t>IREG_15187</t>
  </si>
  <si>
    <t>Inv [n] unit 1 node state 1 register</t>
  </si>
  <si>
    <t>IREG_15193</t>
  </si>
  <si>
    <t>Inv [n] unit 1 node state 2 register</t>
  </si>
  <si>
    <t>IREG_15195</t>
  </si>
  <si>
    <t>Inv [n] unit 1 work state register</t>
  </si>
  <si>
    <t>IREG_15207</t>
  </si>
  <si>
    <t>Inv [n] unit 1 alarm state register</t>
  </si>
  <si>
    <t>IREG_15209</t>
  </si>
  <si>
    <t>Inv [n] unit 2 fault state 1 register</t>
  </si>
  <si>
    <t>IREG_15305</t>
  </si>
  <si>
    <t>Inv [n] unit 2 fault state 2 register</t>
  </si>
  <si>
    <t>IREG_15307</t>
  </si>
  <si>
    <t>Inv [n] unit 2 node state 1 register</t>
  </si>
  <si>
    <t>IREG_15313</t>
  </si>
  <si>
    <t>Inv [n] unit 2 node state 2 register</t>
  </si>
  <si>
    <t>IREG_15315</t>
  </si>
  <si>
    <t>Inv [n] unit 2 work state register</t>
  </si>
  <si>
    <t>IREG_15327</t>
  </si>
  <si>
    <t>Inv [n] unit 2 alarm state register</t>
  </si>
  <si>
    <t>IREG_15329</t>
  </si>
  <si>
    <t>Inv [n] transformer node state register</t>
  </si>
  <si>
    <t>IREG_15113</t>
  </si>
  <si>
    <t>Inv [n] overall work state register</t>
  </si>
  <si>
    <t>IREG_15116</t>
  </si>
  <si>
    <t>Inv [n] mv node 1 state register</t>
  </si>
  <si>
    <t>IREG_15125</t>
  </si>
  <si>
    <t>Inv [n] mv node 2 state register</t>
  </si>
  <si>
    <t>IREG_15130</t>
  </si>
  <si>
    <t>Inv [n] overall alarm state register</t>
  </si>
  <si>
    <t>Inv [n] digital input state register</t>
  </si>
  <si>
    <t>IREG_15128</t>
  </si>
  <si>
    <t>IREG_15128.0</t>
  </si>
  <si>
    <t>IREG_15128.1</t>
  </si>
  <si>
    <t>IREG_15128.2</t>
  </si>
  <si>
    <t>IREG_15128.3</t>
  </si>
  <si>
    <t>IREG_15128.4</t>
  </si>
  <si>
    <t>IREG_15128.5</t>
  </si>
  <si>
    <t>IREG_15128.6</t>
  </si>
  <si>
    <t>IREG_15128.7</t>
  </si>
  <si>
    <t>IREG_15128.8</t>
  </si>
  <si>
    <t>IREG_15128.9</t>
  </si>
  <si>
    <t>IREG_15128.10</t>
  </si>
  <si>
    <t>IREG_15128.11</t>
  </si>
  <si>
    <t>IREG_15128.12</t>
  </si>
  <si>
    <t>IREG_15128.13</t>
  </si>
  <si>
    <t>IREG_15128.14</t>
  </si>
  <si>
    <t>IREG_15128.15</t>
  </si>
  <si>
    <t>IREG_15128.16</t>
  </si>
  <si>
    <t>IREG_15128.17</t>
  </si>
  <si>
    <t>IREG_15128.18</t>
  </si>
  <si>
    <t>IREG_15128.19</t>
  </si>
  <si>
    <t>IREG_15128.20</t>
  </si>
  <si>
    <t>315030</t>
  </si>
  <si>
    <t>315031</t>
  </si>
  <si>
    <t>315032</t>
  </si>
  <si>
    <t>315033</t>
  </si>
  <si>
    <t>315034</t>
  </si>
  <si>
    <t>315035</t>
  </si>
  <si>
    <t>315036</t>
  </si>
  <si>
    <t>315037</t>
  </si>
  <si>
    <t>315038</t>
  </si>
  <si>
    <t>315039</t>
  </si>
  <si>
    <t>315040</t>
  </si>
  <si>
    <t>315041</t>
  </si>
  <si>
    <t>315042</t>
  </si>
  <si>
    <t>315043</t>
  </si>
  <si>
    <t>315044</t>
  </si>
  <si>
    <t>315045</t>
  </si>
  <si>
    <t>315048</t>
  </si>
  <si>
    <t>315049</t>
  </si>
  <si>
    <t>315050</t>
  </si>
  <si>
    <t>315051</t>
  </si>
  <si>
    <t>315052</t>
  </si>
  <si>
    <t>315053</t>
  </si>
  <si>
    <t>315054</t>
  </si>
  <si>
    <t>315055</t>
  </si>
  <si>
    <t>315056</t>
  </si>
  <si>
    <t>315057</t>
  </si>
  <si>
    <t>315058</t>
  </si>
  <si>
    <t>315059</t>
  </si>
  <si>
    <t>315060</t>
  </si>
  <si>
    <t>315061</t>
  </si>
  <si>
    <t>315062</t>
  </si>
  <si>
    <t>315063</t>
  </si>
  <si>
    <t>315114.7</t>
  </si>
  <si>
    <t>315114.10</t>
  </si>
  <si>
    <t>315114.12</t>
  </si>
  <si>
    <t>315117.2</t>
  </si>
  <si>
    <t>315117.4</t>
  </si>
  <si>
    <t>315117.5</t>
  </si>
  <si>
    <t>315126.6</t>
  </si>
  <si>
    <t>315126.10</t>
  </si>
  <si>
    <t>315127.0</t>
  </si>
  <si>
    <t>315127.3</t>
  </si>
  <si>
    <t>315186.4</t>
  </si>
  <si>
    <t>315186.5</t>
  </si>
  <si>
    <t>315186.6</t>
  </si>
  <si>
    <t>315186.8</t>
  </si>
  <si>
    <t>315186.12</t>
  </si>
  <si>
    <t>315186.13</t>
  </si>
  <si>
    <t>315186.15</t>
  </si>
  <si>
    <t>315186.19</t>
  </si>
  <si>
    <t>315186.20</t>
  </si>
  <si>
    <t>315188.28</t>
  </si>
  <si>
    <t>315194.1</t>
  </si>
  <si>
    <t>315194.12</t>
  </si>
  <si>
    <t>315194.13</t>
  </si>
  <si>
    <t>315196</t>
  </si>
  <si>
    <t>315196.12</t>
  </si>
  <si>
    <t>315196.20</t>
  </si>
  <si>
    <t>315196.21</t>
  </si>
  <si>
    <t>315196.22</t>
  </si>
  <si>
    <t>315196.23</t>
  </si>
  <si>
    <t>315199</t>
  </si>
  <si>
    <t>315201</t>
  </si>
  <si>
    <t>315203</t>
  </si>
  <si>
    <t>315208.20</t>
  </si>
  <si>
    <t>315210.4</t>
  </si>
  <si>
    <t>315210.5</t>
  </si>
  <si>
    <t>315210.9</t>
  </si>
  <si>
    <t>315210.10</t>
  </si>
  <si>
    <t>315210.11</t>
  </si>
  <si>
    <t>315210.15</t>
  </si>
  <si>
    <t>315210.18</t>
  </si>
  <si>
    <t>315210.22</t>
  </si>
  <si>
    <t>315210.26</t>
  </si>
  <si>
    <t>315306.4</t>
  </si>
  <si>
    <t>315306.5</t>
  </si>
  <si>
    <t>315306.6</t>
  </si>
  <si>
    <t>315306.8</t>
  </si>
  <si>
    <t>315306.12</t>
  </si>
  <si>
    <t>315306.13</t>
  </si>
  <si>
    <t>315306.15</t>
  </si>
  <si>
    <t>315306.19</t>
  </si>
  <si>
    <t>315306.20</t>
  </si>
  <si>
    <t>315308.28</t>
  </si>
  <si>
    <t>315314.1</t>
  </si>
  <si>
    <t>315314.12</t>
  </si>
  <si>
    <t>315314.13</t>
  </si>
  <si>
    <t>315316</t>
  </si>
  <si>
    <t>315316.12</t>
  </si>
  <si>
    <t>315316.20</t>
  </si>
  <si>
    <t>315316.21</t>
  </si>
  <si>
    <t>315316.22</t>
  </si>
  <si>
    <t>315316.23</t>
  </si>
  <si>
    <t>315319</t>
  </si>
  <si>
    <t>315321</t>
  </si>
  <si>
    <t>315323</t>
  </si>
  <si>
    <t>315328.20</t>
  </si>
  <si>
    <t>315330.4</t>
  </si>
  <si>
    <t>315330.5</t>
  </si>
  <si>
    <t>315330.9</t>
  </si>
  <si>
    <t>315330.10</t>
  </si>
  <si>
    <t>315330.11</t>
  </si>
  <si>
    <t>315330.15</t>
  </si>
  <si>
    <t>315330.18</t>
  </si>
  <si>
    <t>315330.22</t>
  </si>
  <si>
    <t>315330.26</t>
  </si>
  <si>
    <t>315635</t>
  </si>
  <si>
    <t>315700</t>
  </si>
  <si>
    <t>315702</t>
  </si>
  <si>
    <t>315712</t>
  </si>
  <si>
    <t>316012</t>
  </si>
  <si>
    <t>316013</t>
  </si>
  <si>
    <t>316014</t>
  </si>
  <si>
    <t>316015</t>
  </si>
  <si>
    <t>316016</t>
  </si>
  <si>
    <t>316017</t>
  </si>
  <si>
    <t>316018</t>
  </si>
  <si>
    <t>316019</t>
  </si>
  <si>
    <t>316020</t>
  </si>
  <si>
    <t>316028</t>
  </si>
  <si>
    <t>316029</t>
  </si>
  <si>
    <t>316030</t>
  </si>
  <si>
    <t>316031</t>
  </si>
  <si>
    <t>316032</t>
  </si>
  <si>
    <t>316033</t>
  </si>
  <si>
    <t>316034</t>
  </si>
  <si>
    <t>316035</t>
  </si>
  <si>
    <t>316036</t>
  </si>
  <si>
    <t>415043</t>
  </si>
  <si>
    <t>415044</t>
  </si>
  <si>
    <t>415069</t>
  </si>
  <si>
    <t>415070</t>
  </si>
  <si>
    <t>415074</t>
  </si>
  <si>
    <t>415248</t>
  </si>
  <si>
    <t>415812</t>
  </si>
  <si>
    <t>415813</t>
  </si>
  <si>
    <t>415814</t>
  </si>
  <si>
    <t>415815</t>
  </si>
  <si>
    <t>415816</t>
  </si>
  <si>
    <t>415817</t>
  </si>
  <si>
    <t>415818</t>
  </si>
  <si>
    <t>415819</t>
  </si>
  <si>
    <t>415820</t>
  </si>
  <si>
    <t>415828</t>
  </si>
  <si>
    <t>415829</t>
  </si>
  <si>
    <t>415830</t>
  </si>
  <si>
    <t>415831</t>
  </si>
  <si>
    <t>415832</t>
  </si>
  <si>
    <t>415833</t>
  </si>
  <si>
    <t>415834</t>
  </si>
  <si>
    <t>415835</t>
  </si>
  <si>
    <t>415836</t>
  </si>
  <si>
    <t>IREG_15011_Machine_Type</t>
  </si>
  <si>
    <t>IREG_15029_U1_DC_input_1_A</t>
  </si>
  <si>
    <t>IREG_15030_U1_DC_input_2_A</t>
  </si>
  <si>
    <t>IREG_15031_U1_DC_input_3_A</t>
  </si>
  <si>
    <t>IREG_15032_U1_DC_input_4_A</t>
  </si>
  <si>
    <t>IREG_15033_U1_DC_input_5_A</t>
  </si>
  <si>
    <t>IREG_15034_U1_DC_input_6_A</t>
  </si>
  <si>
    <t>IREG_15035_U1_DC_input_7_A</t>
  </si>
  <si>
    <t>IREG_15036_U1_DC_input_8_A</t>
  </si>
  <si>
    <t>IREG_15037_U1_DC_input_9_A</t>
  </si>
  <si>
    <t>IREG_15038_U1_DC_input_10_A</t>
  </si>
  <si>
    <t>IREG_15039_U1_DC_input_11_A</t>
  </si>
  <si>
    <t>IREG_15040_U1_DC_input_12_A</t>
  </si>
  <si>
    <t>IREG_15041_U1_DC_input_13_A</t>
  </si>
  <si>
    <t>IREG_15042_U1_DC_input_14_A</t>
  </si>
  <si>
    <t>IREG_15043_U1_DC_input_15_A</t>
  </si>
  <si>
    <t>IREG_15044_U1_DC_input_16_A</t>
  </si>
  <si>
    <t>IREG_15047_U2_DC_input_1_A</t>
  </si>
  <si>
    <t>IREG_15048_U2_DC_input_2_A</t>
  </si>
  <si>
    <t>IREG_15049_U2_DC_input_3_A</t>
  </si>
  <si>
    <t>IREG_15050_U2_DC_input_4_A</t>
  </si>
  <si>
    <t>IREG_15051_U2_DC_input_5_A</t>
  </si>
  <si>
    <t>IREG_15052_U2_DC_input_6_A</t>
  </si>
  <si>
    <t>IREG_15053_U2_DC_input_7_A</t>
  </si>
  <si>
    <t>IREG_15054_U2_DC_input_8_A</t>
  </si>
  <si>
    <t>IREG_15055_U2_DC_input_9_A</t>
  </si>
  <si>
    <t>IREG_15056_U2_DC_input_10_A</t>
  </si>
  <si>
    <t>IREG_15057_U2_DC_input_11_A</t>
  </si>
  <si>
    <t>IREG_15058_U2_DC_input_12_A</t>
  </si>
  <si>
    <t>IREG_15059_U2_DC_input_13_A</t>
  </si>
  <si>
    <t>IREG_15060_U2_DC_input_14_A</t>
  </si>
  <si>
    <t>IREG_15061_U2_DC_input_15_A</t>
  </si>
  <si>
    <t>IREG_15062_U2_DC_input_16_A</t>
  </si>
  <si>
    <t>IREG_15113_Transformer_pressure_relief_valve_alarm</t>
  </si>
  <si>
    <t>IREG_15113_U1_load_switch_status</t>
  </si>
  <si>
    <t>IREG_15113_U2_load_switch_status</t>
  </si>
  <si>
    <t>IREG_15113_Circuit_breaker_status</t>
  </si>
  <si>
    <t>IREG_15113_Overcurrent_protection_trip</t>
  </si>
  <si>
    <t>IREG_15116_External_emergency_stop_overall_work_state</t>
  </si>
  <si>
    <t>IREG_15116_Door_opening_protection</t>
  </si>
  <si>
    <t>IREG_15116_Smoke_alarm_trip</t>
  </si>
  <si>
    <t>IREG_15125_HV_compartment_door_open_alarm</t>
  </si>
  <si>
    <t>IREG_15125_SF6_low_pressure_alarm</t>
  </si>
  <si>
    <t>IREG_15126_Smoke_sensor_abnormal_alarm</t>
  </si>
  <si>
    <t>IREG_15126_Temperature_sensor_abnormal_alarm</t>
  </si>
  <si>
    <t>IREG_15185_U1_Underfrequency_alarm</t>
  </si>
  <si>
    <t>IREG_15185_U1_Overfrequency_alarm</t>
  </si>
  <si>
    <t>IREG_15185_U1_Contactor_fault</t>
  </si>
  <si>
    <t>IREG_15185_U1_Sensor_failure</t>
  </si>
  <si>
    <t>IREG_15185_U1_Transformer_overtemperature_alarm</t>
  </si>
  <si>
    <t>IREG_15185_U1_DC_leakage_current_protection_alarm</t>
  </si>
  <si>
    <t>IREG_15185_U1_Overload_protection_active</t>
  </si>
  <si>
    <t>IREG_15185_U1_DC_fuse_failure</t>
  </si>
  <si>
    <t>IREG_15185_U1_Detection_fuse_failure</t>
  </si>
  <si>
    <t>IREG_15187_U1_Drive_board_fault</t>
  </si>
  <si>
    <t>IREG_15193_U1_AC_main_contactor_status</t>
  </si>
  <si>
    <t>IREG_15193_U1_ABC_fault</t>
  </si>
  <si>
    <t>IREG_15193_U1_ABC_local_remote_status</t>
  </si>
  <si>
    <t>IREG_15195_U1_Node_State_2</t>
  </si>
  <si>
    <t>IREG_15195_U1_SPD_status</t>
  </si>
  <si>
    <t>IREG_15195_U1_DC_switch_1_status</t>
  </si>
  <si>
    <t>IREG_15195_U1_DC_switch_2_status</t>
  </si>
  <si>
    <t>IREG_15195_U1_DC_switch_3_status</t>
  </si>
  <si>
    <t>IREG_15195_U1_DC_switch_4_status</t>
  </si>
  <si>
    <t>IREG_15198_U1_Temperature_2_degC</t>
  </si>
  <si>
    <t>IREG_15200_U1_Temperature_4_degC</t>
  </si>
  <si>
    <t>IREG_15202_U1_Temperature_6_degC</t>
  </si>
  <si>
    <t>IREG_15207_U1_Key_Stop</t>
  </si>
  <si>
    <t>IREG_15207_U1_IO_MDC_communication_abnormal</t>
  </si>
  <si>
    <t>IREG_15209_U1_DC_fuse_failure</t>
  </si>
  <si>
    <t>IREG_15209_U1_DSP_MDC_communication_failure</t>
  </si>
  <si>
    <t>IREG_15209_U1_Bypass_circuit_breaker_fault</t>
  </si>
  <si>
    <t>IREG_15209_U1_Bypass_fuse_abnormal___branch_fault</t>
  </si>
  <si>
    <t>IREG_15209_U1_Ground_fuse_fault</t>
  </si>
  <si>
    <t>IREG_15209_U1_External_power_supply_fault</t>
  </si>
  <si>
    <t>IREG_15209_U1_Tributary_board_communication_failure</t>
  </si>
  <si>
    <t>IREG_15209_U1_Contactor_contact_fault</t>
  </si>
  <si>
    <t>IREG_15209_U1_Insulation_impedance_sensor_fault</t>
  </si>
  <si>
    <t>IREG_15276_U2_Total_runninghours_hr</t>
  </si>
  <si>
    <t>IREG_15305_U2_Underfrequency_alarm</t>
  </si>
  <si>
    <t>IREG_15305_U2_Overfrequency_alarm</t>
  </si>
  <si>
    <t>IREG_15305_U2_Contactor_fault</t>
  </si>
  <si>
    <t>IREG_15305_U2_Sensor_failure</t>
  </si>
  <si>
    <t>IREG_15305_U2_Transformer_overtemperature_alarm</t>
  </si>
  <si>
    <t>IREG_15305_U2_DC_leakage_current_protection_alarm</t>
  </si>
  <si>
    <t>IREG_15305_U2_Overload_protection_active</t>
  </si>
  <si>
    <t>IREG_15305_U2_DC_fuse_failure</t>
  </si>
  <si>
    <t>IREG_15305_U2_Detection_fuse_failure</t>
  </si>
  <si>
    <t>IREG_15307_U2_Drive_board_fault</t>
  </si>
  <si>
    <t>IREG_15313_U2_AC_main_contactor_status</t>
  </si>
  <si>
    <t>IREG_15313_U2_ABC_fault</t>
  </si>
  <si>
    <t>IREG_15313_U2_ABC_local_remote_status</t>
  </si>
  <si>
    <t>IREG_15315_U2_Node_State_2</t>
  </si>
  <si>
    <t>IREG_15315_U2_SPD_status</t>
  </si>
  <si>
    <t>IREG_15315_U2_DC_switch_1_status</t>
  </si>
  <si>
    <t>IREG_15315_U2_DC_switch_2_status</t>
  </si>
  <si>
    <t>IREG_15315_U2_DC_switch_3_status</t>
  </si>
  <si>
    <t>IREG_15315_U2_DC_switch_4_status</t>
  </si>
  <si>
    <t>IREG_15318_U2_Temperature_2_degC</t>
  </si>
  <si>
    <t>IREG_15320_U2_Temperature_4_degC</t>
  </si>
  <si>
    <t>IREG_15322_U2_Temperature_6_degC</t>
  </si>
  <si>
    <t>IREG_15327_U2_Key_Stop</t>
  </si>
  <si>
    <t>IREG_15327_U2_IO_MDC_communication_abnormal</t>
  </si>
  <si>
    <t>IREG_15329_U2_DC_fuse_failure</t>
  </si>
  <si>
    <t>IREG_15329_U2_DSP_MDC_communication_failure</t>
  </si>
  <si>
    <t>IREG_15329_U2_Bypass_circuit_breaker_fault</t>
  </si>
  <si>
    <t>IREG_15329_U2_Bypass_fuse_abnormal___branch_fault</t>
  </si>
  <si>
    <t>IREG_15329_U2_Ground_fuse_fault</t>
  </si>
  <si>
    <t>IREG_15329_U2_External_power_supply_fault</t>
  </si>
  <si>
    <t>IREG_15329_U2_Tributary_board_communication_failure</t>
  </si>
  <si>
    <t>IREG_15329_U2_Contactor_contact_fault</t>
  </si>
  <si>
    <t>IREG_15329_U2_Insulation_impedance_sensor_fault</t>
  </si>
  <si>
    <t>IREG_15634_Certified_Software_Version</t>
  </si>
  <si>
    <t>IREG_15699_Overexcitation_Specified_Active_Power_kW</t>
  </si>
  <si>
    <t>IREG_15701_Underexcitation_Specified_Active_Power_kW</t>
  </si>
  <si>
    <t>IREG_15703_Commercial_Plant_Running_Status_boolean</t>
  </si>
  <si>
    <t>IREG_15704_Maximum_Appearant_Power_kVA</t>
  </si>
  <si>
    <t>IREG_15705_Maximum_Discharging_Power_kW</t>
  </si>
  <si>
    <t>IREG_15706_Maximum_inductive_reactive_power_kvar</t>
  </si>
  <si>
    <t>IREG_15707_Maximum_capacitive_reactive_power_kvar</t>
  </si>
  <si>
    <t>IREG_15708_Grid_connected_status_of_commercial_plant_boolean</t>
  </si>
  <si>
    <t>IREG_15709_Nominal_AC_voltage_V</t>
  </si>
  <si>
    <t>IREG_15710_Max_AC_Voltage_V</t>
  </si>
  <si>
    <t>IREG_15711_Min_AC_Voltage_V</t>
  </si>
  <si>
    <t>IREG_16000_U1_open_circuit_fault_branch_9</t>
  </si>
  <si>
    <t>IREG_16000_U1_open_circuit_fault_branch_10</t>
  </si>
  <si>
    <t>IREG_16000_U1_open_circuit_fault_branch_11</t>
  </si>
  <si>
    <t>IREG_16000_U1_open_circuit_fault_branch_12</t>
  </si>
  <si>
    <t>IREG_16000_U1_open_circuit_fault_branch_13</t>
  </si>
  <si>
    <t>IREG_16000_U1_open_circuit_fault_branch_14</t>
  </si>
  <si>
    <t>IREG_16000_U1_open_circuit_fault_branch_15</t>
  </si>
  <si>
    <t>IREG_16000_U1_open_circuit_fault_branch_16</t>
  </si>
  <si>
    <t>IREG_16000_U2_open_circuit_fault_branch_9</t>
  </si>
  <si>
    <t>IREG_16000_U2_open_circuit_fault_branch_10</t>
  </si>
  <si>
    <t>IREG_16000_U2_open_circuit_fault_branch_11</t>
  </si>
  <si>
    <t>IREG_16000_U2_open_circuit_fault_branch_12</t>
  </si>
  <si>
    <t>IREG_16000_U2_open_circuit_fault_branch_13</t>
  </si>
  <si>
    <t>IREG_16000_U2_open_circuit_fault_branch_14</t>
  </si>
  <si>
    <t>IREG_16000_U2_open_circuit_fault_branch_15</t>
  </si>
  <si>
    <t>IREG_16000_U2_open_circuit_fault_branch_16</t>
  </si>
  <si>
    <t>IREG_16002_U1_string_failure_branch_9</t>
  </si>
  <si>
    <t>IREG_16002_U1_string_failure_branch_10</t>
  </si>
  <si>
    <t>IREG_16002_U1_string_failure_branch_11</t>
  </si>
  <si>
    <t>IREG_16002_U1_string_failure_branch_12</t>
  </si>
  <si>
    <t>IREG_16002_U1_string_failure_branch_13</t>
  </si>
  <si>
    <t>IREG_16002_U1_string_failure_branch_14</t>
  </si>
  <si>
    <t>IREG_16002_U1_string_failure_branch_15</t>
  </si>
  <si>
    <t>IREG_16002_U1_string_failure_branch_16</t>
  </si>
  <si>
    <t>IREG_16002_U2_string_failure_branch_9</t>
  </si>
  <si>
    <t>IREG_16002_U2_string_failure_branch_10</t>
  </si>
  <si>
    <t>IREG_16002_U2_string_failure_branch_11</t>
  </si>
  <si>
    <t>IREG_16002_U2_string_failure_branch_12</t>
  </si>
  <si>
    <t>IREG_16002_U2_string_failure_branch_13</t>
  </si>
  <si>
    <t>IREG_16002_U2_string_failure_branch_14</t>
  </si>
  <si>
    <t>IREG_16002_U2_string_failure_branch_15</t>
  </si>
  <si>
    <t>IREG_16002_U2_string_failure_branch_16</t>
  </si>
  <si>
    <t>IREG_16011_U1_Warning_Number_of_Strings_Branch_8_count</t>
  </si>
  <si>
    <t>IREG_16012_U1_Warning_Number_of_Strings_Branch_9_count</t>
  </si>
  <si>
    <t>IREG_16013_U1_Warning_Number_of_Strings_Branch_10_count</t>
  </si>
  <si>
    <t>IREG_16014_U1_Warning_Number_of_Strings_Branch_11_count</t>
  </si>
  <si>
    <t>IREG_16015_U1_Warning_Number_of_Strings_Branch_12_count</t>
  </si>
  <si>
    <t>IREG_16016_U1_Warning_Number_of_Strings_Branch_13_count</t>
  </si>
  <si>
    <t>IREG_16017_U1_Warning_Number_of_Strings_Branch_14_count</t>
  </si>
  <si>
    <t>IREG_16018_U1_Warning_Number_of_Strings_Branch_15_count</t>
  </si>
  <si>
    <t>IREG_16019_U1_Warning_Number_of_Strings_Branch_16_count</t>
  </si>
  <si>
    <t>IREG_16027_U2_Warning_Number_of_Strings_Branch_8_count</t>
  </si>
  <si>
    <t>IREG_16028_U2_Warning_Number_of_Strings_Branch_9_count</t>
  </si>
  <si>
    <t>IREG_16029_U2_Warning_Number_of_Strings_Branch_10_count</t>
  </si>
  <si>
    <t>IREG_16030_U2_Warning_Number_of_Strings_Branch_11_count</t>
  </si>
  <si>
    <t>IREG_16031_U2_Warning_Number_of_Strings_Branch_12_count</t>
  </si>
  <si>
    <t>IREG_16032_U2_Warning_Number_of_Strings_Branch_13_count</t>
  </si>
  <si>
    <t>IREG_16033_U2_Warning_Number_of_Strings_Branch_14_count</t>
  </si>
  <si>
    <t>IREG_16034_U2_Warning_Number_of_Strings_Branch_15_count</t>
  </si>
  <si>
    <t>IREG_16035_U2_Warning_Number_of_Strings_Branch_16_count</t>
  </si>
  <si>
    <t>HREG_15025_High_voltage_load_switch_remote_switch_boolean</t>
  </si>
  <si>
    <t>HREG_15031_Qu_inductive_reactive_power_limit_setpoint_pct</t>
  </si>
  <si>
    <t>HREG_15032_Qu_capacitive_reactive_power_limit_setpoint_pct</t>
  </si>
  <si>
    <t>HREG_15042_Automatic_voltage_regulation_benchmark_pct</t>
  </si>
  <si>
    <t>HREG_15043_Automatic_voltage_regulation_hysterisis_pct</t>
  </si>
  <si>
    <t>HREG_15068_Overall_mppt</t>
  </si>
  <si>
    <t>HREG_15069_Overall_mppt_calculation_period_min</t>
  </si>
  <si>
    <t>HREG_15073_Frequency_regulation_output_change_benchmark</t>
  </si>
  <si>
    <t>HREG_15247_Heartbeat_count</t>
  </si>
  <si>
    <t>HREG_15811_U1_number_of_strings_on_branch_8_count</t>
  </si>
  <si>
    <t>HREG_15812_U1_number_of_strings_on_branch_9_count</t>
  </si>
  <si>
    <t>HREG_15813_U1_number_of_strings_on_branch_10_count</t>
  </si>
  <si>
    <t>HREG_15814_U1_number_of_strings_on_branch_11_count</t>
  </si>
  <si>
    <t>HREG_15815_U1_number_of_strings_on_branch_12_count</t>
  </si>
  <si>
    <t>HREG_15816_U1_number_of_strings_on_branch_13_count</t>
  </si>
  <si>
    <t>HREG_15817_U1_number_of_strings_on_branch_14_count</t>
  </si>
  <si>
    <t>HREG_15818_U1_number_of_strings_on_branch_15_count</t>
  </si>
  <si>
    <t>HREG_15819_U1_number_of_strings_on_branch_16_count</t>
  </si>
  <si>
    <t>HREG_15827_U2_number_of_strings_on_branch_8_count</t>
  </si>
  <si>
    <t>HREG_15828_U2_number_of_strings_on_branch_9_count</t>
  </si>
  <si>
    <t>HREG_15829_U2_number_of_strings_on_branch_10_count</t>
  </si>
  <si>
    <t>HREG_15830_U2_number_of_strings_on_branch_11_count</t>
  </si>
  <si>
    <t>HREG_15831_U2_number_of_strings_on_branch_12_count</t>
  </si>
  <si>
    <t>HREG_15832_U2_number_of_strings_on_branch_13_count</t>
  </si>
  <si>
    <t>HREG_15833_U2_number_of_strings_on_branch_14_count</t>
  </si>
  <si>
    <t>HREG_15834_U2_number_of_strings_on_branch_15_count</t>
  </si>
  <si>
    <t>HREG_15835_U2_number_of_strings_on_branch_16_count</t>
  </si>
  <si>
    <t>Earp</t>
  </si>
  <si>
    <t>AI_0028_Inv_[n]_spare_analog_01</t>
  </si>
  <si>
    <t>AI_0029_Inv_[n]_spare_analog_02</t>
  </si>
  <si>
    <t>AI_0030_Inv_[n]_spare_analog_03</t>
  </si>
  <si>
    <t>AI_0031_Inv_[n]_spare_analog_04</t>
  </si>
  <si>
    <t>AI_0032_Inv_[n]_spare_analog_05</t>
  </si>
  <si>
    <t>AI_0033_Inv_[n]_spare_analog_06</t>
  </si>
  <si>
    <t>AI_0034_Inv_[n]_spare_analog_07</t>
  </si>
  <si>
    <t>AI_0035_Inv_[n]_spare_analog_08</t>
  </si>
  <si>
    <t>AI_0036_Inv_[n]_spare_analog_09</t>
  </si>
  <si>
    <t>AI_0037_Inv_[n]_spare_analog_10</t>
  </si>
  <si>
    <t>AI_0038_Inv_[n]_unit_1_status_enumeration</t>
  </si>
  <si>
    <t>AI_0039_Inv_[n]_unit_1_active_power_kW</t>
  </si>
  <si>
    <t>AI_0040_Inv_[n]_unit_1_reactive_power_kvar</t>
  </si>
  <si>
    <t>AI_0041_Inv_[n]_unit_1_phase_A_current_A</t>
  </si>
  <si>
    <t>AI_0042_Inv_[n]_unit_1_phase_B_current_A</t>
  </si>
  <si>
    <t>AI_0043_Inv_[n]_unit_1_phase_C_current_A</t>
  </si>
  <si>
    <t>AI_0044_Inv_[n]_unit_1_phase_AB_voltage_V</t>
  </si>
  <si>
    <t>AI_0045_Inv_[n]_unit_1_phase_BC_voltage_V</t>
  </si>
  <si>
    <t>AI_0046_Inv_[n]_unit_1_phase_CA_voltage_V</t>
  </si>
  <si>
    <t>AI_0047_Inv_[n]_unit_1_power_factor_PU</t>
  </si>
  <si>
    <t>AI_0048_Inv_[n]_unit_1_frequency_Hz</t>
  </si>
  <si>
    <t>AI_0049_Inv_[n]_unit_1_DC_power_kW</t>
  </si>
  <si>
    <t>AI_0050_Inv_[n]_unit_1_total_DC_current_A</t>
  </si>
  <si>
    <t>AI_0051_Inv_[n]_unit_1_DC_voltage_V</t>
  </si>
  <si>
    <t>AI_0052_Inv_[n]_unit_1_energy_production_today_kWh</t>
  </si>
  <si>
    <t>AI_0053_Inv_[n]_unit_1_energy_production_yesterday_kWh</t>
  </si>
  <si>
    <t>AI_0054_Inv_[n]_unit_1_total_energy_production_kWh</t>
  </si>
  <si>
    <t>AI_0055_Inv_[n]_unit_1_total_running_hours_hr</t>
  </si>
  <si>
    <t>AI_0056_Inv_[n]_unit_1_internal_module_temperature_degC</t>
  </si>
  <si>
    <t>AI_0057_Inv_[n]_unit_1_yesterday_grid_connected_minutes_min</t>
  </si>
  <si>
    <t>AI_0058_Inv_[n]_unit_1_efficiency_pct</t>
  </si>
  <si>
    <t>AI_0059_Inv_[n]_unit_1_positive_resitance_to_ground_kOhm</t>
  </si>
  <si>
    <t>AI_0060_Inv_[n]_unit_1_negative_resitance_to_ground_kOhm</t>
  </si>
  <si>
    <t>AI_0061_Inv_[n]_unit_1_negative_voltage_to_ground_V</t>
  </si>
  <si>
    <t>AI_0062_Inv_[n]_unit_1_DC_Input_1_A</t>
  </si>
  <si>
    <t>AI_0063_Inv_[n]_unit_1_DC_Input_2_A</t>
  </si>
  <si>
    <t>AI_0064_Inv_[n]_unit_1_DC_Input_3_A</t>
  </si>
  <si>
    <t>AI_0065_Inv_[n]_unit_1_DC_Input_4_A</t>
  </si>
  <si>
    <t>AI_0066_Inv_[n]_unit_1_DC_Input_5_A</t>
  </si>
  <si>
    <t>AI_0067_Inv_[n]_unit_1_DC_Input_6_A</t>
  </si>
  <si>
    <t>AI_0068_Inv_[n]_unit_1_DC_Input_7_A</t>
  </si>
  <si>
    <t>AI_0069_Inv_[n]_unit_1_DC_Input_8_A</t>
  </si>
  <si>
    <t>AI_0070_Inv_[n]_unit_1_DC_Input_9_A</t>
  </si>
  <si>
    <t>AI_0071_Inv_[n]_unit_1_DC_Input_10_A</t>
  </si>
  <si>
    <t>AI_0072_Inv_[n]_unit_1_DC_Input_11_A</t>
  </si>
  <si>
    <t>AI_0073_Inv_[n]_unit_1_DC_Input_12_A</t>
  </si>
  <si>
    <t>AI_0074_Inv_[n]_unit_1_DC_Input_13_A</t>
  </si>
  <si>
    <t>AI_0075_Inv_[n]_unit_1_DC_Input_14_A</t>
  </si>
  <si>
    <t>AI_0076_Inv_[n]_unit_1_DC_Input_15_A</t>
  </si>
  <si>
    <t>AI_0077_Inv_[n]_unit_1_DC_Input_16_A</t>
  </si>
  <si>
    <t>AI_0078_Inv_[n]_unit_1_event_recorder_record_count_count</t>
  </si>
  <si>
    <t>AI_0079_Inv_[n]_unit_1_AC_cabinet_temperature_degC</t>
  </si>
  <si>
    <t>AI_0080_Inv_[n]_unit_1_DC_cabinet_temperature_degC</t>
  </si>
  <si>
    <t>AI_0081_Inv_[n]_unit_1_control_cabinet_temperature_degC</t>
  </si>
  <si>
    <t>AI_0082_Inv_[n]_unit_1_busbar_temperature_degC</t>
  </si>
  <si>
    <t>AI_0083_Inv_[n]_unit_1_module_cabinet_temperature_degC</t>
  </si>
  <si>
    <t>AI_0084_Inv_[n]_unit_1_reactor_cabinet_temperature_degC</t>
  </si>
  <si>
    <t>AI_0085_Inv_[n]_unit_1_spare_analog_01</t>
  </si>
  <si>
    <t>AI_0086_Inv_[n]_unit_1_spare_analog_02</t>
  </si>
  <si>
    <t>AI_0087_Inv_[n]_unit_1_spare_analog_03</t>
  </si>
  <si>
    <t>AI_0088_Inv_[n]_unit_1_spare_analog_04</t>
  </si>
  <si>
    <t>AI_0089_Inv_[n]_unit_1_spare_analog_05</t>
  </si>
  <si>
    <t>AI_0090_Inv_[n]_unit_1_spare_analog_06</t>
  </si>
  <si>
    <t>AI_0091_Inv_[n]_unit_1_spare_analog_07</t>
  </si>
  <si>
    <t>AI_0092_Inv_[n]_unit_1_spare_analog_08</t>
  </si>
  <si>
    <t>AI_0093_Inv_[n]_unit_1_spare_analog_09</t>
  </si>
  <si>
    <t>AI_0094_Inv_[n]_unit_1_spare_analog_10</t>
  </si>
  <si>
    <t>AI_0095_Inv_[n]_unit_2_status_enumeration</t>
  </si>
  <si>
    <t>AI_0096_Inv_[n]_unit_2_active_power_kW</t>
  </si>
  <si>
    <t>AI_0097_Inv_[n]_unit_2_reactive_power_kvar</t>
  </si>
  <si>
    <t>AI_0098_Inv_[n]_unit_2_phase_A_current_A</t>
  </si>
  <si>
    <t>AI_0099_Inv_[n]_unit_2_phase_B_current_A</t>
  </si>
  <si>
    <t>AI_0100_Inv_[n]_unit_2_phase_C_current_A</t>
  </si>
  <si>
    <t>AI_0101_Inv_[n]_unit_2_phase_AB_voltage_V</t>
  </si>
  <si>
    <t>AI_0102_Inv_[n]_unit_2_phase_BC_voltage_V</t>
  </si>
  <si>
    <t>AI_0103_Inv_[n]_unit_2_phase_CA_voltage_V</t>
  </si>
  <si>
    <t>AI_0104_Inv_[n]_unit_2_power_factor_PU</t>
  </si>
  <si>
    <t>AI_0105_Inv_[n]_unit_2_frequency_Hz</t>
  </si>
  <si>
    <t>AI_0106_Inv_[n]_unit_2_DC_power_kW</t>
  </si>
  <si>
    <t>AI_0107_Inv_[n]_unit_2_total_DC_current_A</t>
  </si>
  <si>
    <t>AI_0108_Inv_[n]_unit_2_DC_voltage_V</t>
  </si>
  <si>
    <t>AI_0109_Inv_[n]_unit_2_energy_production_today_kWh</t>
  </si>
  <si>
    <t>AI_0110_Inv_[n]_unit_2_energy_production_yesterday_kWh</t>
  </si>
  <si>
    <t>AI_0111_Inv_[n]_unit_2_total_energy_production_kWh</t>
  </si>
  <si>
    <t>AI_0112_Inv_[n]_unit_2_total_running_hours_hr</t>
  </si>
  <si>
    <t>AI_0113_Inv_[n]_unit_2_internal_module_temperature_degC</t>
  </si>
  <si>
    <t>AI_0114_Inv_[n]_unit_2_yesterday_grid_connected_minutes_min</t>
  </si>
  <si>
    <t>AI_0115_Inv_[n]_unit_2_efficiency_pct</t>
  </si>
  <si>
    <t>AI_0116_Inv_[n]_unit_2_positive_resitance_to_ground_kOhm</t>
  </si>
  <si>
    <t>AI_0117_Inv_[n]_unit_2_negative_resitance_to_ground_kOhm</t>
  </si>
  <si>
    <t>AI_0118_Inv_[n]_unit_2_negative_voltage_to_ground_V</t>
  </si>
  <si>
    <t>AI_0119_Inv_[n]_unit_2_DC_Input_1_A</t>
  </si>
  <si>
    <t>AI_0120_Inv_[n]_unit_2_DC_Input_2_A</t>
  </si>
  <si>
    <t>AI_0121_Inv_[n]_unit_2_DC_Input_3_A</t>
  </si>
  <si>
    <t>AI_0122_Inv_[n]_unit_2_DC_Input_4_A</t>
  </si>
  <si>
    <t>AI_0123_Inv_[n]_unit_2_DC_Input_5_A</t>
  </si>
  <si>
    <t>AI_0124_Inv_[n]_unit_2_DC_Input_6_A</t>
  </si>
  <si>
    <t>AI_0125_Inv_[n]_unit_2_DC_Input_7_A</t>
  </si>
  <si>
    <t>AI_0126_Inv_[n]_unit_2_DC_Input_8_A</t>
  </si>
  <si>
    <t>AI_0127_Inv_[n]_unit_2_DC_Input_9_A</t>
  </si>
  <si>
    <t>AI_0128_Inv_[n]_unit_2_DC_Input_10_A</t>
  </si>
  <si>
    <t>AI_0129_Inv_[n]_unit_2_DC_Input_11_A</t>
  </si>
  <si>
    <t>AI_0130_Inv_[n]_unit_2_DC_Input_12_A</t>
  </si>
  <si>
    <t>AI_0131_Inv_[n]_unit_2_DC_Input_13_A</t>
  </si>
  <si>
    <t>AI_0132_Inv_[n]_unit_2_DC_Input_14_A</t>
  </si>
  <si>
    <t>AI_0133_Inv_[n]_unit_2_DC_Input_15_A</t>
  </si>
  <si>
    <t>AI_0134_Inv_[n]_unit_2_DC_Input_16_A</t>
  </si>
  <si>
    <t>AI_0135_Inv_[n]_unit_2_event_recorder_record_count_count</t>
  </si>
  <si>
    <t>AI_0136_Inv_[n]_unit_2_AC_cabinet_temperature_degC</t>
  </si>
  <si>
    <t>AI_0137_Inv_[n]_unit_2_DC_cabinet_temperature_degC</t>
  </si>
  <si>
    <t>AI_0138_Inv_[n]_unit_2_control_cabinet_temperature_degC</t>
  </si>
  <si>
    <t>AI_0139_Inv_[n]_unit_2_busbar_temperature_degC</t>
  </si>
  <si>
    <t>AI_0140_Inv_[n]_unit_2_module_cabinet_temperature_degC</t>
  </si>
  <si>
    <t>AI_0141_Inv_[n]_unit_2_reactor_cabinet_temperature_degC</t>
  </si>
  <si>
    <t>AI_0142_Inv_[n]_unit_2_spare_analog_01</t>
  </si>
  <si>
    <t>AI_0143_Inv_[n]_unit_2_spare_analog_02</t>
  </si>
  <si>
    <t>AI_0144_Inv_[n]_unit_2_spare_analog_03</t>
  </si>
  <si>
    <t>AI_0145_Inv_[n]_unit_2_spare_analog_04</t>
  </si>
  <si>
    <t>AI_0146_Inv_[n]_unit_2_spare_analog_05</t>
  </si>
  <si>
    <t>AI_0147_Inv_[n]_unit_2_spare_analog_06</t>
  </si>
  <si>
    <t>AI_0148_Inv_[n]_unit_2_spare_analog_07</t>
  </si>
  <si>
    <t>AI_0149_Inv_[n]_unit_2_spare_analog_08</t>
  </si>
  <si>
    <t>AI_0150_Inv_[n]_unit_2_spare_analog_09</t>
  </si>
  <si>
    <t>AI_0151_Inv_[n]_unit_2_spare_analog_10</t>
  </si>
  <si>
    <t>AI_0152_Inv_[n]_zone_monitor_unit_1_warning_number_of_strings_branch_1_count</t>
  </si>
  <si>
    <t>AI_0153_Inv_[n]_zone_monitor_unit_1_warning_number_of_strings_branch_2_count</t>
  </si>
  <si>
    <t>AI_0154_Inv_[n]_zone_monitor_unit_1_warning_number_of_strings_branch_3_count</t>
  </si>
  <si>
    <t>AI_0155_Inv_[n]_zone_monitor_unit_1_warning_number_of_strings_branch_4_count</t>
  </si>
  <si>
    <t>AI_0156_Inv_[n]_zone_monitor_unit_1_warning_number_of_strings_branch_5_count</t>
  </si>
  <si>
    <t>AI_0157_Inv_[n]_zone_monitor_unit_1_warning_number_of_strings_branch_6_count</t>
  </si>
  <si>
    <t>AI_0158_Inv_[n]_zone_monitor_unit_1_warning_number_of_strings_branch_7_count</t>
  </si>
  <si>
    <t>AI_0159_Inv_[n]_zone_monitor_unit_1_warning_number_of_strings_branch_8_count</t>
  </si>
  <si>
    <t>AI_0160_Inv_[n]_zone_monitor_unit_1_warning_number_of_strings_branch_9_count</t>
  </si>
  <si>
    <t>AI_0161_Inv_[n]_zone_monitor_unit_1_warning_number_of_strings_branch_10_count</t>
  </si>
  <si>
    <t>AI_0162_Inv_[n]_zone_monitor_unit_1_warning_number_of_strings_branch_11_count</t>
  </si>
  <si>
    <t>AI_0163_Inv_[n]_zone_monitor_unit_1_warning_number_of_strings_branch_12_count</t>
  </si>
  <si>
    <t>AI_0164_Inv_[n]_zone_monitor_unit_1_warning_number_of_strings_branch_13_count</t>
  </si>
  <si>
    <t>AI_0165_Inv_[n]_zone_monitor_unit_1_warning_number_of_strings_branch_14_count</t>
  </si>
  <si>
    <t>AI_0166_Inv_[n]_zone_monitor_unit_1_warning_number_of_strings_branch_15_count</t>
  </si>
  <si>
    <t>AI_0167_Inv_[n]_zone_monitor_unit_1_warning_number_of_strings_branch_16_count</t>
  </si>
  <si>
    <t>AI_0168_Inv_[n]_zone_monitor_unit_2_warning_number_of_strings_branch_1_count</t>
  </si>
  <si>
    <t>AI_0169_Inv_[n]_zone_monitor_unit_2_warning_number_of_strings_branch_2_count</t>
  </si>
  <si>
    <t>AI_0170_Inv_[n]_zone_monitor_unit_2_warning_number_of_strings_branch_3_count</t>
  </si>
  <si>
    <t>AI_0171_Inv_[n]_zone_monitor_unit_2_warning_number_of_strings_branch_4_count</t>
  </si>
  <si>
    <t>AI_0172_Inv_[n]_zone_monitor_unit_2_warning_number_of_strings_branch_5_count</t>
  </si>
  <si>
    <t>AI_0173_Inv_[n]_zone_monitor_unit_2_warning_number_of_strings_branch_6_count</t>
  </si>
  <si>
    <t>AI_0174_Inv_[n]_zone_monitor_unit_2_warning_number_of_strings_branch_7_count</t>
  </si>
  <si>
    <t>AI_0175_Inv_[n]_zone_monitor_unit_2_warning_number_of_strings_branch_8_count</t>
  </si>
  <si>
    <t>AI_0176_Inv_[n]_zone_monitor_unit_2_warning_number_of_strings_branch_9_count</t>
  </si>
  <si>
    <t>AI_0177_Inv_[n]_zone_monitor_unit_2_warning_number_of_strings_branch_10_count</t>
  </si>
  <si>
    <t>AI_0178_Inv_[n]_zone_monitor_unit_2_warning_number_of_strings_branch_11_count</t>
  </si>
  <si>
    <t>AI_0179_Inv_[n]_zone_monitor_unit_2_warning_number_of_strings_branch_12_count</t>
  </si>
  <si>
    <t>AI_0180_Inv_[n]_zone_monitor_unit_2_warning_number_of_strings_branch_13_count</t>
  </si>
  <si>
    <t>AI_0181_Inv_[n]_zone_monitor_unit_2_warning_number_of_strings_branch_14_count</t>
  </si>
  <si>
    <t>AI_0182_Inv_[n]_zone_monitor_unit_2_warning_number_of_strings_branch_15_count</t>
  </si>
  <si>
    <t>AI_0183_Inv_[n]_zone_monitor_unit_2_warning_number_of_strings_branch_16_count</t>
  </si>
  <si>
    <t>CNT_0000_Inv_[n]_status</t>
  </si>
  <si>
    <t>CNT_0000_Inv_[n]_circuit_breaker_status</t>
  </si>
  <si>
    <t>CNT_0000_Inv_[n]_disconnector_status</t>
  </si>
  <si>
    <t>CNT_0000_Inv_[n]_HV_local_remote_switch_status</t>
  </si>
  <si>
    <t>CNT_0000_Inv_[n]_running</t>
  </si>
  <si>
    <t>CNT_0000_Inv_[n]_stopped</t>
  </si>
  <si>
    <t>CNT_0001_Inv_[n]_unit_1_status</t>
  </si>
  <si>
    <t>CNT_0001_Inv_[n]_unit_1_load_switch_status</t>
  </si>
  <si>
    <t>CNT_0001_Inv_[n]_unit_1_circuit_breaker_status</t>
  </si>
  <si>
    <t>CNT_0001_Inv_[n]_unit_1_main_contactor_status</t>
  </si>
  <si>
    <t>CNT_0001_Inv_[n]_unit_1_SPD_status</t>
  </si>
  <si>
    <t>CNT_0001_Inv_[n]_unit_1_DC_switch_1_status</t>
  </si>
  <si>
    <t>CNT_0001_Inv_[n]_unit_1_DC_switch_2_status</t>
  </si>
  <si>
    <t>CNT_0001_Inv_[n]_unit_1_DC_switch_3_status</t>
  </si>
  <si>
    <t>CNT_0001_Inv_[n]_unit_1_DC_switch_4_status</t>
  </si>
  <si>
    <t>CNT_0001_Inv_[n]_unit_1_running</t>
  </si>
  <si>
    <t>CNT_0001_Inv_[n]_unit_1_stopped</t>
  </si>
  <si>
    <t>CNT_0001_Inv_[n]_unit_1_initial_standby</t>
  </si>
  <si>
    <t>CNT_0001_Inv_[n]_unit_1_key_stop</t>
  </si>
  <si>
    <t>CNT_0001_Inv_[n]_unit_1_standby</t>
  </si>
  <si>
    <t>CNT_0001_Inv_[n]_unit_1_emergency_stop</t>
  </si>
  <si>
    <t>CNT_0001_Inv_[n]_unit_1_starting</t>
  </si>
  <si>
    <t>CNT_0001_Inv_[n]_unit_1_stopping</t>
  </si>
  <si>
    <t>CNT_0001_Inv_[n]_unit_1_fault_stop</t>
  </si>
  <si>
    <t>CNT_0001_Inv_[n]_unit_1_alarm_running</t>
  </si>
  <si>
    <t>CNT_0001_Inv_[n]_unit_1_derating_running</t>
  </si>
  <si>
    <t>CNT_0001_Inv_[n]_unit_1_inverter_is_running</t>
  </si>
  <si>
    <t>CNT_0001_Inv_[n]_unit_1_inverter_is_stopped</t>
  </si>
  <si>
    <t>CNT_0001_Inv_[n]_unit_1_anti_PID_active</t>
  </si>
  <si>
    <t>CNT_0001_Inv_[n]_unit_1_ABC_local_remote_status</t>
  </si>
  <si>
    <t>CNT_0002_Inv_[n]_unit_2_status</t>
  </si>
  <si>
    <t>CNT_0002_Inv_[n]_unit_2_load_switch_status</t>
  </si>
  <si>
    <t>CNT_0002_Inv_[n]_unit_2_circuit_breaker_status</t>
  </si>
  <si>
    <t>CNT_0002_Inv_[n]_unit_2_main_contactor_status</t>
  </si>
  <si>
    <t>CNT_0002_Inv_[n]_unit_2_SPD_status</t>
  </si>
  <si>
    <t>CNT_0002_Inv_[n]_unit_2_DC_switch_1_status</t>
  </si>
  <si>
    <t>CNT_0002_Inv_[n]_unit_2_DC_switch_2_status</t>
  </si>
  <si>
    <t>CNT_0002_Inv_[n]_unit_2_DC_switch_3_status</t>
  </si>
  <si>
    <t>CNT_0002_Inv_[n]_unit_2_DC_switch_4_status</t>
  </si>
  <si>
    <t>CNT_0002_Inv_[n]_unit_2_running</t>
  </si>
  <si>
    <t>CNT_0002_Inv_[n]_unit_2_stopped</t>
  </si>
  <si>
    <t>CNT_0002_Inv_[n]_unit_2_initial_standby</t>
  </si>
  <si>
    <t>CNT_0002_Inv_[n]_unit_2_key_stop</t>
  </si>
  <si>
    <t>CNT_0002_Inv_[n]_unit_2_standby</t>
  </si>
  <si>
    <t>CNT_0002_Inv_[n]_unit_2_emergency_stop</t>
  </si>
  <si>
    <t>CNT_0002_Inv_[n]_unit_2_starting</t>
  </si>
  <si>
    <t>CNT_0002_Inv_[n]_unit_2_stopping</t>
  </si>
  <si>
    <t>CNT_0002_Inv_[n]_unit_2_fault_stop</t>
  </si>
  <si>
    <t>CNT_0002_Inv_[n]_unit_2_alarm_running</t>
  </si>
  <si>
    <t>CNT_0002_Inv_[n]_unit_2_derating_running</t>
  </si>
  <si>
    <t>CNT_0002_Inv_[n]_unit_2_inverter_is_running</t>
  </si>
  <si>
    <t>CNT_0002_Inv_[n]_unit_2_inverter_is_stopped</t>
  </si>
  <si>
    <t>CNT_0002_Inv_[n]_unit_2_anti_PID_active</t>
  </si>
  <si>
    <t>CNT_0002_Inv_[n]_unit_2_ABC_local_remote_status</t>
  </si>
  <si>
    <t>CNT_0003_Inv_[n]_alarms</t>
  </si>
  <si>
    <t>CNT_0003_Inv_[n]_overcurrent_protection_trip</t>
  </si>
  <si>
    <t>CNT_0003_Inv_[n]_external_emergency_stop_overall</t>
  </si>
  <si>
    <t>CNT_0003_Inv_[n]_remote_emergency_stop</t>
  </si>
  <si>
    <t>CNT_0003_Inv_[n]_local_emergency_stop</t>
  </si>
  <si>
    <t>CNT_0003_Inv_[n]_external_emergency_stop_mv_node</t>
  </si>
  <si>
    <t>CNT_0003_Inv_[n]_door_opening_protection</t>
  </si>
  <si>
    <t>CNT_0003_Inv_[n]_smoke_alarm_trip</t>
  </si>
  <si>
    <t>CNT_0003_Inv_[n]_HV_compartment_door_open</t>
  </si>
  <si>
    <t>CNT_0003_Inv_[n]_SF6_low_pressure</t>
  </si>
  <si>
    <t>CNT_0003_Inv_[n]_MV_fuse_failure</t>
  </si>
  <si>
    <t>CNT_0003_Inv_[n]_HV_compartment_smoke_alarm</t>
  </si>
  <si>
    <t>CNT_0003_Inv_[n]_smoke_sensor_abnormal</t>
  </si>
  <si>
    <t>CNT_0003_Inv_[n]_temperature_sensor_abnormal</t>
  </si>
  <si>
    <t>CNT_0003_Inv_[n]_HV_remote_trip</t>
  </si>
  <si>
    <t>CNT_0003_Inv_[n]_UPS_fault</t>
  </si>
  <si>
    <t>CNT_0004_Inv_[n]_transformer_alarms</t>
  </si>
  <si>
    <t>CNT_0004_Inv_[n]_transformer_gas_buildup_alarm</t>
  </si>
  <si>
    <t>CNT_0004_Inv_[n]_transformer_gas_buildup_trip</t>
  </si>
  <si>
    <t>CNT_0004_Inv_[n]_transformer_oil_temperature_alarm</t>
  </si>
  <si>
    <t>CNT_0004_Inv_[n]_transformer_oil_temperature_trip</t>
  </si>
  <si>
    <t>CNT_0004_Inv_[n]_transformer_low_oil_level_alarm</t>
  </si>
  <si>
    <t>CNT_0004_Inv_[n]_transformer_low_oil_level_trip</t>
  </si>
  <si>
    <t>CNT_0004_Inv_[n]_transformer_high_oil_level_alarm</t>
  </si>
  <si>
    <t>CNT_0004_Inv_[n]_transformer_pressure_relief_valve_alarm</t>
  </si>
  <si>
    <t>CNT_0004_Inv_[n]_transformer_pressure_relief_valve_trip</t>
  </si>
  <si>
    <t>CNT_0004_Inv_[n]_transformer_compartment_door_alarm</t>
  </si>
  <si>
    <t>CNT_0004_Inv_[n]_transformer_compartment_smoke_alarm</t>
  </si>
  <si>
    <t>CNT_0004_Inv_[n]_unit_1_transformer_over_temperature_alarm</t>
  </si>
  <si>
    <t>CNT_0004_Inv_[n]_unit_2_transformer_over_temperature_alarm</t>
  </si>
  <si>
    <t>CNT_0005_Inv_[n]_unit_1_alarms_1</t>
  </si>
  <si>
    <t>CNT_0005_Inv_[n]_unit_1_AC_current_imballance</t>
  </si>
  <si>
    <t>CNT_0005_Inv_[n]_unit_1_AC_fuse_fault</t>
  </si>
  <si>
    <t>CNT_0005_Inv_[n]_unit_1_AC_leakage_current_protection_alarm</t>
  </si>
  <si>
    <t>CNT_0005_Inv_[n]_unit_1_AC_overcurrent</t>
  </si>
  <si>
    <t>CNT_0005_Inv_[n]_unit_1_AC_overvoltage_alarm</t>
  </si>
  <si>
    <t>CNT_0005_Inv_[n]_unit_1_AC_SPD_fault</t>
  </si>
  <si>
    <t>CNT_0005_Inv_[n]_unit_1_AC_undervoltage_alarm</t>
  </si>
  <si>
    <t>CNT_0005_Inv_[n]_unit_1_Anti_islanding_protection_active</t>
  </si>
  <si>
    <t>CNT_0005_Inv_[n]_unit_1_Bus_overvoltage</t>
  </si>
  <si>
    <t>CNT_0005_Inv_[n]_unit_1_Bus_undervoltage</t>
  </si>
  <si>
    <t>CNT_0005_Inv_[n]_unit_1_CT_unbalance</t>
  </si>
  <si>
    <t>CNT_0005_Inv_[n]_unit_1_Frequency_abnormal</t>
  </si>
  <si>
    <t>CNT_0005_Inv_[n]_unit_1_Frequency_deviation_active_power_regulation</t>
  </si>
  <si>
    <t>CNT_0005_Inv_[n]_unit_1_Grid_voltage_imballance</t>
  </si>
  <si>
    <t>CNT_0005_Inv_[n]_unit_1_Overfrequency_alarm</t>
  </si>
  <si>
    <t>CNT_0005_Inv_[n]_unit_1_Underfrequency_alarm</t>
  </si>
  <si>
    <t>CNT_0005_Inv_[n]_unit_1_Sampling_fault</t>
  </si>
  <si>
    <t>CNT_0005_Inv_[n]_unit_1_Voltage_deviation_reactive_power_regulation</t>
  </si>
  <si>
    <t>CNT_0005_Inv_[n]_unit_1_Current_unbalance_2</t>
  </si>
  <si>
    <t>CNT_0005_Inv_[n]_unit_1_Current_unbalance_3</t>
  </si>
  <si>
    <t>CNT_0005_Inv_[n]_unit_1_DC_bypass_forward_overcurrent_alarm</t>
  </si>
  <si>
    <t>CNT_0005_Inv_[n]_unit_1_DC_bypass_reverse_overcurrent_alarm</t>
  </si>
  <si>
    <t>CNT_0005_Inv_[n]_unit_1_DC_fuse_failure</t>
  </si>
  <si>
    <t>CNT_0005_Inv_[n]_unit_1_DC_fuse_grounding_fault</t>
  </si>
  <si>
    <t>CNT_0005_Inv_[n]_unit_1_DC_injection_fault</t>
  </si>
  <si>
    <t>CNT_0005_Inv_[n]_unit_1_DC_leakage_current_protection_alarm</t>
  </si>
  <si>
    <t>CNT_0005_Inv_[n]_unit_1_DC_overcurrent</t>
  </si>
  <si>
    <t>CNT_0005_Inv_[n]_unit_1_DC_overvoltage_alarm</t>
  </si>
  <si>
    <t>CNT_0005_Inv_[n]_unit_1_DC_polarity_reversed_alarm</t>
  </si>
  <si>
    <t>CNT_0006_Inv_[n]_unit_1_alarms_2</t>
  </si>
  <si>
    <t>CNT_0006_Inv_[n]_unit_1_DC_sensor_fault</t>
  </si>
  <si>
    <t>CNT_0006_Inv_[n]_unit_1_DC_SPD_fault</t>
  </si>
  <si>
    <t>CNT_0006_Inv_[n]_unit_1_DC_switch_fault</t>
  </si>
  <si>
    <t>CNT_0006_Inv_[n]_unit_1_DC_undervoltage_alarm</t>
  </si>
  <si>
    <t>CNT_0006_Inv_[n]_unit_1_Detection_fuse_failure</t>
  </si>
  <si>
    <t>CNT_0006_Inv_[n]_unit_1_Insulation_impedance_fault</t>
  </si>
  <si>
    <t>CNT_0006_Inv_[n]_unit_1_Inverter_overvoltage</t>
  </si>
  <si>
    <t>CNT_0006_Inv_[n]_unit_1_Low_insulation_resistance_alarm</t>
  </si>
  <si>
    <t>CNT_0006_Inv_[n]_unit_1_Neutral_point_potential_shift_alarm</t>
  </si>
  <si>
    <t>CNT_0006_Inv_[n]_unit_1_Temperature_abnormal</t>
  </si>
  <si>
    <t>CNT_0006_Inv_[n]_unit_1_Temperature_alarm</t>
  </si>
  <si>
    <t>CNT_0006_Inv_[n]_unit_1_AC_cabinet_temperature_alarm</t>
  </si>
  <si>
    <t>CNT_0006_Inv_[n]_unit_1_DC_cabinet_temperature_alarm</t>
  </si>
  <si>
    <t>CNT_0006_Inv_[n]_unit_1_Control_cabinet_temperature_alarm</t>
  </si>
  <si>
    <t>CNT_0006_Inv_[n]_unit_1_Busbar_temperature_alarm</t>
  </si>
  <si>
    <t>CNT_0006_Inv_[n]_unit_1_Module_overtemperature_alarm</t>
  </si>
  <si>
    <t>CNT_0006_Inv_[n]_unit_1_Reactor_overtemperature_alarm</t>
  </si>
  <si>
    <t>CNT_0006_Inv_[n]_unit_1_AC_circuit_breaker_fault</t>
  </si>
  <si>
    <t>CNT_0006_Inv_[n]_unit_1_Bypass_circuit_breaker_fault</t>
  </si>
  <si>
    <t>CNT_0006_Inv_[n]_unit_1_AC_switch_fault</t>
  </si>
  <si>
    <t>CNT_0006_Inv_[n]_unit_1_AC_switch_disconnection</t>
  </si>
  <si>
    <t>CNT_0006_Inv_[n]_unit_1_Buffer_contactor_fault</t>
  </si>
  <si>
    <t>CNT_0006_Inv_[n]_unit_1_Contactor_fault</t>
  </si>
  <si>
    <t>CNT_0006_Inv_[n]_unit_1_Contactor_contact_fault</t>
  </si>
  <si>
    <t>CNT_0006_Inv_[n]_unit_1_Anti_PID_power_supply</t>
  </si>
  <si>
    <t>CNT_0006_Inv_[n]_unit_1_Backup_power_supply_fault</t>
  </si>
  <si>
    <t>CNT_0006_Inv_[n]_unit_1_Control_power_supply_fault</t>
  </si>
  <si>
    <t>CNT_0006_Inv_[n]_unit_1_Bypass_fuse_abnormal___branch_fault</t>
  </si>
  <si>
    <t>CNT_0006_Inv_[n]_unit_1_Ground_fuse_fault</t>
  </si>
  <si>
    <t>CNT_0006_Inv_[n]_unit_1_Abnormal_derating_of_fan</t>
  </si>
  <si>
    <t>CNT_0007_Inv_[n]_unit_1_alarms_3</t>
  </si>
  <si>
    <t>CNT_0007_Inv_[n]_unit_1_Fan_fault</t>
  </si>
  <si>
    <t>CNT_0007_Inv_[n]_unit_1_Fan_2_fault</t>
  </si>
  <si>
    <t>CNT_0007_Inv_[n]_unit_1_Grounding_fault</t>
  </si>
  <si>
    <t>CNT_0007_Inv_[n]_unit_1_Drive_board_fault</t>
  </si>
  <si>
    <t>CNT_0007_Inv_[n]_unit_1_Hardware_fault</t>
  </si>
  <si>
    <t>CNT_0007_Inv_[n]_unit_1_Insulation_impedance_sensor_fault</t>
  </si>
  <si>
    <t>CNT_0007_Inv_[n]_unit_1_Sensor_failure</t>
  </si>
  <si>
    <t>CNT_0007_Inv_[n]_unit_1_Temperature_and_humidity_sensor_fault</t>
  </si>
  <si>
    <t>CNT_0007_Inv_[n]_unit_1_DC_voltage_sampling_fault</t>
  </si>
  <si>
    <t>CNT_0007_Inv_[n]_unit_1_Soft_start_fault</t>
  </si>
  <si>
    <t>CNT_0007_Inv_[n]_unit_1_DSP_MDC_communication_failure</t>
  </si>
  <si>
    <t>CNT_0007_Inv_[n]_unit_1_IO_DSP_communication_failure</t>
  </si>
  <si>
    <t>CNT_0007_Inv_[n]_unit_1_IO_MDC_communication_abnormal</t>
  </si>
  <si>
    <t>CNT_0007_Inv_[n]_unit_1_Meter_communication_failure</t>
  </si>
  <si>
    <t>CNT_0007_Inv_[n]_unit_1_Parallel_operation_communication_failure</t>
  </si>
  <si>
    <t>CNT_0007_Inv_[n]_unit_1_Tributary_board_communication_failure</t>
  </si>
  <si>
    <t>CNT_0007_Inv_[n]_unit_1_ABC_fault</t>
  </si>
  <si>
    <t>CNT_0007_Inv_[n]_unit_1_Carrier_sync_failure</t>
  </si>
  <si>
    <t>CNT_0007_Inv_[n]_unit_1_Device_code_repeat_fault</t>
  </si>
  <si>
    <t>CNT_0007_Inv_[n]_unit_1_External_power_supply_fault</t>
  </si>
  <si>
    <t>CNT_0007_Inv_[n]_unit_1_GFDI_protection_active</t>
  </si>
  <si>
    <t>CNT_0007_Inv_[n]_unit_1_GFRT_operation_alarm</t>
  </si>
  <si>
    <t>CNT_0007_Inv_[n]_unit_1_Overload_protection_active</t>
  </si>
  <si>
    <t>CNT_0007_Inv_[n]_unit_1_PDP_protection_active</t>
  </si>
  <si>
    <t>CNT_0007_Inv_[n]_unit_1_Reversed_branch_over_current</t>
  </si>
  <si>
    <t>CNT_0008_Inv_[n]_unit_2_alarms_1</t>
  </si>
  <si>
    <t>CNT_0008_Inv_[n]_unit_2_AC_current_imballance</t>
  </si>
  <si>
    <t>CNT_0008_Inv_[n]_unit_2_AC_fuse_fault</t>
  </si>
  <si>
    <t>CNT_0008_Inv_[n]_unit_2_AC_leakage_current_protection_alarm</t>
  </si>
  <si>
    <t>CNT_0008_Inv_[n]_unit_2_AC_overcurrent</t>
  </si>
  <si>
    <t>CNT_0008_Inv_[n]_unit_2_AC_overvoltage_alarm</t>
  </si>
  <si>
    <t>CNT_0008_Inv_[n]_unit_2_AC_SPD_fault</t>
  </si>
  <si>
    <t>CNT_0008_Inv_[n]_unit_2_AC_undervoltage_alarm</t>
  </si>
  <si>
    <t>CNT_0008_Inv_[n]_unit_2_Anti_islanding_protection_active</t>
  </si>
  <si>
    <t>CNT_0008_Inv_[n]_unit_2_Bus_overvoltage</t>
  </si>
  <si>
    <t>CNT_0008_Inv_[n]_unit_2_Bus_undervoltage</t>
  </si>
  <si>
    <t>CNT_0008_Inv_[n]_unit_2_CT_unbalance</t>
  </si>
  <si>
    <t>CNT_0008_Inv_[n]_unit_2_Frequency_abnormal</t>
  </si>
  <si>
    <t>CNT_0008_Inv_[n]_unit_2_Frequency_deviation_active_power_regulation</t>
  </si>
  <si>
    <t>CNT_0008_Inv_[n]_unit_2_Grid_voltage_imballance</t>
  </si>
  <si>
    <t>CNT_0008_Inv_[n]_unit_2_Overfrequency_alarm</t>
  </si>
  <si>
    <t>CNT_0008_Inv_[n]_unit_2_Underfrequency_alarm</t>
  </si>
  <si>
    <t>CNT_0008_Inv_[n]_unit_2_Sampling_fault</t>
  </si>
  <si>
    <t>CNT_0008_Inv_[n]_unit_2_Voltage_deviation_reactive_power_regulation</t>
  </si>
  <si>
    <t>CNT_0008_Inv_[n]_unit_2_Current_unbalance_2</t>
  </si>
  <si>
    <t>CNT_0008_Inv_[n]_unit_2_Current_unbalance_3</t>
  </si>
  <si>
    <t>CNT_0008_Inv_[n]_unit_2_DC_bypass_forward_overcurrent_alarm</t>
  </si>
  <si>
    <t>CNT_0008_Inv_[n]_unit_2_DC_bypass_reverse_overcurrent_alarm</t>
  </si>
  <si>
    <t>CNT_0008_Inv_[n]_unit_2_DC_fuse_failure</t>
  </si>
  <si>
    <t>CNT_0008_Inv_[n]_unit_2_DC_fuse_grounding_fault</t>
  </si>
  <si>
    <t>CNT_0008_Inv_[n]_unit_2_DC_injection_fault</t>
  </si>
  <si>
    <t>CNT_0008_Inv_[n]_unit_2_DC_leakage_current_protection_alarm</t>
  </si>
  <si>
    <t>CNT_0008_Inv_[n]_unit_2_DC_overcurrent</t>
  </si>
  <si>
    <t>CNT_0008_Inv_[n]_unit_2_DC_overvoltage_alarm</t>
  </si>
  <si>
    <t>CNT_0008_Inv_[n]_unit_2_DC_polarity_reversed_alarm</t>
  </si>
  <si>
    <t>CNT_0009_Inv_[n]_unit_2_alarms_2</t>
  </si>
  <si>
    <t>CNT_0009_Inv_[n]_unit_2_DC_sensor_fault</t>
  </si>
  <si>
    <t>CNT_0009_Inv_[n]_unit_2_DC_SPD_fault</t>
  </si>
  <si>
    <t>CNT_0009_Inv_[n]_unit_2_DC_switch_fault</t>
  </si>
  <si>
    <t>CNT_0009_Inv_[n]_unit_2_DC_undervoltage_alarm</t>
  </si>
  <si>
    <t>CNT_0009_Inv_[n]_unit_2_Detection_fuse_failure</t>
  </si>
  <si>
    <t>CNT_0009_Inv_[n]_unit_2_Insulation_impedance_fault</t>
  </si>
  <si>
    <t>CNT_0009_Inv_[n]_unit_2_Inverter_overvoltage</t>
  </si>
  <si>
    <t>CNT_0009_Inv_[n]_unit_2_Low_insulation_resistance_alarm</t>
  </si>
  <si>
    <t>CNT_0009_Inv_[n]_unit_2_Neutral_point_potential_shift_alarm</t>
  </si>
  <si>
    <t>CNT_0009_Inv_[n]_unit_2_Temperature_abnormal</t>
  </si>
  <si>
    <t>CNT_0009_Inv_[n]_unit_2_Temperature_alarm</t>
  </si>
  <si>
    <t>CNT_0009_Inv_[n]_unit_2_AC_cabinet_temperature_alarm</t>
  </si>
  <si>
    <t>CNT_0009_Inv_[n]_unit_2_DC_cabinet_temperature_alarm</t>
  </si>
  <si>
    <t>CNT_0009_Inv_[n]_unit_2_Control_cabinet_temperature_alarm</t>
  </si>
  <si>
    <t>CNT_0009_Inv_[n]_unit_2_Busbar_temperature_alarm</t>
  </si>
  <si>
    <t>CNT_0009_Inv_[n]_unit_2_Module_overtemperature_alarm</t>
  </si>
  <si>
    <t>CNT_0009_Inv_[n]_unit_2_Reactor_overtemperature_alarm</t>
  </si>
  <si>
    <t>CNT_0009_Inv_[n]_unit_2_AC_circuit_breaker_fault</t>
  </si>
  <si>
    <t>CNT_0009_Inv_[n]_unit_2_Bypass_circuit_breaker_fault</t>
  </si>
  <si>
    <t>CNT_0009_Inv_[n]_unit_2_AC_switch_fault</t>
  </si>
  <si>
    <t>CNT_0009_Inv_[n]_unit_2_AC_switch_disconnection</t>
  </si>
  <si>
    <t>CNT_0009_Inv_[n]_unit_2_Buffer_contactor_fault</t>
  </si>
  <si>
    <t>CNT_0009_Inv_[n]_unit_2_Contactor_fault</t>
  </si>
  <si>
    <t>CNT_0009_Inv_[n]_unit_2_Contactor_contact_fault</t>
  </si>
  <si>
    <t>CNT_0009_Inv_[n]_unit_2_Anti_PID_power_supply</t>
  </si>
  <si>
    <t>CNT_0009_Inv_[n]_unit_2_Backup_power_supply_fault</t>
  </si>
  <si>
    <t>CNT_0009_Inv_[n]_unit_2_Control_power_supply_fault</t>
  </si>
  <si>
    <t>CNT_0009_Inv_[n]_unit_2_Bypass_fuse_abnormal___branch_fault</t>
  </si>
  <si>
    <t>CNT_0009_Inv_[n]_unit_2_Ground_fuse_fault</t>
  </si>
  <si>
    <t>CNT_0009_Inv_[n]_unit_2_Abnormal_derating_of_fan</t>
  </si>
  <si>
    <t>CNT_0010_Inv_[n]_unit_2_alarms_3</t>
  </si>
  <si>
    <t>CNT_0010_Inv_[n]_unit_2_Fan_fault</t>
  </si>
  <si>
    <t>CNT_0010_Inv_[n]_unit_2_Fan_2_fault</t>
  </si>
  <si>
    <t>CNT_0010_Inv_[n]_unit_2_Grounding_fault</t>
  </si>
  <si>
    <t>CNT_0010_Inv_[n]_unit_2_Drive_board_fault</t>
  </si>
  <si>
    <t>CNT_0010_Inv_[n]_unit_2_Hardware_fault</t>
  </si>
  <si>
    <t>CNT_0010_Inv_[n]_unit_2_Insulation_impedance_sensor_fault</t>
  </si>
  <si>
    <t>CNT_0010_Inv_[n]_unit_2_Sensor_failure</t>
  </si>
  <si>
    <t>CNT_0010_Inv_[n]_unit_2_Temperature_and_humidity_sensor_fault</t>
  </si>
  <si>
    <t>CNT_0010_Inv_[n]_unit_2_DC_voltage_sampling_fault</t>
  </si>
  <si>
    <t>CNT_0010_Inv_[n]_unit_2_Soft_start_fault</t>
  </si>
  <si>
    <t>CNT_0010_Inv_[n]_unit_2_DSP_MDC_communication_failure</t>
  </si>
  <si>
    <t>CNT_0010_Inv_[n]_unit_2_IO_DSP_communication_failure</t>
  </si>
  <si>
    <t>CNT_0010_Inv_[n]_unit_2_IO_MDC_communication_abnormal</t>
  </si>
  <si>
    <t>CNT_0010_Inv_[n]_unit_2_Meter_communication_failure</t>
  </si>
  <si>
    <t>CNT_0010_Inv_[n]_unit_2_Parallel_operation_communication_failure</t>
  </si>
  <si>
    <t>CNT_0010_Inv_[n]_unit_2_Tributary_board_communication_failure</t>
  </si>
  <si>
    <t>CNT_0010_Inv_[n]_unit_2_ABC_fault</t>
  </si>
  <si>
    <t>CNT_0010_Inv_[n]_unit_2_Carrier_sync_failure</t>
  </si>
  <si>
    <t>CNT_0010_Inv_[n]_unit_2_Device_code_repeat_fault</t>
  </si>
  <si>
    <t>CNT_0010_Inv_[n]_unit_2_External_power_supply_fault</t>
  </si>
  <si>
    <t>CNT_0010_Inv_[n]_unit_2_GFDI_protection_active</t>
  </si>
  <si>
    <t>CNT_0010_Inv_[n]_unit_2_GFRT_operation_alarm</t>
  </si>
  <si>
    <t>CNT_0010_Inv_[n]_unit_2_Overload_protection_active</t>
  </si>
  <si>
    <t>CNT_0010_Inv_[n]_unit_2_PDP_protection_active</t>
  </si>
  <si>
    <t>CNT_0010_Inv_[n]_unit_2_Reversed_branch_over_current</t>
  </si>
  <si>
    <t>CNT_0011_Inv_[n]_zone_monitor_branch_open_circuit</t>
  </si>
  <si>
    <t>CNT_0011_Inv_[n]_unit_1_open_circuit_fault_branch_1</t>
  </si>
  <si>
    <t>CNT_0011_Inv_[n]_unit_1_open_circuit_fault_branch_2</t>
  </si>
  <si>
    <t>CNT_0011_Inv_[n]_unit_1_open_circuit_fault_branch_3</t>
  </si>
  <si>
    <t>CNT_0011_Inv_[n]_unit_1_open_circuit_fault_branch_4</t>
  </si>
  <si>
    <t>CNT_0011_Inv_[n]_unit_1_open_circuit_fault_branch_5</t>
  </si>
  <si>
    <t>CNT_0011_Inv_[n]_unit_1_open_circuit_fault_branch_6</t>
  </si>
  <si>
    <t>CNT_0011_Inv_[n]_unit_1_open_circuit_fault_branch_7</t>
  </si>
  <si>
    <t>CNT_0011_Inv_[n]_unit_1_open_circuit_fault_branch_8</t>
  </si>
  <si>
    <t>CNT_0011_Inv_[n]_unit_1_open_circuit_fault_branch_9</t>
  </si>
  <si>
    <t>CNT_0011_Inv_[n]_unit_1_open_circuit_fault_branch_10</t>
  </si>
  <si>
    <t>CNT_0011_Inv_[n]_unit_1_open_circuit_fault_branch_11</t>
  </si>
  <si>
    <t>CNT_0011_Inv_[n]_unit_1_open_circuit_fault_branch_12</t>
  </si>
  <si>
    <t>CNT_0011_Inv_[n]_unit_1_open_circuit_fault_branch_13</t>
  </si>
  <si>
    <t>CNT_0011_Inv_[n]_unit_1_open_circuit_fault_branch_14</t>
  </si>
  <si>
    <t>CNT_0011_Inv_[n]_unit_1_open_circuit_fault_branch_15</t>
  </si>
  <si>
    <t>CNT_0011_Inv_[n]_unit_1_open_circuit_fault_branch_16</t>
  </si>
  <si>
    <t>CNT_0011_Inv_[n]_unit_2_open_circuit_fault_branch_1</t>
  </si>
  <si>
    <t>CNT_0011_Inv_[n]_unit_2_open_circuit_fault_branch_2</t>
  </si>
  <si>
    <t>CNT_0011_Inv_[n]_unit_2_open_circuit_fault_branch_3</t>
  </si>
  <si>
    <t>CNT_0011_Inv_[n]_unit_2_open_circuit_fault_branch_4</t>
  </si>
  <si>
    <t>CNT_0011_Inv_[n]_unit_2_open_circuit_fault_branch_5</t>
  </si>
  <si>
    <t>CNT_0011_Inv_[n]_unit_2_open_circuit_fault_branch_6</t>
  </si>
  <si>
    <t>CNT_0011_Inv_[n]_unit_2_open_circuit_fault_branch_7</t>
  </si>
  <si>
    <t>CNT_0011_Inv_[n]_unit_2_open_circuit_fault_branch_8</t>
  </si>
  <si>
    <t>CNT_0011_Inv_[n]_unit_2_open_circuit_fault_branch_9</t>
  </si>
  <si>
    <t>CNT_0011_Inv_[n]_unit_2_open_circuit_fault_branch_10</t>
  </si>
  <si>
    <t>CNT_0011_Inv_[n]_unit_2_open_circuit_fault_branch_11</t>
  </si>
  <si>
    <t>CNT_0011_Inv_[n]_unit_2_open_circuit_fault_branch_12</t>
  </si>
  <si>
    <t>CNT_0011_Inv_[n]_unit_2_open_circuit_fault_branch_13</t>
  </si>
  <si>
    <t>CNT_0011_Inv_[n]_unit_2_open_circuit_fault_branch_14</t>
  </si>
  <si>
    <t>CNT_0011_Inv_[n]_unit_2_open_circuit_fault_branch_15</t>
  </si>
  <si>
    <t>CNT_0011_Inv_[n]_unit_2_open_circuit_fault_branch_16</t>
  </si>
  <si>
    <t>CNT_0012_Inv_[n]_zone_monitor_string_failure</t>
  </si>
  <si>
    <t>CNT_0012_Inv_[n]_unit_1_string_failure_branch_1</t>
  </si>
  <si>
    <t>CNT_0012_Inv_[n]_unit_1_string_failure_branch_2</t>
  </si>
  <si>
    <t>CNT_0012_Inv_[n]_unit_1_string_failure_branch_3</t>
  </si>
  <si>
    <t>CNT_0012_Inv_[n]_unit_1_string_failure_branch_4</t>
  </si>
  <si>
    <t>CNT_0012_Inv_[n]_unit_1_string_failure_branch_5</t>
  </si>
  <si>
    <t>CNT_0012_Inv_[n]_unit_1_string_failure_branch_6</t>
  </si>
  <si>
    <t>CNT_0012_Inv_[n]_unit_1_string_failure_branch_7</t>
  </si>
  <si>
    <t>CNT_0012_Inv_[n]_unit_1_string_failure_branch_8</t>
  </si>
  <si>
    <t>CNT_0012_Inv_[n]_unit_1_string_failure_branch_9</t>
  </si>
  <si>
    <t>CNT_0012_Inv_[n]_unit_1_string_failure_branch_10</t>
  </si>
  <si>
    <t>CNT_0012_Inv_[n]_unit_1_string_failure_branch_11</t>
  </si>
  <si>
    <t>CNT_0012_Inv_[n]_unit_1_string_failure_branch_12</t>
  </si>
  <si>
    <t>CNT_0012_Inv_[n]_unit_1_string_failure_branch_13</t>
  </si>
  <si>
    <t>CNT_0012_Inv_[n]_unit_1_string_failure_branch_14</t>
  </si>
  <si>
    <t>CNT_0012_Inv_[n]_unit_1_string_failure_branch_15</t>
  </si>
  <si>
    <t>CNT_0012_Inv_[n]_unit_1_string_failure_branch_16</t>
  </si>
  <si>
    <t>CNT_0012_Inv_[n]_unit_2_string_failure_branch_1</t>
  </si>
  <si>
    <t>CNT_0012_Inv_[n]_unit_2_string_failure_branch_2</t>
  </si>
  <si>
    <t>CNT_0012_Inv_[n]_unit_2_string_failure_branch_3</t>
  </si>
  <si>
    <t>CNT_0012_Inv_[n]_unit_2_string_failure_branch_4</t>
  </si>
  <si>
    <t>CNT_0012_Inv_[n]_unit_2_string_failure_branch_5</t>
  </si>
  <si>
    <t>CNT_0012_Inv_[n]_unit_2_string_failure_branch_6</t>
  </si>
  <si>
    <t>CNT_0012_Inv_[n]_unit_2_string_failure_branch_7</t>
  </si>
  <si>
    <t>CNT_0012_Inv_[n]_unit_2_string_failure_branch_8</t>
  </si>
  <si>
    <t>CNT_0012_Inv_[n]_unit_2_string_failure_branch_9</t>
  </si>
  <si>
    <t>CNT_0012_Inv_[n]_unit_2_string_failure_branch_10</t>
  </si>
  <si>
    <t>CNT_0012_Inv_[n]_unit_2_string_failure_branch_11</t>
  </si>
  <si>
    <t>CNT_0012_Inv_[n]_unit_2_string_failure_branch_12</t>
  </si>
  <si>
    <t>CNT_0012_Inv_[n]_unit_2_string_failure_branch_13</t>
  </si>
  <si>
    <t>CNT_0012_Inv_[n]_unit_2_string_failure_branch_14</t>
  </si>
  <si>
    <t>CNT_0012_Inv_[n]_unit_2_string_failure_branch_15</t>
  </si>
  <si>
    <t>CNT_0012_Inv_[n]_unit_2_string_failure_branch_16</t>
  </si>
  <si>
    <t>CNT_0013_Inv_[n]_unit_1_fault_state_1_register</t>
  </si>
  <si>
    <t>CNT_0014_Inv_[n]_unit_1_fault_state_2_register</t>
  </si>
  <si>
    <t>CNT_0015_Inv_[n]_unit_1_node_state_1_register</t>
  </si>
  <si>
    <t>CNT_0016_Inv_[n]_unit_1_node_state_2_register</t>
  </si>
  <si>
    <t>CNT_0017_Inv_[n]_unit_1_work_state_register</t>
  </si>
  <si>
    <t>CNT_0018_Inv_[n]_unit_1_alarm_state_register</t>
  </si>
  <si>
    <t>CNT_0019_Inv_[n]_unit_2_fault_state_1_register</t>
  </si>
  <si>
    <t>CNT_0020_Inv_[n]_unit_2_fault_state_2_register</t>
  </si>
  <si>
    <t>CNT_0021_Inv_[n]_unit_2_node_state_1_register</t>
  </si>
  <si>
    <t>CNT_0022_Inv_[n]_unit_2_node_state_2_register</t>
  </si>
  <si>
    <t>CNT_0023_Inv_[n]_unit_2_work_state_register</t>
  </si>
  <si>
    <t>CNT_0024_Inv_[n]_unit_2_alarm_state_register</t>
  </si>
  <si>
    <t>CNT_0025_Inv_[n]_transformer_node_state_register</t>
  </si>
  <si>
    <t>CNT_0026_Inv_[n]_overall_work_state_register</t>
  </si>
  <si>
    <t>CNT_0027_Inv_[n]_mv_node_1_state_register</t>
  </si>
  <si>
    <t>CNT_0028_Inv_[n]_mv_node_2_state_register</t>
  </si>
  <si>
    <t>CNT_0029_Inv_[n]_overall_alarm_state_register</t>
  </si>
  <si>
    <t>CNT_0030_Inv_[n]_digital_input_state_register</t>
  </si>
  <si>
    <t>BI_0004_Inv_[n]_DI01_status</t>
  </si>
  <si>
    <t>BI_0005_Inv_[n]_DI02_status</t>
  </si>
  <si>
    <t>BI_0006_Inv_[n]_DI03_status</t>
  </si>
  <si>
    <t>BI_0007_Inv_[n]_DI04_status</t>
  </si>
  <si>
    <t>BI_0008_Inv_[n]_DI05_status</t>
  </si>
  <si>
    <t>BI_0009_Inv_[n]_DI06_status</t>
  </si>
  <si>
    <t>BI_0010_Inv_[n]_DI07_status</t>
  </si>
  <si>
    <t>BI_0011_Inv_[n]_DI08_status</t>
  </si>
  <si>
    <t>BI_0012_Inv_[n]_DI09_status</t>
  </si>
  <si>
    <t>BI_0013_Inv_[n]_DI10_status</t>
  </si>
  <si>
    <t>BI_0014_Inv_[n]_DI11_status</t>
  </si>
  <si>
    <t>BI_0015_Inv_[n]_DI12_status</t>
  </si>
  <si>
    <t>BI_0016_Inv_[n]_DI13_status</t>
  </si>
  <si>
    <t>BI_0017_Inv_[n]_DI14_status</t>
  </si>
  <si>
    <t>BI_0018_Inv_[n]_DI15_status</t>
  </si>
  <si>
    <t>BI_0019_Inv_[n]_DI16_status</t>
  </si>
  <si>
    <t>BI_0020_Inv_[n]_DI17_status</t>
  </si>
  <si>
    <t>BI_0021_Inv_[n]_DI18_status</t>
  </si>
  <si>
    <t>BI_0022_Inv_[n]_DI19_status</t>
  </si>
  <si>
    <t>BI_0023_Inv_[n]_DI20_status</t>
  </si>
  <si>
    <t>BI_0024_Inv_[n]_DI21_status</t>
  </si>
  <si>
    <t>error</t>
  </si>
  <si>
    <t>Number of NCUs</t>
  </si>
  <si>
    <t>DegC</t>
  </si>
  <si>
    <t>mm/day</t>
  </si>
  <si>
    <t>DegF</t>
  </si>
  <si>
    <t>inHg</t>
  </si>
  <si>
    <t>in/hr</t>
  </si>
  <si>
    <t>in/day</t>
  </si>
  <si>
    <t>rpm</t>
  </si>
  <si>
    <t>Albedometers to PPC</t>
  </si>
  <si>
    <t>Ignt TagPath
Prefix: [GarnetMesaSolar]Network/</t>
  </si>
  <si>
    <t>FieldEnclosure[n]/30BatS[n2]/Ibatt</t>
  </si>
  <si>
    <t>FieldEnclosure[n]/30BatS[n2]/ChargeStateCode</t>
  </si>
  <si>
    <t>FieldEnclosure[n]/30BatS[n2]/Vpv</t>
  </si>
  <si>
    <t>FieldEnclosure[n]/30BatS[n2]/Ipv</t>
  </si>
  <si>
    <t>FieldEnclosure[n]/30BatS[n2]/kWhYesterday</t>
  </si>
  <si>
    <t>FieldEnclosure[n]/30BatS[n2]/PmaxYesterday</t>
  </si>
  <si>
    <t>FieldEnclosure[n]/30BatS[n2]/Ppv</t>
  </si>
  <si>
    <t>FieldEnclosure[n]/30BatS[n2]/MPPTmodeCode</t>
  </si>
  <si>
    <t>Replace [n] with the skid number expressed as minimal digits</t>
  </si>
  <si>
    <t>Replace [n2] with the skid number expressed as two digits</t>
  </si>
  <si>
    <t>Orbit POA to PPC</t>
  </si>
  <si>
    <t>Groundwork Orbit POA</t>
  </si>
  <si>
    <t>Irradiance temperature compensated</t>
  </si>
  <si>
    <t>w/m2</t>
  </si>
  <si>
    <t>Irradiance</t>
  </si>
  <si>
    <t>Case temperature</t>
  </si>
  <si>
    <t>Serial number</t>
  </si>
  <si>
    <t>Calibration sensitivity</t>
  </si>
  <si>
    <t>V / w/m2</t>
  </si>
  <si>
    <t>Calibration date</t>
  </si>
  <si>
    <t>BCD</t>
  </si>
  <si>
    <t>YYYYMMDD</t>
  </si>
  <si>
    <t>Humidity</t>
  </si>
  <si>
    <t>Tilt angle</t>
  </si>
  <si>
    <t>Fan speed</t>
  </si>
  <si>
    <t>Heater current</t>
  </si>
  <si>
    <t>TRK-[n] weather station water level</t>
  </si>
  <si>
    <t>TRK-[n] weather station name</t>
  </si>
  <si>
    <t>TRK-[n] weather station device online</t>
  </si>
  <si>
    <t>TRK-[n] weather station time year</t>
  </si>
  <si>
    <t>TRK-[n] weather station time month</t>
  </si>
  <si>
    <t>TRK-[n] weather station time day</t>
  </si>
  <si>
    <t>TRK-[n] weather station time hour</t>
  </si>
  <si>
    <t>TRK-[n] weather station time minute</t>
  </si>
  <si>
    <t>TRK-[n] weather station time second</t>
  </si>
  <si>
    <t>TRK-[n] weather station status</t>
  </si>
  <si>
    <t>TRK-[n] weather station alert</t>
  </si>
  <si>
    <t>TRK-[n] weather station fault register</t>
  </si>
  <si>
    <t>TRK-[n] weather station serial number</t>
  </si>
  <si>
    <t>TRK-[n] weather station firmware version</t>
  </si>
  <si>
    <t>TRK-[n] Row [r] reserved</t>
  </si>
  <si>
    <t>TRK-[n] Row [r] name</t>
  </si>
  <si>
    <t>TRK-[n] Row [r] device online</t>
  </si>
  <si>
    <t>TRK-[n] Row [r] SPC time year</t>
  </si>
  <si>
    <t>TRK-[n] Row [r] SPC time month</t>
  </si>
  <si>
    <t>TRK-[n] Row [r] SPC time day</t>
  </si>
  <si>
    <t>TRK-[n] Row [r] SPC time hour</t>
  </si>
  <si>
    <t>TRK-[n] Row [r] SPC time minute</t>
  </si>
  <si>
    <t>TRK-[n] Row [r] SPC time second</t>
  </si>
  <si>
    <t>TRK-[n] Row [r] automatic tracking</t>
  </si>
  <si>
    <t>TRK-[n] Row [r] tracker position</t>
  </si>
  <si>
    <t>TRK-[n] Row [r] target angle</t>
  </si>
  <si>
    <t>TRK-[n] Row [r] SPC status</t>
  </si>
  <si>
    <t>TRK-[n] Row [r] SPC alert</t>
  </si>
  <si>
    <t>TRK-[n] Row [r] SPC serial number</t>
  </si>
  <si>
    <t>TRK-[n] Row [r] SPC firmware version</t>
  </si>
  <si>
    <t>TRK-[n] GHI sensor</t>
  </si>
  <si>
    <t>TRK-[n] SPCs online</t>
  </si>
  <si>
    <t>TRK-[n] Water level</t>
  </si>
  <si>
    <t>TRK-[n] Wind speed</t>
  </si>
  <si>
    <t>TRK-[n] SPCs and WS connected</t>
  </si>
  <si>
    <t>TRK-[n] Global tracker state</t>
  </si>
  <si>
    <t>TRK-[n] NCU UTC time year</t>
  </si>
  <si>
    <t>TRK-[n] NCU UTC time month</t>
  </si>
  <si>
    <t>TRK-[n] NCU UTC time day</t>
  </si>
  <si>
    <t>TRK-[n] NCU UTC time hour</t>
  </si>
  <si>
    <t>TRK-[n] NCU UTC time minute</t>
  </si>
  <si>
    <t>TRK-[n] NCU UTC time second</t>
  </si>
  <si>
    <t>TRK-[n] IP address</t>
  </si>
  <si>
    <t>TRK-[n] Zigbee ID</t>
  </si>
  <si>
    <t>TRK-[n] Elevation</t>
  </si>
  <si>
    <t>TRK-[n] Latitude</t>
  </si>
  <si>
    <t>TRK-[n] Longitude</t>
  </si>
  <si>
    <t>TRK-[n] Time zone</t>
  </si>
  <si>
    <t>TRK-[n] NCU serial number</t>
  </si>
  <si>
    <t>TRK-[n] Firmware version</t>
  </si>
  <si>
    <t>Replace [n] with the NCU number expressed as two digits.</t>
  </si>
  <si>
    <t>How many rows per NCU can be found on the Nextracker Lookup tab</t>
  </si>
  <si>
    <t>HREG_0002_Irradiance_temperature_compensated_w_per_m2</t>
  </si>
  <si>
    <t>HREG_0004_Irradiance_w_per_m2</t>
  </si>
  <si>
    <t>HREG_0006_Case_temperature_DegC</t>
  </si>
  <si>
    <t>HREG_0040_Serial_number</t>
  </si>
  <si>
    <t>HREG_0041_Calibration_sensitivity_V _per_ w_per_m2</t>
  </si>
  <si>
    <t>HREG_0046_Calibration_date_BCD</t>
  </si>
  <si>
    <t>HREG_0098_Humidity_pct</t>
  </si>
  <si>
    <t>HREG_0194_Tilt_angle_degrees</t>
  </si>
  <si>
    <t>HREG_0196_Fan_speed_RPM</t>
  </si>
  <si>
    <t>HREG_0199_Heater_current_A</t>
  </si>
  <si>
    <t>Met Tower with Albedometer to Ignition</t>
  </si>
  <si>
    <t>Logger AC power</t>
  </si>
  <si>
    <t>Input current</t>
  </si>
  <si>
    <t>GHI 1</t>
  </si>
  <si>
    <t>GHI 1 temperature compensated</t>
  </si>
  <si>
    <t>GHI 1 temp</t>
  </si>
  <si>
    <t>GHI 2</t>
  </si>
  <si>
    <t>GHI 2 temperature compensated</t>
  </si>
  <si>
    <t>GHI 2 temp</t>
  </si>
  <si>
    <t>Relative humidity</t>
  </si>
  <si>
    <t>Wind direction</t>
  </si>
  <si>
    <t>Wind measurement quality</t>
  </si>
  <si>
    <t>Barometric pressure</t>
  </si>
  <si>
    <t>Barometric pressure at sea level</t>
  </si>
  <si>
    <t>Internal compass reading</t>
  </si>
  <si>
    <t>GHI insolation 1</t>
  </si>
  <si>
    <t>GHI insolation 2</t>
  </si>
  <si>
    <t>Hourly GHI 1 avg</t>
  </si>
  <si>
    <t>Hourly GHI 1 temperature compensated avg</t>
  </si>
  <si>
    <t>Hourly GHI 1 temp avg</t>
  </si>
  <si>
    <t>Hourly GHI 2 avg</t>
  </si>
  <si>
    <t>Hourly GHI 2 temperature compensated avg</t>
  </si>
  <si>
    <t>Hourly GHI 2 temp avg</t>
  </si>
  <si>
    <t>Hourly relative humidity</t>
  </si>
  <si>
    <t>Hourly wind direction mean</t>
  </si>
  <si>
    <t>Hourly barometric pressure avg</t>
  </si>
  <si>
    <t>Hourly compass reading</t>
  </si>
  <si>
    <t>Hourly GHI insolation 1 tot</t>
  </si>
  <si>
    <t>Hourly GHI insolation 2 tot</t>
  </si>
  <si>
    <t>GHI humidity 1</t>
  </si>
  <si>
    <t>GHI humidity temp 1</t>
  </si>
  <si>
    <t>GHI tilt 1</t>
  </si>
  <si>
    <t>GHI fan speed 1</t>
  </si>
  <si>
    <t>GHI heat current 1</t>
  </si>
  <si>
    <t>GHI humidity 2</t>
  </si>
  <si>
    <t>GHI humidity temp 2</t>
  </si>
  <si>
    <t>GHI tilt 2</t>
  </si>
  <si>
    <t>GHI fan speed 2</t>
  </si>
  <si>
    <t>GHI heat current 2</t>
  </si>
  <si>
    <t>Barometric pressure hg</t>
  </si>
  <si>
    <t>Barometric pressure sea level hg</t>
  </si>
  <si>
    <t>GHI 2 alarms register</t>
  </si>
  <si>
    <t>GHI 2 irradiance error</t>
  </si>
  <si>
    <t>GHI 2 irradiance negative</t>
  </si>
  <si>
    <t>GHI 2 irradiance above solar constant</t>
  </si>
  <si>
    <t>GHI 2 temperature corrected irradiance error</t>
  </si>
  <si>
    <t>GHI 2 temperature corrected irradiance negative</t>
  </si>
  <si>
    <t>GHI 2 temperature corrected irradiance above solar constant</t>
  </si>
  <si>
    <t>GHI 2 case temperature error</t>
  </si>
  <si>
    <t>GHI 2 case temperature below operating range</t>
  </si>
  <si>
    <t>GHI 2 case temperature above operating range</t>
  </si>
  <si>
    <t>Nevados</t>
  </si>
  <si>
    <t>Number of ZCs</t>
  </si>
  <si>
    <t>Force Update</t>
  </si>
  <si>
    <t>Discrete Input</t>
  </si>
  <si>
    <t>Update Status</t>
  </si>
  <si>
    <t>Currently Updating</t>
  </si>
  <si>
    <t>Row [r] Alarm Bitfield</t>
  </si>
  <si>
    <t>[r]-1</t>
  </si>
  <si>
    <t>29999+[r]</t>
  </si>
  <si>
    <t>Row[r] Motor Fault</t>
  </si>
  <si>
    <t>Row[r] Position Error</t>
  </si>
  <si>
    <t>Row[r] Sensor Error</t>
  </si>
  <si>
    <t>Row[r] Comms Error</t>
  </si>
  <si>
    <t>Row[r] Low Battery</t>
  </si>
  <si>
    <t>Row[r] Uncomissioned</t>
  </si>
  <si>
    <t>Row [r] Mode Enumeration</t>
  </si>
  <si>
    <t>[r]+179</t>
  </si>
  <si>
    <t>30179+[r]</t>
  </si>
  <si>
    <t>Row [r] Position Angle</t>
  </si>
  <si>
    <t>[r]+359</t>
  </si>
  <si>
    <t>30359+[r]</t>
  </si>
  <si>
    <t>deg</t>
  </si>
  <si>
    <t>Row [r] Mode Command</t>
  </si>
  <si>
    <t>[r]</t>
  </si>
  <si>
    <t>40000 + [r]</t>
  </si>
  <si>
    <t>Row [r] Position Command</t>
  </si>
  <si>
    <t>Speedway</t>
  </si>
  <si>
    <t>40001</t>
  </si>
  <si>
    <t>40003</t>
  </si>
  <si>
    <t>40005</t>
  </si>
  <si>
    <t>40007</t>
  </si>
  <si>
    <t>40009</t>
  </si>
  <si>
    <t>40011</t>
  </si>
  <si>
    <t>40013</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</si>
  <si>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</si>
  <si>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</si>
  <si>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</si>
  <si>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</si>
  <si>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</si>
  <si>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</si>
  <si>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</si>
  <si>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</si>
  <si>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</si>
  <si>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</si>
  <si>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</si>
  <si>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</si>
  <si>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</si>
  <si>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</si>
  <si>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</si>
  <si>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</si>
  <si>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</si>
  <si>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</si>
  <si>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</si>
  <si>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</si>
  <si>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</si>
  <si>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40065</t>
  </si>
  <si>
    <t>40067</t>
  </si>
  <si>
    <t>40069</t>
  </si>
  <si>
    <t>40075</t>
  </si>
  <si>
    <t>40077</t>
  </si>
  <si>
    <t>40079</t>
  </si>
  <si>
    <t>40081</t>
  </si>
  <si>
    <t>40083</t>
  </si>
  <si>
    <t>40085</t>
  </si>
  <si>
    <t>40087</t>
  </si>
  <si>
    <t>40089</t>
  </si>
  <si>
    <t>40091</t>
  </si>
  <si>
    <t>40093</t>
  </si>
  <si>
    <t>40095</t>
  </si>
  <si>
    <t>40097</t>
  </si>
  <si>
    <t>40105</t>
  </si>
  <si>
    <t>40107</t>
  </si>
  <si>
    <t>40109</t>
  </si>
  <si>
    <t>40125</t>
  </si>
  <si>
    <t>40127</t>
  </si>
  <si>
    <t>40129</t>
  </si>
  <si>
    <t>40175</t>
  </si>
  <si>
    <t>40177</t>
  </si>
  <si>
    <t>40181</t>
  </si>
  <si>
    <t>40199</t>
  </si>
  <si>
    <t>40201</t>
  </si>
  <si>
    <t>40203</t>
  </si>
  <si>
    <t>40205</t>
  </si>
  <si>
    <t>40207</t>
  </si>
  <si>
    <t>40209</t>
  </si>
  <si>
    <t>40217</t>
  </si>
  <si>
    <t>40219</t>
  </si>
  <si>
    <t>40221</t>
  </si>
  <si>
    <t>40227</t>
  </si>
  <si>
    <t>40229</t>
  </si>
  <si>
    <t>40231</t>
  </si>
  <si>
    <t>HREG_0028_Logger_AC_power_boolean</t>
  </si>
  <si>
    <t>HREG_0038_Input_current_A</t>
  </si>
  <si>
    <t>HREG_0052_GHI_1_W_per_m2</t>
  </si>
  <si>
    <t>HREG_0054_GHI_1_temperature_compensated_W_per_m2</t>
  </si>
  <si>
    <t>HREG_0056_GHI_1_temp_DegC</t>
  </si>
  <si>
    <t>HREG_0064_GHI_2_W_per_m2</t>
  </si>
  <si>
    <t>HREG_0066_GHI_2_temperature_compensated_W_per_m2</t>
  </si>
  <si>
    <t>HREG_0068_GHI_2_temp_DegC</t>
  </si>
  <si>
    <t>HREG_0078_Relative_humidity_pct</t>
  </si>
  <si>
    <t>HREG_0084_Wind_direction_degrees</t>
  </si>
  <si>
    <t>HREG_0086_Wind_measurement_quality_pct</t>
  </si>
  <si>
    <t>HREG_0088_Barometric_pressure_mbar</t>
  </si>
  <si>
    <t>HREG_0090_Barometric_pressure_at_sea_level_mbar</t>
  </si>
  <si>
    <t>HREG_0092_Internal_compass_reading_degrees</t>
  </si>
  <si>
    <t>HREG_0176_GHI_insolation_1_Wh_per_m²</t>
  </si>
  <si>
    <t>HREG_0180_GHI_insolation_2_Wh_per_m²</t>
  </si>
  <si>
    <t>HREG_0204_Hourly_GHI_1_avg_W_per_m2</t>
  </si>
  <si>
    <t>HREG_0206_Hourly_GHI_1_temperature_compensated_avg_W_per_m2</t>
  </si>
  <si>
    <t>HREG_0208_Hourly_GHI_1_temp_avg_DegC</t>
  </si>
  <si>
    <t>HREG_0216_Hourly_GHI_2_avg_W_per_m2</t>
  </si>
  <si>
    <t>HREG_0218_Hourly_GHI_2_temperature_compensated_avg_W_per_m2</t>
  </si>
  <si>
    <t>HREG_0220_Hourly_GHI_2_temp_avg_DegC</t>
  </si>
  <si>
    <t>HREG_0230_Hourly_relative_humidity_pct</t>
  </si>
  <si>
    <t>HREG_0236_Hourly_wind_direction_mean_Degrees</t>
  </si>
  <si>
    <t>HREG_0238_Hourly_barometric_pressure_avg_mbar</t>
  </si>
  <si>
    <t>HREG_0242_Hourly_compass_reading_degrees</t>
  </si>
  <si>
    <t>HREG_0326_Hourly_GHI_insolation_1_tot_Wh_per_m²</t>
  </si>
  <si>
    <t>HREG_0330_Hourly_GHI_insolation_2_tot_Wh_per_m²</t>
  </si>
  <si>
    <t>HREG_0358_POA_heat_current_A</t>
  </si>
  <si>
    <t>HREG_0362_GHI_humidity_1_pct</t>
  </si>
  <si>
    <t>HREG_0364_GHI_humidity_temp_1_DegC</t>
  </si>
  <si>
    <t>HREG_0366_GHI_tilt_1_Degrees</t>
  </si>
  <si>
    <t>HREG_0368_GHI_fan_speed_1_RPM</t>
  </si>
  <si>
    <t>HREG_0370_GHI_heat_current_1_A</t>
  </si>
  <si>
    <t>HREG_0386_GHI_humidity_2_pct</t>
  </si>
  <si>
    <t>HREG_0388_GHI_humidity_temp_2_DegC</t>
  </si>
  <si>
    <t>HREG_0390_GHI_tilt_2_Degrees</t>
  </si>
  <si>
    <t>HREG_0392_GHI_fan_speed_2_RPM</t>
  </si>
  <si>
    <t>HREG_0394_GHI_heat_current_2_A</t>
  </si>
  <si>
    <t>HREG_0486_Barometric_pressure_hg_inHg</t>
  </si>
  <si>
    <t>HREG_0488_Barometric_pressure_sea_level_hg_inHg</t>
  </si>
  <si>
    <t>HREG_0804_Modeled_POA_W_per_m2</t>
  </si>
  <si>
    <t>HREG_2018_GHI_1_alarms_register</t>
  </si>
  <si>
    <t>HREG_2018_GHI_1_irradiance_error</t>
  </si>
  <si>
    <t>HREG_2018_GHI_1_irradiance_negative</t>
  </si>
  <si>
    <t>HREG_2018_GHI_1_irradiance_above_solar_constant</t>
  </si>
  <si>
    <t>HREG_2018_GHI_1_temperature_corrected_irradiance_error</t>
  </si>
  <si>
    <t>HREG_2018_GHI_1_temperature_corrected_irradiance_negative</t>
  </si>
  <si>
    <t>HREG_2018_GHI_1_temperature_corrected_irradiance_above_solar_constant</t>
  </si>
  <si>
    <t>HREG_2018_GHI_1_case_temperature_error</t>
  </si>
  <si>
    <t>HREG_2018_GHI_1_case_temperature_below_operating_range</t>
  </si>
  <si>
    <t>HREG_2018_GHI_1_case_temperature_above_operating_range</t>
  </si>
  <si>
    <t>HREG_2022_GHI_2_alarms_register</t>
  </si>
  <si>
    <t>HREG_2022_GHI_2_irradiance_error</t>
  </si>
  <si>
    <t>HREG_2022_GHI_2_irradiance_negative</t>
  </si>
  <si>
    <t>HREG_2022_GHI_2_irradiance_above_solar_constant</t>
  </si>
  <si>
    <t>HREG_2022_GHI_2_temperature_corrected_irradiance_error</t>
  </si>
  <si>
    <t>HREG_2022_GHI_2_temperature_corrected_irradiance_negative</t>
  </si>
  <si>
    <t>HREG_2022_GHI_2_temperature_corrected_irradiance_above_solar_constant</t>
  </si>
  <si>
    <t>HREG_2022_GHI_2_case_temperature_error</t>
  </si>
  <si>
    <t>HREG_2022_GHI_2_case_temperature_below_operating_range</t>
  </si>
  <si>
    <t>HREG_2022_GHI_2_case_temperature_above_operating_range</t>
  </si>
  <si>
    <t>40002</t>
  </si>
  <si>
    <t>40004</t>
  </si>
  <si>
    <t>40006</t>
  </si>
  <si>
    <t>40008</t>
  </si>
  <si>
    <t>40010</t>
  </si>
  <si>
    <t>40012</t>
  </si>
  <si>
    <t>40014</t>
  </si>
  <si>
    <t>40015</t>
  </si>
  <si>
    <t>40016</t>
  </si>
  <si>
    <t>40018</t>
  </si>
  <si>
    <t>40020</t>
  </si>
  <si>
    <t>40022</t>
  </si>
  <si>
    <t>40024</t>
  </si>
  <si>
    <t>40026</t>
  </si>
  <si>
    <t>40028</t>
  </si>
  <si>
    <t>40030</t>
  </si>
  <si>
    <t>40032</t>
  </si>
  <si>
    <t>40034</t>
  </si>
  <si>
    <t>40036</t>
  </si>
  <si>
    <t>40038</t>
  </si>
  <si>
    <t>40040</t>
  </si>
  <si>
    <t>40042</t>
  </si>
  <si>
    <t>40044</t>
  </si>
  <si>
    <t>40046</t>
  </si>
  <si>
    <t>40048</t>
  </si>
  <si>
    <t>40050</t>
  </si>
  <si>
    <t>40052</t>
  </si>
  <si>
    <t>40054</t>
  </si>
  <si>
    <t>40056</t>
  </si>
  <si>
    <t>40058</t>
  </si>
  <si>
    <t>40059</t>
  </si>
  <si>
    <t>40060</t>
  </si>
  <si>
    <t>40061</t>
  </si>
  <si>
    <t>40062</t>
  </si>
  <si>
    <t>40063</t>
  </si>
  <si>
    <t>40064</t>
  </si>
  <si>
    <t>40066</t>
  </si>
  <si>
    <t>40068</t>
  </si>
  <si>
    <t>40070</t>
  </si>
  <si>
    <t>40071</t>
  </si>
  <si>
    <t>40072</t>
  </si>
  <si>
    <t>40073</t>
  </si>
  <si>
    <t>40074</t>
  </si>
  <si>
    <t>40076</t>
  </si>
  <si>
    <t>40078</t>
  </si>
  <si>
    <t>40080</t>
  </si>
  <si>
    <t>40082</t>
  </si>
  <si>
    <t>40084</t>
  </si>
  <si>
    <t>40086</t>
  </si>
  <si>
    <t>40088</t>
  </si>
  <si>
    <t>40090</t>
  </si>
  <si>
    <t>40092</t>
  </si>
  <si>
    <t>40094</t>
  </si>
  <si>
    <t>40096</t>
  </si>
  <si>
    <t>40098</t>
  </si>
  <si>
    <t>40099</t>
  </si>
  <si>
    <t>40100</t>
  </si>
  <si>
    <t>40101</t>
  </si>
  <si>
    <t>40102</t>
  </si>
  <si>
    <t>40103</t>
  </si>
  <si>
    <t>40104</t>
  </si>
  <si>
    <t>40106</t>
  </si>
  <si>
    <t>40108</t>
  </si>
  <si>
    <t>40110</t>
  </si>
  <si>
    <t>40111</t>
  </si>
  <si>
    <t>40112</t>
  </si>
  <si>
    <t>40113</t>
  </si>
  <si>
    <t>40114</t>
  </si>
  <si>
    <t>40115</t>
  </si>
  <si>
    <t>40116</t>
  </si>
  <si>
    <t>40117</t>
  </si>
  <si>
    <t>40118</t>
  </si>
  <si>
    <t>40119</t>
  </si>
  <si>
    <t>40120</t>
  </si>
  <si>
    <t>40121</t>
  </si>
  <si>
    <t>40122</t>
  </si>
  <si>
    <t>40123</t>
  </si>
  <si>
    <t>40124</t>
  </si>
  <si>
    <t>40126</t>
  </si>
  <si>
    <t>40128</t>
  </si>
  <si>
    <t>40130</t>
  </si>
  <si>
    <t>40131</t>
  </si>
  <si>
    <t>40132</t>
  </si>
  <si>
    <t>40133</t>
  </si>
  <si>
    <t>40134</t>
  </si>
  <si>
    <t>40135</t>
  </si>
  <si>
    <t>40136</t>
  </si>
  <si>
    <t>40137</t>
  </si>
  <si>
    <t>40138</t>
  </si>
  <si>
    <t>40139</t>
  </si>
  <si>
    <t>40140</t>
  </si>
  <si>
    <t>40141</t>
  </si>
  <si>
    <t>40142</t>
  </si>
  <si>
    <t>40143</t>
  </si>
  <si>
    <t>40144</t>
  </si>
  <si>
    <t>40145</t>
  </si>
  <si>
    <t>40146</t>
  </si>
  <si>
    <t>40147</t>
  </si>
  <si>
    <t>40148</t>
  </si>
  <si>
    <t>40149</t>
  </si>
  <si>
    <t>40150</t>
  </si>
  <si>
    <t>40151</t>
  </si>
  <si>
    <t>40152</t>
  </si>
  <si>
    <t>40153</t>
  </si>
  <si>
    <t>40154</t>
  </si>
  <si>
    <t>40155</t>
  </si>
  <si>
    <t>40156</t>
  </si>
  <si>
    <t>40157</t>
  </si>
  <si>
    <t>40158</t>
  </si>
  <si>
    <t>40159</t>
  </si>
  <si>
    <t>40160</t>
  </si>
  <si>
    <t>40161</t>
  </si>
  <si>
    <t>40162</t>
  </si>
  <si>
    <t>40163</t>
  </si>
  <si>
    <t>40164</t>
  </si>
  <si>
    <t>40165</t>
  </si>
  <si>
    <t>40166</t>
  </si>
  <si>
    <t>40167</t>
  </si>
  <si>
    <t>40168</t>
  </si>
  <si>
    <t>40169</t>
  </si>
  <si>
    <t>40170</t>
  </si>
  <si>
    <t>40171</t>
  </si>
  <si>
    <t>40172</t>
  </si>
  <si>
    <t>40173</t>
  </si>
  <si>
    <t>40174</t>
  </si>
  <si>
    <t>40176</t>
  </si>
  <si>
    <t>40178</t>
  </si>
  <si>
    <t>40179</t>
  </si>
  <si>
    <t>40180</t>
  </si>
  <si>
    <t>40182</t>
  </si>
  <si>
    <t>40183</t>
  </si>
  <si>
    <t>40184</t>
  </si>
  <si>
    <t>40185</t>
  </si>
  <si>
    <t>40186</t>
  </si>
  <si>
    <t>40187</t>
  </si>
  <si>
    <t>40188</t>
  </si>
  <si>
    <t>40189</t>
  </si>
  <si>
    <t>40190</t>
  </si>
  <si>
    <t>40191</t>
  </si>
  <si>
    <t>40192</t>
  </si>
  <si>
    <t>40193</t>
  </si>
  <si>
    <t>40194</t>
  </si>
  <si>
    <t>40195</t>
  </si>
  <si>
    <t>40196</t>
  </si>
  <si>
    <t>40197</t>
  </si>
  <si>
    <t>40198</t>
  </si>
  <si>
    <t>40200</t>
  </si>
  <si>
    <t>40202</t>
  </si>
  <si>
    <t>40204</t>
  </si>
  <si>
    <t>40206</t>
  </si>
  <si>
    <t>40208</t>
  </si>
  <si>
    <t>40210</t>
  </si>
  <si>
    <t>40211</t>
  </si>
  <si>
    <t>40212</t>
  </si>
  <si>
    <t>40213</t>
  </si>
  <si>
    <t>40214</t>
  </si>
  <si>
    <t>40215</t>
  </si>
  <si>
    <t>40216</t>
  </si>
  <si>
    <t>40218</t>
  </si>
  <si>
    <t>40220</t>
  </si>
  <si>
    <t>40222</t>
  </si>
  <si>
    <t>40223</t>
  </si>
  <si>
    <t>40224</t>
  </si>
  <si>
    <t>40225</t>
  </si>
  <si>
    <t>40226</t>
  </si>
  <si>
    <t>40228</t>
  </si>
  <si>
    <t>40230</t>
  </si>
  <si>
    <t>40232</t>
  </si>
  <si>
    <t>1 to 3</t>
  </si>
  <si>
    <t>HREG_15260_Grid_detection_before_connection_s</t>
  </si>
  <si>
    <t>HREG_15261_Boot_waiting_time_s</t>
  </si>
  <si>
    <t>HREG_15264_Specified_overexcitation_PF_PU</t>
  </si>
  <si>
    <t>HREG_15265_Specified_underrexcitation_PF_PU</t>
  </si>
  <si>
    <t>HREG_15267_QU_reference_voltage_adjustment_pct</t>
  </si>
  <si>
    <t>HREG_15268_QU_reference_voltage_automatic_adjustment_time_s</t>
  </si>
  <si>
    <t>HREG_0000_Scan_count_Sec</t>
  </si>
  <si>
    <t>Count</t>
  </si>
  <si>
    <t>HREG_0002_Skipped_scans_Count</t>
  </si>
  <si>
    <t>HREG_0004_Logger_voltage_Volts DC</t>
  </si>
  <si>
    <t>HREG_0006_Logger_temp_Deg C</t>
  </si>
  <si>
    <t>HREG_0008_Skipped_slow_scans_Count</t>
  </si>
  <si>
    <t>HREG_0010_Logger_lithium_Volts DC</t>
  </si>
  <si>
    <t>HREG_0012_Logger_low_volt_12_Count</t>
  </si>
  <si>
    <t>HREG_0016_Solar_zenith_Degrees</t>
  </si>
  <si>
    <t>Calculated using lat, lon, elevation, Temp, pressure</t>
  </si>
  <si>
    <t>HREG_0018_Solar_elevation_Degrees</t>
  </si>
  <si>
    <t>HREG_0020_Solar_azimuth_Degrees</t>
  </si>
  <si>
    <t>HREG_0022_Pyranometer_heaters_on_off_Enumeration</t>
  </si>
  <si>
    <t>Unitless</t>
  </si>
  <si>
    <t>Maint ON</t>
  </si>
  <si>
    <t>Maint OFF</t>
  </si>
  <si>
    <t>HREG_0026_Maint_event_Boolean</t>
  </si>
  <si>
    <t>HREG_0028_Logger_AC_Power_Boolean</t>
  </si>
  <si>
    <t>HREG_0030_Battery_Voltage_Volts DC</t>
  </si>
  <si>
    <t>HREG_0032_Battery_Current_Amps</t>
  </si>
  <si>
    <t>HREG_0034_Load_Current_Amps</t>
  </si>
  <si>
    <t>HREG_0036_Solar_Panel_Voltage_Volts DC</t>
  </si>
  <si>
    <t>HREG_0040_Charge_Source_Enumeration</t>
  </si>
  <si>
    <t>HREG_0042_Battery_Status_Boolean</t>
  </si>
  <si>
    <t>HREG_0044_Power_Supply_Voltage_Volts DC</t>
  </si>
  <si>
    <t>HREG_0052_GHI_W_per_m²</t>
  </si>
  <si>
    <t>Warning: not Temp-corrected</t>
  </si>
  <si>
    <t>GHI Temp Corr</t>
  </si>
  <si>
    <t>HREG_0054_GHI_Temp_Corr_W_per_m²</t>
  </si>
  <si>
    <t>GHI Pyranometer Temp</t>
  </si>
  <si>
    <t>HREG_0056_GHI_Pyranometer_Temp_Deg C</t>
  </si>
  <si>
    <t>HREG_0176_GHI_Insolation_Wh_per_m²</t>
  </si>
  <si>
    <t>HREG_0362_GHI_Humidity_pct</t>
  </si>
  <si>
    <t>HREG_0364_Reserved_reserved_Reserved</t>
  </si>
  <si>
    <t>HREG_0366_Pyranometer_Single_Axis_Tilt_Degrees</t>
  </si>
  <si>
    <t>HREG_0368_Pyranometer_Fan_Speed_RPM</t>
  </si>
  <si>
    <t>HREG_0370_Pyranometer_Heater_Current_mA</t>
  </si>
  <si>
    <t>HREG_0404_Logger_temp_Deg F</t>
  </si>
  <si>
    <t>HREG_0596_Albedometer_GHI_W_per_m²</t>
  </si>
  <si>
    <t>Warning: not Temp-corrected.</t>
  </si>
  <si>
    <t>Albedometer GHI Temp Corr</t>
  </si>
  <si>
    <t>HREG_0598_Albedometer_GHI_Temp_Corr_W_per_m²</t>
  </si>
  <si>
    <t>Ablendometer GHI Temp</t>
  </si>
  <si>
    <t>HREG_0600_Ablendometer_GHI_Temp_Deg C</t>
  </si>
  <si>
    <t>HREG_0602_Albedometer_RHI_W_per_m²</t>
  </si>
  <si>
    <t>Albedometer RHI Temp Corr</t>
  </si>
  <si>
    <t>HREG_0604_Albedometer_RHI_Temp_Corr_W_per_m²</t>
  </si>
  <si>
    <t>Abledometer RHI Temp</t>
  </si>
  <si>
    <t>HREG_0606_Abledometer_RHI_Temp_Deg C</t>
  </si>
  <si>
    <t>HREG_0608_Albedo_PU</t>
  </si>
  <si>
    <t>Albedo Temp Corr</t>
  </si>
  <si>
    <t>HREG_0610_Albedo_Temp_Corr_PU</t>
  </si>
  <si>
    <t>Daily Avg Albedo</t>
  </si>
  <si>
    <t>HREG_0612_Daily_Avg_Albedo_PU</t>
  </si>
  <si>
    <t>Avg of albedo values, solar noon ±30 minutes</t>
  </si>
  <si>
    <t>Daily Avg Albedo Temp Corr</t>
  </si>
  <si>
    <t>HREG_0614_Daily_Avg_Albedo_Temp_Corr_PU</t>
  </si>
  <si>
    <t>Avg of Temp-corrected albedo values, solar noon ±30 minutes</t>
  </si>
  <si>
    <t>Hourly Avg Abledometer GHI</t>
  </si>
  <si>
    <t>HREG_0646_Hourly_Avg_Abledometer_GHI_W_per_m²</t>
  </si>
  <si>
    <t>Hourly Avg Abledometer GHI Temp Corr</t>
  </si>
  <si>
    <t>HREG_0648_Hourly_Avg_Abledometer_GHI_Temp_Corr_W_per_m²</t>
  </si>
  <si>
    <t>Hourly Avg Albedometer GHI Temp</t>
  </si>
  <si>
    <t>HREG_0650_Hourly_Avg_Albedometer_GHI_Temp_Deg C</t>
  </si>
  <si>
    <t>Hourly Avg Albedometer RHI</t>
  </si>
  <si>
    <t>HREG_0652_Hourly_Avg_Albedometer_RHI_W_per_m²</t>
  </si>
  <si>
    <t>Hourly Avg Albedometer RHI Temp Corr</t>
  </si>
  <si>
    <t>HREG_0654_Hourly_Avg_Albedometer_RHI_Temp_Corr_W_per_m²</t>
  </si>
  <si>
    <t>Hourly Avg Albedometer RHI Temp</t>
  </si>
  <si>
    <t>HREG_0656_Hourly_Avg_Albedometer_RHI_Temp_Deg C</t>
  </si>
  <si>
    <t>PPC to RTU</t>
  </si>
  <si>
    <t>Avaiable</t>
  </si>
  <si>
    <t>Global_horizontal_irradiance_W_m2</t>
  </si>
  <si>
    <t>AI_0018_Global_horizontal_irradiance_W_m2_W_per_m²</t>
  </si>
  <si>
    <t>Average_plant_atmospheric_pressure_bar</t>
  </si>
  <si>
    <t>AI_0019_Average_plant_atmospheric_pressure_bar_bar</t>
  </si>
  <si>
    <t>Average_plant_temperature_degC</t>
  </si>
  <si>
    <t>°C</t>
  </si>
  <si>
    <t>AI_0020_Average_plant_temperature_degC_°C</t>
  </si>
  <si>
    <t>Max_gen_limit_feedback_MW</t>
  </si>
  <si>
    <t>AI_0021_Max_gen_limit_feedback_MW_MW</t>
  </si>
  <si>
    <t>Potential_power_MW</t>
  </si>
  <si>
    <t>AI_0022_Potential_power_MW_MW</t>
  </si>
  <si>
    <t>AI_0023_Global_horizontal_irradiance_W_m2_W_per_m²</t>
  </si>
  <si>
    <t>AI_0024_Average_plant_atmospheric_pressure_bar_bar</t>
  </si>
  <si>
    <t>AI_0025_Average_plant_temperature_degC_°C</t>
  </si>
  <si>
    <t>AI_0026_Max_gen_limit_feedback_MW_MW</t>
  </si>
  <si>
    <t>AI_0027_Potential_power_MW_MW</t>
  </si>
  <si>
    <t>30BAT-[n] Battery voltage</t>
  </si>
  <si>
    <t>400772</t>
  </si>
  <si>
    <t>30BAT-[n] Battery current</t>
  </si>
  <si>
    <t>400773</t>
  </si>
  <si>
    <t>30BAT-[n] Charger on/off</t>
  </si>
  <si>
    <t>400775</t>
  </si>
  <si>
    <t>30BAT-[n] Charge state</t>
  </si>
  <si>
    <t>400776</t>
  </si>
  <si>
    <t>400777</t>
  </si>
  <si>
    <t>30BAT-[n] PV current</t>
  </si>
  <si>
    <t>400778</t>
  </si>
  <si>
    <t>30BAT-[n] Yield today</t>
  </si>
  <si>
    <t>400785</t>
  </si>
  <si>
    <t>30BAT-[n] Maximum charge power today</t>
  </si>
  <si>
    <t>400786</t>
  </si>
  <si>
    <t>30BAT-[n] Yield yesterday</t>
  </si>
  <si>
    <t>400787</t>
  </si>
  <si>
    <t>30BAT-[n] Maximum charge power yesterday</t>
  </si>
  <si>
    <t>400788</t>
  </si>
  <si>
    <t>30BAT-[n] Error code</t>
  </si>
  <si>
    <t>400789</t>
  </si>
  <si>
    <t>30BAT-[n] PV power</t>
  </si>
  <si>
    <t>400790</t>
  </si>
  <si>
    <t>30BAT-[n] User yield</t>
  </si>
  <si>
    <t>400791</t>
  </si>
  <si>
    <t>30BAT-[n] MPP operation mode</t>
  </si>
  <si>
    <t>400792</t>
  </si>
  <si>
    <t>Column1</t>
  </si>
  <si>
    <t>TRK-[n] AC Power Fault</t>
  </si>
  <si>
    <t>Faults can be cleared by writing a 0 to this point.</t>
  </si>
  <si>
    <t>0-5: R/W, 6-10: R/O</t>
  </si>
  <si>
    <t>TRK-[n] Snow Level</t>
  </si>
  <si>
    <t>TRK-[n] Row [r] SPC fault register</t>
  </si>
  <si>
    <t>TRK-[n] battery over current</t>
  </si>
  <si>
    <t>TRK-[n] battery over voltage</t>
  </si>
  <si>
    <t>TRK-[n] Row [r] boost over current</t>
  </si>
  <si>
    <t>TRK-[n] Row [r] boost over voltage</t>
  </si>
  <si>
    <t>TRK-[n] Row [r] panel over coltage</t>
  </si>
  <si>
    <t>TRK-[n] Row [r] panel over current</t>
  </si>
  <si>
    <t>TRK-[n] Row [r] motor over current</t>
  </si>
  <si>
    <t>TRK-[n] Row [r] motor inrush over current</t>
  </si>
  <si>
    <t>TRK-[n] Row [r] spc over temperature</t>
  </si>
  <si>
    <t>TRK-[n] Row [r] battery over temperature</t>
  </si>
  <si>
    <t>TRK-[n] Row [r] tracker stall</t>
  </si>
  <si>
    <t>TRK-[n] Row [r] boost start timeout</t>
  </si>
  <si>
    <t>TRK-[n] Row [r] software system error</t>
  </si>
  <si>
    <t>TRK-[n] Row [r] firmware loading error</t>
  </si>
  <si>
    <t>TRK-[n] Row [r] user setting loading error</t>
  </si>
  <si>
    <t>TRK-[n] Row [r] tilt sensor error</t>
  </si>
  <si>
    <t>TRK-[n] Row [r] motor stall</t>
  </si>
  <si>
    <t>TRK-[n] Row [r] actuator fail</t>
  </si>
  <si>
    <t>TRK-[n] Row [r] snow shed</t>
  </si>
  <si>
    <t>TRK-[n] Row [r] snow shed blackout</t>
  </si>
  <si>
    <t>TRK-[n] Row [r] low battery stow</t>
  </si>
  <si>
    <t>TRK-[n] Row [r] real time clock failed</t>
  </si>
  <si>
    <t>TRK-[n] Row [r] factory firmware</t>
  </si>
  <si>
    <t>TRK-[n] Row [r] invalid serial number</t>
  </si>
  <si>
    <t>TRK-[n] Row [r] night stow enabled</t>
  </si>
  <si>
    <t>TRK-[n] Row [r] wind stow enabled</t>
  </si>
  <si>
    <t>TRK-[n] Row [r] flood stow enabled</t>
  </si>
  <si>
    <t>TRK-[n] Row [r] snow stow enabled</t>
  </si>
  <si>
    <t>TRK-[n] Row [r] Battery charger status</t>
  </si>
  <si>
    <t>8-bit unsigned integer</t>
  </si>
  <si>
    <t>0-7</t>
  </si>
  <si>
    <t>0-6</t>
  </si>
  <si>
    <t>Status register &amp; 255 gives bits 0-7 as an int</t>
  </si>
  <si>
    <t>TRK-[n] Row [r] Tracker status</t>
  </si>
  <si>
    <t>8-15</t>
  </si>
  <si>
    <t>0-1</t>
  </si>
  <si>
    <t>Status register &gt;&gt; 8 gives bit 8-15 as an int</t>
  </si>
  <si>
    <t>TRK-[n] WS [w] battery over current</t>
  </si>
  <si>
    <t>TRK-[n] WS [w] battery over voltage</t>
  </si>
  <si>
    <t>TRK-[n] WS [w] boost over current</t>
  </si>
  <si>
    <t>TRK-[n] WS [w] boost over voltage</t>
  </si>
  <si>
    <t>TRK-[n] WS [w] panel over coltage</t>
  </si>
  <si>
    <t>TRK-[n] WS [w] panel over current</t>
  </si>
  <si>
    <t>TRK-[n] WS [w] motor over current</t>
  </si>
  <si>
    <t>TRK-[n] WS [w] reserved</t>
  </si>
  <si>
    <t>TRK-[n] WS [w] motor inrush over current</t>
  </si>
  <si>
    <t>TRK-[n] WS [w] spc over temperature</t>
  </si>
  <si>
    <t>TRK-[n] WS [w] battery over temperature</t>
  </si>
  <si>
    <t>TRK-[n] WS [w] tracker stall</t>
  </si>
  <si>
    <t>TRK-[n] WS [w] boost start timeout</t>
  </si>
  <si>
    <t>TRK-[n] WS [w] software system error</t>
  </si>
  <si>
    <t>TRK-[n] WS [w] firmware loading error</t>
  </si>
  <si>
    <t>TRK-[n] WS [w] user setting loading error</t>
  </si>
  <si>
    <t>TRK-[n] WS [w] tilt sensor error</t>
  </si>
  <si>
    <t>TRK-[n] WS [w] motor stall</t>
  </si>
  <si>
    <t>TRK-[n] WS [w] actuator fail</t>
  </si>
  <si>
    <t>TRK-[n] weather station snow height</t>
  </si>
  <si>
    <t>[w]75</t>
  </si>
  <si>
    <t>4[w]76</t>
  </si>
  <si>
    <t>TRK-[n] weather station wind speed</t>
  </si>
  <si>
    <t>[w]76</t>
  </si>
  <si>
    <t>4[w]77</t>
  </si>
  <si>
    <t>Median Line-Line Voltage</t>
  </si>
  <si>
    <t xml:space="preserve"> 3ph median ph-ph</t>
  </si>
  <si>
    <t>Hornshadow</t>
  </si>
  <si>
    <t>Soiling Ratio Sensor 1</t>
  </si>
  <si>
    <t>16-bit Unsigned Integer</t>
  </si>
  <si>
    <t>0.1</t>
  </si>
  <si>
    <t>IREG_020_soiling_raio_1</t>
  </si>
  <si>
    <t>In steps of  0.1%, 9999 when not valid</t>
  </si>
  <si>
    <t>Transmission Loss Sensor 1</t>
  </si>
  <si>
    <t>16-bit Signed Integer</t>
  </si>
  <si>
    <t>IREG_021_transmission_loss_1</t>
  </si>
  <si>
    <t>Soiling Ratio Sensor 2</t>
  </si>
  <si>
    <t>IREG_024_soiling_ratio_2</t>
  </si>
  <si>
    <t>Transmission Loss Sensor 2</t>
  </si>
  <si>
    <t>IREG_025_transmission_loss_2</t>
  </si>
  <si>
    <t>Tilt X Direction ( Long Axis)</t>
  </si>
  <si>
    <t>IREG_028_tilt_x_deg</t>
  </si>
  <si>
    <t>In steps of 0.1 degrees</t>
  </si>
  <si>
    <t>Tilt Y Direction (Short Axis)</t>
  </si>
  <si>
    <t>IREG_029_tilt_y_deg</t>
  </si>
  <si>
    <t xml:space="preserve">Back Panel Temperature </t>
  </si>
  <si>
    <t>Deg K</t>
  </si>
  <si>
    <t>IREG_031_back_panel_temperature_K</t>
  </si>
  <si>
    <t>In steps 0.1 Kelvin</t>
  </si>
  <si>
    <t>Device Voltage</t>
  </si>
  <si>
    <t>mV</t>
  </si>
  <si>
    <t>IREG_032_device_voltage_mV</t>
  </si>
  <si>
    <t>Device voltage at the input connector</t>
  </si>
  <si>
    <t>Operational Mode</t>
  </si>
  <si>
    <t>IREG_033_operational_mode</t>
  </si>
  <si>
    <t>Normal = 1, Service = 2, Calibration = 3</t>
  </si>
  <si>
    <t>Device Status Flags</t>
  </si>
  <si>
    <t>IREG_034_device_status</t>
  </si>
  <si>
    <t>0 = Status OK</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</si>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</sst>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 yyyy"/>
  </numFmts>
  <fonts count="40" x14ac:knownFonts="1">
    <font>
      <sz val="8"/>
      <color theme="1"/>
      <name val="Tahoma"/>
      <family val="2"/>
      <scheme val="minor"/>
    </font>
    <font>
      <b/>
      <sz val="15"/>
      <color theme="3"/>
      <name val="Tahoma"/>
      <family val="2"/>
      <scheme val="minor"/>
    </font>
    <font>
      <b/>
      <sz val="13"/>
      <color theme="3"/>
      <name val="Tahoma"/>
      <family val="2"/>
      <scheme val="minor"/>
    </font>
    <font>
      <b/>
      <sz val="11"/>
      <color theme="3"/>
      <name val="Tahoma"/>
      <family val="2"/>
      <scheme val="minor"/>
    </font>
    <font>
      <sz val="8"/>
      <color theme="1"/>
      <name val="Tahoma"/>
      <family val="2"/>
      <scheme val="minor"/>
    </font>
    <font>
      <sz val="8"/>
      <color theme="0"/>
      <name val="Tahoma"/>
      <family val="2"/>
      <scheme val="minor"/>
    </font>
    <font>
      <sz val="8"/>
      <color rgb="FF9C0006"/>
      <name val="Tahoma"/>
      <family val="2"/>
      <scheme val="minor"/>
    </font>
    <font>
      <b/>
      <sz val="8"/>
      <color rgb="FFFA7D00"/>
      <name val="Tahoma"/>
      <family val="2"/>
      <scheme val="minor"/>
    </font>
    <font>
      <b/>
      <sz val="8"/>
      <color theme="0"/>
      <name val="Tahoma"/>
      <family val="2"/>
      <scheme val="minor"/>
    </font>
    <font>
      <i/>
      <sz val="8"/>
      <color rgb="FF7F7F7F"/>
      <name val="Tahoma"/>
      <family val="2"/>
      <scheme val="minor"/>
    </font>
    <font>
      <sz val="8"/>
      <color rgb="FF006100"/>
      <name val="Tahoma"/>
      <family val="2"/>
      <scheme val="minor"/>
    </font>
    <font>
      <sz val="8"/>
      <color rgb="FF3F3F76"/>
      <name val="Tahoma"/>
      <family val="2"/>
      <scheme val="minor"/>
    </font>
    <font>
      <sz val="8"/>
      <color rgb="FFFA7D00"/>
      <name val="Tahoma"/>
      <family val="2"/>
      <scheme val="minor"/>
    </font>
    <font>
      <sz val="8"/>
      <color rgb="FF9C5700"/>
      <name val="Tahoma"/>
      <family val="2"/>
      <scheme val="minor"/>
    </font>
    <font>
      <b/>
      <sz val="8"/>
      <color rgb="FF3F3F3F"/>
      <name val="Tahoma"/>
      <family val="2"/>
      <scheme val="minor"/>
    </font>
    <font>
      <b/>
      <sz val="8"/>
      <color theme="1"/>
      <name val="Tahoma"/>
      <family val="2"/>
      <scheme val="minor"/>
    </font>
    <font>
      <sz val="8"/>
      <color rgb="FFFF0000"/>
      <name val="Tahoma"/>
      <family val="2"/>
      <scheme val="minor"/>
    </font>
    <font>
      <sz val="16"/>
      <name val="Tahoma"/>
      <family val="2"/>
      <scheme val="major"/>
    </font>
    <font>
      <sz val="8"/>
      <color theme="1"/>
      <name val="Tahoma"/>
      <family val="2"/>
    </font>
    <font>
      <sz val="18"/>
      <name val="Tahoma"/>
      <family val="2"/>
    </font>
    <font>
      <sz val="8"/>
      <name val="Tahoma"/>
      <family val="2"/>
    </font>
    <font>
      <b/>
      <sz val="8"/>
      <name val="Tahoma"/>
      <family val="2"/>
    </font>
    <font>
      <b/>
      <sz val="8"/>
      <color theme="1"/>
      <name val="Tahoma"/>
      <family val="2"/>
    </font>
    <font>
      <u/>
      <sz val="8"/>
      <color theme="10"/>
      <name val="Tahoma"/>
      <family val="2"/>
    </font>
    <font>
      <u/>
      <sz val="8"/>
      <color theme="10"/>
      <name val="Tahoma"/>
      <family val="2"/>
      <scheme val="minor"/>
    </font>
    <font>
      <strike/>
      <sz val="8"/>
      <color theme="0" tint="-4.9989318521683403E-2"/>
      <name val="Tahoma"/>
      <family val="2"/>
      <scheme val="minor"/>
    </font>
    <font>
      <sz val="8"/>
      <name val="Tahoma"/>
      <family val="2"/>
      <scheme val="minor"/>
    </font>
    <font>
      <sz val="9"/>
      <color indexed="81"/>
      <name val="Tahoma"/>
      <family val="2"/>
    </font>
    <font>
      <vertAlign val="superscript"/>
      <sz val="8"/>
      <color theme="1"/>
      <name val="Tahoma"/>
      <family val="2"/>
      <scheme val="minor"/>
    </font>
    <font>
      <b/>
      <sz val="9"/>
      <color indexed="81"/>
      <name val="Tahoma"/>
      <family val="2"/>
    </font>
    <font>
      <b/>
      <sz val="8"/>
      <name val="Tahoma"/>
      <family val="2"/>
      <scheme val="minor"/>
    </font>
    <font>
      <sz val="8"/>
      <color rgb="FFFF0000"/>
      <name val="Tahoma"/>
      <family val="2"/>
    </font>
    <font>
      <sz val="8"/>
      <color rgb="FF00B050"/>
      <name val="Tahoma"/>
      <family val="2"/>
      <scheme val="minor"/>
    </font>
    <font>
      <sz val="8"/>
      <color rgb="FF00B050"/>
      <name val="Tahoma"/>
      <family val="2"/>
    </font>
    <font>
      <sz val="8"/>
      <color rgb="FF92D050"/>
      <name val="Tahoma"/>
      <family val="2"/>
      <scheme val="minor"/>
    </font>
    <font>
      <sz val="8"/>
      <color theme="9"/>
      <name val="Tahoma"/>
      <family val="2"/>
      <scheme val="minor"/>
    </font>
    <font>
      <sz val="11"/>
      <color theme="1"/>
      <name val="Calibri"/>
      <family val="2"/>
    </font>
    <font>
      <sz val="8"/>
      <color rgb="FF000000"/>
      <name val="Tahoma"/>
      <family val="2"/>
    </font>
    <font>
      <b/>
      <sz val="8"/>
      <color rgb="FF000000"/>
      <name val="Tahoma"/>
      <family val="2"/>
    </font>
    <font>
      <i/>
      <sz val="8"/>
      <name val="Tahoma"/>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patternFill>
    </fill>
    <fill>
      <patternFill patternType="solid">
        <fgColor theme="9" tint="-0.249977111117893"/>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EAF1DD"/>
        <bgColor rgb="FFEAF1DD"/>
      </patternFill>
    </fill>
    <fill>
      <patternFill patternType="solid">
        <fgColor rgb="FFDBE5F1"/>
        <bgColor rgb="FFDBE5F1"/>
      </patternFill>
    </fill>
    <fill>
      <patternFill patternType="solid">
        <fgColor rgb="FFF4F4F4"/>
        <bgColor rgb="FF000000"/>
      </patternFill>
    </fill>
    <fill>
      <patternFill patternType="solid">
        <fgColor rgb="FFF2F8FF"/>
        <bgColor rgb="FF000000"/>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D5D5D5"/>
      </left>
      <right style="thin">
        <color rgb="FFD5D5D5"/>
      </right>
      <top style="thin">
        <color rgb="FFD5D5D5"/>
      </top>
      <bottom style="thin">
        <color rgb="FFD5D5D5"/>
      </bottom>
      <diagonal/>
    </border>
    <border>
      <left style="thin">
        <color rgb="FFD5D5D5"/>
      </left>
      <right/>
      <top style="thin">
        <color rgb="FFD5D5D5"/>
      </top>
      <bottom style="thin">
        <color rgb="FFD5D5D5"/>
      </bottom>
      <diagonal/>
    </border>
    <border>
      <left/>
      <right style="thin">
        <color rgb="FFD5D5D5"/>
      </right>
      <top style="thin">
        <color rgb="FFD5D5D5"/>
      </top>
      <bottom style="thin">
        <color rgb="FFD5D5D5"/>
      </bottom>
      <diagonal/>
    </border>
    <border>
      <left/>
      <right style="thin">
        <color rgb="FFD5D5D5"/>
      </right>
      <top/>
      <bottom/>
      <diagonal/>
    </border>
    <border>
      <left style="thin">
        <color rgb="FFD5D5D5"/>
      </left>
      <right/>
      <top/>
      <bottom/>
      <diagonal/>
    </border>
    <border>
      <left style="thin">
        <color rgb="FFD5D5D5"/>
      </left>
      <right style="thin">
        <color rgb="FFD5D5D5"/>
      </right>
      <top style="thin">
        <color rgb="FFD5D5D5"/>
      </top>
      <bottom/>
      <diagonal/>
    </border>
    <border>
      <left style="thin">
        <color rgb="FFD5D5D5"/>
      </left>
      <right/>
      <top style="thin">
        <color rgb="FFD5D5D5"/>
      </top>
      <bottom/>
      <diagonal/>
    </border>
    <border>
      <left/>
      <right style="thin">
        <color rgb="FFD5D5D5"/>
      </right>
      <top style="thin">
        <color rgb="FFD5D5D5"/>
      </top>
      <bottom/>
      <diagonal/>
    </border>
    <border>
      <left style="thin">
        <color rgb="FFD5D5D5"/>
      </left>
      <right style="thin">
        <color rgb="FFD5D5D5"/>
      </right>
      <top/>
      <bottom style="thin">
        <color rgb="FFD5D5D5"/>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D5D5D5"/>
      </right>
      <top/>
      <bottom style="thin">
        <color rgb="FFD5D5D5"/>
      </bottom>
      <diagonal/>
    </border>
    <border>
      <left style="thin">
        <color rgb="FFD5D5D5"/>
      </left>
      <right style="thin">
        <color rgb="FFD5D5D5"/>
      </right>
      <top/>
      <bottom/>
      <diagonal/>
    </border>
  </borders>
  <cellStyleXfs count="51">
    <xf numFmtId="0" fontId="0" fillId="0" borderId="0">
      <alignment vertical="center"/>
    </xf>
    <xf numFmtId="43" fontId="4" fillId="0" borderId="0" applyFont="0" applyFill="0" applyBorder="0" applyAlignment="0" applyProtection="0">
      <alignment vertical="center"/>
    </xf>
    <xf numFmtId="41" fontId="4" fillId="0" borderId="0" applyFont="0" applyFill="0" applyBorder="0" applyAlignment="0" applyProtection="0">
      <alignment vertical="center"/>
    </xf>
    <xf numFmtId="44" fontId="4" fillId="0" borderId="0" applyFont="0" applyFill="0" applyBorder="0" applyAlignment="0" applyProtection="0">
      <alignment vertical="center"/>
    </xf>
    <xf numFmtId="42" fontId="4" fillId="0" borderId="0" applyFont="0" applyFill="0" applyBorder="0" applyAlignment="0" applyProtection="0">
      <alignment vertical="center"/>
    </xf>
    <xf numFmtId="9" fontId="4" fillId="0" borderId="0" applyFont="0" applyFill="0" applyBorder="0" applyAlignment="0" applyProtection="0">
      <alignment vertical="center"/>
    </xf>
    <xf numFmtId="0" fontId="17" fillId="0" borderId="0" applyNumberFormat="0" applyFill="0" applyBorder="0" applyAlignment="0" applyProtection="0">
      <alignment vertical="center"/>
    </xf>
    <xf numFmtId="0" fontId="1" fillId="0" borderId="1" applyNumberFormat="0" applyFill="0" applyAlignment="0" applyProtection="0">
      <alignment vertical="center"/>
    </xf>
    <xf numFmtId="0" fontId="2" fillId="0" borderId="2" applyNumberFormat="0" applyFill="0" applyAlignment="0" applyProtection="0">
      <alignment vertical="center"/>
    </xf>
    <xf numFmtId="0" fontId="3" fillId="0" borderId="3" applyNumberFormat="0" applyFill="0" applyAlignment="0" applyProtection="0">
      <alignment vertical="center"/>
    </xf>
    <xf numFmtId="0" fontId="3" fillId="0" borderId="0" applyNumberFormat="0" applyFill="0" applyBorder="0" applyAlignment="0" applyProtection="0">
      <alignment vertical="center"/>
    </xf>
    <xf numFmtId="0" fontId="10" fillId="2" borderId="0" applyNumberFormat="0" applyBorder="0" applyAlignment="0" applyProtection="0">
      <alignment vertical="center"/>
    </xf>
    <xf numFmtId="0" fontId="6" fillId="3" borderId="0" applyNumberFormat="0" applyBorder="0" applyAlignment="0" applyProtection="0">
      <alignment vertical="center"/>
    </xf>
    <xf numFmtId="0" fontId="13" fillId="4" borderId="0" applyNumberFormat="0" applyBorder="0" applyAlignment="0" applyProtection="0">
      <alignment vertical="center"/>
    </xf>
    <xf numFmtId="0" fontId="11" fillId="5" borderId="4" applyNumberFormat="0" applyAlignment="0" applyProtection="0">
      <alignment vertical="center"/>
    </xf>
    <xf numFmtId="0" fontId="14" fillId="6" borderId="5" applyNumberFormat="0" applyAlignment="0" applyProtection="0">
      <alignment vertical="center"/>
    </xf>
    <xf numFmtId="0" fontId="7" fillId="6" borderId="4" applyNumberFormat="0" applyAlignment="0" applyProtection="0">
      <alignment vertical="center"/>
    </xf>
    <xf numFmtId="0" fontId="12" fillId="0" borderId="6" applyNumberFormat="0" applyFill="0" applyAlignment="0" applyProtection="0">
      <alignment vertical="center"/>
    </xf>
    <xf numFmtId="0" fontId="8" fillId="7" borderId="7" applyNumberFormat="0" applyAlignment="0" applyProtection="0">
      <alignment vertical="center"/>
    </xf>
    <xf numFmtId="0" fontId="16" fillId="0" borderId="0" applyNumberFormat="0" applyFill="0" applyBorder="0" applyAlignment="0" applyProtection="0">
      <alignment vertical="center"/>
    </xf>
    <xf numFmtId="0" fontId="4" fillId="8" borderId="8" applyNumberFormat="0" applyFont="0" applyAlignment="0" applyProtection="0">
      <alignment vertical="center"/>
    </xf>
    <xf numFmtId="0" fontId="9" fillId="0" borderId="0" applyNumberFormat="0" applyFill="0" applyBorder="0" applyAlignment="0" applyProtection="0">
      <alignment vertical="center"/>
    </xf>
    <xf numFmtId="0" fontId="15" fillId="0" borderId="9" applyNumberFormat="0" applyFill="0" applyAlignment="0" applyProtection="0">
      <alignment vertical="center"/>
    </xf>
    <xf numFmtId="0" fontId="5"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5"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5"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5"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5"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5" fillId="29"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horizontal="left" vertical="center"/>
    </xf>
    <xf numFmtId="0" fontId="4" fillId="33" borderId="13" applyNumberFormat="0" applyFont="0" applyBorder="0" applyAlignment="0" applyProtection="0">
      <alignment vertical="center"/>
    </xf>
    <xf numFmtId="0" fontId="25" fillId="34" borderId="0" applyNumberFormat="0" applyBorder="0" applyAlignment="0" applyProtection="0">
      <alignment vertical="center"/>
    </xf>
  </cellStyleXfs>
  <cellXfs count="144">
    <xf numFmtId="0" fontId="0" fillId="0" borderId="0" xfId="0">
      <alignment vertical="center"/>
    </xf>
    <xf numFmtId="0" fontId="17" fillId="0" borderId="0" xfId="6">
      <alignment vertical="center"/>
    </xf>
    <xf numFmtId="0" fontId="20" fillId="0" borderId="0" xfId="0" applyFont="1">
      <alignment vertical="center"/>
    </xf>
    <xf numFmtId="0" fontId="0" fillId="0" borderId="0" xfId="0" applyAlignment="1">
      <alignment vertical="center" wrapText="1"/>
    </xf>
    <xf numFmtId="0" fontId="20" fillId="0" borderId="0" xfId="0" applyFont="1" applyAlignment="1">
      <alignment vertical="center" wrapText="1"/>
    </xf>
    <xf numFmtId="14" fontId="0" fillId="0" borderId="0" xfId="0" applyNumberFormat="1" applyAlignment="1">
      <alignment horizontal="right" vertical="center"/>
    </xf>
    <xf numFmtId="0" fontId="20" fillId="0" borderId="0" xfId="0" applyFont="1" applyAlignment="1">
      <alignment horizontal="right" vertical="center"/>
    </xf>
    <xf numFmtId="14" fontId="20" fillId="0" borderId="0" xfId="0" applyNumberFormat="1" applyFont="1" applyAlignment="1">
      <alignment horizontal="right" vertical="center"/>
    </xf>
    <xf numFmtId="0" fontId="20" fillId="0" borderId="10" xfId="0" applyFont="1" applyBorder="1">
      <alignment vertical="center"/>
    </xf>
    <xf numFmtId="0" fontId="0" fillId="0" borderId="0" xfId="0" applyAlignment="1">
      <alignment horizontal="right" vertical="center"/>
    </xf>
    <xf numFmtId="0" fontId="21" fillId="0" borderId="0" xfId="0" applyFont="1">
      <alignment vertical="center"/>
    </xf>
    <xf numFmtId="14" fontId="20" fillId="0" borderId="0" xfId="0" applyNumberFormat="1" applyFont="1">
      <alignment vertical="center"/>
    </xf>
    <xf numFmtId="0" fontId="22" fillId="0" borderId="0" xfId="0" applyFont="1">
      <alignment vertical="center"/>
    </xf>
    <xf numFmtId="0" fontId="0" fillId="0" borderId="10" xfId="0" applyBorder="1">
      <alignment vertical="center"/>
    </xf>
    <xf numFmtId="0" fontId="0" fillId="0" borderId="0" xfId="0" applyAlignment="1">
      <alignment horizontal="left" textRotation="90"/>
    </xf>
    <xf numFmtId="0" fontId="0" fillId="0" borderId="0" xfId="0" applyAlignment="1"/>
    <xf numFmtId="0" fontId="0" fillId="0" borderId="0" xfId="0" applyAlignment="1">
      <alignment horizontal="left" textRotation="90" wrapText="1"/>
    </xf>
    <xf numFmtId="0" fontId="0" fillId="0" borderId="0" xfId="0" applyAlignment="1">
      <alignment horizontal="left"/>
    </xf>
    <xf numFmtId="164" fontId="20" fillId="0" borderId="10" xfId="0" applyNumberFormat="1" applyFont="1" applyBorder="1">
      <alignment vertical="center"/>
    </xf>
    <xf numFmtId="0" fontId="20" fillId="0" borderId="10" xfId="0" applyFont="1" applyBorder="1" applyAlignment="1">
      <alignment horizontal="right" vertical="center"/>
    </xf>
    <xf numFmtId="0" fontId="0" fillId="0" borderId="10" xfId="0" applyBorder="1" applyAlignment="1">
      <alignment horizontal="right" vertical="center"/>
    </xf>
    <xf numFmtId="0" fontId="20" fillId="0" borderId="15" xfId="0" applyFont="1" applyBorder="1">
      <alignment vertical="center"/>
    </xf>
    <xf numFmtId="0" fontId="0" fillId="0" borderId="15" xfId="0" applyBorder="1" applyAlignment="1">
      <alignment horizontal="right" vertical="center"/>
    </xf>
    <xf numFmtId="164" fontId="20" fillId="0" borderId="15" xfId="0" applyNumberFormat="1" applyFont="1" applyBorder="1">
      <alignment vertical="center"/>
    </xf>
    <xf numFmtId="0" fontId="20" fillId="0" borderId="15" xfId="0" applyFont="1" applyBorder="1" applyAlignment="1">
      <alignment horizontal="right" vertical="center"/>
    </xf>
    <xf numFmtId="0" fontId="19" fillId="0" borderId="0" xfId="0" applyFont="1">
      <alignment vertical="center"/>
    </xf>
    <xf numFmtId="0" fontId="0" fillId="0" borderId="16" xfId="0" applyBorder="1">
      <alignment vertical="center"/>
    </xf>
    <xf numFmtId="0" fontId="0" fillId="0" borderId="15" xfId="0" applyBorder="1">
      <alignment vertical="center"/>
    </xf>
    <xf numFmtId="164" fontId="0" fillId="0" borderId="16" xfId="0" applyNumberFormat="1" applyBorder="1">
      <alignment vertical="center"/>
    </xf>
    <xf numFmtId="0" fontId="0" fillId="0" borderId="16" xfId="0" quotePrefix="1" applyBorder="1">
      <alignment vertical="center"/>
    </xf>
    <xf numFmtId="0" fontId="18" fillId="0" borderId="16" xfId="0" applyFont="1" applyBorder="1">
      <alignment vertical="center"/>
    </xf>
    <xf numFmtId="0" fontId="0" fillId="0" borderId="11" xfId="0" applyBorder="1">
      <alignment vertical="center"/>
    </xf>
    <xf numFmtId="164" fontId="0" fillId="0" borderId="11" xfId="0" applyNumberFormat="1" applyBorder="1">
      <alignment vertical="center"/>
    </xf>
    <xf numFmtId="0" fontId="20" fillId="0" borderId="10" xfId="0" applyFont="1" applyBorder="1" applyAlignment="1">
      <alignment horizontal="left" vertical="center"/>
    </xf>
    <xf numFmtId="0" fontId="26" fillId="0" borderId="0" xfId="0" applyFont="1">
      <alignment vertical="center"/>
    </xf>
    <xf numFmtId="0" fontId="20" fillId="0" borderId="15" xfId="0" applyFont="1" applyBorder="1" applyAlignment="1">
      <alignment horizontal="left" vertical="center"/>
    </xf>
    <xf numFmtId="0" fontId="26" fillId="0" borderId="0" xfId="0" applyFont="1" applyAlignment="1">
      <alignment horizontal="left" vertical="center"/>
    </xf>
    <xf numFmtId="0" fontId="0" fillId="0" borderId="12" xfId="0" applyBorder="1">
      <alignment vertical="center"/>
    </xf>
    <xf numFmtId="0" fontId="26" fillId="0" borderId="0" xfId="0" applyFont="1" applyAlignment="1">
      <alignment horizontal="right" vertical="center"/>
    </xf>
    <xf numFmtId="0" fontId="0" fillId="0" borderId="0" xfId="0" applyAlignment="1">
      <alignment horizontal="left" wrapText="1"/>
    </xf>
    <xf numFmtId="0" fontId="0" fillId="0" borderId="0" xfId="0" applyAlignment="1">
      <alignment wrapText="1"/>
    </xf>
    <xf numFmtId="14" fontId="21" fillId="0" borderId="0" xfId="0" applyNumberFormat="1" applyFont="1" applyAlignment="1">
      <alignment horizontal="right" vertical="center"/>
    </xf>
    <xf numFmtId="0" fontId="15" fillId="0" borderId="0" xfId="0" applyFont="1" applyAlignment="1">
      <alignment horizontal="right" vertical="center"/>
    </xf>
    <xf numFmtId="164" fontId="20" fillId="0" borderId="13" xfId="0" applyNumberFormat="1" applyFont="1" applyBorder="1">
      <alignment vertical="center"/>
    </xf>
    <xf numFmtId="164" fontId="20" fillId="0" borderId="0" xfId="0" applyNumberFormat="1" applyFont="1">
      <alignment vertical="center"/>
    </xf>
    <xf numFmtId="0" fontId="26" fillId="0" borderId="14" xfId="0" applyFont="1" applyBorder="1">
      <alignment vertical="center"/>
    </xf>
    <xf numFmtId="11" fontId="0" fillId="0" borderId="16" xfId="0" applyNumberFormat="1" applyBorder="1">
      <alignment vertical="center"/>
    </xf>
    <xf numFmtId="0" fontId="15" fillId="0" borderId="0" xfId="0" applyFont="1">
      <alignment vertical="center"/>
    </xf>
    <xf numFmtId="0" fontId="26" fillId="0" borderId="12" xfId="0" applyFont="1" applyBorder="1">
      <alignment vertical="center"/>
    </xf>
    <xf numFmtId="0" fontId="26" fillId="0" borderId="17" xfId="0" applyFont="1" applyBorder="1">
      <alignment vertical="center"/>
    </xf>
    <xf numFmtId="0" fontId="0" fillId="35" borderId="0" xfId="0" applyFill="1">
      <alignment vertical="center"/>
    </xf>
    <xf numFmtId="0" fontId="0" fillId="36" borderId="0" xfId="0" applyFill="1">
      <alignment vertical="center"/>
    </xf>
    <xf numFmtId="0" fontId="0" fillId="37" borderId="0" xfId="0" applyFill="1">
      <alignment vertical="center"/>
    </xf>
    <xf numFmtId="0" fontId="0" fillId="38" borderId="0" xfId="0" applyFill="1" applyAlignment="1">
      <alignment horizontal="right" vertical="center"/>
    </xf>
    <xf numFmtId="0" fontId="30" fillId="0" borderId="0" xfId="0" applyFont="1" applyAlignment="1">
      <alignment horizontal="right" vertical="center"/>
    </xf>
    <xf numFmtId="0" fontId="16" fillId="0" borderId="0" xfId="0" applyFont="1">
      <alignment vertical="center"/>
    </xf>
    <xf numFmtId="0" fontId="31" fillId="0" borderId="0" xfId="0" applyFont="1">
      <alignment vertical="center"/>
    </xf>
    <xf numFmtId="0" fontId="16" fillId="0" borderId="0" xfId="0" applyFont="1" applyAlignment="1">
      <alignment horizontal="right" vertical="center"/>
    </xf>
    <xf numFmtId="0" fontId="16" fillId="0" borderId="10" xfId="0" applyFont="1" applyBorder="1" applyAlignment="1">
      <alignment horizontal="right" vertical="center"/>
    </xf>
    <xf numFmtId="0" fontId="32" fillId="0" borderId="0" xfId="0" applyFont="1">
      <alignment vertical="center"/>
    </xf>
    <xf numFmtId="0" fontId="33" fillId="0" borderId="0" xfId="0" applyFont="1">
      <alignment vertical="center"/>
    </xf>
    <xf numFmtId="0" fontId="32" fillId="0" borderId="0" xfId="0" applyFont="1" applyAlignment="1">
      <alignment horizontal="right" vertical="center"/>
    </xf>
    <xf numFmtId="0" fontId="32" fillId="0" borderId="10" xfId="0" applyFont="1" applyBorder="1" applyAlignment="1">
      <alignment horizontal="right" vertical="center"/>
    </xf>
    <xf numFmtId="0" fontId="34" fillId="0" borderId="0" xfId="0" applyFont="1">
      <alignment vertical="center"/>
    </xf>
    <xf numFmtId="0" fontId="35" fillId="0" borderId="0" xfId="0" applyFont="1">
      <alignment vertical="center"/>
    </xf>
    <xf numFmtId="0" fontId="20" fillId="0" borderId="0" xfId="0" quotePrefix="1" applyFont="1" applyAlignment="1">
      <alignment vertical="center" wrapText="1"/>
    </xf>
    <xf numFmtId="1" fontId="0" fillId="0" borderId="0" xfId="0" applyNumberFormat="1">
      <alignment vertical="center"/>
    </xf>
    <xf numFmtId="0" fontId="0" fillId="0" borderId="0" xfId="0" quotePrefix="1">
      <alignment vertical="center"/>
    </xf>
    <xf numFmtId="0" fontId="36" fillId="39" borderId="19" xfId="0" applyFont="1" applyFill="1" applyBorder="1" applyAlignment="1">
      <alignment horizontal="center"/>
    </xf>
    <xf numFmtId="0" fontId="36" fillId="39" borderId="20" xfId="0" applyFont="1" applyFill="1" applyBorder="1" applyAlignment="1">
      <alignment horizontal="center"/>
    </xf>
    <xf numFmtId="0" fontId="36" fillId="40" borderId="19" xfId="0" applyFont="1" applyFill="1" applyBorder="1" applyAlignment="1">
      <alignment horizontal="center"/>
    </xf>
    <xf numFmtId="0" fontId="36" fillId="36" borderId="19" xfId="0" applyFont="1" applyFill="1" applyBorder="1" applyAlignment="1">
      <alignment horizontal="center"/>
    </xf>
    <xf numFmtId="0" fontId="36" fillId="40" borderId="20" xfId="0" applyFont="1" applyFill="1" applyBorder="1" applyAlignment="1">
      <alignment horizontal="center"/>
    </xf>
    <xf numFmtId="0" fontId="36" fillId="39" borderId="21" xfId="0" applyFont="1" applyFill="1" applyBorder="1" applyAlignment="1">
      <alignment horizontal="center"/>
    </xf>
    <xf numFmtId="0" fontId="36" fillId="40" borderId="22" xfId="0" applyFont="1" applyFill="1" applyBorder="1" applyAlignment="1">
      <alignment horizontal="center"/>
    </xf>
    <xf numFmtId="0" fontId="26" fillId="0" borderId="0" xfId="0" applyFont="1" applyAlignment="1"/>
    <xf numFmtId="0" fontId="20" fillId="0" borderId="14" xfId="0" applyFont="1" applyBorder="1" applyAlignment="1">
      <alignment horizontal="right" vertical="center"/>
    </xf>
    <xf numFmtId="0" fontId="20" fillId="0" borderId="0" xfId="0" applyFont="1" applyAlignment="1">
      <alignment horizontal="left" vertical="center"/>
    </xf>
    <xf numFmtId="0" fontId="17" fillId="0" borderId="0" xfId="6" applyAlignment="1">
      <alignment vertical="center" wrapText="1"/>
    </xf>
    <xf numFmtId="0" fontId="37" fillId="0" borderId="0" xfId="0" applyFont="1">
      <alignment vertical="center"/>
    </xf>
    <xf numFmtId="0" fontId="38" fillId="0" borderId="0" xfId="0" applyFont="1">
      <alignment vertical="center"/>
    </xf>
    <xf numFmtId="0" fontId="37" fillId="0" borderId="10" xfId="0" applyFont="1" applyBorder="1">
      <alignment vertical="center"/>
    </xf>
    <xf numFmtId="0" fontId="20" fillId="0" borderId="12" xfId="0" applyFont="1" applyBorder="1">
      <alignment vertical="center"/>
    </xf>
    <xf numFmtId="0" fontId="37" fillId="0" borderId="12" xfId="0" applyFont="1" applyBorder="1">
      <alignment vertical="center"/>
    </xf>
    <xf numFmtId="0" fontId="37" fillId="41" borderId="10" xfId="0" applyFont="1" applyFill="1" applyBorder="1" applyAlignment="1">
      <alignment vertical="center" textRotation="90"/>
    </xf>
    <xf numFmtId="0" fontId="37" fillId="41" borderId="10" xfId="0" applyFont="1" applyFill="1" applyBorder="1">
      <alignment vertical="center"/>
    </xf>
    <xf numFmtId="0" fontId="37" fillId="41" borderId="10" xfId="0" applyFont="1" applyFill="1" applyBorder="1" applyAlignment="1">
      <alignment vertical="center" textRotation="90" wrapText="1"/>
    </xf>
    <xf numFmtId="0" fontId="37" fillId="41" borderId="10" xfId="0" applyFont="1" applyFill="1" applyBorder="1" applyAlignment="1">
      <alignment vertical="center" wrapText="1"/>
    </xf>
    <xf numFmtId="0" fontId="20" fillId="42" borderId="10" xfId="0" applyFont="1" applyFill="1" applyBorder="1">
      <alignment vertical="center"/>
    </xf>
    <xf numFmtId="0" fontId="37" fillId="42" borderId="10" xfId="0" applyFont="1" applyFill="1" applyBorder="1">
      <alignment vertical="center"/>
    </xf>
    <xf numFmtId="0" fontId="20" fillId="0" borderId="18" xfId="0" applyFont="1" applyBorder="1">
      <alignment vertical="center"/>
    </xf>
    <xf numFmtId="0" fontId="37" fillId="0" borderId="18" xfId="0" applyFont="1" applyBorder="1">
      <alignment vertical="center"/>
    </xf>
    <xf numFmtId="0" fontId="20" fillId="0" borderId="23" xfId="0" applyFont="1" applyBorder="1">
      <alignment vertical="center"/>
    </xf>
    <xf numFmtId="0" fontId="20" fillId="0" borderId="24" xfId="0" applyFont="1" applyBorder="1">
      <alignment vertical="center"/>
    </xf>
    <xf numFmtId="0" fontId="37" fillId="0" borderId="24" xfId="0" applyFont="1" applyBorder="1">
      <alignment vertical="center"/>
    </xf>
    <xf numFmtId="0" fontId="20" fillId="0" borderId="13" xfId="0" applyFont="1" applyBorder="1">
      <alignment vertical="center"/>
    </xf>
    <xf numFmtId="0" fontId="20" fillId="42" borderId="10" xfId="0" applyFont="1" applyFill="1" applyBorder="1" applyAlignment="1">
      <alignment vertical="center" wrapText="1"/>
    </xf>
    <xf numFmtId="0" fontId="20" fillId="0" borderId="10" xfId="0" applyFont="1" applyBorder="1" applyAlignment="1">
      <alignment vertical="center" wrapText="1"/>
    </xf>
    <xf numFmtId="0" fontId="37" fillId="0" borderId="10" xfId="0" applyFont="1" applyBorder="1" applyAlignment="1">
      <alignment vertical="center" wrapText="1"/>
    </xf>
    <xf numFmtId="0" fontId="37" fillId="0" borderId="18" xfId="0" applyFont="1" applyBorder="1" applyAlignment="1">
      <alignment vertical="center" wrapText="1"/>
    </xf>
    <xf numFmtId="0" fontId="37" fillId="0" borderId="24" xfId="0" applyFont="1" applyBorder="1" applyAlignment="1">
      <alignment vertical="center" wrapText="1"/>
    </xf>
    <xf numFmtId="0" fontId="20" fillId="0" borderId="0" xfId="0" applyFont="1" applyAlignment="1">
      <alignment horizontal="center" vertical="center"/>
    </xf>
    <xf numFmtId="0" fontId="26" fillId="0" borderId="0" xfId="0" quotePrefix="1" applyFont="1" applyAlignment="1">
      <alignment horizontal="right" vertical="center"/>
    </xf>
    <xf numFmtId="0" fontId="20" fillId="0" borderId="0" xfId="49" applyFont="1" applyFill="1" applyBorder="1" applyAlignment="1">
      <alignment horizontal="right" vertical="center"/>
    </xf>
    <xf numFmtId="0" fontId="20" fillId="0" borderId="0" xfId="49" applyFont="1" applyFill="1" applyBorder="1" applyAlignment="1">
      <alignment vertical="center"/>
    </xf>
    <xf numFmtId="0" fontId="26" fillId="0" borderId="0" xfId="49" applyFont="1" applyFill="1" applyBorder="1" applyAlignment="1">
      <alignment horizontal="right" vertical="center"/>
    </xf>
    <xf numFmtId="0" fontId="20" fillId="0" borderId="14" xfId="49" applyFont="1" applyFill="1" applyBorder="1" applyAlignment="1">
      <alignment horizontal="right" vertical="center"/>
    </xf>
    <xf numFmtId="0" fontId="20" fillId="0" borderId="0" xfId="49" applyFont="1" applyFill="1" applyBorder="1" applyAlignment="1" applyProtection="1">
      <alignment horizontal="right" vertical="center"/>
    </xf>
    <xf numFmtId="0" fontId="26" fillId="0" borderId="0" xfId="49" applyFont="1" applyFill="1" applyBorder="1" applyAlignment="1">
      <alignment vertical="center"/>
    </xf>
    <xf numFmtId="0" fontId="20" fillId="0" borderId="10" xfId="49" applyFont="1" applyFill="1" applyBorder="1" applyProtection="1">
      <alignment vertical="center"/>
    </xf>
    <xf numFmtId="0" fontId="26" fillId="0" borderId="0" xfId="49" applyFont="1" applyFill="1" applyBorder="1" applyAlignment="1">
      <alignment horizontal="left" vertical="center"/>
    </xf>
    <xf numFmtId="0" fontId="20" fillId="0" borderId="0" xfId="49" applyFont="1" applyFill="1" applyBorder="1" applyAlignment="1">
      <alignment horizontal="left" vertical="center"/>
    </xf>
    <xf numFmtId="0" fontId="20" fillId="0" borderId="14" xfId="0" applyFont="1" applyBorder="1">
      <alignment vertical="center"/>
    </xf>
    <xf numFmtId="0" fontId="26" fillId="0" borderId="10" xfId="0" applyFont="1" applyBorder="1">
      <alignment vertical="center"/>
    </xf>
    <xf numFmtId="0" fontId="26" fillId="0" borderId="10" xfId="0" applyFont="1" applyBorder="1" applyAlignment="1">
      <alignment horizontal="right" vertical="center"/>
    </xf>
    <xf numFmtId="0" fontId="39" fillId="0" borderId="0" xfId="0" applyFont="1" applyAlignment="1">
      <alignment horizontal="right" vertical="center"/>
    </xf>
    <xf numFmtId="0" fontId="20" fillId="0" borderId="0" xfId="49" applyFont="1" applyFill="1" applyBorder="1" applyAlignment="1" applyProtection="1">
      <alignment vertical="center"/>
    </xf>
    <xf numFmtId="0" fontId="26" fillId="0" borderId="0" xfId="49" applyFont="1" applyFill="1" applyBorder="1" applyAlignment="1" applyProtection="1">
      <alignment vertical="center"/>
    </xf>
    <xf numFmtId="0" fontId="26" fillId="0" borderId="14" xfId="0" applyFont="1" applyBorder="1" applyAlignment="1">
      <alignment horizontal="right" vertical="center"/>
    </xf>
    <xf numFmtId="0" fontId="20" fillId="0" borderId="10" xfId="49" applyFont="1" applyFill="1" applyBorder="1" applyAlignment="1">
      <alignment horizontal="left" vertical="center"/>
    </xf>
    <xf numFmtId="49" fontId="20" fillId="0" borderId="0" xfId="49" applyNumberFormat="1" applyFont="1" applyFill="1" applyBorder="1" applyAlignment="1">
      <alignment vertical="center"/>
    </xf>
    <xf numFmtId="49" fontId="20" fillId="0" borderId="0" xfId="0" applyNumberFormat="1" applyFont="1">
      <alignment vertical="center"/>
    </xf>
    <xf numFmtId="0" fontId="26" fillId="0" borderId="0" xfId="49" applyFont="1" applyFill="1" applyBorder="1">
      <alignment vertical="center"/>
    </xf>
    <xf numFmtId="0" fontId="26" fillId="0" borderId="13" xfId="49" applyFont="1" applyFill="1" applyBorder="1" applyAlignment="1" applyProtection="1">
      <alignment vertical="center"/>
    </xf>
    <xf numFmtId="0" fontId="20" fillId="0" borderId="0" xfId="49" applyFont="1" applyFill="1" applyBorder="1">
      <alignment vertical="center"/>
    </xf>
    <xf numFmtId="0" fontId="20" fillId="0" borderId="0" xfId="49" applyFont="1" applyFill="1" applyBorder="1" applyProtection="1">
      <alignment vertical="center"/>
    </xf>
    <xf numFmtId="0" fontId="26" fillId="0" borderId="13" xfId="0" applyFont="1" applyBorder="1">
      <alignment vertical="center"/>
    </xf>
    <xf numFmtId="0" fontId="20" fillId="0" borderId="10" xfId="49" applyFont="1" applyFill="1" applyBorder="1" applyAlignment="1">
      <alignment horizontal="right" vertical="center"/>
    </xf>
    <xf numFmtId="0" fontId="26" fillId="0" borderId="0" xfId="49" applyFont="1" applyFill="1" applyBorder="1" applyAlignment="1" applyProtection="1">
      <alignment horizontal="right" vertical="center"/>
    </xf>
    <xf numFmtId="0" fontId="26" fillId="0" borderId="13" xfId="49" applyFont="1" applyFill="1" applyBorder="1" applyAlignment="1">
      <alignment vertical="center"/>
    </xf>
    <xf numFmtId="0" fontId="26" fillId="0" borderId="0" xfId="0" quotePrefix="1" applyFont="1">
      <alignment vertical="center"/>
    </xf>
    <xf numFmtId="0" fontId="26" fillId="0" borderId="15" xfId="0" applyFont="1" applyBorder="1">
      <alignment vertical="center"/>
    </xf>
    <xf numFmtId="0" fontId="0" fillId="0" borderId="0" xfId="0" applyAlignment="1">
      <alignment horizontal="left" vertical="center" textRotation="90"/>
    </xf>
    <xf numFmtId="0" fontId="0" fillId="0" borderId="0" xfId="0" applyAlignment="1">
      <alignment horizontal="left" vertical="center" textRotation="90" wrapText="1"/>
    </xf>
    <xf numFmtId="0" fontId="0" fillId="0" borderId="0" xfId="0" applyAlignment="1">
      <alignment horizontal="left" vertical="center" wrapText="1"/>
    </xf>
    <xf numFmtId="0" fontId="0" fillId="0" borderId="0" xfId="0" applyAlignment="1">
      <alignment horizontal="left" vertical="center"/>
    </xf>
    <xf numFmtId="0" fontId="20" fillId="0" borderId="10" xfId="49" applyFont="1" applyFill="1" applyBorder="1" applyAlignment="1" applyProtection="1">
      <alignment vertical="center"/>
    </xf>
    <xf numFmtId="164" fontId="20" fillId="0" borderId="18" xfId="0" applyNumberFormat="1" applyFont="1" applyBorder="1">
      <alignment vertical="center"/>
    </xf>
    <xf numFmtId="0" fontId="37" fillId="41" borderId="18" xfId="0" applyFont="1" applyFill="1" applyBorder="1" applyAlignment="1">
      <alignment vertical="center" textRotation="90"/>
    </xf>
    <xf numFmtId="0" fontId="37" fillId="41" borderId="18" xfId="0" applyFont="1" applyFill="1" applyBorder="1">
      <alignment vertical="center"/>
    </xf>
    <xf numFmtId="0" fontId="37" fillId="41" borderId="18" xfId="0" applyFont="1" applyFill="1" applyBorder="1" applyAlignment="1">
      <alignment vertical="center" textRotation="90" wrapText="1"/>
    </xf>
    <xf numFmtId="0" fontId="37" fillId="41" borderId="18" xfId="0" applyFont="1" applyFill="1" applyBorder="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51">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1" builtinId="3" customBuiltin="1"/>
    <cellStyle name="Comma [0]" xfId="2" builtinId="6" customBuiltin="1"/>
    <cellStyle name="Currency" xfId="3" builtinId="4" customBuiltin="1"/>
    <cellStyle name="Currency [0]" xfId="4" builtinId="7" customBuiltin="1"/>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48" builtinId="8" hidden="1"/>
    <cellStyle name="Hyperlink" xfId="47" builtinId="8" hidden="1"/>
    <cellStyle name="Input" xfId="14" builtinId="20" customBuiltin="1"/>
    <cellStyle name="Linked Cell" xfId="17" builtinId="24" customBuiltin="1"/>
    <cellStyle name="Modified Since Last Revision" xfId="49" xr:uid="{F4658C54-55A8-D049-BA1E-ACAF79A56702}"/>
    <cellStyle name="Neutral" xfId="13" builtinId="28" customBuiltin="1"/>
    <cellStyle name="Normal" xfId="0" builtinId="0" customBuiltin="1"/>
    <cellStyle name="Note" xfId="20" builtinId="10" customBuiltin="1"/>
    <cellStyle name="Output" xfId="15" builtinId="21" customBuiltin="1"/>
    <cellStyle name="Percent" xfId="5" builtinId="5" customBuiltin="1"/>
    <cellStyle name="Remove" xfId="50" xr:uid="{15F4327C-66FD-5847-BC6C-2D57DEE80C2E}"/>
    <cellStyle name="Title" xfId="6" builtinId="15" customBuiltin="1"/>
    <cellStyle name="Total" xfId="22" builtinId="25" customBuiltin="1"/>
    <cellStyle name="Warning Text" xfId="19" builtinId="11" customBuiltin="1"/>
  </cellStyles>
  <dxfs count="318">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numFmt numFmtId="0" formatCode="General"/>
    </dxf>
    <dxf>
      <numFmt numFmtId="0" formatCode="General"/>
    </dxf>
    <dxf>
      <font>
        <color auto="1"/>
      </font>
      <numFmt numFmtId="0" formatCode="General"/>
      <border diagonalUp="0" diagonalDown="0">
        <left style="thin">
          <color rgb="FFD5D5D5"/>
        </left>
        <right style="thin">
          <color rgb="FFD5D5D5"/>
        </right>
        <top style="thin">
          <color rgb="FFD5D5D5"/>
        </top>
        <bottom style="thin">
          <color rgb="FFD5D5D5"/>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rgb="FFD5D5D5"/>
        </top>
      </border>
    </dxf>
    <dxf>
      <border outline="0">
        <bottom style="thin">
          <color rgb="FFD5D5D5"/>
        </bottom>
      </border>
    </dxf>
    <dxf>
      <font>
        <b val="0"/>
        <i val="0"/>
        <strike val="0"/>
        <condense val="0"/>
        <extend val="0"/>
        <outline val="0"/>
        <shadow val="0"/>
        <u val="none"/>
        <vertAlign val="baseline"/>
        <sz val="8"/>
        <color rgb="FF000000"/>
        <name val="Tahoma"/>
        <family val="2"/>
        <scheme val="none"/>
      </font>
      <fill>
        <patternFill patternType="solid">
          <fgColor rgb="FF000000"/>
          <bgColor rgb="FFF4F4F4"/>
        </patternFill>
      </fill>
      <border diagonalUp="0" diagonalDown="0" outline="0">
        <left style="thin">
          <color rgb="FFD5D5D5"/>
        </left>
        <right style="thin">
          <color rgb="FFD5D5D5"/>
        </right>
        <top/>
        <bottom/>
      </border>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dxf>
    <dxf>
      <numFmt numFmtId="0" formatCode="General"/>
    </dxf>
    <dxf>
      <numFmt numFmtId="0" formatCode="General"/>
    </dxf>
    <dxf>
      <alignment horizontal="right"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dxf>
    <dxf>
      <numFmt numFmtId="0" formatCode="General"/>
    </dxf>
    <dxf>
      <numFmt numFmtId="0" formatCode="General"/>
    </dxf>
    <dxf>
      <alignment horizontal="right" vertical="center" textRotation="0" wrapText="0" indent="0" justifyLastLine="0" shrinkToFit="0" readingOrder="0"/>
    </dxf>
    <dxf>
      <alignment horizontal="right"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numFmt numFmtId="0" formatCode="General"/>
    </dxf>
    <dxf>
      <numFmt numFmtId="0" formatCode="General"/>
    </dxf>
    <dxf>
      <numFmt numFmtId="0" formatCode="General"/>
    </dxf>
    <dxf>
      <alignment horizontal="right" vertical="center" textRotation="0" wrapText="0" indent="0" justifyLastLine="0" shrinkToFit="0" readingOrder="0"/>
    </dxf>
    <dxf>
      <font>
        <strike val="0"/>
        <outline val="0"/>
        <shadow val="0"/>
        <u val="none"/>
        <vertAlign val="baseline"/>
        <sz val="8"/>
        <color auto="1"/>
        <name val="Tahoma"/>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protection locked="1" hidden="0"/>
    </dxf>
    <dxf>
      <font>
        <strike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left"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border>
        <left style="thin">
          <color rgb="FFD5D5D5"/>
        </left>
      </border>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fill>
        <patternFill patternType="none">
          <fgColor indexed="64"/>
          <bgColor auto="1"/>
        </patternFill>
      </fill>
      <alignment horizontal="righ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font>
      <fill>
        <patternFill patternType="none">
          <fgColor indexed="64"/>
          <bgColor auto="1"/>
        </patternFill>
      </fill>
      <alignment horizontal="left" vertical="center" textRotation="0" wrapText="0" indent="0" justifyLastLine="0" shrinkToFit="0" readingOrder="0"/>
      <protection locked="1" hidden="0"/>
    </dxf>
    <dxf>
      <font>
        <strike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right style="thin">
          <color rgb="FFD5D5D5"/>
        </right>
        <top/>
        <bottom/>
      </border>
      <protection locked="1" hidden="0"/>
    </dxf>
    <dxf>
      <font>
        <strike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rgb="FF000000"/>
          <bgColor auto="1"/>
        </patternFill>
      </fill>
      <alignment horizontal="general" vertical="center" textRotation="0" wrapText="0" indent="0" justifyLastLine="0" shrinkToFit="0" readingOrder="0"/>
      <protection locked="1" hidden="0"/>
    </dxf>
    <dxf>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left"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border outline="0">
        <left style="thin">
          <color rgb="FFD5D5D5"/>
        </left>
      </border>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fill>
        <patternFill patternType="none">
          <fgColor indexed="64"/>
          <bgColor auto="1"/>
        </patternFill>
      </fill>
      <alignment horizontal="righ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font>
      <fill>
        <patternFill patternType="none">
          <fgColor indexed="64"/>
          <bgColor auto="1"/>
        </patternFill>
      </fill>
      <alignment horizontal="left" vertical="center" textRotation="0" wrapText="0" indent="0" justifyLastLine="0" shrinkToFit="0" readingOrder="0"/>
      <protection locked="1" hidden="0"/>
    </dxf>
    <dxf>
      <font>
        <strike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right style="thin">
          <color rgb="FFD5D5D5"/>
        </right>
        <top/>
        <bottom/>
      </border>
      <protection locked="1" hidden="0"/>
    </dxf>
    <dxf>
      <font>
        <strike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right style="thin">
          <color rgb="FFD5D5D5"/>
        </right>
        <top/>
        <bottom/>
      </border>
      <protection locked="1" hidden="0"/>
    </dxf>
    <dxf>
      <font>
        <b val="0"/>
        <i val="0"/>
        <strike val="0"/>
        <condense val="0"/>
        <extend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rgb="FF000000"/>
          <bgColor auto="1"/>
        </patternFill>
      </fill>
      <alignment horizontal="general" vertical="center" textRotation="0" wrapText="0" indent="0" justifyLastLine="0" shrinkToFit="0" readingOrder="0"/>
      <protection locked="1" hidden="0"/>
    </dxf>
    <dxf>
      <fill>
        <patternFill patternType="none">
          <fgColor indexed="64"/>
          <bgColor auto="1"/>
        </patternFill>
      </fill>
      <alignment horizontal="general" vertical="center" textRotation="0" wrapText="0" indent="0" justifyLastLine="0" shrinkToFit="0" readingOrder="0"/>
      <protection locked="1" hidden="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1"/>
        <name val="Calibri"/>
        <family val="2"/>
        <scheme val="none"/>
      </font>
      <numFmt numFmtId="0" formatCode="General"/>
      <fill>
        <patternFill patternType="solid">
          <fgColor indexed="64"/>
          <bgColor rgb="FFFFFF00"/>
        </patternFill>
      </fill>
      <alignment horizontal="left" vertical="bottom" textRotation="0" wrapText="0"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8"/>
        <color auto="1"/>
        <name val="Tahoma"/>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left"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border outline="0">
        <left style="thin">
          <color rgb="FFD5D5D5"/>
        </left>
      </border>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fill>
        <patternFill patternType="none">
          <fgColor indexed="64"/>
          <bgColor auto="1"/>
        </patternFill>
      </fill>
      <alignment horizontal="righ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font>
      <fill>
        <patternFill patternType="none">
          <fgColor indexed="64"/>
          <bgColor auto="1"/>
        </patternFill>
      </fill>
      <alignment horizontal="left" vertical="center" textRotation="0" wrapText="0" indent="0" justifyLastLine="0" shrinkToFit="0" readingOrder="0"/>
      <protection locked="1" hidden="0"/>
    </dxf>
    <dxf>
      <font>
        <strike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right style="thin">
          <color rgb="FFD5D5D5"/>
        </right>
        <top/>
        <bottom/>
      </border>
      <protection locked="1" hidden="0"/>
    </dxf>
    <dxf>
      <font>
        <strike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right style="thin">
          <color rgb="FFD5D5D5"/>
        </right>
        <top/>
        <bottom/>
      </border>
      <protection locked="1" hidden="0"/>
    </dxf>
    <dxf>
      <font>
        <b val="0"/>
        <i val="0"/>
        <strike val="0"/>
        <condense val="0"/>
        <extend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rgb="FF000000"/>
          <bgColor auto="1"/>
        </patternFill>
      </fill>
      <alignment horizontal="general" vertical="center" textRotation="0" wrapText="0" indent="0" justifyLastLine="0" shrinkToFit="0" readingOrder="0"/>
      <protection locked="1" hidden="0"/>
    </dxf>
    <dxf>
      <fill>
        <patternFill patternType="none">
          <fgColor indexed="64"/>
          <bgColor auto="1"/>
        </patternFill>
      </fill>
      <alignment horizontal="general" vertical="center" textRotation="0" wrapText="0" indent="0" justifyLastLine="0" shrinkToFit="0" readingOrder="0"/>
      <protection locked="1" hidden="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strike val="0"/>
        <outline val="0"/>
        <shadow val="0"/>
        <u val="none"/>
        <vertAlign val="baseline"/>
        <sz val="8"/>
        <color auto="1"/>
        <name val="Tahoma"/>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strike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b val="0"/>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b val="0"/>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b val="0"/>
        <strike val="0"/>
        <outline val="0"/>
        <shadow val="0"/>
        <u val="none"/>
        <vertAlign val="baseline"/>
        <sz val="8"/>
        <color auto="1"/>
        <name val="Tahoma"/>
        <family val="2"/>
      </font>
      <numFmt numFmtId="0" formatCode="General"/>
      <fill>
        <patternFill patternType="none">
          <fgColor indexed="64"/>
          <bgColor auto="1"/>
        </patternFill>
      </fill>
      <alignment horizontal="left" vertical="center" textRotation="0" wrapText="0" indent="0" justifyLastLine="0" shrinkToFit="0" readingOrder="0"/>
      <protection locked="1" hidden="0"/>
    </dxf>
    <dxf>
      <font>
        <b val="0"/>
        <strike val="0"/>
        <outline val="0"/>
        <shadow val="0"/>
        <u val="none"/>
        <vertAlign val="baseline"/>
        <sz val="8"/>
        <color auto="1"/>
        <name val="Tahoma"/>
        <family val="2"/>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general" vertical="center" textRotation="0" wrapText="0" indent="0" justifyLastLine="0" shrinkToFit="0" readingOrder="0"/>
      <protection locked="1" hidden="0"/>
    </dxf>
    <dxf>
      <font>
        <b val="0"/>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border outline="0">
        <left style="thin">
          <color rgb="FFD5D5D5"/>
        </left>
      </border>
      <protection locked="1" hidden="0"/>
    </dxf>
    <dxf>
      <font>
        <b val="0"/>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fill>
        <patternFill patternType="none">
          <fgColor indexed="64"/>
          <bgColor auto="1"/>
        </patternFill>
      </fill>
      <alignment horizontal="general" vertical="center" textRotation="0" wrapText="0" indent="0" justifyLastLine="0" shrinkToFit="0" readingOrder="0"/>
      <protection locked="1" hidden="0"/>
    </dxf>
    <dxf>
      <font>
        <b val="0"/>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b val="0"/>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b val="0"/>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b val="0"/>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strike val="0"/>
        <outline val="0"/>
        <shadow val="0"/>
        <u val="none"/>
        <vertAlign val="baseline"/>
        <sz val="8"/>
        <color auto="1"/>
        <name val="Tahoma"/>
        <family val="2"/>
      </font>
      <fill>
        <patternFill patternType="none">
          <fgColor indexed="64"/>
          <bgColor auto="1"/>
        </patternFill>
      </fill>
      <alignment horizontal="left" vertical="center" textRotation="0" wrapText="0" indent="0" justifyLastLine="0" shrinkToFit="0" readingOrder="0"/>
      <protection locked="1" hidden="0"/>
    </dxf>
    <dxf>
      <font>
        <b val="0"/>
        <strike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right style="thin">
          <color rgb="FFD5D5D5"/>
        </right>
        <top/>
        <bottom/>
      </border>
      <protection locked="1" hidden="0"/>
    </dxf>
    <dxf>
      <font>
        <b val="0"/>
        <strike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right style="thin">
          <color rgb="FFD5D5D5"/>
        </right>
        <top/>
        <bottom/>
      </border>
      <protection locked="1" hidden="0"/>
    </dxf>
    <dxf>
      <font>
        <b val="0"/>
        <i val="0"/>
        <strike val="0"/>
        <condense val="0"/>
        <extend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style="thin">
          <color rgb="FFD5D5D5"/>
        </left>
        <right style="thin">
          <color rgb="FFD5D5D5"/>
        </right>
        <top style="thin">
          <color rgb="FFD5D5D5"/>
        </top>
        <bottom style="thin">
          <color rgb="FFD5D5D5"/>
        </bottom>
      </border>
      <protection locked="1" hidden="0"/>
    </dxf>
    <dxf>
      <font>
        <b val="0"/>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b val="0"/>
        <strike val="0"/>
        <outline val="0"/>
        <shadow val="0"/>
        <u val="none"/>
        <vertAlign val="baseline"/>
        <sz val="8"/>
        <color auto="1"/>
        <name val="Tahoma"/>
        <family val="2"/>
      </font>
      <fill>
        <patternFill patternType="none">
          <fgColor rgb="FF000000"/>
          <bgColor auto="1"/>
        </patternFill>
      </fill>
      <alignment horizontal="general" vertical="center" textRotation="0" wrapText="0" indent="0" justifyLastLine="0" shrinkToFit="0" readingOrder="0"/>
      <protection locked="1" hidden="0"/>
    </dxf>
    <dxf>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protection locked="1" hidden="0"/>
    </dxf>
    <dxf>
      <font>
        <strike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left"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border>
        <left style="thin">
          <color rgb="FFD5D5D5"/>
        </left>
      </border>
      <protection locked="1" hidden="0"/>
    </dxf>
    <dxf>
      <font>
        <strike val="0"/>
        <outline val="0"/>
        <shadow val="0"/>
        <u val="none"/>
        <vertAlign val="baseline"/>
        <sz val="8"/>
        <color auto="1"/>
        <name val="Tahoma"/>
        <family val="2"/>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border>
      <protection locked="1" hidden="0"/>
    </dxf>
    <dxf>
      <font>
        <b val="0"/>
        <i val="0"/>
        <strike val="0"/>
        <condense val="0"/>
        <extend val="0"/>
        <outline val="0"/>
        <shadow val="0"/>
        <u val="none"/>
        <vertAlign val="baseline"/>
        <sz val="8"/>
        <color auto="1"/>
        <name val="Tahoma"/>
        <family val="2"/>
        <scheme val="none"/>
      </font>
      <fill>
        <patternFill patternType="none">
          <fgColor indexed="64"/>
          <bgColor auto="1"/>
        </patternFill>
      </fill>
      <alignment horizontal="general"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0" formatCode="General"/>
      <fill>
        <patternFill patternType="none">
          <fgColor indexed="64"/>
          <bgColor auto="1"/>
        </patternFill>
      </fill>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fill>
        <patternFill patternType="none">
          <fgColor indexed="64"/>
          <bgColor auto="1"/>
        </patternFill>
      </fill>
      <alignment horizontal="righ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border>
      <protection locked="1" hidden="0"/>
    </dxf>
    <dxf>
      <font>
        <strike val="0"/>
        <outline val="0"/>
        <shadow val="0"/>
        <u val="none"/>
        <vertAlign val="baseline"/>
        <sz val="8"/>
        <color auto="1"/>
        <name val="Tahoma"/>
        <family val="2"/>
      </font>
      <fill>
        <patternFill patternType="none">
          <fgColor indexed="64"/>
          <bgColor auto="1"/>
        </patternFill>
      </fill>
      <alignment horizontal="left" vertical="center" textRotation="0" wrapText="0" indent="0" justifyLastLine="0" shrinkToFit="0" readingOrder="0"/>
      <protection locked="1" hidden="0"/>
    </dxf>
    <dxf>
      <font>
        <strike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right style="thin">
          <color rgb="FFD5D5D5"/>
        </right>
        <top/>
        <bottom/>
      </border>
      <protection locked="1" hidden="0"/>
    </dxf>
    <dxf>
      <font>
        <strike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outline="0">
        <left/>
        <right style="thin">
          <color rgb="FFD5D5D5"/>
        </right>
        <top/>
        <bottom/>
      </border>
      <protection locked="1" hidden="0"/>
    </dxf>
    <dxf>
      <font>
        <b val="0"/>
        <i val="0"/>
        <strike val="0"/>
        <condense val="0"/>
        <extend val="0"/>
        <outline val="0"/>
        <shadow val="0"/>
        <u val="none"/>
        <vertAlign val="baseline"/>
        <sz val="8"/>
        <color auto="1"/>
        <name val="Tahoma"/>
        <family val="2"/>
        <scheme val="none"/>
      </font>
      <numFmt numFmtId="164" formatCode="mmm\ yyyy"/>
      <fill>
        <patternFill patternType="none">
          <fgColor indexed="64"/>
          <bgColor auto="1"/>
        </patternFill>
      </fill>
      <alignment horizontal="general"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protection locked="1" hidden="0"/>
    </dxf>
    <dxf>
      <font>
        <strike val="0"/>
        <outline val="0"/>
        <shadow val="0"/>
        <u val="none"/>
        <vertAlign val="baseline"/>
        <sz val="8"/>
        <color auto="1"/>
        <name val="Tahoma"/>
        <family val="2"/>
      </font>
      <fill>
        <patternFill patternType="none">
          <fgColor indexed="64"/>
          <bgColor auto="1"/>
        </patternFill>
      </fill>
      <alignment horizontal="right" vertical="center" textRotation="0" wrapText="0" indent="0" justifyLastLine="0" shrinkToFit="0" readingOrder="0"/>
      <protection locked="1" hidden="0"/>
    </dxf>
    <dxf>
      <font>
        <strike val="0"/>
        <outline val="0"/>
        <shadow val="0"/>
        <u val="none"/>
        <vertAlign val="baseline"/>
        <sz val="8"/>
        <color auto="1"/>
        <name val="Tahoma"/>
        <family val="2"/>
      </font>
      <fill>
        <patternFill patternType="none">
          <fgColor rgb="FF000000"/>
          <bgColor auto="1"/>
        </patternFill>
      </fill>
      <alignment horizontal="general" vertical="center" textRotation="0" wrapText="0" indent="0" justifyLastLine="0" shrinkToFit="0" readingOrder="0"/>
      <protection locked="1" hidden="0"/>
    </dxf>
    <dxf>
      <fill>
        <patternFill patternType="none">
          <fgColor indexed="64"/>
          <bgColor auto="1"/>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dxf>
    <dxf>
      <font>
        <b val="0"/>
        <i val="0"/>
        <strike val="0"/>
        <condense val="0"/>
        <extend val="0"/>
        <outline val="0"/>
        <shadow val="0"/>
        <u val="none"/>
        <vertAlign val="baseline"/>
        <sz val="8"/>
        <color auto="1"/>
        <name val="Tahoma"/>
        <family val="2"/>
        <scheme val="none"/>
      </font>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dxf>
    <dxf>
      <font>
        <b val="0"/>
        <i val="0"/>
        <strike val="0"/>
        <condense val="0"/>
        <extend val="0"/>
        <outline val="0"/>
        <shadow val="0"/>
        <u val="none"/>
        <vertAlign val="baseline"/>
        <sz val="8"/>
        <color auto="1"/>
        <name val="Tahoma"/>
        <family val="2"/>
        <scheme val="none"/>
      </font>
      <numFmt numFmtId="0" formatCode="General"/>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dxf>
    <dxf>
      <font>
        <b val="0"/>
        <i val="0"/>
        <strike val="0"/>
        <condense val="0"/>
        <extend val="0"/>
        <outline val="0"/>
        <shadow val="0"/>
        <u val="none"/>
        <vertAlign val="baseline"/>
        <sz val="8"/>
        <color auto="1"/>
        <name val="Tahoma"/>
        <family val="2"/>
        <scheme val="none"/>
      </font>
      <alignment horizontal="lef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dxf>
    <dxf>
      <font>
        <b val="0"/>
        <i val="0"/>
        <strike val="0"/>
        <condense val="0"/>
        <extend val="0"/>
        <outline val="0"/>
        <shadow val="0"/>
        <u val="none"/>
        <vertAlign val="baseline"/>
        <sz val="8"/>
        <color auto="1"/>
        <name val="Tahoma"/>
        <family val="2"/>
        <scheme val="minor"/>
      </font>
    </dxf>
    <dxf>
      <font>
        <b val="0"/>
        <i val="0"/>
        <strike val="0"/>
        <condense val="0"/>
        <extend val="0"/>
        <outline val="0"/>
        <shadow val="0"/>
        <u val="none"/>
        <vertAlign val="baseline"/>
        <sz val="8"/>
        <color auto="1"/>
        <name val="Tahoma"/>
        <family val="2"/>
        <scheme val="minor"/>
      </font>
    </dxf>
    <dxf>
      <font>
        <b val="0"/>
        <i val="0"/>
        <strike val="0"/>
        <condense val="0"/>
        <extend val="0"/>
        <outline val="0"/>
        <shadow val="0"/>
        <u val="none"/>
        <vertAlign val="baseline"/>
        <sz val="8"/>
        <color auto="1"/>
        <name val="Tahoma"/>
        <family val="2"/>
        <scheme val="minor"/>
      </font>
    </dxf>
    <dxf>
      <font>
        <b val="0"/>
        <i val="0"/>
        <strike val="0"/>
        <condense val="0"/>
        <extend val="0"/>
        <outline val="0"/>
        <shadow val="0"/>
        <u val="none"/>
        <vertAlign val="baseline"/>
        <sz val="8"/>
        <color auto="1"/>
        <name val="Tahoma"/>
        <family val="2"/>
        <scheme val="minor"/>
      </font>
      <alignment horizontal="left" vertical="center" textRotation="0" wrapText="0" indent="0" justifyLastLine="0" shrinkToFit="0" readingOrder="0"/>
    </dxf>
    <dxf>
      <font>
        <b val="0"/>
        <i val="0"/>
        <strike val="0"/>
        <condense val="0"/>
        <extend val="0"/>
        <outline val="0"/>
        <shadow val="0"/>
        <u val="none"/>
        <vertAlign val="baseline"/>
        <sz val="8"/>
        <color auto="1"/>
        <name val="Tahoma"/>
        <family val="2"/>
        <scheme val="minor"/>
      </font>
      <alignment horizontal="right" vertical="center" textRotation="0" wrapText="0" indent="0" justifyLastLine="0" shrinkToFit="0" readingOrder="0"/>
    </dxf>
    <dxf>
      <font>
        <b val="0"/>
        <i val="0"/>
        <strike val="0"/>
        <condense val="0"/>
        <extend val="0"/>
        <outline val="0"/>
        <shadow val="0"/>
        <u val="none"/>
        <vertAlign val="baseline"/>
        <sz val="8"/>
        <color auto="1"/>
        <name val="Tahoma"/>
        <family val="2"/>
        <scheme val="none"/>
      </font>
    </dxf>
    <dxf>
      <font>
        <b val="0"/>
        <i val="0"/>
        <strike val="0"/>
        <condense val="0"/>
        <extend val="0"/>
        <outline val="0"/>
        <shadow val="0"/>
        <u val="none"/>
        <vertAlign val="baseline"/>
        <sz val="8"/>
        <color auto="1"/>
        <name val="Tahoma"/>
        <family val="2"/>
        <scheme val="minor"/>
      </font>
      <border diagonalUp="0" diagonalDown="0">
        <left style="thin">
          <color rgb="FFD5D5D5"/>
        </left>
        <right/>
        <top/>
        <bottom/>
        <vertical/>
        <horizontal/>
      </border>
    </dxf>
    <dxf>
      <font>
        <b val="0"/>
        <i val="0"/>
        <strike val="0"/>
        <condense val="0"/>
        <extend val="0"/>
        <outline val="0"/>
        <shadow val="0"/>
        <u val="none"/>
        <vertAlign val="baseline"/>
        <sz val="8"/>
        <color auto="1"/>
        <name val="Tahoma"/>
        <family val="2"/>
        <scheme val="minor"/>
      </font>
      <border diagonalUp="0" diagonalDown="0">
        <left/>
        <right style="thin">
          <color rgb="FFD5D5D5"/>
        </right>
        <top style="thin">
          <color rgb="FFD5D5D5"/>
        </top>
        <bottom style="thin">
          <color rgb="FFD5D5D5"/>
        </bottom>
        <vertical/>
        <horizontal/>
      </border>
    </dxf>
    <dxf>
      <font>
        <b val="0"/>
        <i val="0"/>
        <strike val="0"/>
        <condense val="0"/>
        <extend val="0"/>
        <outline val="0"/>
        <shadow val="0"/>
        <u val="none"/>
        <vertAlign val="baseline"/>
        <sz val="8"/>
        <color auto="1"/>
        <name val="Tahoma"/>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8"/>
        <color auto="1"/>
        <name val="Tahoma"/>
        <family val="2"/>
        <scheme val="minor"/>
      </font>
      <alignment horizontal="right" vertical="center" textRotation="0" wrapText="0" indent="0" justifyLastLine="0" shrinkToFit="0" readingOrder="0"/>
    </dxf>
    <dxf>
      <font>
        <b val="0"/>
        <i val="0"/>
        <strike val="0"/>
        <condense val="0"/>
        <extend val="0"/>
        <outline val="0"/>
        <shadow val="0"/>
        <u val="none"/>
        <vertAlign val="baseline"/>
        <sz val="8"/>
        <color auto="1"/>
        <name val="Tahoma"/>
        <family val="2"/>
        <scheme val="minor"/>
      </font>
      <alignment horizontal="right" vertical="center" textRotation="0" wrapText="0" indent="0" justifyLastLine="0" shrinkToFit="0" readingOrder="0"/>
    </dxf>
    <dxf>
      <font>
        <b val="0"/>
        <i val="0"/>
        <strike val="0"/>
        <condense val="0"/>
        <extend val="0"/>
        <outline val="0"/>
        <shadow val="0"/>
        <u val="none"/>
        <vertAlign val="baseline"/>
        <sz val="8"/>
        <color auto="1"/>
        <name val="Tahoma"/>
        <family val="2"/>
        <scheme val="minor"/>
      </font>
      <alignment horizontal="right" vertical="center" textRotation="0" wrapText="0" indent="0" justifyLastLine="0" shrinkToFit="0" readingOrder="0"/>
    </dxf>
    <dxf>
      <font>
        <b val="0"/>
        <i val="0"/>
        <strike val="0"/>
        <condense val="0"/>
        <extend val="0"/>
        <outline val="0"/>
        <shadow val="0"/>
        <u val="none"/>
        <vertAlign val="baseline"/>
        <sz val="8"/>
        <color auto="1"/>
        <name val="Tahoma"/>
        <family val="2"/>
        <scheme val="minor"/>
      </font>
    </dxf>
    <dxf>
      <font>
        <b val="0"/>
        <i val="0"/>
        <strike val="0"/>
        <condense val="0"/>
        <extend val="0"/>
        <outline val="0"/>
        <shadow val="0"/>
        <u val="none"/>
        <vertAlign val="baseline"/>
        <sz val="8"/>
        <color auto="1"/>
        <name val="Tahoma"/>
        <family val="2"/>
        <scheme val="none"/>
      </font>
      <alignment horizontal="right" vertical="center" textRotation="0" wrapText="0" indent="0" justifyLastLine="0" shrinkToFit="0" readingOrder="0"/>
    </dxf>
    <dxf>
      <font>
        <b val="0"/>
        <i val="0"/>
        <strike val="0"/>
        <condense val="0"/>
        <extend val="0"/>
        <outline val="0"/>
        <shadow val="0"/>
        <u val="none"/>
        <vertAlign val="baseline"/>
        <sz val="8"/>
        <color auto="1"/>
        <name val="Tahoma"/>
        <family val="2"/>
        <scheme val="none"/>
      </font>
      <alignment horizontal="right" vertical="center" textRotation="0" wrapText="0" indent="0" justifyLastLine="0" shrinkToFit="0" readingOrder="0"/>
      <border diagonalUp="0" diagonalDown="0">
        <left style="thin">
          <color rgb="FFD5D5D5"/>
        </left>
        <right style="thin">
          <color rgb="FFD5D5D5"/>
        </right>
        <top style="thin">
          <color rgb="FFD5D5D5"/>
        </top>
        <bottom style="thin">
          <color rgb="FFD5D5D5"/>
        </bottom>
        <vertical/>
        <horizontal/>
      </border>
    </dxf>
    <dxf>
      <font>
        <b val="0"/>
        <i val="0"/>
        <strike val="0"/>
        <condense val="0"/>
        <extend val="0"/>
        <outline val="0"/>
        <shadow val="0"/>
        <u val="none"/>
        <vertAlign val="baseline"/>
        <sz val="8"/>
        <color auto="1"/>
        <name val="Tahoma"/>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8"/>
        <color auto="1"/>
        <name val="Tahoma"/>
        <family val="2"/>
        <scheme val="none"/>
      </font>
      <numFmt numFmtId="0" formatCode="General"/>
    </dxf>
    <dxf>
      <font>
        <b val="0"/>
        <i val="0"/>
        <strike val="0"/>
        <condense val="0"/>
        <extend val="0"/>
        <outline val="0"/>
        <shadow val="0"/>
        <u val="none"/>
        <vertAlign val="baseline"/>
        <sz val="8"/>
        <color auto="1"/>
        <name val="Tahoma"/>
        <family val="2"/>
        <scheme val="none"/>
      </font>
      <numFmt numFmtId="164" formatCode="mmm\ yyyy"/>
      <border diagonalUp="0" diagonalDown="0">
        <left style="thin">
          <color rgb="FFD5D5D5"/>
        </left>
        <right style="thin">
          <color rgb="FFD5D5D5"/>
        </right>
        <top/>
        <bottom style="thin">
          <color rgb="FFD5D5D5"/>
        </bottom>
        <vertical/>
        <horizontal/>
      </border>
    </dxf>
    <dxf>
      <font>
        <b val="0"/>
        <i val="0"/>
        <strike val="0"/>
        <condense val="0"/>
        <extend val="0"/>
        <outline val="0"/>
        <shadow val="0"/>
        <u val="none"/>
        <vertAlign val="baseline"/>
        <sz val="8"/>
        <color auto="1"/>
        <name val="Tahoma"/>
        <family val="2"/>
        <scheme val="minor"/>
      </font>
      <alignment horizontal="right" vertical="center" textRotation="0" wrapText="0" indent="0" justifyLastLine="0" shrinkToFit="0" readingOrder="0"/>
    </dxf>
    <dxf>
      <border outline="0">
        <right style="thin">
          <color rgb="FFD5D5D5"/>
        </right>
      </border>
    </dxf>
    <dxf>
      <font>
        <b val="0"/>
        <i val="0"/>
        <strike val="0"/>
        <condense val="0"/>
        <extend val="0"/>
        <outline val="0"/>
        <shadow val="0"/>
        <u val="none"/>
        <vertAlign val="baseline"/>
        <sz val="8"/>
        <color auto="1"/>
        <name val="Tahoma"/>
        <family val="2"/>
        <scheme val="none"/>
      </font>
      <alignment horizontal="left" vertical="center"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color auto="1"/>
      </font>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right"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right"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right"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right"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right"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auto="1"/>
        <name val="Tahoma"/>
        <family val="2"/>
        <scheme val="none"/>
      </font>
      <numFmt numFmtId="19" formatCode="m/d/yyyy"/>
      <alignment horizontal="right" vertical="center" textRotation="0" wrapText="0" indent="0" justifyLastLine="0" shrinkToFit="0" readingOrder="0"/>
      <protection locked="1" hidden="0"/>
    </dxf>
    <dxf>
      <font>
        <strike val="0"/>
        <outline val="0"/>
        <shadow val="0"/>
        <u val="none"/>
        <vertAlign val="baseline"/>
        <sz val="8"/>
        <color auto="1"/>
        <name val="Tahoma"/>
        <family val="2"/>
        <scheme val="none"/>
      </font>
      <numFmt numFmtId="19" formatCode="m/d/yyyy"/>
      <alignment horizontal="right" vertical="center" textRotation="0" wrapText="0" indent="0" justifyLastLine="0" shrinkToFit="0" readingOrder="0"/>
      <protection locked="1" hidden="0"/>
    </dxf>
    <dxf>
      <alignment horizontal="general" vertical="center" textRotation="0" wrapText="0" indent="0" justifyLastLine="0" shrinkToFit="0" readingOrder="0"/>
      <protection locked="1" hidden="0"/>
    </dxf>
    <dxf>
      <alignment horizontal="general" vertical="center" textRotation="0" wrapText="0" indent="0" justifyLastLine="0" shrinkToFit="0" readingOrder="0"/>
      <protection locked="1" hidden="0"/>
    </dxf>
    <dxf>
      <alignment horizontal="general" vertical="center" textRotation="0" wrapText="0" indent="0" justifyLastLine="0" shrinkToFit="0" readingOrder="0"/>
      <protection locked="1" hidden="0"/>
    </dxf>
    <dxf>
      <font>
        <strike val="0"/>
        <outline val="0"/>
        <shadow val="0"/>
        <u val="none"/>
        <vertAlign val="baseline"/>
        <sz val="8"/>
        <color auto="1"/>
        <name val="Tahoma"/>
        <family val="2"/>
        <scheme val="none"/>
      </font>
      <alignment horizontal="general" vertical="center" textRotation="0" wrapText="0" indent="0" justifyLastLine="0" shrinkToFit="0" readingOrder="0"/>
      <protection locked="1" hidden="0"/>
    </dxf>
    <dxf>
      <alignment horizontal="general" vertical="center" textRotation="0" wrapText="0" indent="0" justifyLastLine="0" shrinkToFit="0" readingOrder="0"/>
      <protection locked="1" hidden="0"/>
    </dxf>
    <dxf>
      <alignment horizontal="general" vertical="center" textRotation="0" wrapText="1" indent="0" justifyLastLine="0" shrinkToFit="0" readingOrder="0"/>
      <protection locked="1" hidden="0"/>
    </dxf>
    <dxf>
      <border>
        <left style="thin">
          <color rgb="FFD5D5D5"/>
        </left>
        <right style="thin">
          <color rgb="FFD5D5D5"/>
        </right>
        <top style="thin">
          <color rgb="FFD5D5D5"/>
        </top>
        <bottom style="thin">
          <color rgb="FFD5D5D5"/>
        </bottom>
        <vertical style="thin">
          <color rgb="FFD5D5D5"/>
        </vertical>
        <horizontal style="thin">
          <color rgb="FFD5D5D5"/>
        </horizontal>
      </border>
    </dxf>
    <dxf>
      <fill>
        <patternFill>
          <bgColor rgb="FFF2F8FF"/>
        </patternFill>
      </fill>
      <border>
        <left style="thin">
          <color rgb="FFD5D5D5"/>
        </left>
        <right style="thin">
          <color rgb="FFD5D5D5"/>
        </right>
        <top style="thin">
          <color rgb="FFD5D5D5"/>
        </top>
        <bottom style="thin">
          <color rgb="FFD5D5D5"/>
        </bottom>
        <vertical style="thin">
          <color rgb="FFD5D5D5"/>
        </vertical>
        <horizontal style="thin">
          <color rgb="FFD5D5D5"/>
        </horizontal>
      </border>
    </dxf>
    <dxf>
      <fill>
        <patternFill>
          <bgColor rgb="FFF4F4F4"/>
        </patternFill>
      </fill>
      <border diagonalUp="0" diagonalDown="0">
        <left style="thin">
          <color rgb="FFD5D5D5"/>
        </left>
        <right style="thin">
          <color rgb="FFD5D5D5"/>
        </right>
        <top style="thin">
          <color rgb="FFD5D5D5"/>
        </top>
        <bottom style="thin">
          <color rgb="FFD5D5D5"/>
        </bottom>
        <vertical style="thin">
          <color rgb="FFD5D5D5"/>
        </vertical>
        <horizontal style="thin">
          <color rgb="FFD5D5D5"/>
        </horizontal>
      </border>
    </dxf>
  </dxfs>
  <tableStyles count="1" defaultTableStyle="TableStyleMedium2" defaultPivotStyle="PivotStyleLight16">
    <tableStyle name="RTAC AcSELerator" pivot="0" count="3" xr9:uid="{A7F9D077-4F62-8B4F-88C5-EDD8DB552874}">
      <tableStyleElement type="headerRow" dxfId="317"/>
      <tableStyleElement type="firstRowStripe" dxfId="316"/>
      <tableStyleElement type="secondRowStripe" dxfId="3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dair Hill" id="{09CD3BDB-7A10-4058-9F88-E6B5F68CB4F8}" userId="2238a537a2007caa" providerId="Windows Live"/>
  <person displayName="Joshua Walker" id="{6FDAA424-6772-47F2-A378-7C47ADC2DA95}" userId="S::jdwpv4@mail.missouri.edu::5e0828ca-5837-449e-8674-5cdfab188585" providerId="AD"/>
  <person displayName="Matt Munin" id="{C4DC9A3B-A1E4-4586-AD20-8CABD961FCB7}" userId="S::mmunin@ceg-engineers.com::0193b7ed-6ae1-409e-b2d6-1348176a867f" providerId="AD"/>
  <person displayName="Josh Walker" id="{FC06D974-E919-48D4-AAB9-DF54C181FC85}" userId="S::JWalker@ceg-engineers.com::a0319d90-479b-4f6d-9013-bcd2cef9fcf3"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F12483-139B-4CC4-8145-C33E9047CFEC}" autoFormatId="16" applyNumberFormats="0" applyBorderFormats="0" applyFontFormats="0" applyPatternFormats="0" applyAlignmentFormats="0" applyWidthHeightFormats="0">
  <queryTableRefresh nextId="25">
    <queryTableFields count="24">
      <queryTableField id="1" name="List Index" tableColumnId="1"/>
      <queryTableField id="2" name="Availability" tableColumnId="2"/>
      <queryTableField id="3" name="Object" tableColumnId="3"/>
      <queryTableField id="4" name="Point Description" tableColumnId="4"/>
      <queryTableField id="5" name="Data Type" tableColumnId="5"/>
      <queryTableField id="6" name="DNP index" tableColumnId="6"/>
      <queryTableField id="7" name="Bit" tableColumnId="7"/>
      <queryTableField id="8" name="Device_x000a_Point Name" tableColumnId="8"/>
      <queryTableField id="9" name="Alarm State" tableColumnId="9"/>
      <queryTableField id="10" name="On (1) State" tableColumnId="10"/>
      <queryTableField id="11" name="Off (0) State" tableColumnId="11"/>
      <queryTableField id="12" name="Units" tableColumnId="12"/>
      <queryTableField id="13" name="Scalar" tableColumnId="13"/>
      <queryTableField id="14" name="Min Count" tableColumnId="14"/>
      <queryTableField id="15" name="Max Count" tableColumnId="15"/>
      <queryTableField id="16" name="Min Value" tableColumnId="16"/>
      <queryTableField id="17" name="Max Value" tableColumnId="17"/>
      <queryTableField id="18" name="Analog Alarm_x000a_Limits" tableColumnId="18"/>
      <queryTableField id="19" name="Alarm Profile" tableColumnId="19"/>
      <queryTableField id="20" name="Historian Profile" tableColumnId="20"/>
      <queryTableField id="21" name="HMI Category" tableColumnId="21"/>
      <queryTableField id="22" name="RTAC Point Name" tableColumnId="22"/>
      <queryTableField id="23" name="Enumeration Table" tableColumnId="23"/>
      <queryTableField id="24" name="Comments" tableColumnId="2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D920A4-0B66-ED4C-BC51-E1EC1FAC1A32}" name="Table1" displayName="Table1" ref="A3:P5" totalsRowShown="0" headerRowDxfId="314" dataDxfId="313">
  <autoFilter ref="A3:P5" xr:uid="{E7D920A4-0B66-ED4C-BC51-E1EC1FAC1A32}"/>
  <tableColumns count="16">
    <tableColumn id="1" xr3:uid="{07F7EFAE-63A4-9D4F-86DF-4437BB8F9B38}" name="Connection" dataDxfId="312" totalsRowDxfId="311"/>
    <tableColumn id="2" xr3:uid="{48DF2909-942E-1C49-91CA-A669CC32D11E}" name="Version" dataDxfId="310" totalsRowDxfId="309"/>
    <tableColumn id="3" xr3:uid="{2C5FB50F-7D9F-3B42-B5E3-3C559E07D7AF}" name="Last Updated" dataDxfId="308"/>
    <tableColumn id="4" xr3:uid="{CAE1221F-0D71-4DFA-84D0-2D0B1AC13825}" name="Instance Count" dataDxfId="307"/>
    <tableColumn id="5" xr3:uid="{B350A3B3-E549-D74D-84E1-6600E269130A}" name="From" dataDxfId="306" totalsRowDxfId="305"/>
    <tableColumn id="16" xr3:uid="{B2749768-86C8-814E-96CA-004BFD72E651}" name="To" dataDxfId="304" totalsRowDxfId="303"/>
    <tableColumn id="6" xr3:uid="{9F7DC511-CB84-FC4E-9EE4-33BCA4781CD6}" name="Protocol" dataDxfId="302" totalsRowDxfId="301"/>
    <tableColumn id="7" xr3:uid="{80D40E3E-798A-904A-B423-5E10FFF56AA2}" name="Baud" dataDxfId="300" totalsRowDxfId="299"/>
    <tableColumn id="8" xr3:uid="{5D53EC21-7C8D-3043-96BE-F11D635251BD}" name="Client Device Name" dataDxfId="298" totalsRowDxfId="297"/>
    <tableColumn id="9" xr3:uid="{B5F1E02F-72AB-424F-B717-8D20F2946965}" name="Client Port" dataDxfId="296" totalsRowDxfId="295"/>
    <tableColumn id="10" xr3:uid="{0F11D5EA-A736-D348-8799-F730169126C1}" name="Client Address" dataDxfId="294" totalsRowDxfId="293"/>
    <tableColumn id="11" xr3:uid="{DFD901CB-937F-924E-970E-1542ECA72FC2}" name="Client IP Address" dataDxfId="292"/>
    <tableColumn id="12" xr3:uid="{D4F5B599-5F8D-8B4E-AC0E-79471EB9010B}" name="Server Device Name" dataDxfId="291" totalsRowDxfId="290"/>
    <tableColumn id="13" xr3:uid="{4C0C0B26-FFFF-DD47-BC25-D7882535EB69}" name="Server Port" dataDxfId="289" totalsRowDxfId="288"/>
    <tableColumn id="14" xr3:uid="{AAF9110C-884E-ED41-8F1F-B7CEBB596583}" name="Server Address" dataDxfId="287" totalsRowDxfId="286"/>
    <tableColumn id="15" xr3:uid="{8EEE03AE-7674-5C43-B5FC-9477A8E0FC48}" name="Server IP Address" dataDxfId="285" totalsRowDxfId="284"/>
  </tableColumns>
  <tableStyleInfo name="RTAC AcSELerator"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835965A-575D-4F7E-B107-390A78E2F390}" name="PPC_to_RTU" displayName="PPC_to_RTU" ref="A6:X16" tableType="queryTable" totalsRowShown="0" headerRowDxfId="283" dataDxfId="282" tableBorderDxfId="281">
  <autoFilter ref="A6:X16" xr:uid="{C6E03158-4ABA-413F-9DC4-475640A27957}"/>
  <tableColumns count="24">
    <tableColumn id="1" xr3:uid="{A84B5088-9FBE-43EA-98F3-7D8263DC5280}" uniqueName="1" name="List Index" queryTableFieldId="1" dataDxfId="280"/>
    <tableColumn id="2" xr3:uid="{F1CA9274-43B3-4B61-BF3E-870FADF3C29D}" uniqueName="2" name="Availability" queryTableFieldId="2" dataDxfId="279"/>
    <tableColumn id="3" xr3:uid="{DE353974-6B62-4DB2-91DB-197C0540BE9C}" uniqueName="3" name="Object" queryTableFieldId="3" dataDxfId="278"/>
    <tableColumn id="4" xr3:uid="{511DDCC7-105E-476C-A1B4-748E45E51193}" uniqueName="4" name="Point Description" queryTableFieldId="4" dataCellStyle="Normal"/>
    <tableColumn id="5" xr3:uid="{12406C09-FDA0-44DC-973C-41DB6A45F78F}" uniqueName="5" name="Data Type" queryTableFieldId="5" dataDxfId="277"/>
    <tableColumn id="6" xr3:uid="{1CCBC021-5048-495E-A001-73CC6D14F3C8}" uniqueName="6" name="DNP index" queryTableFieldId="6" dataDxfId="276"/>
    <tableColumn id="7" xr3:uid="{15A70A1D-86E3-40E8-9628-9ADF6845839F}" uniqueName="7" name="Bit" queryTableFieldId="7" dataDxfId="275"/>
    <tableColumn id="8" xr3:uid="{D5B5C6C8-7A4F-40EC-83F3-4B553462CD3F}" uniqueName="8" name="Device_x000a_Point Name" queryTableFieldId="8" dataDxfId="274"/>
    <tableColumn id="9" xr3:uid="{059D961B-754C-4E83-B5CE-1432E74B0C1E}" uniqueName="9" name="Alarm State" queryTableFieldId="9" dataDxfId="273"/>
    <tableColumn id="10" xr3:uid="{BC76DE58-C746-4439-8F8E-010196FFA831}" uniqueName="10" name="On (1) State" queryTableFieldId="10" dataDxfId="272"/>
    <tableColumn id="11" xr3:uid="{58498BE5-D1EB-45AE-A4E2-5CD039751B35}" uniqueName="11" name="Off (0) State" queryTableFieldId="11" dataDxfId="271"/>
    <tableColumn id="12" xr3:uid="{C6BC8AAC-4984-4DF1-A8E2-270D9114EE81}" uniqueName="12" name="Units" queryTableFieldId="12" dataDxfId="270"/>
    <tableColumn id="13" xr3:uid="{DE5AE022-1632-4953-A744-4AA5A4D0DF80}" uniqueName="13" name="Scalar" queryTableFieldId="13" dataDxfId="269"/>
    <tableColumn id="14" xr3:uid="{0290D71D-4BDA-4F1B-9F32-72417D2243E1}" uniqueName="14" name="Min Count" queryTableFieldId="14" dataDxfId="268"/>
    <tableColumn id="15" xr3:uid="{2ED651A1-0F47-4C8E-8F44-E218DCB87F88}" uniqueName="15" name="Max Count" queryTableFieldId="15" dataDxfId="267"/>
    <tableColumn id="16" xr3:uid="{1419FE4F-69AC-4754-A4DE-372FF2D221C7}" uniqueName="16" name="Min Value" queryTableFieldId="16" dataDxfId="266"/>
    <tableColumn id="17" xr3:uid="{E9F4EA85-94EE-47FB-8A62-38762F8891CF}" uniqueName="17" name="Max Value" queryTableFieldId="17" dataDxfId="265"/>
    <tableColumn id="18" xr3:uid="{9E6D2D91-95B3-4E07-8830-A5D2E84F0604}" uniqueName="18" name="Analog Alarm_x000a_Limits" queryTableFieldId="18" dataDxfId="264"/>
    <tableColumn id="19" xr3:uid="{05A5ABCA-37F2-44C1-AD33-CDEF52C7FE97}" uniqueName="19" name="Alarm Profile" queryTableFieldId="19" dataDxfId="263"/>
    <tableColumn id="20" xr3:uid="{355AB247-57B6-4628-AC25-242ED0CD7F45}" uniqueName="20" name="Historian Profile" queryTableFieldId="20" dataDxfId="262"/>
    <tableColumn id="21" xr3:uid="{64B7FE89-5E44-4992-AB8D-3090A0BC6B95}" uniqueName="21" name="HMI Category" queryTableFieldId="21" dataDxfId="261"/>
    <tableColumn id="22" xr3:uid="{F2FD0F1F-BD2C-406B-A869-2358383492C2}" uniqueName="22" name="RTAC Point Name" queryTableFieldId="22" dataDxfId="260"/>
    <tableColumn id="23" xr3:uid="{6DE174C7-225E-40E3-BF5A-6E28F27AC954}" uniqueName="23" name="Enumeration Table" queryTableFieldId="23" dataDxfId="259"/>
    <tableColumn id="24" xr3:uid="{5A860BB3-84B9-48DF-A2F3-95EBFF98A23F}" uniqueName="24" name="Comments" queryTableFieldId="24" dataDxfId="258"/>
  </tableColumns>
  <tableStyleInfo name="RTAC AcSELerator"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0DB0DAC-CF63-4386-90C3-4C749C3A5722}" name="Table333513" displayName="Table333513" ref="A6:Y733" totalsRowShown="0" headerRowDxfId="257" dataDxfId="256">
  <autoFilter ref="A6:Y733" xr:uid="{00000000-0009-0000-0100-000003000000}"/>
  <sortState xmlns:xlrd2="http://schemas.microsoft.com/office/spreadsheetml/2017/richdata2" ref="A7:Y577">
    <sortCondition ref="A6:A587"/>
  </sortState>
  <tableColumns count="25">
    <tableColumn id="1" xr3:uid="{E92247DF-8239-4C25-8F9A-20237FB53AAC}" name="List Index" dataDxfId="255"/>
    <tableColumn id="18" xr3:uid="{0BEFB0FB-3092-4846-8246-DA3CEAAE1624}" name="Availability" dataDxfId="254"/>
    <tableColumn id="3" xr3:uid="{C9C5B3C1-0C3C-4A84-9C61-12EAFAA6B0FD}" name="Modbus Table" dataDxfId="253"/>
    <tableColumn id="12" xr3:uid="{152397A1-7621-485E-AF3D-80805F21481B}" name="Point Description" dataDxfId="252"/>
    <tableColumn id="2" xr3:uid="{377C8273-C7BD-44B2-B1F8-8444B79BFD13}" name="Data Type" dataDxfId="251"/>
    <tableColumn id="15" xr3:uid="{234748D5-B5F4-4CBE-B31D-474035BCAFAE}" name="Ignition Modbus index" dataDxfId="250"/>
    <tableColumn id="32" xr3:uid="{7AAC4351-8800-4763-8D89-1D26B0A04DE6}" name="Modbus Bit" dataDxfId="249"/>
    <tableColumn id="23" xr3:uid="{6883F0F0-FC5B-4BE2-907E-F6EA808E698D}" name="Modbus_x000a_Register" dataDxfId="248"/>
    <tableColumn id="4" xr3:uid="{77C5FACF-91B3-4383-AE56-ED538A2663B7}" name="Device_x000a_Point Name" dataDxfId="247"/>
    <tableColumn id="6" xr3:uid="{030411C5-7FFC-4EE4-8B49-A68B2FDCF6BB}" name="Alarm State" dataDxfId="246"/>
    <tableColumn id="11" xr3:uid="{169370EA-1729-437F-8392-FEC3FAAA5F38}" name="On (1) State" dataDxfId="245"/>
    <tableColumn id="13" xr3:uid="{DE27F317-E213-41CC-8BD5-E8FF155036D7}" name="Off (0) State" dataDxfId="244"/>
    <tableColumn id="7" xr3:uid="{52A0005B-0171-47E1-A58F-F45DBBC5D003}" name="Units" dataDxfId="243"/>
    <tableColumn id="25" xr3:uid="{9BEB6610-B6F8-4F99-BE6B-0A58C2671A35}" name="Scalar" dataDxfId="242"/>
    <tableColumn id="14" xr3:uid="{0E61D1FA-49A6-4506-9B45-C98361AF08D5}" name="Min Count" dataDxfId="241"/>
    <tableColumn id="31" xr3:uid="{B136FA1F-BCB5-45B4-B057-085E12A6FBE7}" name="Max Count" dataDxfId="240"/>
    <tableColumn id="16" xr3:uid="{0F82D48F-16AF-430A-9727-E91BB04D07B7}" name="Min Value" dataDxfId="239"/>
    <tableColumn id="5" xr3:uid="{4DF2C1BE-159F-418C-8831-C0CB98B74584}" name="Max Value" dataDxfId="238"/>
    <tableColumn id="17" xr3:uid="{AE6AA6F6-961A-4FBD-A923-A4872585FCF7}" name="Analog Alarm_x000a_Limits" dataDxfId="237"/>
    <tableColumn id="10" xr3:uid="{D2034AA2-D193-42E9-82ED-28789767492D}" name="Alarm Profile" dataDxfId="236"/>
    <tableColumn id="19" xr3:uid="{55030799-7723-444C-B7EA-3E41598F907A}" name="Historian Profile" dataDxfId="235"/>
    <tableColumn id="29" xr3:uid="{BBCB6206-F0F6-4D14-A973-F641376A5432}" name="HMI Category" dataDxfId="234"/>
    <tableColumn id="24" xr3:uid="{C8300B20-D6B2-47A2-8A2F-01424BE376D5}" name="RTAC Point Name" dataDxfId="233"/>
    <tableColumn id="28" xr3:uid="{BD180BC8-DA27-4CE1-9A02-9C4E130DB33E}" name="Enumeration Table" dataDxfId="232"/>
    <tableColumn id="20" xr3:uid="{57473A6F-DC0B-4EEC-A0B7-6B244E0EB56D}" name="Comments" dataDxfId="231"/>
  </tableColumns>
  <tableStyleInfo name="RTAC AcSELerator"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35D516-6AE5-48DA-B5D1-5A072628CE9A}" name="Table3335" displayName="Table3335" ref="A6:Y1030" totalsRowShown="0" headerRowDxfId="230" dataDxfId="229">
  <autoFilter ref="A6:Y1030" xr:uid="{9E35D516-6AE5-48DA-B5D1-5A072628CE9A}"/>
  <sortState xmlns:xlrd2="http://schemas.microsoft.com/office/spreadsheetml/2017/richdata2" ref="A7:Y870">
    <sortCondition ref="A6:A884"/>
  </sortState>
  <tableColumns count="25">
    <tableColumn id="1" xr3:uid="{D56E3BDA-D571-4BBD-A611-A849A74B782D}" name="List Index" dataDxfId="228"/>
    <tableColumn id="18" xr3:uid="{5BE8C4BF-D0C5-442B-9216-3CF38005A8BD}" name="Availability" dataDxfId="227"/>
    <tableColumn id="3" xr3:uid="{B4F72171-3BD1-400F-AF09-47845D0F3A87}" name="Modbus Table" dataDxfId="226"/>
    <tableColumn id="12" xr3:uid="{B4616E3C-CB03-4F61-8D4D-6367C1B649F7}" name="Point Description" dataDxfId="225"/>
    <tableColumn id="2" xr3:uid="{021EB5AD-F44E-43BB-92CE-C676831CE6C7}" name="Data Type" dataDxfId="224"/>
    <tableColumn id="15" xr3:uid="{F2941845-B63D-4295-9BE7-636A839EB035}" name="RTAC Modbus index" dataCellStyle="Normal"/>
    <tableColumn id="32" xr3:uid="{556C78AB-C2EC-4E66-BFCF-BDC24236209C}" name="Modbus Bit" dataDxfId="223"/>
    <tableColumn id="23" xr3:uid="{895BEF9F-8B7F-4926-935D-D4C54BDDE32A}" name="Modbus_x000a_Register" dataDxfId="222"/>
    <tableColumn id="4" xr3:uid="{C19E1591-FCC0-4A3F-B113-726449627DF7}" name="Device_x000a_Point Name" dataDxfId="221"/>
    <tableColumn id="6" xr3:uid="{8E4C4543-5021-4B51-A80B-CDDE122950AB}" name="Alarm State" dataDxfId="220"/>
    <tableColumn id="11" xr3:uid="{6ECDD6FE-1AF8-4246-B917-3E76237A4CA7}" name="On (1) State" dataDxfId="219"/>
    <tableColumn id="13" xr3:uid="{9A0690FA-B614-4C9B-A53F-C3DA1C383E2B}" name="Off (0) State" dataDxfId="218"/>
    <tableColumn id="7" xr3:uid="{2BC2CCA5-0527-4E19-934D-83EE77DA3466}" name="Units" dataDxfId="217"/>
    <tableColumn id="25" xr3:uid="{74C2105F-86E9-41F2-AF71-074A6A2EE552}" name="Scalar" dataDxfId="216"/>
    <tableColumn id="14" xr3:uid="{55B75A12-A256-438C-8C66-751D3C5EBA56}" name="Min Count" dataDxfId="215"/>
    <tableColumn id="31" xr3:uid="{968A0186-D84D-466D-8F5B-B326C2543EDA}" name="Max Count" dataDxfId="214"/>
    <tableColumn id="16" xr3:uid="{288F8FAC-5DF3-4F71-9CAB-1ADA2A177BE3}" name="Min Value" dataDxfId="213"/>
    <tableColumn id="5" xr3:uid="{AD98B6CA-1074-498F-8F5E-348994B15E45}" name="Max Value" dataDxfId="212"/>
    <tableColumn id="17" xr3:uid="{A5EAF881-352B-4E31-80F4-564D6362F9DE}" name="Analog Alarm_x000a_Limits" dataDxfId="211"/>
    <tableColumn id="10" xr3:uid="{A8123022-1677-4721-A178-F93BB9B7A3B9}" name="Alarm Profile" dataDxfId="210"/>
    <tableColumn id="19" xr3:uid="{437814B1-EBE9-412B-9CC1-FBFDE0FCEDEE}" name="Historian Profile" dataDxfId="209"/>
    <tableColumn id="29" xr3:uid="{DDB7C0A8-D35C-47F5-9915-942FBE360611}" name="HMI Category" dataDxfId="208"/>
    <tableColumn id="24" xr3:uid="{7E7937FB-0751-4C0A-AA3B-FDF9827029E2}" name="RTAC Point Name" dataDxfId="207"/>
    <tableColumn id="28" xr3:uid="{251EC373-66FA-4CD2-82B1-D95132194CD4}" name="Enumeration Table" dataCellStyle="Normal"/>
    <tableColumn id="20" xr3:uid="{9BD9B6D6-F02C-457D-B0BC-E47FB6DDD203}" name="Comments" dataDxfId="206"/>
  </tableColumns>
  <tableStyleInfo name="RTAC AcSELerator"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746DAB-4E6D-4D49-AE88-7AA9BE15BC76}" name="Met_Tower_to_PPC" displayName="Met_Tower_to_PPC" ref="A6:Y236" totalsRowShown="0">
  <autoFilter ref="A6:Y236" xr:uid="{FD746DAB-4E6D-4D49-AE88-7AA9BE15BC76}"/>
  <tableColumns count="25">
    <tableColumn id="1" xr3:uid="{F9D47FC0-F22C-43B4-B978-B9D80749CEA3}" name="List Index"/>
    <tableColumn id="2" xr3:uid="{44D3397F-DFC0-45FF-8A69-58B84031A4F1}" name="Availability" dataDxfId="205"/>
    <tableColumn id="3" xr3:uid="{A0C39B7B-F5C1-4F61-9B0A-92583AD9A322}" name="Modbus Table" dataDxfId="204"/>
    <tableColumn id="4" xr3:uid="{8EA04F5F-F745-4D7C-86E6-AA0E51A62A7D}" name="Point Description" dataDxfId="203"/>
    <tableColumn id="5" xr3:uid="{5DEA241E-E912-4D2A-A2C4-72DEC8645CA8}" name="Data Type" dataDxfId="202"/>
    <tableColumn id="6" xr3:uid="{EF08A863-F27F-4211-A9E8-F86029167DC7}" name="RTAC Modbus index"/>
    <tableColumn id="7" xr3:uid="{1D8C2FAF-0194-45A0-820A-6932317A0299}" name="Modbus Bit"/>
    <tableColumn id="8" xr3:uid="{E0127DD2-5A31-456B-B24C-AD34B5527818}" name="Modbus_x000a_Register" dataDxfId="201"/>
    <tableColumn id="9" xr3:uid="{EA34E64E-36CD-425D-8866-44DB391A256D}" name="Device_x000a_Point Name" dataDxfId="200"/>
    <tableColumn id="10" xr3:uid="{B0CCB705-3ED7-4EA9-8247-62F80ED485C7}" name="Alarm State" dataDxfId="199"/>
    <tableColumn id="11" xr3:uid="{B71FAB4B-0554-4E6E-96A4-FB1991E62A6A}" name="On (1) State" dataDxfId="198"/>
    <tableColumn id="12" xr3:uid="{79C34085-21DB-4F98-B834-EFEFAA4A59A3}" name="Off (0) State" dataDxfId="197"/>
    <tableColumn id="13" xr3:uid="{93FFEB99-1A62-4A7A-85F9-5BE397075D94}" name="Units"/>
    <tableColumn id="14" xr3:uid="{69E03738-B93C-4153-B39A-D9ADF3AA42E1}" name="Scalar"/>
    <tableColumn id="15" xr3:uid="{F776E4CC-589F-4B5A-B08F-34D4A6650540}" name="Min Count"/>
    <tableColumn id="16" xr3:uid="{5FDE0E4E-B48E-4FC8-AC37-415BDB20A7D9}" name="Max Count"/>
    <tableColumn id="17" xr3:uid="{E0A3F5D4-544A-4434-B209-C1370B7F702A}" name="Min Value"/>
    <tableColumn id="18" xr3:uid="{AEC251E6-E43D-45F8-904D-A018E869D4FA}" name="Max Value"/>
    <tableColumn id="19" xr3:uid="{F8E0AC56-452C-4489-95F7-D64D3BE48A0F}" name="Analog Alarm_x000a_Limits"/>
    <tableColumn id="20" xr3:uid="{DD24C08F-26F5-410A-B419-6EAB2E3F1CAC}" name="Alarm Profile" dataDxfId="196"/>
    <tableColumn id="21" xr3:uid="{081A847E-5784-493E-9533-24B6786B7854}" name="Historian Profile" dataDxfId="195"/>
    <tableColumn id="22" xr3:uid="{83DF1717-4F03-4834-A149-BCDD916528F6}" name="HMI Category" dataDxfId="194"/>
    <tableColumn id="23" xr3:uid="{3F949165-5ECD-456A-A66A-EB4624EE4C26}" name="RTAC Point Name"/>
    <tableColumn id="24" xr3:uid="{7CF63BC6-98F7-47F0-8E2C-ED87A772C4ED}" name="Enumeration Table" dataDxfId="193"/>
    <tableColumn id="25" xr3:uid="{4E2B781E-A010-4A95-A7D0-EF232BB4A942}" name="Comments" dataDxfId="192"/>
  </tableColumns>
  <tableStyleInfo name="RTAC AcSELerator"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855F02-0812-4E69-9158-C15B443AABB7}" name="Table3335466" displayName="Table3335466" ref="A6:Y238" totalsRowShown="0" headerRowDxfId="191" dataDxfId="190">
  <autoFilter ref="A6:Y238" xr:uid="{00000000-0009-0000-0100-000003000000}"/>
  <sortState xmlns:xlrd2="http://schemas.microsoft.com/office/spreadsheetml/2017/richdata2" ref="A7:Y238">
    <sortCondition ref="A6:A238"/>
  </sortState>
  <tableColumns count="25">
    <tableColumn id="1" xr3:uid="{59BDD12E-2CCF-46D7-9C14-D0A3496CAB2B}" name="List Index" dataDxfId="189"/>
    <tableColumn id="18" xr3:uid="{F3A57E31-19C8-45FA-86CF-20B26EE8F3EB}" name="Availability" dataDxfId="188"/>
    <tableColumn id="3" xr3:uid="{E3D298D4-785E-4D40-B587-E28513D637C1}" name="Modbus Table" dataDxfId="187"/>
    <tableColumn id="12" xr3:uid="{0124AB0A-54F6-4310-A21F-A64712EE8B20}" name="Point Description" dataDxfId="186"/>
    <tableColumn id="2" xr3:uid="{51F7A081-AC8E-4C54-80B3-F5A156E5D10B}" name="Data Type" dataDxfId="185"/>
    <tableColumn id="15" xr3:uid="{60C4B2A9-B9D7-4361-AC34-A48126273BDB}" name="RTAC Modbus index" dataDxfId="184"/>
    <tableColumn id="32" xr3:uid="{61BCF51B-9D72-4432-9D5E-696603741E47}" name="Modbus Bit" dataDxfId="183"/>
    <tableColumn id="23" xr3:uid="{0B929783-D3FB-44EF-9891-5FCAA90F6E0D}" name="Modbus_x000a_Register" dataDxfId="182"/>
    <tableColumn id="4" xr3:uid="{B82BA372-168A-4081-9C46-FA32F5CAB033}" name="Device_x000a_Point Name" dataDxfId="181"/>
    <tableColumn id="6" xr3:uid="{2074AE9F-9834-4722-8259-1FFCB95B8F1F}" name="Alarm State" dataDxfId="180"/>
    <tableColumn id="11" xr3:uid="{77F521B1-42F5-49B9-888C-4CABAD2CECB7}" name="On (1) State" dataDxfId="179"/>
    <tableColumn id="13" xr3:uid="{993EC3A5-AFE8-4361-A427-097E33B25190}" name="Off (0) State" dataDxfId="178"/>
    <tableColumn id="7" xr3:uid="{01DE3524-D07B-4B59-A03A-2D8AD6F6E2C6}" name="Units" dataDxfId="177"/>
    <tableColumn id="25" xr3:uid="{D8DD98BC-7D0F-4821-BFE6-1C1AFDFD43C0}" name="Scalar" dataDxfId="176"/>
    <tableColumn id="14" xr3:uid="{F66E3989-92F3-4151-BDA5-5B3248CB7919}" name="Min Count" dataDxfId="175"/>
    <tableColumn id="31" xr3:uid="{F9F5B5AF-03DF-47B1-AE5A-9255FFF0339F}" name="Max Count" dataDxfId="174"/>
    <tableColumn id="16" xr3:uid="{E3AB4E74-F6AF-425D-883C-0E5C69E6090B}" name="Min Value" dataDxfId="173">
      <calculatedColumnFormula>IFERROR(Table3335466[[#This Row],[Min Count]]/Table3335466[[#This Row],[Scalar]],"")</calculatedColumnFormula>
    </tableColumn>
    <tableColumn id="5" xr3:uid="{8C10D70B-19BF-44C3-8167-1AD7255685F8}" name="Max Value" dataDxfId="172">
      <calculatedColumnFormula>IFERROR(Table3335466[[#This Row],[Max Count]]/Table3335466[[#This Row],[Scalar]],"")</calculatedColumnFormula>
    </tableColumn>
    <tableColumn id="17" xr3:uid="{336CC4D9-A98F-44C6-8B17-86F516F7E58B}" name="Analog Alarm_x000a_Limits" dataDxfId="171"/>
    <tableColumn id="10" xr3:uid="{346009E1-24AF-457B-A804-D9F16D80CCE8}" name="Alarm Profile" dataDxfId="170"/>
    <tableColumn id="19" xr3:uid="{AC139B54-7286-40D5-BED6-2E344115B3DC}" name="Historian Profile" dataDxfId="169"/>
    <tableColumn id="29" xr3:uid="{0489A702-D44E-429F-8E8F-D0B72F79E393}" name="HMI Category" dataDxfId="168"/>
    <tableColumn id="24" xr3:uid="{2FE8C0E1-C82E-4AEA-A0E1-347CBF594C87}" name="RTAC Point Name" dataDxfId="167"/>
    <tableColumn id="28" xr3:uid="{A227DDD2-632A-4ED8-AD45-10BA261552D1}" name="Enumeration Table" dataDxfId="166"/>
    <tableColumn id="20" xr3:uid="{C63F1753-8B31-4B94-8669-D20E69C53BC9}" name="Comments" dataDxfId="165"/>
  </tableColumns>
  <tableStyleInfo name="RTAC AcSELerator"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3C093F-C951-44B0-BB14-B7BFEB24F07B}" name="Soiling_to_PPC" displayName="Soiling_to_PPC" ref="A6:X48" totalsRowShown="0">
  <autoFilter ref="A6:X48" xr:uid="{F73C093F-C951-44B0-BB14-B7BFEB24F07B}"/>
  <tableColumns count="24">
    <tableColumn id="1" xr3:uid="{FB61EE89-CBB5-496E-BCEE-C2D363BEB58E}" name="List Index"/>
    <tableColumn id="2" xr3:uid="{096C4EE3-6A5C-4472-95E9-1E9B930F5597}" name="Availability" dataDxfId="164"/>
    <tableColumn id="3" xr3:uid="{4E4FE862-06BA-4B68-B9A0-EC8687407D3F}" name="Modbus Table" dataDxfId="163"/>
    <tableColumn id="4" xr3:uid="{8DB9C108-FF7C-49F8-A696-52954D5CBA13}" name="Point Description" dataDxfId="162"/>
    <tableColumn id="5" xr3:uid="{B3DA1F0E-B505-4730-9BDC-D923C8D173B3}" name="Data Type" dataDxfId="161"/>
    <tableColumn id="6" xr3:uid="{E9EEB0AC-B826-4040-B657-6BC6F069BEC4}" name="RTAC Modbus index"/>
    <tableColumn id="7" xr3:uid="{9C59F4CC-3F9B-4573-95F6-D7DB092D8254}" name="Modbus Bit"/>
    <tableColumn id="8" xr3:uid="{8C3437CB-09F1-4737-B2C9-265BEACDBFC8}" name="Modbus_x000a_Register"/>
    <tableColumn id="9" xr3:uid="{9462D830-613E-4C08-9526-8F5F8C718512}" name="Alarm State"/>
    <tableColumn id="10" xr3:uid="{078CB2A1-6633-469A-A3B0-6F360B881AF9}" name="On (1) State"/>
    <tableColumn id="11" xr3:uid="{8694C4E7-BB33-47D0-813C-C18ED0605584}" name="Off (0) State"/>
    <tableColumn id="12" xr3:uid="{B5CEB8FC-712C-4BEE-9028-06E01F906299}" name="Units" dataDxfId="160"/>
    <tableColumn id="13" xr3:uid="{B1E56825-F8B7-4D0D-A515-9D37555B3AB4}" name="Scalar"/>
    <tableColumn id="14" xr3:uid="{F8063717-2397-4654-8E21-66EC06AA84E6}" name="Min Count"/>
    <tableColumn id="15" xr3:uid="{DFBA1CB3-65F7-42FD-9F4E-EEEA24F52987}" name="Max Count"/>
    <tableColumn id="16" xr3:uid="{9937D869-88A8-4AD7-909F-7119C804962C}" name="Min Value"/>
    <tableColumn id="17" xr3:uid="{4DF0325B-71A9-49A8-89AD-9CA2F9F11CCF}" name="Max Value"/>
    <tableColumn id="18" xr3:uid="{3410CF03-55AE-4491-AD88-41355D9FFA98}" name="Analog Alarm_x000a_Limits"/>
    <tableColumn id="19" xr3:uid="{29F82761-F69B-411B-9846-D02AA9ADF420}" name="Alarm Profile"/>
    <tableColumn id="20" xr3:uid="{9C5C0D77-4C70-4426-BB7F-13489CA2CE5C}" name="Historian Profile"/>
    <tableColumn id="21" xr3:uid="{B69038EC-92E4-45F0-B940-EA2249DE6CA7}" name="HMI Category" dataDxfId="159"/>
    <tableColumn id="22" xr3:uid="{7CD893BD-ABD8-4928-BD2F-68C5D9196683}" name="RTAC Point Name" dataDxfId="158"/>
    <tableColumn id="23" xr3:uid="{E0B63045-5E89-4771-8709-5FCE457FA4FE}" name="Enumeration Table" dataDxfId="157"/>
    <tableColumn id="24" xr3:uid="{EAB5F8B9-11BA-4B24-810D-EF42B9148A48}" name="Comments" dataDxfId="156"/>
  </tableColumns>
  <tableStyleInfo name="RTAC AcSELerator"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020A3D2-9488-42B0-876F-FDC4E530F883}" name="Soiling_to_PPC10" displayName="Soiling_to_PPC10" ref="A6:X16" totalsRowShown="0">
  <autoFilter ref="A6:X16" xr:uid="{F73C093F-C951-44B0-BB14-B7BFEB24F07B}"/>
  <tableColumns count="24">
    <tableColumn id="1" xr3:uid="{4F82FEA6-12F9-4783-B792-D71472321552}" name="List Index"/>
    <tableColumn id="2" xr3:uid="{A7EFDD03-043F-406B-80F0-AA18BEE8636F}" name="Availability" dataDxfId="155"/>
    <tableColumn id="3" xr3:uid="{65F00784-07B0-4227-BBB7-3390579E7057}" name="Modbus Table" dataCellStyle="Normal"/>
    <tableColumn id="4" xr3:uid="{B5941D46-0549-4032-9B5A-AB21DD862990}" name="Point Description" dataCellStyle="Normal"/>
    <tableColumn id="5" xr3:uid="{352418F7-CED2-4C03-A670-FB2667528D34}" name="Data Type" dataCellStyle="Normal"/>
    <tableColumn id="6" xr3:uid="{C26D85F3-A339-43B9-A99B-6976178B0360}" name="RTAC Modbus index" dataCellStyle="Normal"/>
    <tableColumn id="7" xr3:uid="{849169C4-0F0F-4499-8909-29C44B624FAB}" name="Modbus Bit" dataCellStyle="Normal"/>
    <tableColumn id="8" xr3:uid="{E8F37B24-76C9-49AC-837E-34F6341FB3F9}" name="Modbus_x000a_Register" dataCellStyle="Normal"/>
    <tableColumn id="9" xr3:uid="{AB12A01E-176A-4A66-8263-3747D67B4832}" name="Alarm State" dataCellStyle="Normal"/>
    <tableColumn id="10" xr3:uid="{28D47FC4-448E-47BB-8E8A-7ED195EED1E0}" name="On (1) State" dataCellStyle="Normal"/>
    <tableColumn id="11" xr3:uid="{32B48CDA-FB63-4A62-BA88-CBA8D0A8751C}" name="Off (0) State" dataCellStyle="Normal"/>
    <tableColumn id="12" xr3:uid="{0A3DCE23-3090-4E44-A276-9C8795DBF81C}" name="Units" dataCellStyle="Normal"/>
    <tableColumn id="13" xr3:uid="{54653D15-4096-447A-9D9D-C555523E047B}" name="Scalar" dataCellStyle="Normal"/>
    <tableColumn id="14" xr3:uid="{485D3A88-A94C-415F-A601-B11EBCF71203}" name="Min Count" dataCellStyle="Normal"/>
    <tableColumn id="15" xr3:uid="{02C4E930-A842-42FF-9180-B48F3783A9B4}" name="Max Count" dataCellStyle="Normal"/>
    <tableColumn id="16" xr3:uid="{515E19C7-F958-4C26-8518-5BEE41031554}" name="Min Value" dataCellStyle="Normal"/>
    <tableColumn id="17" xr3:uid="{32887E6C-73B2-47DD-83D8-91FF5002C12C}" name="Max Value" dataCellStyle="Normal"/>
    <tableColumn id="18" xr3:uid="{02CE6B9C-596A-40B3-83F1-EFB61595AE90}" name="Analog Alarm_x000a_Limits" dataCellStyle="Normal"/>
    <tableColumn id="19" xr3:uid="{49594FEC-E3C0-45E8-B6F2-E45F2461B6B9}" name="Alarm Profile" dataCellStyle="Normal"/>
    <tableColumn id="20" xr3:uid="{FB6FAFC0-A2C0-49FD-9843-916D6946041B}" name="Historian Profile" dataCellStyle="Normal"/>
    <tableColumn id="21" xr3:uid="{BC7E45CE-476A-477A-BD55-01795B38AA39}" name="HMI Category" dataCellStyle="Normal"/>
    <tableColumn id="22" xr3:uid="{AEE5AA6A-9141-411F-8AF6-1454750BE533}" name="RTAC Point Name" dataCellStyle="Normal"/>
    <tableColumn id="23" xr3:uid="{3E9BE842-AB3B-45D0-A8F6-8E99DF19B986}" name="Enumeration Table" dataCellStyle="Normal"/>
    <tableColumn id="24" xr3:uid="{635C1D77-703D-4774-A7E8-6439E414700E}" name="Comments" dataDxfId="154"/>
  </tableColumns>
  <tableStyleInfo name="RTAC AcSELerator"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F4841B-146A-40E6-9BE2-4C02D672632A}" name="Soiling_to_PPC13" displayName="Soiling_to_PPC13" ref="A6:X56" totalsRowShown="0">
  <autoFilter ref="A6:X56" xr:uid="{F73C093F-C951-44B0-BB14-B7BFEB24F07B}"/>
  <tableColumns count="24">
    <tableColumn id="1" xr3:uid="{C2EC8D9F-21DC-4A2C-B29B-FD1CAF8D861F}" name="List Index"/>
    <tableColumn id="2" xr3:uid="{877A5ECA-5FBA-462B-8A50-75C21AB3B43D}" name="Availability" dataDxfId="153"/>
    <tableColumn id="3" xr3:uid="{FF6053F0-FC6C-4489-BB1A-0340F152F52A}" name="Modbus Table" dataDxfId="152"/>
    <tableColumn id="4" xr3:uid="{2801605B-C421-412F-AD37-C097EBC5EC79}" name="Point Description" dataDxfId="151"/>
    <tableColumn id="5" xr3:uid="{620FFFAE-71E6-4370-83DE-D8A417D2B688}" name="Data Type" dataDxfId="150"/>
    <tableColumn id="6" xr3:uid="{EADFBAAC-6F6B-4E30-8094-B2CE8517E346}" name="RTAC Modbus index"/>
    <tableColumn id="7" xr3:uid="{A75CC588-A498-493D-B775-CB449E730B3A}" name="Modbus Bit"/>
    <tableColumn id="8" xr3:uid="{3C027EAB-9311-4744-B738-171BC786C156}" name="Modbus_x000a_Register"/>
    <tableColumn id="9" xr3:uid="{1D64D2A3-F6D7-4760-95D7-52A26A674E88}" name="Alarm State"/>
    <tableColumn id="10" xr3:uid="{12FD6A9A-B008-4F2F-99BA-A7387ED1AB33}" name="On (1) State"/>
    <tableColumn id="11" xr3:uid="{54B01597-92A3-40C8-B03B-70BAEDFDA40F}" name="Off (0) State"/>
    <tableColumn id="12" xr3:uid="{852F4C75-055D-4DB2-BA74-9950E4A77C22}" name="Units" dataDxfId="149"/>
    <tableColumn id="13" xr3:uid="{3F9015FA-FD18-4220-A464-7BB1ECF36A00}" name="Scalar"/>
    <tableColumn id="14" xr3:uid="{F7C30B60-3B72-4EB9-80A6-892AF790A0E4}" name="Min Count"/>
    <tableColumn id="15" xr3:uid="{6A4B5FF0-02CB-4B26-9C86-11CB372199EB}" name="Max Count"/>
    <tableColumn id="16" xr3:uid="{B84B9A7A-AF98-41C6-8367-B0F50F9B3D29}" name="Min Value"/>
    <tableColumn id="17" xr3:uid="{5A4C62F1-632F-4FBC-AF1F-77B871772C8B}" name="Max Value"/>
    <tableColumn id="18" xr3:uid="{79639C17-C5E9-4315-9A41-BCAE0819A2BE}" name="Analog Alarm_x000a_Limits"/>
    <tableColumn id="19" xr3:uid="{928CAA6F-0685-4E37-BC20-AF78FDD6C8BB}" name="Alarm Profile"/>
    <tableColumn id="20" xr3:uid="{34B4A3B9-24AF-4A6D-A3D1-2A93F484DBEF}" name="Historian Profile"/>
    <tableColumn id="21" xr3:uid="{DD15A6E1-332B-459F-8B9E-5AC139B95763}" name="HMI Category" dataDxfId="148"/>
    <tableColumn id="22" xr3:uid="{047C9E92-9901-46E1-A0F9-E3681AF24914}" name="RTAC Point Name" dataDxfId="147"/>
    <tableColumn id="23" xr3:uid="{BF368DDF-CACF-4084-AF96-AE9F7DC0E3A4}" name="Enumeration Table" dataDxfId="146"/>
    <tableColumn id="24" xr3:uid="{6FED61CB-A2DC-40E7-B07F-2D04AECB7FF4}" name="Comments" dataDxfId="145"/>
  </tableColumns>
  <tableStyleInfo name="RTAC AcSELerator"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5328E7-2266-4AE2-98E3-D76DF01529D8}" name="Table33354910" displayName="Table33354910" ref="A6:Y17" totalsRowShown="0" headerRowDxfId="144" dataDxfId="143">
  <autoFilter ref="A6:Y17" xr:uid="{00000000-0009-0000-0100-000003000000}"/>
  <sortState xmlns:xlrd2="http://schemas.microsoft.com/office/spreadsheetml/2017/richdata2" ref="A7:Y17">
    <sortCondition ref="A6:A17"/>
  </sortState>
  <tableColumns count="25">
    <tableColumn id="1" xr3:uid="{AB4D44EE-75B7-40B1-B1DD-3C5320528F19}" name="List Index" dataDxfId="142"/>
    <tableColumn id="18" xr3:uid="{F60156EF-8681-4845-862B-B794A2C3DD31}" name="Availability" dataDxfId="141"/>
    <tableColumn id="3" xr3:uid="{5E6C3085-9E4D-48C9-9E1F-EAFD5F6F24B8}" name="Modbus Table" dataDxfId="140"/>
    <tableColumn id="12" xr3:uid="{0B471548-3C21-4434-A539-CDFF681FDA69}" name="Point Description" dataDxfId="139"/>
    <tableColumn id="2" xr3:uid="{8E94B6E4-0B00-4AAA-9AA4-802D742CD641}" name="Data Type" dataDxfId="138"/>
    <tableColumn id="15" xr3:uid="{9087FFB8-2EFF-45FB-AA9C-F7170EFA6EEC}" name="RTAC Modbus index" dataDxfId="137"/>
    <tableColumn id="32" xr3:uid="{E88D11E0-928C-4D25-A334-7023C4C1134F}" name="Modbus Bit" dataDxfId="136"/>
    <tableColumn id="23" xr3:uid="{D03D82E9-FFAD-421B-8154-2524422BBE4B}" name="Modbus_x000a_Register" dataDxfId="135"/>
    <tableColumn id="4" xr3:uid="{76777644-8BF4-4E45-A8FD-8D9D72C28EBD}" name="Device_x000a_Point Name" dataDxfId="134"/>
    <tableColumn id="6" xr3:uid="{FABCCFFB-CF4F-4C0B-B762-44B098459641}" name="Alarm State" dataDxfId="133"/>
    <tableColumn id="11" xr3:uid="{C047D416-1F3D-4B6E-A4E2-7AB4DEA654AA}" name="On (1) State" dataDxfId="132"/>
    <tableColumn id="13" xr3:uid="{ADFA0FDF-283C-4EA5-9903-82D22B3B55DA}" name="Off (0) State" dataDxfId="131"/>
    <tableColumn id="7" xr3:uid="{0D1987B7-2668-4000-9832-04A89526365E}" name="Units" dataDxfId="130"/>
    <tableColumn id="25" xr3:uid="{73458468-DE58-4437-A73A-3346F69E7CA2}" name="Scalar" dataDxfId="129"/>
    <tableColumn id="14" xr3:uid="{97F65956-00F2-462F-818F-325171C58401}" name="Min Count" dataDxfId="128"/>
    <tableColumn id="31" xr3:uid="{B0FF60F2-862E-4A97-A5FF-FB17970B122C}" name="Max Count" dataDxfId="127"/>
    <tableColumn id="16" xr3:uid="{E41BD95B-B32B-49D6-AB54-5CA1B7649EE9}" name="Min Value" dataDxfId="126">
      <calculatedColumnFormula>IFERROR(Table33354910[[#This Row],[Min Count]]/Table33354910[[#This Row],[Scalar]],"")</calculatedColumnFormula>
    </tableColumn>
    <tableColumn id="5" xr3:uid="{138943C8-432E-40A8-A3F4-07888CDED68D}" name="Max Value" dataDxfId="125">
      <calculatedColumnFormula>IFERROR(Table33354910[[#This Row],[Max Count]]/Table33354910[[#This Row],[Scalar]],"")</calculatedColumnFormula>
    </tableColumn>
    <tableColumn id="17" xr3:uid="{B2DF6FAF-3B6D-407F-8BE5-D0F3BF19FF02}" name="Analog Alarm_x000a_Limits" dataDxfId="124"/>
    <tableColumn id="10" xr3:uid="{10576A36-F020-415F-ACC7-8A89FAA370D1}" name="Alarm Profile" dataDxfId="123"/>
    <tableColumn id="19" xr3:uid="{8F5FDF0D-49EA-4C4C-BABF-2E3A56F24B8C}" name="Historian Profile" dataDxfId="122">
      <calculatedColumnFormula>UPPER(LEFT(Table33354910[[#This Row],[Point Description]],1)) &amp; LOWER(RIGHT(Table33354910[[#This Row],[Point Description]],LEN(Table33354910[[#This Row],[Point Description]])-1))</calculatedColumnFormula>
    </tableColumn>
    <tableColumn id="29" xr3:uid="{FD02972F-9D89-415C-AF1A-C4DCC55D2A1E}" name="HMI Category" dataDxfId="121"/>
    <tableColumn id="24" xr3:uid="{FF873423-6371-497D-BDF4-AA0E76FFD303}" name="RTAC Point Name" dataDxfId="120"/>
    <tableColumn id="28" xr3:uid="{10702CC4-F4F8-4796-8AA6-EB4E111E2C95}" name="Enumeration Table" dataDxfId="119"/>
    <tableColumn id="20" xr3:uid="{7445CB26-AA67-4FF1-94B2-510E9170230C}" name="Comments" dataDxfId="118"/>
  </tableColumns>
  <tableStyleInfo name="RTAC AcSELerator"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74EC6B3-40D7-4A5B-8BE0-A8E391DC21DD}" name="Table3335678" displayName="Table3335678" ref="A6:X581" totalsRowShown="0" headerRowDxfId="117" dataDxfId="116">
  <autoFilter ref="A6:X581" xr:uid="{00000000-0009-0000-0100-000003000000}"/>
  <sortState xmlns:xlrd2="http://schemas.microsoft.com/office/spreadsheetml/2017/richdata2" ref="A7:X28">
    <sortCondition ref="A6:A28"/>
  </sortState>
  <tableColumns count="24">
    <tableColumn id="1" xr3:uid="{EACEA1FE-8102-42A9-9F6D-7E00EDCE19A5}" name="List Index" dataDxfId="115"/>
    <tableColumn id="18" xr3:uid="{E90CD672-B0CA-4151-8DBF-888D6F018A91}" name="Availability" dataDxfId="114"/>
    <tableColumn id="3" xr3:uid="{FC00B590-8B78-4785-A2A2-4868BC699FE5}" name="Object" dataDxfId="113"/>
    <tableColumn id="12" xr3:uid="{265E15F5-B36A-4520-80B0-65C37A0C9B53}" name="Point Description" dataDxfId="112"/>
    <tableColumn id="2" xr3:uid="{2AF2606D-7776-4F37-90E8-4EEB2D1F2C13}" name="Data Type" dataDxfId="111"/>
    <tableColumn id="15" xr3:uid="{2BAD883F-5A2B-409B-9922-AB858CDD76D9}" name="DNP index" dataDxfId="110"/>
    <tableColumn id="32" xr3:uid="{55E323D3-E228-4E4E-90AA-59910B83C880}" name="Bit" dataDxfId="109"/>
    <tableColumn id="4" xr3:uid="{4E7B67DF-2611-4E4B-9C60-29AC651FFF56}" name="Device_x000a_Point Name" dataDxfId="108"/>
    <tableColumn id="6" xr3:uid="{EB0CF23B-5BB2-4CAE-92B9-681C4D3BA4CC}" name="Alarm State" dataDxfId="107"/>
    <tableColumn id="11" xr3:uid="{26593D49-6B16-4AE5-AAC1-2D53CC640E2B}" name="On (1) State" dataDxfId="106"/>
    <tableColumn id="13" xr3:uid="{AB5913CA-C10D-4F76-BCBB-B34AFA5E85FA}" name="Off (0) State" dataDxfId="105"/>
    <tableColumn id="7" xr3:uid="{CE18D604-7978-4F49-A325-2DD5CD6DBA6B}" name="Units" dataDxfId="104"/>
    <tableColumn id="25" xr3:uid="{8B439713-FF66-42AF-9B8D-C11572D14EAA}" name="Scalar" dataDxfId="103"/>
    <tableColumn id="14" xr3:uid="{F5F582C6-79DA-432A-83DF-4C67B9E95672}" name="Min Count" dataDxfId="102"/>
    <tableColumn id="31" xr3:uid="{36DE6D28-B442-4B2C-8242-78898BF776D4}" name="Max Count" dataDxfId="101"/>
    <tableColumn id="16" xr3:uid="{B060180E-3F14-45B7-B60C-2F6378E10C0E}" name="Min Value" dataDxfId="100">
      <calculatedColumnFormula>IFERROR(Table3335678[[#This Row],[Min Count]]/Table3335678[[#This Row],[Scalar]],"")</calculatedColumnFormula>
    </tableColumn>
    <tableColumn id="5" xr3:uid="{004B04EA-34A1-49C7-B7F9-6B4636B49BE3}" name="Max Value" dataDxfId="99">
      <calculatedColumnFormula>IFERROR(Table3335678[[#This Row],[Max Count]]/Table3335678[[#This Row],[Scalar]],"")</calculatedColumnFormula>
    </tableColumn>
    <tableColumn id="17" xr3:uid="{CC2FD6B7-CAEB-421A-AA41-0412DF74BDB0}" name="Analog Alarm_x000a_Limits" dataDxfId="98"/>
    <tableColumn id="10" xr3:uid="{B518373F-26C8-4403-95D4-7532D9C227AF}" name="Alarm Profile" dataDxfId="97"/>
    <tableColumn id="19" xr3:uid="{4C4831C8-093F-4FED-8050-894138959FFD}" name="Historian Profile" dataDxfId="96"/>
    <tableColumn id="29" xr3:uid="{EFE50B80-F443-4020-8401-821AB818712D}" name="HMI Category" dataDxfId="95"/>
    <tableColumn id="24" xr3:uid="{9F4C8EFC-8764-4BB8-B631-4E2C10ACAF39}" name="RTAC Point Name" dataDxfId="94"/>
    <tableColumn id="28" xr3:uid="{53692EAC-E3E1-4273-9B73-CE2D77EA1441}" name="Enumeration Table" dataDxfId="93"/>
    <tableColumn id="20" xr3:uid="{EDCA241E-BD8B-4F76-9913-550CCDCCF818}" name="Comments" dataDxfId="92"/>
  </tableColumns>
  <tableStyleInfo name="RTAC AcSELerator"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7B5C9B3-E5A0-4AF9-ACE0-7219830C34F6}" name="PPC_to_Ignition___Inverters" displayName="PPC_to_Ignition___Inverters" ref="A6:Z820" totalsRowShown="0">
  <autoFilter ref="A6:Z820" xr:uid="{87B5C9B3-E5A0-4AF9-ACE0-7219830C34F6}"/>
  <tableColumns count="26">
    <tableColumn id="1" xr3:uid="{0D01CFA6-5E56-40D2-8C43-AD69C8B3291C}" name="List Index" dataDxfId="91"/>
    <tableColumn id="2" xr3:uid="{59FFEFCE-E117-403B-8027-49777AC5A7AE}" name="Availability" dataDxfId="90"/>
    <tableColumn id="3" xr3:uid="{D04C6A8F-02CB-4979-873E-A910C42842F1}" name="Object" dataDxfId="89"/>
    <tableColumn id="4" xr3:uid="{DBB7163D-E6A1-4CC6-8DB1-7E4EE1381D36}" name="Point Description" dataDxfId="88"/>
    <tableColumn id="5" xr3:uid="{D1C5C109-D6B8-4D4F-9A97-1AAAC9C9AA48}" name="Data Type" dataDxfId="87"/>
    <tableColumn id="6" xr3:uid="{590B6F39-8D96-42B3-8509-81876780A19C}" name="DNP index" dataDxfId="86"/>
    <tableColumn id="7" xr3:uid="{A465FC6A-6976-4987-AC89-042257F7DA8A}" name="Bit" dataDxfId="85"/>
    <tableColumn id="8" xr3:uid="{0A5E615B-FA8A-49D2-81D4-30A97191C321}" name="Device_x000a_Point Name" dataDxfId="84"/>
    <tableColumn id="9" xr3:uid="{3A5485F2-09E9-42E0-BD0E-901F5F7D0D0B}" name="Alarm State" dataDxfId="83"/>
    <tableColumn id="10" xr3:uid="{B4FD3F0D-5825-4354-B807-35B6A883EC2A}" name="On (1) State" dataDxfId="82"/>
    <tableColumn id="11" xr3:uid="{8FC2450A-79F0-480F-96F1-48CF76D3C688}" name="Off (0) State" dataDxfId="81"/>
    <tableColumn id="12" xr3:uid="{A91A4E5A-D6A7-469B-899D-C68953384224}" name="Units" dataDxfId="80"/>
    <tableColumn id="13" xr3:uid="{19A880F2-8207-4936-9CE4-D49D3693E57A}" name="Scalar"/>
    <tableColumn id="14" xr3:uid="{6693FFA7-C121-4FCE-A716-F0B7C6C7DED1}" name="Min Count"/>
    <tableColumn id="15" xr3:uid="{FBA40CC7-8C01-476B-896F-49C69014068B}" name="Max Count"/>
    <tableColumn id="16" xr3:uid="{3B5A6D15-4D84-4030-B61A-9A32B7E347A6}" name="Min Value"/>
    <tableColumn id="17" xr3:uid="{3F87D468-3D7F-495C-8207-F3B90D54D61C}" name="Max Value"/>
    <tableColumn id="18" xr3:uid="{198E4AFA-23E0-49D5-B5D5-209B431F1D94}" name="Analog Alarm_x000a_Limits" dataDxfId="79"/>
    <tableColumn id="19" xr3:uid="{C5353ED9-7D79-4995-9083-FF9ECBC82D96}" name="Alarm Profile" dataDxfId="78"/>
    <tableColumn id="20" xr3:uid="{2FAF2FBD-9761-444E-BE06-1BDB986DCA74}" name="Historian Profile" dataDxfId="77"/>
    <tableColumn id="21" xr3:uid="{2AEDC32C-1F40-4C8A-8569-156BF80DFD06}" name="HMI Category" dataDxfId="76"/>
    <tableColumn id="22" xr3:uid="{4A3AEC51-FCEC-471C-898F-1972A4F293E5}" name="RTAC Point Name" dataDxfId="75"/>
    <tableColumn id="23" xr3:uid="{F0887324-16D8-4511-A9BE-83C271A5344C}" name="Enumeration Table" dataDxfId="74"/>
    <tableColumn id="24" xr3:uid="{3D8A0CCF-10CF-42D1-9D60-85E390279FFE}" name="Comments" dataDxfId="73"/>
    <tableColumn id="25" xr3:uid="{C0D26E1A-26EB-45EC-B60B-D0F66B62E61D}" name="Ignt TagPath_x000a_Prefix: [MidcontinentSolar]Inverters/Inv[n|00]/"/>
    <tableColumn id="26" xr3:uid="{3FE3CBA3-BC4B-4F6C-A710-35ACD789EE36}" name="Offset"/>
  </tableColumns>
  <tableStyleInfo name="RTAC AcSELerator"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CFAE41D-0516-4253-A3AA-E3C540954A6F}" name="PPC_to_Igntion___Environmental" displayName="PPC_to_Igntion___Environmental" ref="A8:X291" totalsRowShown="0" dataDxfId="72">
  <autoFilter ref="A8:X291" xr:uid="{9CFAE41D-0516-4253-A3AA-E3C540954A6F}"/>
  <tableColumns count="24">
    <tableColumn id="1" xr3:uid="{C79FD9F4-A8FD-471B-992A-9971738C6026}" name="List Index" dataDxfId="71"/>
    <tableColumn id="2" xr3:uid="{C0F9688A-7853-4A41-8E4D-43B79E136D46}" name="Availability" dataDxfId="70"/>
    <tableColumn id="3" xr3:uid="{EFF01760-454D-4E0A-83CF-A15C77197591}" name="Object" dataDxfId="69"/>
    <tableColumn id="4" xr3:uid="{B00476C9-26D3-44AF-8532-E2B49E650E3F}" name="Point Description" dataDxfId="68"/>
    <tableColumn id="5" xr3:uid="{13D0F92C-7FB7-4925-A3F6-6FE357091C1E}" name="Data Type" dataDxfId="67"/>
    <tableColumn id="6" xr3:uid="{DBF8F21B-E1E5-4BEE-BB7A-491F1E3EB13A}" name="DNP index" dataDxfId="66"/>
    <tableColumn id="7" xr3:uid="{0FA4EBC4-124C-4D62-9F4B-15D00841267B}" name="Bit" dataDxfId="65"/>
    <tableColumn id="8" xr3:uid="{C14FCA13-D82F-4D0A-9572-A26915A335EF}" name="Device_x000a_Point Name" dataDxfId="64"/>
    <tableColumn id="9" xr3:uid="{4B0CD538-D471-482E-90B0-0B63AB3D48FA}" name="Alarm State" dataDxfId="63"/>
    <tableColumn id="10" xr3:uid="{2E7A17B3-B802-4572-B7CA-4F6936F67CBB}" name="On (1) State" dataDxfId="62"/>
    <tableColumn id="11" xr3:uid="{55D8A3CF-41FE-4BD4-8F52-E1DE789D5039}" name="Off (0) State" dataDxfId="61"/>
    <tableColumn id="12" xr3:uid="{22FDA04B-3A1B-4663-869F-D3CCAD085D35}" name="Units" dataDxfId="60"/>
    <tableColumn id="13" xr3:uid="{03ED3C1A-F464-49EE-B4C7-5C7FC843B30E}" name="Scalar" dataDxfId="59"/>
    <tableColumn id="14" xr3:uid="{8A62D23A-19C1-4B40-B181-2237A7AD681F}" name="Min Count" dataDxfId="58"/>
    <tableColumn id="15" xr3:uid="{9C10BFB9-D1A6-4EDA-AD1D-78E9C764255F}" name="Max Count" dataDxfId="57"/>
    <tableColumn id="16" xr3:uid="{D10DC596-41B0-45DB-9D06-4ECAA5747875}" name="Min Value" dataDxfId="56"/>
    <tableColumn id="17" xr3:uid="{EEA3B345-6E0E-4714-8B02-439A793A6A7D}" name="Max Value" dataDxfId="55"/>
    <tableColumn id="18" xr3:uid="{ED62C090-2908-4147-995B-8577BBFE5A7E}" name="Analog Alarm_x000a_Limits" dataDxfId="54"/>
    <tableColumn id="19" xr3:uid="{343C7715-9FA7-416D-9834-8C8B695649EF}" name="Alarm Profile" dataDxfId="53"/>
    <tableColumn id="20" xr3:uid="{FD78697C-F193-4AEC-B163-E9B83D5A8F44}" name="Historian Profile" dataDxfId="52"/>
    <tableColumn id="21" xr3:uid="{90538920-5FD2-4F4E-8465-A8FAC798E488}" name="HMI Category" dataDxfId="51"/>
    <tableColumn id="22" xr3:uid="{C5C2C546-CBB6-4ABB-AA98-400D947AD93A}" name="RTAC Point Name" dataDxfId="50"/>
    <tableColumn id="23" xr3:uid="{0B2EFA4B-C9CC-4F2E-B734-0045C6634344}" name="Enumeration Table" dataDxfId="49"/>
    <tableColumn id="24" xr3:uid="{B04C737B-130E-4769-AC6F-29BE122FAED8}" name="Comments" dataDxfId="48"/>
  </tableColumns>
  <tableStyleInfo name="RTAC AcSELerator"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58BF481-14FE-4A1D-898A-E6F2122E0936}" name="PPC_to_Ignition___PPC" displayName="PPC_to_Ignition___PPC" ref="A6:Y71" totalsRowShown="0" dataDxfId="47">
  <autoFilter ref="A6:Y71" xr:uid="{B58BF481-14FE-4A1D-898A-E6F2122E0936}"/>
  <tableColumns count="25">
    <tableColumn id="1" xr3:uid="{694BB685-C43D-4A4E-97E5-988EABAFFF35}" name="List Index" dataDxfId="46"/>
    <tableColumn id="2" xr3:uid="{36E2D1FD-64FD-425E-B93F-CB3386A600A2}" name="Availability" dataDxfId="45"/>
    <tableColumn id="3" xr3:uid="{1A2875BE-41CF-4EDE-A1D6-D79DA813B7DC}" name="Object" dataDxfId="44"/>
    <tableColumn id="4" xr3:uid="{7FE474D1-6A52-4960-87E0-4903E4640E76}" name="Point Description" dataDxfId="43"/>
    <tableColumn id="5" xr3:uid="{069F039A-4695-4266-B684-35887FF6DFBA}" name="Data Type" dataDxfId="42"/>
    <tableColumn id="6" xr3:uid="{E028B8E3-38AC-4CB1-815C-8EC6AB9E8362}" name="DNP index" dataDxfId="41"/>
    <tableColumn id="7" xr3:uid="{8E38F253-D71E-43F3-91F3-53C3B61DAB4C}" name="Bit" dataDxfId="40"/>
    <tableColumn id="8" xr3:uid="{5C76D6F7-D13F-4EBF-B5C4-3B7019C57566}" name="Device_x000a_Point Name" dataDxfId="39"/>
    <tableColumn id="9" xr3:uid="{0AB4FCF1-242C-430F-9F5F-A5DB74339486}" name="Alarm State" dataDxfId="38"/>
    <tableColumn id="10" xr3:uid="{F8DF0564-944C-44AA-BE7A-AF6EC75BC6BE}" name="On (1) State" dataDxfId="37"/>
    <tableColumn id="11" xr3:uid="{CF20D8D3-B771-4E94-831D-EBCD4599F18C}" name="Off (0) State" dataDxfId="36"/>
    <tableColumn id="12" xr3:uid="{68CF6FBD-B1FB-4ACF-B511-47DBA068CF81}" name="Units" dataDxfId="35"/>
    <tableColumn id="13" xr3:uid="{91CDF7F1-A9C0-4288-8D8A-E61F846BE469}" name="Scalar" dataDxfId="34"/>
    <tableColumn id="14" xr3:uid="{EA98D843-C995-4140-B984-95BDF676F132}" name="Min Count" dataDxfId="33"/>
    <tableColumn id="15" xr3:uid="{01C27D3D-D262-4FF5-9CC6-3918F340A679}" name="Max Count" dataDxfId="32"/>
    <tableColumn id="16" xr3:uid="{0DF9DE60-3345-45FB-8231-B87C656DA198}" name="Min Value" dataDxfId="31"/>
    <tableColumn id="17" xr3:uid="{FBD9F950-007C-4A45-8BE5-4A569313FEDD}" name="Max Value" dataDxfId="30"/>
    <tableColumn id="18" xr3:uid="{671EFD9B-2812-4776-B74E-F5F4D59192A2}" name="Analog Alarm_x000a_Limits" dataDxfId="29"/>
    <tableColumn id="19" xr3:uid="{0E53B202-D4E1-4B5D-8246-7ECD55C08243}" name="Alarm Profile" dataDxfId="28"/>
    <tableColumn id="20" xr3:uid="{FCAD5A8E-1B7C-4C83-BA38-7B9208A94B88}" name="Historian Profile" dataDxfId="27"/>
    <tableColumn id="21" xr3:uid="{D4CD9A8C-76FD-4EC7-BC55-49315B177576}" name="HMI Category" dataDxfId="26"/>
    <tableColumn id="22" xr3:uid="{2A20B037-298C-4532-8E19-CE3DD4791F81}" name="RTAC Point Name" dataDxfId="25"/>
    <tableColumn id="23" xr3:uid="{E9ED9CED-0A17-478B-9A2C-C3A959B6A98A}" name="Enumeration Table" dataDxfId="24"/>
    <tableColumn id="24" xr3:uid="{DCC13AB8-233D-42D8-8F68-710C8C6EF3FA}" name="Comments" dataDxfId="23"/>
    <tableColumn id="25" xr3:uid="{704A7A21-4272-40BA-834E-B58CAF929166}" name="Ignt TagPath_x000a_Prefix: [MidcontinentSolar]PPC/"/>
  </tableColumns>
  <tableStyleInfo name="RTAC AcSELerator"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9D12544-E32E-40FF-98EC-7F172D3FA0CE}" name="Table17" displayName="Table17" ref="A7:X143" totalsRowShown="0" headerRowDxfId="22" headerRowBorderDxfId="21" tableBorderDxfId="20">
  <autoFilter ref="A7:X143" xr:uid="{59D12544-E32E-40FF-98EC-7F172D3FA0CE}"/>
  <tableColumns count="24">
    <tableColumn id="1" xr3:uid="{DE71B2F5-C078-4E0F-A27D-CF02E1CBA794}" name="List Index"/>
    <tableColumn id="2" xr3:uid="{65402A9C-7741-4733-AF9B-E6BB5BBECBC2}" name="Availability"/>
    <tableColumn id="3" xr3:uid="{7E4FED5C-35C8-4F58-91E6-B88B8EF8C10E}" name="Modbus Table"/>
    <tableColumn id="4" xr3:uid="{B2A0B0FC-B8A1-45BD-9029-CFCF602F7E8F}" name="Point Description"/>
    <tableColumn id="5" xr3:uid="{53364CC2-54C4-47FD-9FED-1D4017639524}" name="Data Type"/>
    <tableColumn id="6" xr3:uid="{56136B3A-C85E-41FA-AB65-6E260747340B}" name="RTAC Modbus index"/>
    <tableColumn id="7" xr3:uid="{4FBEC9A7-8B49-4455-88F7-1843EE84C7C0}" name="Modbus Bit"/>
    <tableColumn id="8" xr3:uid="{D4FB4AED-5AFA-4B6E-8946-615A429AF849}" name="Modbus_x000a_Register"/>
    <tableColumn id="9" xr3:uid="{F615CECD-A674-47FE-ABCD-B448EAE1D8B1}" name="Alarm State"/>
    <tableColumn id="10" xr3:uid="{1DC9495C-4380-48E8-A191-234C7EAD39A0}" name="On (1) State"/>
    <tableColumn id="11" xr3:uid="{21DB2750-E1E6-4ECF-8127-13B3ED358EDF}" name="Off (0) State"/>
    <tableColumn id="12" xr3:uid="{E387F67A-03A7-4602-8CD2-60AE8FB7AF0C}" name="Units"/>
    <tableColumn id="13" xr3:uid="{F70CC45D-B10E-4A4D-A378-F08572D72B51}" name="Scalar"/>
    <tableColumn id="14" xr3:uid="{BCF65A27-726E-4BEA-A64A-6A7EB0736D30}" name="Min Count"/>
    <tableColumn id="15" xr3:uid="{E82B79C2-89AF-4E26-AD4A-0FAE66652EB9}" name="Max Count"/>
    <tableColumn id="16" xr3:uid="{CA5B6C7D-322A-494E-B6DB-3B571F08BA59}" name="Min Value"/>
    <tableColumn id="17" xr3:uid="{D9CDA4A6-0098-4BEC-8F3C-00EE405CD224}" name="Max Value"/>
    <tableColumn id="18" xr3:uid="{B9AF55AC-BD68-463F-8DF5-8590C4534E83}" name="Analog Alarm_x000a_Limits"/>
    <tableColumn id="19" xr3:uid="{F4B63C9D-46E7-47E9-92D8-EB3C10B1F745}" name="Alarm Profile"/>
    <tableColumn id="20" xr3:uid="{CC511B6F-C2CC-46E8-AB40-83C6060E5EE6}" name="Historian Profile"/>
    <tableColumn id="21" xr3:uid="{8C4AE0F4-4903-4490-977F-75DFC705C41A}" name="HMI Category"/>
    <tableColumn id="22" xr3:uid="{3404D3E2-62BE-47D9-9E4A-7329DDC23DF4}" name="RTAC Point Name"/>
    <tableColumn id="23" xr3:uid="{60D98965-48D4-43C5-B4D9-F50E658CF743}" name="Enumeration Table"/>
    <tableColumn id="24" xr3:uid="{B74DB2A3-B098-4987-B88A-964AEAC67903}" name="Comments"/>
  </tableColumns>
  <tableStyleInfo name="RTAC AcSELerator"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E77E346-38F8-40EA-93D6-E87E7A3F0EB0}" name="Battery_Monitors_to_Ignition" displayName="Battery_Monitors_to_Ignition" ref="A7:Z21" totalsRowShown="0">
  <autoFilter ref="A7:Z21" xr:uid="{1E77E346-38F8-40EA-93D6-E87E7A3F0EB0}"/>
  <tableColumns count="26">
    <tableColumn id="1" xr3:uid="{382C7E97-24DD-429E-B528-3DAD9965BC30}" name="List Index"/>
    <tableColumn id="2" xr3:uid="{A9A5E5DD-B1B2-400F-B9E0-56D693EE3C95}" name="Availability" dataDxfId="19"/>
    <tableColumn id="3" xr3:uid="{521EA8B6-EC1D-4D10-B510-1A64BF854720}" name="Modbus Table" dataDxfId="18"/>
    <tableColumn id="4" xr3:uid="{23722C2C-5F3E-4B5F-A629-CAFFFA062970}" name="Point Description" dataDxfId="17"/>
    <tableColumn id="5" xr3:uid="{639D43B5-4AB2-4939-A1FA-47B11744012C}" name="Data Type" dataDxfId="16"/>
    <tableColumn id="6" xr3:uid="{DEA8E8D3-7969-49B1-832B-076ADC0944A0}" name="RTAC Modbus index"/>
    <tableColumn id="7" xr3:uid="{B4246F4E-4B3E-49C3-9BFC-64CDBE043CC1}" name="Modbus Bit"/>
    <tableColumn id="8" xr3:uid="{2CA4D835-43AD-4E8A-BF0A-2E337B564304}" name="Modbus_x000a_Register"/>
    <tableColumn id="9" xr3:uid="{C45018E3-4BE6-47FA-87BC-F699F7CA60F5}" name="Alarm State" dataDxfId="15"/>
    <tableColumn id="10" xr3:uid="{CFAD0721-EE46-479C-B83A-B65E58CC3B9C}" name="On (1) State"/>
    <tableColumn id="11" xr3:uid="{F1E6DCFB-7D53-4866-987F-E08F9B9631DD}" name="Off (0) State"/>
    <tableColumn id="12" xr3:uid="{70F29F42-09EE-4DB8-A4C9-A692E0640DB0}" name="Units" dataDxfId="14"/>
    <tableColumn id="13" xr3:uid="{4145825F-D5C6-4A0D-833F-EFA3C8821CA0}" name="Scalar"/>
    <tableColumn id="14" xr3:uid="{3404A9E9-E7D1-46CA-9334-D60263431BAA}" name="Min Count"/>
    <tableColumn id="15" xr3:uid="{63596467-CFB8-4556-AF45-855737624420}" name="Max Count"/>
    <tableColumn id="16" xr3:uid="{6CB9DBE7-9DBE-4ED2-87FC-CA8688257523}" name="Min Value"/>
    <tableColumn id="17" xr3:uid="{71A746A6-D3D2-444C-8541-48241E3C594B}" name="Max Value"/>
    <tableColumn id="18" xr3:uid="{515A7EA9-7628-4845-AD9B-B730910534B6}" name="Analog Alarm_x000a_Limits"/>
    <tableColumn id="19" xr3:uid="{5CD16C3B-1D47-4790-AD11-C98A5A94360C}" name="Alarm Profile" dataDxfId="13"/>
    <tableColumn id="20" xr3:uid="{7BBEA497-BE65-48E2-8D09-2B7777606C7A}" name="Historian Profile" dataDxfId="12"/>
    <tableColumn id="21" xr3:uid="{F8575813-02E0-485F-A1C1-32C91409376F}" name="HMI Category" dataDxfId="11"/>
    <tableColumn id="22" xr3:uid="{D32BA3B3-FFDF-4357-BDA3-D02130C072B5}" name="RTAC Point Name" dataDxfId="10"/>
    <tableColumn id="23" xr3:uid="{4384FE24-4184-4F89-B074-CA27C8270F21}" name="Enumeration Table" dataDxfId="9"/>
    <tableColumn id="24" xr3:uid="{07F22A7E-E366-450B-8D4D-96459435F667}" name="Comments"/>
    <tableColumn id="25" xr3:uid="{22B0D679-9BE8-4BAF-9CBC-A9BD2F195036}" name="Ignt TagPath_x000a_Prefix: [GarnetMesaSolar]Network/" dataDxfId="8"/>
    <tableColumn id="26" xr3:uid="{0C12F09D-6845-4DB1-9603-D22AD0295DF5}" name="Column1" dataDxfId="7"/>
  </tableColumns>
  <tableStyleInfo name="RTAC AcSELerator"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Tahoma">
      <a:majorFont>
        <a:latin typeface="Tahoma"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ahoma"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566" dT="2025-04-07T13:19:14.81" personId="{6FDAA424-6772-47F2-A378-7C47ADC2DA95}" id="{AE02C14D-5EC5-43BA-A27C-2C96205E0193}" done="1">
    <text>Double check the meaning of the enumeration I think it might be backwards</text>
  </threadedComment>
  <threadedComment ref="W566" dT="2025-04-08T13:36:53.40" personId="{C4DC9A3B-A1E4-4586-AD20-8CABD961FCB7}" id="{EA08C6CC-F5C4-4D32-AD78-52C8A582021A}" parentId="{AE02C14D-5EC5-43BA-A27C-2C96205E0193}">
    <text>Enum was wrong, and is now fixed</text>
  </threadedComment>
</ThreadedComments>
</file>

<file path=xl/threadedComments/threadedComment2.xml><?xml version="1.0" encoding="utf-8"?>
<ThreadedComments xmlns="http://schemas.microsoft.com/office/spreadsheetml/2018/threadedcomments" xmlns:x="http://schemas.openxmlformats.org/spreadsheetml/2006/main">
  <threadedComment ref="V13" dT="2023-05-30T14:09:01.32" personId="{FC06D974-E919-48D4-AAB9-DF54C181FC85}" id="{8BCE9D74-8FE1-40DA-9A4C-152B0FA0562A}">
    <text>Capitalize first letter after index, capitalize phase identifiers, no _ between phase identifiers</text>
  </threadedComment>
</ThreadedComments>
</file>

<file path=xl/threadedComments/threadedComment3.xml><?xml version="1.0" encoding="utf-8"?>
<ThreadedComments xmlns="http://schemas.microsoft.com/office/spreadsheetml/2018/threadedcomments" xmlns:x="http://schemas.openxmlformats.org/spreadsheetml/2006/main">
  <threadedComment ref="W5" dT="2024-08-21T22:49:46.66" personId="{09CD3BDB-7A10-4058-9F88-E6B5F68CB4F8}" id="{889A41A3-3718-4063-8263-0F93C6304497}">
    <text>Block 33 changed to Block 30  8/21/24</text>
  </threadedComment>
  <threadedComment ref="Y5" dT="2024-08-21T22:50:22.26" personId="{09CD3BDB-7A10-4058-9F88-E6B5F68CB4F8}" id="{4CDE0492-0F15-4A4A-877F-2996BDCBBB0D}">
    <text>Block 50 changed to Block 55 8/21/24</text>
  </threadedComment>
  <threadedComment ref="V7" dT="2024-08-21T22:51:37.25" personId="{09CD3BDB-7A10-4058-9F88-E6B5F68CB4F8}" id="{2D6AF308-65AF-4E44-8E3A-609B8A5B6BF6}">
    <text>Block 33 changed to 30  8.21.24</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5.vml"/><Relationship Id="rId1" Type="http://schemas.openxmlformats.org/officeDocument/2006/relationships/printerSettings" Target="../printerSettings/printerSettings10.bin"/><Relationship Id="rId5" Type="http://schemas.microsoft.com/office/2017/10/relationships/threadedComment" Target="../threadedComments/threadedComment2.xml"/><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5" Type="http://schemas.microsoft.com/office/2017/10/relationships/threadedComment" Target="../threadedComments/threadedComment3.xml"/><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7.vml"/><Relationship Id="rId1" Type="http://schemas.openxmlformats.org/officeDocument/2006/relationships/printerSettings" Target="../printerSettings/printerSettings13.bin"/><Relationship Id="rId4"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vmlDrawing" Target="../drawings/vmlDrawing9.vml"/><Relationship Id="rId1" Type="http://schemas.openxmlformats.org/officeDocument/2006/relationships/printerSettings" Target="../printerSettings/printerSettings16.bin"/><Relationship Id="rId4" Type="http://schemas.openxmlformats.org/officeDocument/2006/relationships/comments" Target="../comments9.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4399C-E6B7-E545-8D28-9F4EDAEC0628}">
  <sheetPr codeName="Sheet1"/>
  <dimension ref="A1:P19"/>
  <sheetViews>
    <sheetView zoomScaleNormal="100" workbookViewId="0">
      <selection activeCell="D22" sqref="D22"/>
    </sheetView>
  </sheetViews>
  <sheetFormatPr defaultColWidth="18.6640625" defaultRowHeight="16.149999999999999" customHeight="1" x14ac:dyDescent="0.15"/>
  <cols>
    <col min="1" max="1" width="28.6640625" customWidth="1"/>
    <col min="5" max="5" width="27.83203125" customWidth="1"/>
    <col min="13" max="13" width="23.1640625" bestFit="1" customWidth="1"/>
    <col min="16" max="16" width="34.6640625" customWidth="1"/>
  </cols>
  <sheetData>
    <row r="1" spans="1:16" s="1" customFormat="1" ht="24" customHeight="1" x14ac:dyDescent="0.15">
      <c r="A1" s="78" t="s">
        <v>0</v>
      </c>
      <c r="G1" s="1" t="s">
        <v>1</v>
      </c>
    </row>
    <row r="2" spans="1:16" ht="16.149999999999999" customHeight="1" x14ac:dyDescent="0.15">
      <c r="A2" t="s">
        <v>2</v>
      </c>
    </row>
    <row r="3" spans="1:16" ht="30.75" customHeight="1" x14ac:dyDescent="0.15">
      <c r="A3" s="3" t="s">
        <v>3</v>
      </c>
      <c r="B3" s="3" t="s">
        <v>4</v>
      </c>
      <c r="C3" s="3" t="s">
        <v>5</v>
      </c>
      <c r="D3" s="3" t="s">
        <v>6</v>
      </c>
      <c r="E3" s="4" t="s">
        <v>7</v>
      </c>
      <c r="F3" s="4" t="s">
        <v>8</v>
      </c>
      <c r="G3" s="4" t="s">
        <v>9</v>
      </c>
      <c r="H3" s="4" t="s">
        <v>10</v>
      </c>
      <c r="I3" s="4" t="s">
        <v>11</v>
      </c>
      <c r="J3" s="4" t="s">
        <v>12</v>
      </c>
      <c r="K3" s="4" t="s">
        <v>13</v>
      </c>
      <c r="L3" s="4" t="s">
        <v>14</v>
      </c>
      <c r="M3" s="4" t="s">
        <v>15</v>
      </c>
      <c r="N3" s="4" t="s">
        <v>16</v>
      </c>
      <c r="O3" s="4" t="s">
        <v>17</v>
      </c>
      <c r="P3" s="4" t="s">
        <v>18</v>
      </c>
    </row>
    <row r="4" spans="1:16" ht="16.149999999999999" customHeight="1" x14ac:dyDescent="0.15">
      <c r="C4" s="5"/>
      <c r="D4" s="66"/>
      <c r="E4" s="65"/>
      <c r="F4" s="2"/>
      <c r="G4" s="2"/>
      <c r="H4" s="2"/>
      <c r="J4" s="6"/>
      <c r="K4" s="6"/>
      <c r="M4" s="67"/>
    </row>
    <row r="5" spans="1:16" ht="16.149999999999999" customHeight="1" x14ac:dyDescent="0.15">
      <c r="A5" s="2"/>
      <c r="C5" s="7"/>
      <c r="D5" s="7"/>
      <c r="E5" s="2"/>
      <c r="F5" s="2"/>
      <c r="G5" s="2"/>
      <c r="H5" s="2"/>
      <c r="I5" s="2"/>
      <c r="J5" s="6"/>
      <c r="K5" s="6"/>
      <c r="L5" s="2"/>
      <c r="M5" s="2"/>
      <c r="N5" s="6"/>
      <c r="O5" s="6"/>
      <c r="P5" s="34"/>
    </row>
    <row r="6" spans="1:16" ht="16.149999999999999" customHeight="1" x14ac:dyDescent="0.15">
      <c r="A6" s="2"/>
      <c r="C6" s="7"/>
      <c r="D6" s="7"/>
      <c r="E6" s="2"/>
      <c r="F6" s="2"/>
      <c r="G6" s="2"/>
      <c r="H6" s="2"/>
      <c r="I6" s="2"/>
      <c r="J6" s="6"/>
      <c r="K6" s="6"/>
      <c r="L6" s="2"/>
      <c r="M6" s="2"/>
      <c r="N6" s="6"/>
      <c r="O6" s="6"/>
      <c r="P6" s="34"/>
    </row>
    <row r="7" spans="1:16" ht="16.149999999999999" customHeight="1" x14ac:dyDescent="0.15">
      <c r="A7" s="2"/>
      <c r="C7" s="7"/>
      <c r="D7" s="7"/>
      <c r="E7" s="2"/>
      <c r="F7" s="2"/>
      <c r="G7" s="2"/>
      <c r="H7" s="2"/>
      <c r="I7" s="2"/>
      <c r="J7" s="6"/>
      <c r="K7" s="6"/>
      <c r="L7" s="2"/>
      <c r="M7" s="2"/>
      <c r="N7" s="6"/>
      <c r="O7" s="6"/>
      <c r="P7" s="34"/>
    </row>
    <row r="8" spans="1:16" ht="16.149999999999999" customHeight="1" x14ac:dyDescent="0.15">
      <c r="A8" s="2"/>
      <c r="C8" s="7"/>
      <c r="D8" s="7"/>
      <c r="E8" s="2"/>
      <c r="F8" s="2"/>
      <c r="G8" s="2"/>
      <c r="H8" s="2"/>
      <c r="I8" s="2"/>
      <c r="J8" s="6"/>
      <c r="K8" s="6"/>
      <c r="L8" s="2"/>
      <c r="M8" s="2"/>
      <c r="N8" s="6"/>
      <c r="O8" s="6"/>
      <c r="P8" s="34"/>
    </row>
    <row r="9" spans="1:16" ht="16.149999999999999" customHeight="1" x14ac:dyDescent="0.15">
      <c r="A9" s="2"/>
      <c r="C9" s="7"/>
      <c r="D9" s="7"/>
      <c r="E9" s="2"/>
      <c r="F9" s="2"/>
      <c r="G9" s="2"/>
      <c r="H9" s="2"/>
      <c r="I9" s="2"/>
      <c r="J9" s="6"/>
      <c r="K9" s="6"/>
      <c r="L9" s="2"/>
      <c r="M9" s="2"/>
      <c r="N9" s="6"/>
      <c r="O9" s="6"/>
      <c r="P9" s="34"/>
    </row>
    <row r="10" spans="1:16" ht="16.149999999999999" customHeight="1" x14ac:dyDescent="0.15">
      <c r="A10" s="2"/>
      <c r="C10" s="7"/>
      <c r="D10" s="7"/>
      <c r="E10" s="2"/>
      <c r="F10" s="2"/>
      <c r="G10" s="2"/>
      <c r="H10" s="2"/>
      <c r="I10" s="2"/>
      <c r="J10" s="6"/>
      <c r="K10" s="6"/>
      <c r="L10" s="2"/>
      <c r="M10" s="2"/>
      <c r="N10" s="6"/>
      <c r="O10" s="6"/>
      <c r="P10" s="34"/>
    </row>
    <row r="11" spans="1:16" ht="16.149999999999999" customHeight="1" x14ac:dyDescent="0.15">
      <c r="A11" s="2"/>
      <c r="C11" s="7"/>
      <c r="D11" s="7"/>
      <c r="E11" s="2"/>
      <c r="F11" s="2"/>
      <c r="G11" s="2"/>
      <c r="H11" s="2"/>
      <c r="I11" s="2"/>
      <c r="J11" s="6"/>
      <c r="K11" s="6"/>
      <c r="L11" s="2"/>
      <c r="M11" s="2"/>
      <c r="N11" s="6"/>
      <c r="O11" s="6"/>
      <c r="P11" s="34"/>
    </row>
    <row r="12" spans="1:16" ht="16.149999999999999" customHeight="1" x14ac:dyDescent="0.15">
      <c r="A12" s="2"/>
      <c r="C12" s="7"/>
      <c r="D12" s="7"/>
      <c r="E12" s="2"/>
      <c r="F12" s="2"/>
      <c r="G12" s="2"/>
      <c r="H12" s="2"/>
      <c r="I12" s="2"/>
      <c r="J12" s="6"/>
      <c r="K12" s="6"/>
      <c r="L12" s="2"/>
      <c r="M12" s="2"/>
      <c r="N12" s="6"/>
      <c r="O12" s="6"/>
      <c r="P12" s="34"/>
    </row>
    <row r="13" spans="1:16" ht="16.149999999999999" customHeight="1" x14ac:dyDescent="0.15">
      <c r="A13" s="2"/>
      <c r="C13" s="7"/>
      <c r="D13" s="7"/>
      <c r="E13" s="2"/>
      <c r="F13" s="2"/>
      <c r="G13" s="2"/>
      <c r="H13" s="2"/>
      <c r="I13" s="2"/>
      <c r="J13" s="6"/>
      <c r="K13" s="6"/>
      <c r="L13" s="2"/>
      <c r="M13" s="2"/>
      <c r="N13" s="6"/>
      <c r="O13" s="6"/>
      <c r="P13" s="34"/>
    </row>
    <row r="14" spans="1:16" ht="16.149999999999999" customHeight="1" x14ac:dyDescent="0.15">
      <c r="A14" s="2"/>
      <c r="C14" s="7"/>
      <c r="D14" s="7"/>
      <c r="E14" s="2"/>
      <c r="F14" s="2"/>
      <c r="G14" s="2"/>
      <c r="H14" s="2"/>
      <c r="I14" s="2"/>
      <c r="J14" s="6"/>
      <c r="K14" s="6"/>
      <c r="L14" s="2"/>
      <c r="M14" s="2"/>
      <c r="N14" s="6"/>
      <c r="O14" s="6"/>
      <c r="P14" s="34"/>
    </row>
    <row r="15" spans="1:16" ht="16.149999999999999" customHeight="1" x14ac:dyDescent="0.15">
      <c r="A15" s="2"/>
      <c r="C15" s="7"/>
      <c r="D15" s="7"/>
      <c r="E15" s="2"/>
      <c r="F15" s="2"/>
      <c r="G15" s="2"/>
      <c r="H15" s="2"/>
      <c r="I15" s="2"/>
      <c r="J15" s="6"/>
      <c r="K15" s="6"/>
      <c r="L15" s="2"/>
      <c r="M15" s="2"/>
      <c r="N15" s="6"/>
      <c r="O15" s="6"/>
      <c r="P15" s="34"/>
    </row>
    <row r="16" spans="1:16" ht="16.149999999999999" customHeight="1" x14ac:dyDescent="0.15">
      <c r="A16" s="2"/>
      <c r="C16" s="7"/>
      <c r="D16" s="7"/>
      <c r="E16" s="2"/>
      <c r="F16" s="2"/>
      <c r="G16" s="2"/>
      <c r="H16" s="2"/>
      <c r="I16" s="2"/>
      <c r="J16" s="6"/>
      <c r="K16" s="6"/>
      <c r="L16" s="2"/>
      <c r="M16" s="2"/>
      <c r="N16" s="6"/>
      <c r="O16" s="6"/>
      <c r="P16" s="34"/>
    </row>
    <row r="17" spans="1:16" ht="16.149999999999999" customHeight="1" x14ac:dyDescent="0.15">
      <c r="A17" s="2"/>
      <c r="C17" s="7"/>
      <c r="D17" s="7"/>
      <c r="E17" s="2"/>
      <c r="F17" s="2"/>
      <c r="G17" s="2"/>
      <c r="H17" s="2"/>
      <c r="I17" s="2"/>
      <c r="J17" s="6"/>
      <c r="K17" s="6"/>
      <c r="L17" s="2"/>
      <c r="M17" s="2"/>
      <c r="N17" s="6"/>
      <c r="O17" s="6"/>
      <c r="P17" s="34"/>
    </row>
    <row r="18" spans="1:16" ht="16.149999999999999" customHeight="1" x14ac:dyDescent="0.15">
      <c r="A18" s="2"/>
      <c r="C18" s="7"/>
      <c r="D18" s="7"/>
      <c r="E18" s="2"/>
      <c r="F18" s="2"/>
      <c r="G18" s="2"/>
      <c r="H18" s="2"/>
      <c r="I18" s="2"/>
      <c r="J18" s="6"/>
      <c r="K18" s="6"/>
      <c r="L18" s="2"/>
      <c r="M18" s="2"/>
      <c r="N18" s="6"/>
      <c r="O18" s="6"/>
      <c r="P18" s="34"/>
    </row>
    <row r="19" spans="1:16" ht="16.149999999999999" customHeight="1" x14ac:dyDescent="0.15">
      <c r="A19" s="2"/>
      <c r="C19" s="7"/>
      <c r="D19" s="7"/>
      <c r="E19" s="2"/>
      <c r="F19" s="2"/>
      <c r="G19" s="2"/>
      <c r="H19" s="2"/>
      <c r="I19" s="2"/>
      <c r="J19" s="6"/>
      <c r="K19" s="6"/>
      <c r="L19" s="2"/>
      <c r="M19" s="2"/>
      <c r="N19" s="6"/>
      <c r="O19" s="6"/>
      <c r="P19" s="34"/>
    </row>
  </sheetData>
  <phoneticPr fontId="2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F135-3C17-4259-B411-3577E7EC55ED}">
  <sheetPr>
    <tabColor rgb="FF92D050"/>
    <pageSetUpPr fitToPage="1"/>
  </sheetPr>
  <dimension ref="A1:AG61"/>
  <sheetViews>
    <sheetView zoomScaleNormal="100" workbookViewId="0">
      <selection activeCell="I34" sqref="I34"/>
    </sheetView>
  </sheetViews>
  <sheetFormatPr defaultColWidth="14.6640625" defaultRowHeight="16.149999999999999" customHeight="1" x14ac:dyDescent="0.15"/>
  <cols>
    <col min="1" max="1" width="6" bestFit="1" customWidth="1"/>
    <col min="2" max="2" width="12.33203125" bestFit="1" customWidth="1"/>
    <col min="3" max="3" width="11.1640625" bestFit="1" customWidth="1"/>
    <col min="4" max="4" width="36.33203125" bestFit="1" customWidth="1"/>
    <col min="5" max="5" width="18" bestFit="1" customWidth="1"/>
    <col min="6" max="6" width="22.33203125" bestFit="1" customWidth="1"/>
    <col min="7" max="7" width="5.83203125" bestFit="1" customWidth="1"/>
    <col min="8" max="8" width="12.83203125" hidden="1" customWidth="1"/>
    <col min="9" max="9" width="13.1640625" bestFit="1" customWidth="1"/>
    <col min="10" max="10" width="13.83203125" bestFit="1" customWidth="1"/>
    <col min="11" max="11" width="14.1640625" bestFit="1" customWidth="1"/>
    <col min="12" max="12" width="7.83203125" bestFit="1" customWidth="1"/>
    <col min="13" max="13" width="8.6640625" bestFit="1" customWidth="1"/>
    <col min="14" max="14" width="11.83203125" hidden="1" customWidth="1"/>
    <col min="15" max="15" width="12.5" hidden="1" customWidth="1"/>
    <col min="16" max="16" width="21" hidden="1" customWidth="1"/>
    <col min="17" max="17" width="12" hidden="1" customWidth="1"/>
    <col min="18" max="18" width="14.33203125" bestFit="1" customWidth="1"/>
    <col min="19" max="19" width="13.83203125" bestFit="1" customWidth="1"/>
    <col min="20" max="20" width="16.5" bestFit="1" customWidth="1"/>
    <col min="21" max="21" width="15" bestFit="1" customWidth="1"/>
    <col min="22" max="22" width="48.5" style="9" bestFit="1" customWidth="1"/>
    <col min="23" max="23" width="18.83203125" bestFit="1" customWidth="1"/>
    <col min="24" max="24" width="12.1640625" style="9" bestFit="1" customWidth="1"/>
    <col min="25" max="25" width="5.5" style="9" customWidth="1"/>
    <col min="28" max="28" width="5.5" customWidth="1"/>
    <col min="29" max="29" width="25" style="9" bestFit="1" customWidth="1"/>
    <col min="30" max="30" width="39.6640625" style="9" customWidth="1"/>
    <col min="31" max="31" width="68" style="9" customWidth="1"/>
    <col min="32" max="32" width="5.5" style="9" bestFit="1" customWidth="1"/>
    <col min="33" max="33" width="56.5" customWidth="1"/>
    <col min="34" max="34" width="14.33203125" customWidth="1"/>
    <col min="35" max="35" width="11.33203125" bestFit="1" customWidth="1"/>
    <col min="36" max="36" width="14.6640625" customWidth="1"/>
    <col min="37" max="37" width="48.5" bestFit="1" customWidth="1"/>
  </cols>
  <sheetData>
    <row r="1" spans="1:32" ht="24" customHeight="1" x14ac:dyDescent="0.15">
      <c r="A1" s="25" t="s">
        <v>0</v>
      </c>
      <c r="B1" s="2"/>
      <c r="C1" s="2"/>
      <c r="D1" s="2"/>
      <c r="E1" s="2"/>
      <c r="F1" s="2"/>
      <c r="G1" s="25" t="s">
        <v>3711</v>
      </c>
      <c r="J1" s="25" t="s">
        <v>9461</v>
      </c>
      <c r="K1" s="25"/>
      <c r="V1" s="6"/>
      <c r="Y1"/>
      <c r="AC1"/>
      <c r="AD1"/>
      <c r="AE1"/>
      <c r="AF1"/>
    </row>
    <row r="2" spans="1:32" ht="16.149999999999999" customHeight="1" x14ac:dyDescent="0.15">
      <c r="A2" s="10" t="s">
        <v>21</v>
      </c>
      <c r="B2" s="2"/>
      <c r="C2" s="11">
        <v>45755</v>
      </c>
      <c r="D2" s="41" t="s">
        <v>22</v>
      </c>
      <c r="E2" t="s">
        <v>3706</v>
      </c>
      <c r="J2" t="s">
        <v>24</v>
      </c>
      <c r="V2" s="6"/>
      <c r="Y2"/>
      <c r="AC2"/>
      <c r="AD2"/>
      <c r="AE2"/>
      <c r="AF2"/>
    </row>
    <row r="3" spans="1:32" ht="16.149999999999999" customHeight="1" x14ac:dyDescent="0.15">
      <c r="A3" s="12" t="s">
        <v>25</v>
      </c>
      <c r="C3">
        <v>4</v>
      </c>
      <c r="D3" s="42" t="s">
        <v>26</v>
      </c>
      <c r="E3" t="s">
        <v>3706</v>
      </c>
      <c r="L3" s="13"/>
      <c r="M3" s="8"/>
      <c r="V3" s="6"/>
      <c r="X3" s="37"/>
      <c r="Y3"/>
      <c r="AC3"/>
      <c r="AD3"/>
      <c r="AE3"/>
      <c r="AF3"/>
    </row>
    <row r="4" spans="1:32" ht="16.149999999999999" customHeight="1" x14ac:dyDescent="0.15">
      <c r="A4" s="12"/>
      <c r="D4" s="42"/>
      <c r="M4" s="2"/>
      <c r="V4" s="6"/>
      <c r="X4"/>
      <c r="Y4"/>
      <c r="AC4"/>
      <c r="AD4"/>
      <c r="AE4"/>
      <c r="AF4"/>
    </row>
    <row r="5" spans="1:32" ht="16.149999999999999" customHeight="1" x14ac:dyDescent="0.15">
      <c r="A5" s="12"/>
      <c r="D5" s="42"/>
      <c r="M5" s="2"/>
      <c r="V5" s="6"/>
      <c r="X5"/>
      <c r="Y5"/>
      <c r="AC5"/>
      <c r="AD5"/>
      <c r="AE5"/>
      <c r="AF5"/>
    </row>
    <row r="6" spans="1:32" s="9" customFormat="1" ht="40.5" x14ac:dyDescent="0.15">
      <c r="A6" s="14" t="s">
        <v>31</v>
      </c>
      <c r="B6" s="15" t="s">
        <v>32</v>
      </c>
      <c r="C6" s="15" t="s">
        <v>3714</v>
      </c>
      <c r="D6" s="15" t="s">
        <v>34</v>
      </c>
      <c r="E6" s="15" t="s">
        <v>35</v>
      </c>
      <c r="F6" s="16" t="s">
        <v>3715</v>
      </c>
      <c r="G6" s="39" t="s">
        <v>3716</v>
      </c>
      <c r="H6" s="40" t="s">
        <v>39</v>
      </c>
      <c r="I6" s="17" t="s">
        <v>40</v>
      </c>
      <c r="J6" s="17" t="s">
        <v>41</v>
      </c>
      <c r="K6" s="17" t="s">
        <v>42</v>
      </c>
      <c r="L6" s="17" t="s">
        <v>43</v>
      </c>
      <c r="M6" s="15" t="s">
        <v>44</v>
      </c>
      <c r="N6" s="15" t="s">
        <v>45</v>
      </c>
      <c r="O6" s="15" t="s">
        <v>46</v>
      </c>
      <c r="P6" s="15" t="s">
        <v>47</v>
      </c>
      <c r="Q6" s="15" t="s">
        <v>48</v>
      </c>
      <c r="R6" s="40" t="s">
        <v>49</v>
      </c>
      <c r="S6" s="17" t="s">
        <v>50</v>
      </c>
      <c r="T6" s="15" t="s">
        <v>51</v>
      </c>
      <c r="U6" s="15" t="s">
        <v>52</v>
      </c>
      <c r="V6" s="17" t="s">
        <v>53</v>
      </c>
      <c r="W6" s="15" t="s">
        <v>54</v>
      </c>
      <c r="X6" s="15" t="s">
        <v>55</v>
      </c>
      <c r="Z6"/>
      <c r="AA6"/>
      <c r="AB6"/>
    </row>
    <row r="7" spans="1:32" s="9" customFormat="1" ht="15.75" customHeight="1" x14ac:dyDescent="0.15">
      <c r="A7" s="6">
        <v>1</v>
      </c>
      <c r="B7" s="137" t="s">
        <v>9462</v>
      </c>
      <c r="C7" t="s">
        <v>3719</v>
      </c>
      <c r="D7" t="s">
        <v>9463</v>
      </c>
      <c r="E7" t="s">
        <v>143</v>
      </c>
      <c r="F7" s="19">
        <v>18</v>
      </c>
      <c r="G7" s="6"/>
      <c r="H7" s="34"/>
      <c r="I7" s="38"/>
      <c r="J7" s="38"/>
      <c r="K7" s="38"/>
      <c r="L7" t="s">
        <v>7372</v>
      </c>
      <c r="M7">
        <v>10</v>
      </c>
      <c r="N7" s="45">
        <v>-32768</v>
      </c>
      <c r="O7" s="2">
        <v>32767</v>
      </c>
      <c r="P7" s="38">
        <v>-3276.8</v>
      </c>
      <c r="Q7" s="36">
        <v>3276.7</v>
      </c>
      <c r="R7" s="34"/>
      <c r="S7" s="34"/>
      <c r="T7" s="34"/>
      <c r="U7" s="33"/>
      <c r="V7" s="33" t="s">
        <v>9464</v>
      </c>
      <c r="W7" s="33"/>
      <c r="X7" s="33"/>
      <c r="Z7"/>
      <c r="AA7"/>
      <c r="AB7"/>
    </row>
    <row r="8" spans="1:32" s="9" customFormat="1" ht="15.75" customHeight="1" x14ac:dyDescent="0.15">
      <c r="A8" s="6">
        <v>2</v>
      </c>
      <c r="B8" s="137" t="s">
        <v>9462</v>
      </c>
      <c r="C8" t="s">
        <v>3719</v>
      </c>
      <c r="D8" t="s">
        <v>9465</v>
      </c>
      <c r="E8" t="s">
        <v>143</v>
      </c>
      <c r="F8" s="19">
        <v>19</v>
      </c>
      <c r="G8" s="6"/>
      <c r="H8" s="34"/>
      <c r="I8" s="38"/>
      <c r="J8" s="38"/>
      <c r="K8" s="38"/>
      <c r="L8" t="s">
        <v>7158</v>
      </c>
      <c r="M8">
        <v>100</v>
      </c>
      <c r="N8" s="45">
        <v>-32768</v>
      </c>
      <c r="O8" s="2">
        <v>32767</v>
      </c>
      <c r="P8" s="38">
        <v>-327.68</v>
      </c>
      <c r="Q8" s="36">
        <v>327.67</v>
      </c>
      <c r="R8" s="34"/>
      <c r="S8" s="34"/>
      <c r="T8" s="34"/>
      <c r="U8" s="33"/>
      <c r="V8" s="33" t="s">
        <v>9466</v>
      </c>
      <c r="W8" s="33"/>
      <c r="X8" s="33"/>
      <c r="Z8"/>
      <c r="AA8"/>
      <c r="AB8"/>
    </row>
    <row r="9" spans="1:32" s="9" customFormat="1" ht="15.75" customHeight="1" x14ac:dyDescent="0.15">
      <c r="A9" s="6">
        <v>3</v>
      </c>
      <c r="B9" s="137" t="s">
        <v>9462</v>
      </c>
      <c r="C9" t="s">
        <v>3719</v>
      </c>
      <c r="D9" t="s">
        <v>9467</v>
      </c>
      <c r="E9" t="s">
        <v>143</v>
      </c>
      <c r="F9" s="19">
        <v>20</v>
      </c>
      <c r="G9" s="6"/>
      <c r="H9" s="34"/>
      <c r="I9" s="38"/>
      <c r="J9" s="38"/>
      <c r="K9" s="38"/>
      <c r="L9" t="s">
        <v>9468</v>
      </c>
      <c r="M9">
        <v>100</v>
      </c>
      <c r="N9" s="45">
        <v>-32768</v>
      </c>
      <c r="O9" s="2">
        <v>32767</v>
      </c>
      <c r="P9" s="38">
        <v>-327.68</v>
      </c>
      <c r="Q9" s="36">
        <v>327.67</v>
      </c>
      <c r="R9" s="34"/>
      <c r="S9" s="34"/>
      <c r="T9" s="34"/>
      <c r="U9" s="33"/>
      <c r="V9" s="33" t="s">
        <v>9469</v>
      </c>
      <c r="W9" s="33"/>
      <c r="X9" s="33"/>
      <c r="Z9"/>
      <c r="AA9"/>
      <c r="AB9"/>
    </row>
    <row r="10" spans="1:32" s="9" customFormat="1" ht="15.75" customHeight="1" x14ac:dyDescent="0.15">
      <c r="A10" s="6">
        <v>4</v>
      </c>
      <c r="B10" s="137" t="s">
        <v>9462</v>
      </c>
      <c r="C10" t="s">
        <v>3719</v>
      </c>
      <c r="D10" t="s">
        <v>9470</v>
      </c>
      <c r="E10" t="s">
        <v>143</v>
      </c>
      <c r="F10" s="19">
        <v>21</v>
      </c>
      <c r="G10" s="6"/>
      <c r="H10" s="34"/>
      <c r="I10" s="38"/>
      <c r="J10" s="38"/>
      <c r="K10" s="38"/>
      <c r="L10" t="s">
        <v>6859</v>
      </c>
      <c r="M10">
        <v>100</v>
      </c>
      <c r="N10" s="45">
        <v>-32768</v>
      </c>
      <c r="O10" s="2">
        <v>32767</v>
      </c>
      <c r="P10" s="38">
        <v>-327.68</v>
      </c>
      <c r="Q10" s="36">
        <v>327.67</v>
      </c>
      <c r="R10" s="34"/>
      <c r="S10" s="34"/>
      <c r="T10" s="34"/>
      <c r="U10" s="33"/>
      <c r="V10" s="33" t="s">
        <v>9471</v>
      </c>
      <c r="W10" s="33"/>
      <c r="X10" s="33"/>
      <c r="Z10"/>
      <c r="AA10"/>
      <c r="AB10"/>
    </row>
    <row r="11" spans="1:32" s="9" customFormat="1" ht="15.75" customHeight="1" x14ac:dyDescent="0.15">
      <c r="A11" s="6">
        <v>5</v>
      </c>
      <c r="B11" s="137" t="s">
        <v>9462</v>
      </c>
      <c r="C11" t="s">
        <v>3719</v>
      </c>
      <c r="D11" t="s">
        <v>9472</v>
      </c>
      <c r="E11" t="s">
        <v>143</v>
      </c>
      <c r="F11" s="19">
        <v>22</v>
      </c>
      <c r="G11" s="6"/>
      <c r="H11" s="34"/>
      <c r="I11" s="38"/>
      <c r="J11" s="38"/>
      <c r="K11" s="38"/>
      <c r="L11" t="s">
        <v>6859</v>
      </c>
      <c r="M11">
        <v>100</v>
      </c>
      <c r="N11" s="45">
        <v>-32768</v>
      </c>
      <c r="O11" s="2">
        <v>32767</v>
      </c>
      <c r="P11" s="38">
        <v>-327.68</v>
      </c>
      <c r="Q11" s="36">
        <v>327.67</v>
      </c>
      <c r="R11" s="34"/>
      <c r="S11" s="34"/>
      <c r="T11" s="34"/>
      <c r="U11" s="33"/>
      <c r="V11" s="33" t="s">
        <v>9473</v>
      </c>
      <c r="W11" s="33"/>
      <c r="X11" s="33"/>
      <c r="Z11"/>
      <c r="AA11"/>
      <c r="AB11"/>
    </row>
    <row r="12" spans="1:32" s="9" customFormat="1" ht="15.75" customHeight="1" x14ac:dyDescent="0.15">
      <c r="A12" s="38">
        <v>6</v>
      </c>
      <c r="B12" s="137" t="s">
        <v>9462</v>
      </c>
      <c r="C12" t="s">
        <v>3719</v>
      </c>
      <c r="D12" t="s">
        <v>9463</v>
      </c>
      <c r="E12" t="s">
        <v>143</v>
      </c>
      <c r="F12" s="19">
        <v>23</v>
      </c>
      <c r="G12" s="6"/>
      <c r="H12" s="34"/>
      <c r="I12" s="38"/>
      <c r="J12" s="38"/>
      <c r="K12" s="38"/>
      <c r="L12" t="s">
        <v>7372</v>
      </c>
      <c r="M12">
        <v>10</v>
      </c>
      <c r="N12" s="45">
        <v>-32768</v>
      </c>
      <c r="O12" s="2">
        <v>32767</v>
      </c>
      <c r="P12" s="38">
        <v>-3276.8</v>
      </c>
      <c r="Q12" s="36">
        <v>3276.7</v>
      </c>
      <c r="R12" s="34"/>
      <c r="S12" s="34"/>
      <c r="T12" s="34"/>
      <c r="U12" s="33"/>
      <c r="V12" s="33" t="s">
        <v>9474</v>
      </c>
      <c r="W12" s="33"/>
      <c r="X12" s="33"/>
      <c r="Z12"/>
      <c r="AA12"/>
      <c r="AB12"/>
    </row>
    <row r="13" spans="1:32" s="9" customFormat="1" ht="15.75" customHeight="1" x14ac:dyDescent="0.15">
      <c r="A13" s="38">
        <v>7</v>
      </c>
      <c r="B13" s="137" t="s">
        <v>9462</v>
      </c>
      <c r="C13" t="s">
        <v>3719</v>
      </c>
      <c r="D13" t="s">
        <v>9465</v>
      </c>
      <c r="E13" t="s">
        <v>143</v>
      </c>
      <c r="F13" s="19">
        <v>24</v>
      </c>
      <c r="G13" s="6"/>
      <c r="H13" s="34"/>
      <c r="I13" s="38"/>
      <c r="J13" s="38"/>
      <c r="K13" s="38"/>
      <c r="L13" t="s">
        <v>7158</v>
      </c>
      <c r="M13">
        <v>100</v>
      </c>
      <c r="N13" s="45">
        <v>-32768</v>
      </c>
      <c r="O13" s="2">
        <v>32767</v>
      </c>
      <c r="P13" s="38">
        <v>-327.68</v>
      </c>
      <c r="Q13" s="36">
        <v>327.67</v>
      </c>
      <c r="R13" s="34"/>
      <c r="S13" s="34"/>
      <c r="T13" s="34"/>
      <c r="U13" s="33"/>
      <c r="V13" s="33" t="s">
        <v>9475</v>
      </c>
      <c r="W13" s="33"/>
      <c r="X13" s="33"/>
      <c r="Z13"/>
      <c r="AA13"/>
      <c r="AB13"/>
    </row>
    <row r="14" spans="1:32" s="9" customFormat="1" ht="15.75" customHeight="1" x14ac:dyDescent="0.15">
      <c r="A14" s="38">
        <v>8</v>
      </c>
      <c r="B14" s="137" t="s">
        <v>9462</v>
      </c>
      <c r="C14" t="s">
        <v>3719</v>
      </c>
      <c r="D14" t="s">
        <v>9467</v>
      </c>
      <c r="E14" t="s">
        <v>143</v>
      </c>
      <c r="F14" s="19">
        <v>25</v>
      </c>
      <c r="G14" s="6"/>
      <c r="H14" s="34"/>
      <c r="I14" s="38"/>
      <c r="J14" s="38"/>
      <c r="K14" s="38"/>
      <c r="L14" t="s">
        <v>9468</v>
      </c>
      <c r="M14">
        <v>100</v>
      </c>
      <c r="N14" s="45">
        <v>-32768</v>
      </c>
      <c r="O14" s="2">
        <v>32767</v>
      </c>
      <c r="P14" s="38">
        <v>-327.68</v>
      </c>
      <c r="Q14" s="36">
        <v>327.67</v>
      </c>
      <c r="R14" s="34"/>
      <c r="S14" s="34"/>
      <c r="T14" s="34"/>
      <c r="U14" s="33"/>
      <c r="V14" s="33" t="s">
        <v>9476</v>
      </c>
      <c r="W14" s="33"/>
      <c r="X14" s="33"/>
      <c r="Z14"/>
      <c r="AA14"/>
      <c r="AB14"/>
    </row>
    <row r="15" spans="1:32" s="9" customFormat="1" ht="15.75" customHeight="1" x14ac:dyDescent="0.15">
      <c r="A15" s="38">
        <v>9</v>
      </c>
      <c r="B15" s="137" t="s">
        <v>9462</v>
      </c>
      <c r="C15" t="s">
        <v>3719</v>
      </c>
      <c r="D15" t="s">
        <v>9470</v>
      </c>
      <c r="E15" t="s">
        <v>143</v>
      </c>
      <c r="F15" s="19">
        <v>26</v>
      </c>
      <c r="G15" s="6"/>
      <c r="H15" s="34"/>
      <c r="I15" s="38"/>
      <c r="J15" s="38"/>
      <c r="K15" s="38"/>
      <c r="L15" t="s">
        <v>6859</v>
      </c>
      <c r="M15">
        <v>100</v>
      </c>
      <c r="N15" s="45">
        <v>-32768</v>
      </c>
      <c r="O15" s="2">
        <v>32767</v>
      </c>
      <c r="P15" s="38">
        <v>-327.68</v>
      </c>
      <c r="Q15" s="36">
        <v>327.67</v>
      </c>
      <c r="R15" s="34"/>
      <c r="S15" s="34"/>
      <c r="T15" s="34"/>
      <c r="U15" s="33"/>
      <c r="V15" s="33" t="s">
        <v>9477</v>
      </c>
      <c r="W15" s="33"/>
      <c r="X15" s="33"/>
      <c r="Z15"/>
      <c r="AA15"/>
      <c r="AB15"/>
    </row>
    <row r="16" spans="1:32" s="9" customFormat="1" ht="15.75" customHeight="1" x14ac:dyDescent="0.15">
      <c r="A16" s="38">
        <v>10</v>
      </c>
      <c r="B16" s="137" t="s">
        <v>9462</v>
      </c>
      <c r="C16" t="s">
        <v>3719</v>
      </c>
      <c r="D16" t="s">
        <v>9472</v>
      </c>
      <c r="E16" t="s">
        <v>143</v>
      </c>
      <c r="F16" s="19">
        <v>27</v>
      </c>
      <c r="G16" s="6"/>
      <c r="H16" s="34"/>
      <c r="I16" s="38"/>
      <c r="J16" s="38"/>
      <c r="K16" s="38"/>
      <c r="L16" t="s">
        <v>6859</v>
      </c>
      <c r="M16">
        <v>100</v>
      </c>
      <c r="N16" s="45">
        <v>-32768</v>
      </c>
      <c r="O16" s="2">
        <v>32767</v>
      </c>
      <c r="P16" s="38">
        <v>-327.68</v>
      </c>
      <c r="Q16" s="36">
        <v>327.67</v>
      </c>
      <c r="R16" s="34"/>
      <c r="S16" s="34"/>
      <c r="T16" s="34"/>
      <c r="U16" s="33"/>
      <c r="V16" s="33" t="s">
        <v>9478</v>
      </c>
      <c r="W16" s="33"/>
      <c r="X16" s="33"/>
      <c r="Z16"/>
      <c r="AA16"/>
      <c r="AB16"/>
    </row>
    <row r="17" spans="1:28" s="9" customFormat="1" ht="16.149999999999999" customHeight="1" x14ac:dyDescent="0.15">
      <c r="A17" s="38"/>
      <c r="B17" s="18"/>
      <c r="C17" s="44"/>
      <c r="D17" s="43"/>
      <c r="E17" s="36"/>
      <c r="F17" s="19"/>
      <c r="G17" s="6"/>
      <c r="H17" s="34"/>
      <c r="I17" s="38"/>
      <c r="J17" s="38"/>
      <c r="K17" s="38"/>
      <c r="L17" s="6"/>
      <c r="M17" s="48"/>
      <c r="N17" s="45"/>
      <c r="O17" s="2"/>
      <c r="P17" s="38"/>
      <c r="Q17" s="36"/>
      <c r="R17" s="34"/>
      <c r="S17" s="34"/>
      <c r="T17" s="34"/>
      <c r="U17" s="33"/>
      <c r="V17" s="33"/>
      <c r="W17" s="33"/>
      <c r="X17" s="33"/>
      <c r="Z17"/>
      <c r="AA17"/>
      <c r="AB17"/>
    </row>
    <row r="18" spans="1:28" s="9" customFormat="1" ht="16.149999999999999" customHeight="1" x14ac:dyDescent="0.15">
      <c r="A18" s="38"/>
      <c r="B18" s="18"/>
      <c r="C18" s="44"/>
      <c r="D18" s="43"/>
      <c r="E18" s="36"/>
      <c r="F18" s="19"/>
      <c r="G18" s="6"/>
      <c r="H18" s="34"/>
      <c r="I18" s="38"/>
      <c r="J18" s="38"/>
      <c r="K18" s="38"/>
      <c r="L18" s="6"/>
      <c r="M18" s="48"/>
      <c r="N18" s="45"/>
      <c r="O18" s="2"/>
      <c r="P18" s="38"/>
      <c r="Q18" s="36"/>
      <c r="R18" s="34"/>
      <c r="S18" s="34"/>
      <c r="T18" s="34"/>
      <c r="U18" s="33"/>
      <c r="V18" s="33"/>
      <c r="W18" s="33"/>
      <c r="X18" s="33"/>
      <c r="Z18"/>
      <c r="AA18"/>
      <c r="AB18"/>
    </row>
    <row r="19" spans="1:28" s="9" customFormat="1" ht="16.149999999999999" customHeight="1" x14ac:dyDescent="0.15">
      <c r="A19" s="38"/>
      <c r="B19" s="18"/>
      <c r="C19" s="44"/>
      <c r="D19" s="43"/>
      <c r="E19" s="36"/>
      <c r="F19" s="19"/>
      <c r="G19" s="6"/>
      <c r="H19" s="34"/>
      <c r="I19" s="38"/>
      <c r="J19" s="38"/>
      <c r="K19" s="38"/>
      <c r="L19" s="6"/>
      <c r="M19" s="48"/>
      <c r="N19" s="45"/>
      <c r="O19" s="2"/>
      <c r="P19" s="38"/>
      <c r="Q19" s="36"/>
      <c r="R19" s="34"/>
      <c r="S19" s="34"/>
      <c r="T19" s="34"/>
      <c r="U19" s="33"/>
      <c r="V19" s="33"/>
      <c r="W19" s="33"/>
      <c r="X19" s="33"/>
      <c r="Z19"/>
      <c r="AA19"/>
      <c r="AB19"/>
    </row>
    <row r="20" spans="1:28" s="9" customFormat="1" ht="16.149999999999999" customHeight="1" x14ac:dyDescent="0.15">
      <c r="A20" s="38"/>
      <c r="B20" s="18"/>
      <c r="C20" s="44"/>
      <c r="D20" s="43"/>
      <c r="E20" s="36"/>
      <c r="F20" s="19"/>
      <c r="G20" s="6"/>
      <c r="H20" s="34"/>
      <c r="I20" s="38"/>
      <c r="J20" s="38"/>
      <c r="K20" s="38"/>
      <c r="L20" s="6"/>
      <c r="M20" s="48"/>
      <c r="N20" s="45"/>
      <c r="O20" s="2"/>
      <c r="P20" s="38"/>
      <c r="Q20" s="36"/>
      <c r="R20" s="34"/>
      <c r="S20" s="34"/>
      <c r="T20" s="34"/>
      <c r="U20" s="33"/>
      <c r="V20" s="33"/>
      <c r="W20" s="33"/>
      <c r="X20" s="33"/>
      <c r="Z20"/>
      <c r="AA20"/>
      <c r="AB20"/>
    </row>
    <row r="21" spans="1:28" s="9" customFormat="1" ht="16.149999999999999" customHeight="1" x14ac:dyDescent="0.15">
      <c r="A21" s="38"/>
      <c r="B21" s="18"/>
      <c r="C21" s="44"/>
      <c r="D21" s="43"/>
      <c r="E21" s="36"/>
      <c r="F21" s="19"/>
      <c r="G21" s="6"/>
      <c r="H21" s="34"/>
      <c r="I21" s="38"/>
      <c r="J21" s="38"/>
      <c r="K21" s="38"/>
      <c r="L21" s="6"/>
      <c r="M21" s="48"/>
      <c r="N21" s="45"/>
      <c r="O21" s="2"/>
      <c r="P21" s="38"/>
      <c r="Q21" s="36"/>
      <c r="R21" s="34"/>
      <c r="S21" s="34"/>
      <c r="T21" s="34"/>
      <c r="U21" s="33"/>
      <c r="V21" s="33"/>
      <c r="W21" s="33"/>
      <c r="X21" s="33"/>
      <c r="Z21"/>
      <c r="AA21"/>
      <c r="AB21"/>
    </row>
    <row r="22" spans="1:28" s="9" customFormat="1" ht="16.149999999999999" customHeight="1" x14ac:dyDescent="0.15">
      <c r="A22" s="38"/>
      <c r="B22" s="18"/>
      <c r="C22" s="44"/>
      <c r="D22" s="43"/>
      <c r="E22" s="36"/>
      <c r="F22" s="19"/>
      <c r="G22" s="6"/>
      <c r="H22" s="34"/>
      <c r="I22" s="38"/>
      <c r="J22" s="38"/>
      <c r="K22" s="38"/>
      <c r="L22" s="6"/>
      <c r="M22" s="48"/>
      <c r="N22" s="45"/>
      <c r="O22" s="2"/>
      <c r="P22" s="38"/>
      <c r="Q22" s="36"/>
      <c r="R22" s="34"/>
      <c r="S22" s="34"/>
      <c r="T22" s="34"/>
      <c r="U22" s="33"/>
      <c r="V22" s="33"/>
      <c r="W22" s="33"/>
      <c r="X22" s="33"/>
      <c r="Z22"/>
      <c r="AA22"/>
      <c r="AB22"/>
    </row>
    <row r="23" spans="1:28" s="9" customFormat="1" ht="16.149999999999999" customHeight="1" x14ac:dyDescent="0.15">
      <c r="A23" s="38"/>
      <c r="B23" s="18"/>
      <c r="C23" s="44"/>
      <c r="D23" s="43"/>
      <c r="E23" s="36"/>
      <c r="F23" s="19"/>
      <c r="G23" s="6"/>
      <c r="H23" s="34"/>
      <c r="I23" s="38"/>
      <c r="J23" s="38"/>
      <c r="K23" s="38"/>
      <c r="L23" s="6"/>
      <c r="M23" s="48"/>
      <c r="N23" s="45"/>
      <c r="O23" s="2"/>
      <c r="P23" s="38"/>
      <c r="Q23" s="36"/>
      <c r="R23" s="34"/>
      <c r="S23" s="34"/>
      <c r="T23" s="34"/>
      <c r="U23" s="33"/>
      <c r="V23" s="33"/>
      <c r="W23" s="33"/>
      <c r="X23" s="33"/>
      <c r="Z23"/>
      <c r="AA23"/>
      <c r="AB23"/>
    </row>
    <row r="24" spans="1:28" s="9" customFormat="1" ht="16.149999999999999" customHeight="1" x14ac:dyDescent="0.15">
      <c r="A24" s="38"/>
      <c r="B24" s="18"/>
      <c r="C24" s="44"/>
      <c r="D24" s="43"/>
      <c r="E24" s="36"/>
      <c r="F24" s="19"/>
      <c r="G24" s="6"/>
      <c r="H24" s="34"/>
      <c r="I24" s="38"/>
      <c r="J24" s="38"/>
      <c r="K24" s="38"/>
      <c r="L24" s="6"/>
      <c r="M24" s="48"/>
      <c r="N24" s="45"/>
      <c r="O24" s="2"/>
      <c r="P24" s="38"/>
      <c r="Q24" s="36"/>
      <c r="R24" s="34"/>
      <c r="S24" s="34"/>
      <c r="T24" s="34"/>
      <c r="U24" s="33"/>
      <c r="V24" s="33"/>
      <c r="W24" s="33"/>
      <c r="X24" s="33"/>
      <c r="Z24"/>
      <c r="AA24"/>
      <c r="AB24"/>
    </row>
    <row r="25" spans="1:28" s="9" customFormat="1" ht="16.149999999999999" customHeight="1" x14ac:dyDescent="0.15">
      <c r="A25" s="38"/>
      <c r="B25" s="18"/>
      <c r="C25" s="44"/>
      <c r="D25" s="43"/>
      <c r="E25" s="36"/>
      <c r="F25" s="19"/>
      <c r="G25" s="6"/>
      <c r="H25" s="34"/>
      <c r="I25" s="38"/>
      <c r="J25" s="38"/>
      <c r="K25" s="38"/>
      <c r="L25" s="6"/>
      <c r="M25" s="48"/>
      <c r="N25" s="45"/>
      <c r="O25" s="2"/>
      <c r="P25" s="38"/>
      <c r="Q25" s="36"/>
      <c r="R25" s="34"/>
      <c r="S25" s="34"/>
      <c r="T25" s="34"/>
      <c r="U25" s="33"/>
      <c r="V25" s="33"/>
      <c r="W25" s="33"/>
      <c r="X25" s="33"/>
      <c r="Z25"/>
      <c r="AA25"/>
      <c r="AB25"/>
    </row>
    <row r="26" spans="1:28" s="9" customFormat="1" ht="16.149999999999999" customHeight="1" x14ac:dyDescent="0.15">
      <c r="A26" s="38"/>
      <c r="B26" s="18"/>
      <c r="C26" s="44"/>
      <c r="D26" s="43"/>
      <c r="E26" s="36"/>
      <c r="F26" s="19"/>
      <c r="G26" s="6"/>
      <c r="H26" s="34"/>
      <c r="I26" s="38"/>
      <c r="J26" s="38"/>
      <c r="K26" s="38"/>
      <c r="L26" s="6"/>
      <c r="M26" s="48"/>
      <c r="N26" s="45"/>
      <c r="O26" s="2"/>
      <c r="P26" s="38"/>
      <c r="Q26" s="36"/>
      <c r="R26" s="34"/>
      <c r="S26" s="34"/>
      <c r="T26" s="34"/>
      <c r="U26" s="33"/>
      <c r="V26" s="33"/>
      <c r="W26" s="33"/>
      <c r="X26" s="33"/>
      <c r="Z26"/>
      <c r="AA26"/>
      <c r="AB26"/>
    </row>
    <row r="27" spans="1:28" s="9" customFormat="1" ht="16.149999999999999" customHeight="1" x14ac:dyDescent="0.15">
      <c r="A27" s="38"/>
      <c r="B27" s="18"/>
      <c r="C27" s="44"/>
      <c r="D27" s="43"/>
      <c r="E27" s="36"/>
      <c r="F27" s="19"/>
      <c r="G27" s="6"/>
      <c r="H27" s="34"/>
      <c r="I27" s="38"/>
      <c r="J27" s="38"/>
      <c r="K27" s="38"/>
      <c r="L27" s="6"/>
      <c r="M27" s="48"/>
      <c r="N27" s="45"/>
      <c r="O27" s="2"/>
      <c r="P27" s="38"/>
      <c r="Q27" s="36"/>
      <c r="R27" s="34"/>
      <c r="S27" s="34"/>
      <c r="T27" s="34"/>
      <c r="U27" s="33"/>
      <c r="V27" s="33"/>
      <c r="W27" s="33"/>
      <c r="X27" s="33"/>
      <c r="Z27"/>
      <c r="AA27"/>
      <c r="AB27"/>
    </row>
    <row r="28" spans="1:28" s="9" customFormat="1" ht="16.149999999999999" customHeight="1" x14ac:dyDescent="0.15">
      <c r="A28" s="38"/>
      <c r="B28" s="18"/>
      <c r="C28" s="44"/>
      <c r="D28" s="43"/>
      <c r="E28" s="36"/>
      <c r="F28" s="19"/>
      <c r="G28" s="6"/>
      <c r="H28" s="34"/>
      <c r="I28" s="38"/>
      <c r="J28" s="38"/>
      <c r="K28" s="38"/>
      <c r="L28" s="6"/>
      <c r="M28" s="48"/>
      <c r="N28" s="45"/>
      <c r="O28" s="2"/>
      <c r="P28" s="38"/>
      <c r="Q28" s="36"/>
      <c r="R28" s="34"/>
      <c r="S28" s="34"/>
      <c r="T28" s="34"/>
      <c r="U28" s="33"/>
      <c r="V28" s="33"/>
      <c r="W28" s="33"/>
      <c r="X28" s="33"/>
      <c r="Z28"/>
      <c r="AA28"/>
      <c r="AB28"/>
    </row>
    <row r="29" spans="1:28" s="9" customFormat="1" ht="16.149999999999999" customHeight="1" x14ac:dyDescent="0.15">
      <c r="A29" s="38"/>
      <c r="B29" s="18"/>
      <c r="C29" s="44"/>
      <c r="D29" s="43"/>
      <c r="E29" s="36"/>
      <c r="F29" s="19"/>
      <c r="G29" s="6"/>
      <c r="H29" s="34"/>
      <c r="I29" s="38"/>
      <c r="J29" s="38"/>
      <c r="K29" s="38"/>
      <c r="L29" s="6"/>
      <c r="M29" s="48"/>
      <c r="N29" s="45"/>
      <c r="O29" s="2"/>
      <c r="P29" s="38"/>
      <c r="Q29" s="36"/>
      <c r="R29" s="34"/>
      <c r="S29" s="34"/>
      <c r="T29" s="34"/>
      <c r="U29" s="33"/>
      <c r="V29" s="33"/>
      <c r="W29" s="33"/>
      <c r="X29" s="33"/>
      <c r="Z29"/>
      <c r="AA29"/>
      <c r="AB29"/>
    </row>
    <row r="30" spans="1:28" s="9" customFormat="1" ht="16.149999999999999" customHeight="1" x14ac:dyDescent="0.15">
      <c r="A30" s="38"/>
      <c r="B30" s="18"/>
      <c r="C30" s="44"/>
      <c r="D30" s="43"/>
      <c r="E30" s="36"/>
      <c r="F30" s="19"/>
      <c r="G30" s="6"/>
      <c r="H30" s="34"/>
      <c r="I30" s="38"/>
      <c r="J30" s="38"/>
      <c r="K30" s="38"/>
      <c r="L30" s="6"/>
      <c r="M30" s="48"/>
      <c r="N30" s="45"/>
      <c r="O30" s="2"/>
      <c r="P30" s="38"/>
      <c r="Q30" s="36"/>
      <c r="R30" s="34"/>
      <c r="S30" s="34"/>
      <c r="T30" s="34"/>
      <c r="U30" s="33"/>
      <c r="V30" s="33"/>
      <c r="W30" s="33"/>
      <c r="X30" s="33"/>
      <c r="Z30"/>
      <c r="AA30"/>
      <c r="AB30"/>
    </row>
    <row r="31" spans="1:28" s="9" customFormat="1" ht="16.149999999999999" customHeight="1" x14ac:dyDescent="0.15">
      <c r="A31" s="38"/>
      <c r="B31" s="18"/>
      <c r="C31" s="44"/>
      <c r="D31" s="43"/>
      <c r="E31" s="36"/>
      <c r="F31" s="19"/>
      <c r="G31" s="6"/>
      <c r="H31" s="34"/>
      <c r="I31" s="38"/>
      <c r="J31" s="38"/>
      <c r="K31" s="38"/>
      <c r="L31" s="6"/>
      <c r="M31" s="48"/>
      <c r="N31" s="45"/>
      <c r="O31" s="2"/>
      <c r="P31" s="38"/>
      <c r="Q31" s="36"/>
      <c r="R31" s="34"/>
      <c r="S31" s="34"/>
      <c r="T31" s="34"/>
      <c r="U31" s="33"/>
      <c r="V31" s="33"/>
      <c r="W31" s="33"/>
      <c r="X31" s="33"/>
      <c r="Z31"/>
      <c r="AA31"/>
      <c r="AB31"/>
    </row>
    <row r="32" spans="1:28" s="9" customFormat="1" ht="16.149999999999999" customHeight="1" x14ac:dyDescent="0.15">
      <c r="A32" s="38"/>
      <c r="B32" s="18"/>
      <c r="C32" s="44"/>
      <c r="D32" s="43"/>
      <c r="E32" s="36"/>
      <c r="F32" s="19"/>
      <c r="G32" s="6"/>
      <c r="H32" s="34"/>
      <c r="I32" s="38"/>
      <c r="J32" s="38"/>
      <c r="K32" s="38"/>
      <c r="L32" s="6"/>
      <c r="M32" s="48"/>
      <c r="N32" s="45"/>
      <c r="O32" s="2"/>
      <c r="P32" s="38"/>
      <c r="Q32" s="36"/>
      <c r="R32" s="34"/>
      <c r="S32" s="34"/>
      <c r="T32" s="34"/>
      <c r="U32" s="33"/>
      <c r="V32" s="33"/>
      <c r="W32" s="33"/>
      <c r="X32" s="33"/>
      <c r="Z32"/>
      <c r="AA32"/>
      <c r="AB32"/>
    </row>
    <row r="33" spans="1:28" s="9" customFormat="1" ht="16.149999999999999" customHeight="1" x14ac:dyDescent="0.15">
      <c r="A33" s="38"/>
      <c r="B33" s="18"/>
      <c r="C33" s="44"/>
      <c r="D33" s="43"/>
      <c r="E33" s="36"/>
      <c r="F33" s="19"/>
      <c r="G33" s="6"/>
      <c r="H33" s="34"/>
      <c r="I33" s="38"/>
      <c r="J33" s="38"/>
      <c r="K33" s="38"/>
      <c r="L33" s="6"/>
      <c r="M33" s="48"/>
      <c r="N33" s="45"/>
      <c r="O33" s="2"/>
      <c r="P33" s="38"/>
      <c r="Q33" s="36"/>
      <c r="R33" s="34"/>
      <c r="S33" s="34"/>
      <c r="T33" s="34"/>
      <c r="U33" s="33"/>
      <c r="V33" s="33"/>
      <c r="W33" s="33"/>
      <c r="X33" s="33"/>
      <c r="Z33"/>
      <c r="AA33"/>
      <c r="AB33"/>
    </row>
    <row r="34" spans="1:28" s="9" customFormat="1" ht="16.149999999999999" customHeight="1" x14ac:dyDescent="0.15">
      <c r="A34" s="38"/>
      <c r="B34" s="18"/>
      <c r="C34" s="44"/>
      <c r="D34" s="43"/>
      <c r="E34" s="36"/>
      <c r="F34" s="19"/>
      <c r="G34" s="6"/>
      <c r="H34" s="34"/>
      <c r="I34" s="38"/>
      <c r="J34" s="38"/>
      <c r="K34" s="38"/>
      <c r="L34" s="6"/>
      <c r="M34" s="48"/>
      <c r="N34" s="45"/>
      <c r="O34" s="2"/>
      <c r="P34" s="38"/>
      <c r="Q34" s="36"/>
      <c r="R34" s="34"/>
      <c r="S34" s="34"/>
      <c r="T34" s="34"/>
      <c r="U34" s="33"/>
      <c r="V34" s="33"/>
      <c r="W34" s="33"/>
      <c r="X34" s="33"/>
      <c r="Z34"/>
      <c r="AA34"/>
      <c r="AB34"/>
    </row>
    <row r="35" spans="1:28" s="9" customFormat="1" ht="16.149999999999999" customHeight="1" x14ac:dyDescent="0.15">
      <c r="A35" s="38"/>
      <c r="B35" s="18"/>
      <c r="C35" s="44"/>
      <c r="D35" s="43"/>
      <c r="E35" s="36"/>
      <c r="F35" s="19"/>
      <c r="G35" s="6"/>
      <c r="H35" s="34"/>
      <c r="I35" s="38"/>
      <c r="J35" s="38"/>
      <c r="K35" s="38"/>
      <c r="L35" s="6"/>
      <c r="M35" s="48"/>
      <c r="N35" s="45"/>
      <c r="O35" s="2"/>
      <c r="P35" s="38"/>
      <c r="Q35" s="36"/>
      <c r="R35" s="34"/>
      <c r="S35" s="34"/>
      <c r="T35" s="34"/>
      <c r="U35" s="33"/>
      <c r="V35" s="33"/>
      <c r="W35" s="33"/>
      <c r="X35" s="33"/>
      <c r="Z35"/>
      <c r="AA35"/>
      <c r="AB35"/>
    </row>
    <row r="36" spans="1:28" s="9" customFormat="1" ht="16.149999999999999" customHeight="1" x14ac:dyDescent="0.15">
      <c r="A36" s="38"/>
      <c r="B36" s="18"/>
      <c r="C36" s="44"/>
      <c r="D36" s="43"/>
      <c r="E36" s="36"/>
      <c r="F36" s="19"/>
      <c r="G36" s="6"/>
      <c r="H36" s="34"/>
      <c r="I36" s="38"/>
      <c r="J36" s="38"/>
      <c r="K36" s="38"/>
      <c r="L36" s="6"/>
      <c r="M36" s="48"/>
      <c r="N36" s="45"/>
      <c r="O36" s="2"/>
      <c r="P36" s="38"/>
      <c r="Q36" s="36"/>
      <c r="R36" s="34"/>
      <c r="S36" s="34"/>
      <c r="T36" s="34"/>
      <c r="U36" s="33"/>
      <c r="V36" s="33"/>
      <c r="W36" s="33"/>
      <c r="X36" s="33"/>
      <c r="Z36"/>
      <c r="AA36"/>
      <c r="AB36"/>
    </row>
    <row r="37" spans="1:28" s="9" customFormat="1" ht="16.149999999999999" customHeight="1" x14ac:dyDescent="0.15">
      <c r="A37" s="38"/>
      <c r="B37" s="18"/>
      <c r="C37" s="44"/>
      <c r="D37" s="43"/>
      <c r="E37" s="36"/>
      <c r="F37" s="19"/>
      <c r="G37" s="6"/>
      <c r="H37" s="34"/>
      <c r="I37" s="38"/>
      <c r="J37" s="38"/>
      <c r="K37" s="38"/>
      <c r="L37" s="6"/>
      <c r="M37" s="48"/>
      <c r="N37" s="45"/>
      <c r="O37" s="2"/>
      <c r="P37" s="38"/>
      <c r="Q37" s="36"/>
      <c r="R37" s="34"/>
      <c r="S37" s="34"/>
      <c r="T37" s="34"/>
      <c r="U37" s="33"/>
      <c r="V37" s="33"/>
      <c r="W37" s="33"/>
      <c r="X37" s="33"/>
      <c r="Z37"/>
      <c r="AA37"/>
      <c r="AB37"/>
    </row>
    <row r="38" spans="1:28" s="9" customFormat="1" ht="16.149999999999999" customHeight="1" x14ac:dyDescent="0.15">
      <c r="A38" s="38"/>
      <c r="B38" s="18"/>
      <c r="C38" s="44"/>
      <c r="D38" s="43"/>
      <c r="E38" s="36"/>
      <c r="F38" s="19"/>
      <c r="G38" s="6"/>
      <c r="H38" s="34"/>
      <c r="I38" s="38"/>
      <c r="J38" s="38"/>
      <c r="K38" s="38"/>
      <c r="L38" s="6"/>
      <c r="M38" s="48"/>
      <c r="N38" s="45"/>
      <c r="O38" s="2"/>
      <c r="P38" s="38"/>
      <c r="Q38" s="36"/>
      <c r="R38" s="34"/>
      <c r="S38" s="34"/>
      <c r="T38" s="34"/>
      <c r="U38" s="33"/>
      <c r="V38" s="33"/>
      <c r="W38" s="33"/>
      <c r="X38" s="33"/>
      <c r="Z38"/>
      <c r="AA38"/>
      <c r="AB38"/>
    </row>
    <row r="39" spans="1:28" s="9" customFormat="1" ht="16.149999999999999" customHeight="1" x14ac:dyDescent="0.15">
      <c r="A39" s="38"/>
      <c r="B39" s="18"/>
      <c r="C39" s="44"/>
      <c r="D39" s="43"/>
      <c r="E39" s="36"/>
      <c r="F39" s="19"/>
      <c r="G39" s="6"/>
      <c r="H39" s="34"/>
      <c r="I39" s="38"/>
      <c r="J39" s="38"/>
      <c r="K39" s="38"/>
      <c r="L39" s="6"/>
      <c r="M39" s="48"/>
      <c r="N39" s="45"/>
      <c r="O39" s="2"/>
      <c r="P39" s="38"/>
      <c r="Q39" s="36"/>
      <c r="R39" s="34"/>
      <c r="S39" s="34"/>
      <c r="T39" s="34"/>
      <c r="U39" s="33"/>
      <c r="V39" s="33"/>
      <c r="W39" s="33"/>
      <c r="X39" s="33"/>
      <c r="Z39"/>
      <c r="AA39"/>
      <c r="AB39"/>
    </row>
    <row r="40" spans="1:28" s="9" customFormat="1" ht="16.149999999999999" customHeight="1" x14ac:dyDescent="0.15">
      <c r="A40" s="38"/>
      <c r="B40" s="18"/>
      <c r="C40" s="44"/>
      <c r="D40" s="43"/>
      <c r="E40" s="36"/>
      <c r="F40" s="19"/>
      <c r="G40" s="6"/>
      <c r="H40" s="34"/>
      <c r="I40" s="38"/>
      <c r="J40" s="38"/>
      <c r="K40" s="38"/>
      <c r="L40" s="6"/>
      <c r="M40" s="48"/>
      <c r="N40" s="45"/>
      <c r="O40" s="2"/>
      <c r="P40" s="38"/>
      <c r="Q40" s="36"/>
      <c r="R40" s="34"/>
      <c r="S40" s="34"/>
      <c r="T40" s="34"/>
      <c r="U40" s="33"/>
      <c r="V40" s="33"/>
      <c r="W40" s="33"/>
      <c r="X40" s="33"/>
      <c r="Z40"/>
      <c r="AA40"/>
      <c r="AB40"/>
    </row>
    <row r="41" spans="1:28" s="9" customFormat="1" ht="16.149999999999999" customHeight="1" x14ac:dyDescent="0.15">
      <c r="A41" s="38"/>
      <c r="B41" s="18"/>
      <c r="C41" s="44"/>
      <c r="D41" s="43"/>
      <c r="E41" s="36"/>
      <c r="F41" s="19"/>
      <c r="G41" s="6"/>
      <c r="H41" s="34"/>
      <c r="I41" s="38"/>
      <c r="J41" s="38"/>
      <c r="K41" s="38"/>
      <c r="L41" s="6"/>
      <c r="M41" s="48"/>
      <c r="N41" s="45"/>
      <c r="O41" s="2"/>
      <c r="P41" s="38"/>
      <c r="Q41" s="36"/>
      <c r="R41" s="34"/>
      <c r="S41" s="34"/>
      <c r="T41" s="34"/>
      <c r="U41" s="33"/>
      <c r="V41" s="33"/>
      <c r="W41" s="33"/>
      <c r="X41" s="33"/>
      <c r="Z41"/>
      <c r="AA41"/>
      <c r="AB41"/>
    </row>
    <row r="42" spans="1:28" s="9" customFormat="1" ht="16.149999999999999" customHeight="1" x14ac:dyDescent="0.15">
      <c r="A42" s="38"/>
      <c r="B42" s="18"/>
      <c r="C42" s="44"/>
      <c r="D42" s="43"/>
      <c r="E42" s="36"/>
      <c r="F42" s="19"/>
      <c r="G42" s="6"/>
      <c r="H42" s="34"/>
      <c r="I42" s="38"/>
      <c r="J42" s="38"/>
      <c r="K42" s="38"/>
      <c r="L42" s="6"/>
      <c r="M42" s="48"/>
      <c r="N42" s="45"/>
      <c r="O42" s="2"/>
      <c r="P42" s="38"/>
      <c r="Q42" s="36"/>
      <c r="R42" s="34"/>
      <c r="S42" s="34"/>
      <c r="T42" s="34"/>
      <c r="U42" s="33"/>
      <c r="V42" s="33"/>
      <c r="W42" s="33"/>
      <c r="X42" s="33"/>
      <c r="Z42"/>
      <c r="AA42"/>
      <c r="AB42"/>
    </row>
    <row r="43" spans="1:28" s="9" customFormat="1" ht="16.149999999999999" customHeight="1" x14ac:dyDescent="0.15">
      <c r="A43" s="38"/>
      <c r="B43" s="18"/>
      <c r="C43" s="44"/>
      <c r="D43" s="43"/>
      <c r="E43" s="36"/>
      <c r="F43" s="19"/>
      <c r="G43" s="6"/>
      <c r="H43" s="34"/>
      <c r="I43" s="38"/>
      <c r="J43" s="38"/>
      <c r="K43" s="38"/>
      <c r="L43" s="6"/>
      <c r="M43" s="48"/>
      <c r="N43" s="45"/>
      <c r="O43" s="2"/>
      <c r="P43" s="38"/>
      <c r="Q43" s="36"/>
      <c r="R43" s="34"/>
      <c r="S43" s="34"/>
      <c r="T43" s="34"/>
      <c r="U43" s="33"/>
      <c r="V43" s="33"/>
      <c r="W43" s="33"/>
      <c r="X43" s="33"/>
      <c r="Z43"/>
      <c r="AA43"/>
      <c r="AB43"/>
    </row>
    <row r="44" spans="1:28" s="9" customFormat="1" ht="16.149999999999999" customHeight="1" x14ac:dyDescent="0.15">
      <c r="A44" s="38"/>
      <c r="B44" s="18"/>
      <c r="C44" s="44"/>
      <c r="D44" s="43"/>
      <c r="E44" s="36"/>
      <c r="F44" s="19"/>
      <c r="G44" s="6"/>
      <c r="H44" s="34"/>
      <c r="I44" s="38"/>
      <c r="J44" s="38"/>
      <c r="K44" s="38"/>
      <c r="L44" s="6"/>
      <c r="M44" s="48"/>
      <c r="N44" s="45"/>
      <c r="O44" s="2"/>
      <c r="P44" s="38"/>
      <c r="Q44" s="36"/>
      <c r="R44" s="34"/>
      <c r="S44" s="34"/>
      <c r="T44" s="34"/>
      <c r="U44" s="33"/>
      <c r="V44" s="33"/>
      <c r="W44" s="33"/>
      <c r="X44" s="33"/>
      <c r="Z44"/>
      <c r="AA44"/>
      <c r="AB44"/>
    </row>
    <row r="45" spans="1:28" s="9" customFormat="1" ht="16.149999999999999" customHeight="1" x14ac:dyDescent="0.15">
      <c r="A45" s="38"/>
      <c r="B45" s="18"/>
      <c r="C45" s="44"/>
      <c r="D45" s="43"/>
      <c r="E45" s="36"/>
      <c r="F45" s="19"/>
      <c r="G45" s="6"/>
      <c r="H45" s="34"/>
      <c r="I45" s="38"/>
      <c r="J45" s="38"/>
      <c r="K45" s="38"/>
      <c r="L45" s="6"/>
      <c r="M45" s="48"/>
      <c r="N45" s="45"/>
      <c r="O45" s="2"/>
      <c r="P45" s="38"/>
      <c r="Q45" s="36"/>
      <c r="R45" s="34"/>
      <c r="S45" s="34"/>
      <c r="T45" s="34"/>
      <c r="U45" s="33"/>
      <c r="V45" s="33"/>
      <c r="W45" s="33"/>
      <c r="X45" s="33"/>
      <c r="Z45"/>
      <c r="AA45"/>
      <c r="AB45"/>
    </row>
    <row r="46" spans="1:28" s="9" customFormat="1" ht="16.149999999999999" customHeight="1" x14ac:dyDescent="0.15">
      <c r="A46" s="38"/>
      <c r="B46" s="18"/>
      <c r="C46" s="44"/>
      <c r="D46" s="43"/>
      <c r="E46" s="36"/>
      <c r="F46" s="19"/>
      <c r="G46" s="6"/>
      <c r="H46" s="34"/>
      <c r="I46" s="38"/>
      <c r="J46" s="38"/>
      <c r="K46" s="38"/>
      <c r="L46" s="6"/>
      <c r="M46" s="48"/>
      <c r="N46" s="45"/>
      <c r="O46" s="2"/>
      <c r="P46" s="38"/>
      <c r="Q46" s="36"/>
      <c r="R46" s="34"/>
      <c r="S46" s="34"/>
      <c r="T46" s="34"/>
      <c r="U46" s="33"/>
      <c r="V46" s="33"/>
      <c r="W46" s="33"/>
      <c r="X46" s="33"/>
      <c r="Z46"/>
      <c r="AA46"/>
      <c r="AB46"/>
    </row>
    <row r="47" spans="1:28" s="9" customFormat="1" ht="16.149999999999999" customHeight="1" x14ac:dyDescent="0.15">
      <c r="A47" s="38"/>
      <c r="B47" s="18"/>
      <c r="C47" s="44"/>
      <c r="D47" s="43"/>
      <c r="E47" s="36"/>
      <c r="F47" s="19"/>
      <c r="G47" s="6"/>
      <c r="H47" s="34"/>
      <c r="I47" s="38"/>
      <c r="J47" s="38"/>
      <c r="K47" s="38"/>
      <c r="L47" s="6"/>
      <c r="M47" s="48"/>
      <c r="N47" s="45" t="s">
        <v>62</v>
      </c>
      <c r="O47" s="2" t="s">
        <v>62</v>
      </c>
      <c r="P47" s="38" t="str">
        <f>IFERROR(#REF!/#REF!,"")</f>
        <v/>
      </c>
      <c r="Q47" s="36" t="str">
        <f>IFERROR(#REF!/#REF!,"")</f>
        <v/>
      </c>
      <c r="R47" s="34"/>
      <c r="S47" s="34"/>
      <c r="T47" s="34"/>
      <c r="U47" s="33"/>
      <c r="V47" s="33"/>
      <c r="W47" s="33"/>
      <c r="X47" s="33"/>
      <c r="Z47"/>
      <c r="AA47"/>
      <c r="AB47"/>
    </row>
    <row r="48" spans="1:28" s="9" customFormat="1" ht="16.149999999999999" customHeight="1" x14ac:dyDescent="0.15">
      <c r="A48" s="38"/>
      <c r="B48" s="18"/>
      <c r="C48" s="44"/>
      <c r="D48" s="43"/>
      <c r="E48" s="36"/>
      <c r="F48" s="19"/>
      <c r="G48" s="6"/>
      <c r="H48" s="34"/>
      <c r="I48" s="38"/>
      <c r="J48" s="38"/>
      <c r="K48" s="38"/>
      <c r="L48" s="6"/>
      <c r="M48" s="48"/>
      <c r="N48" s="45" t="s">
        <v>62</v>
      </c>
      <c r="O48" s="2" t="s">
        <v>62</v>
      </c>
      <c r="P48" s="38" t="str">
        <f>IFERROR(#REF!/#REF!,"")</f>
        <v/>
      </c>
      <c r="Q48" s="36" t="str">
        <f>IFERROR(#REF!/#REF!,"")</f>
        <v/>
      </c>
      <c r="R48" s="34"/>
      <c r="S48" s="34"/>
      <c r="T48" s="34"/>
      <c r="U48" s="33"/>
      <c r="V48" s="33"/>
      <c r="W48" s="33"/>
      <c r="X48" s="33"/>
      <c r="Z48"/>
      <c r="AA48"/>
      <c r="AB48"/>
    </row>
    <row r="49" spans="1:33" s="9" customFormat="1" ht="16.149999999999999" customHeight="1" x14ac:dyDescent="0.15">
      <c r="A49" s="38"/>
      <c r="B49" s="18"/>
      <c r="C49" s="44"/>
      <c r="D49" s="43"/>
      <c r="E49" s="36"/>
      <c r="F49" s="19"/>
      <c r="G49" s="6"/>
      <c r="H49" s="34"/>
      <c r="I49" s="38"/>
      <c r="J49" s="38"/>
      <c r="K49" s="38"/>
      <c r="L49" s="6"/>
      <c r="M49" s="48"/>
      <c r="N49" s="45" t="s">
        <v>62</v>
      </c>
      <c r="O49" s="2" t="s">
        <v>62</v>
      </c>
      <c r="P49" s="38" t="str">
        <f>IFERROR(#REF!/#REF!,"")</f>
        <v/>
      </c>
      <c r="Q49" s="36" t="str">
        <f>IFERROR(#REF!/#REF!,"")</f>
        <v/>
      </c>
      <c r="R49" s="34"/>
      <c r="S49" s="34"/>
      <c r="T49" s="34"/>
      <c r="U49" s="33"/>
      <c r="V49" s="33"/>
      <c r="W49" s="33"/>
      <c r="X49" s="33"/>
      <c r="Z49"/>
      <c r="AA49"/>
      <c r="AB49"/>
    </row>
    <row r="50" spans="1:33" s="9" customFormat="1" ht="16.149999999999999" customHeight="1" x14ac:dyDescent="0.15">
      <c r="A50" s="38"/>
      <c r="B50" s="18"/>
      <c r="C50" s="44"/>
      <c r="D50" s="43"/>
      <c r="E50" s="36"/>
      <c r="F50" s="19"/>
      <c r="G50" s="6"/>
      <c r="H50" s="34"/>
      <c r="I50" s="38"/>
      <c r="J50" s="38"/>
      <c r="K50" s="38"/>
      <c r="L50" s="6"/>
      <c r="M50" s="48"/>
      <c r="N50" s="45" t="s">
        <v>62</v>
      </c>
      <c r="O50" s="2" t="s">
        <v>62</v>
      </c>
      <c r="P50" s="38" t="str">
        <f>IFERROR(#REF!/#REF!,"")</f>
        <v/>
      </c>
      <c r="Q50" s="36" t="str">
        <f>IFERROR(#REF!/#REF!,"")</f>
        <v/>
      </c>
      <c r="R50" s="34"/>
      <c r="S50" s="34"/>
      <c r="T50" s="34"/>
      <c r="U50" s="33"/>
      <c r="V50" s="33"/>
      <c r="W50" s="33"/>
      <c r="X50" s="33"/>
      <c r="Z50"/>
      <c r="AA50"/>
      <c r="AB50"/>
    </row>
    <row r="51" spans="1:33" s="9" customFormat="1" ht="16.149999999999999" customHeight="1" x14ac:dyDescent="0.15">
      <c r="A51" s="38"/>
      <c r="B51" s="23"/>
      <c r="C51" s="44"/>
      <c r="D51" s="43"/>
      <c r="E51" s="36"/>
      <c r="F51" s="24"/>
      <c r="G51" s="6"/>
      <c r="H51" s="34"/>
      <c r="I51" s="38"/>
      <c r="J51" s="38"/>
      <c r="K51" s="38"/>
      <c r="L51" s="6"/>
      <c r="M51" s="49"/>
      <c r="N51" s="45" t="s">
        <v>62</v>
      </c>
      <c r="O51" s="2" t="s">
        <v>62</v>
      </c>
      <c r="P51" s="38" t="str">
        <f>IFERROR(#REF!/#REF!,"")</f>
        <v/>
      </c>
      <c r="Q51" s="36" t="str">
        <f>IFERROR(#REF!/#REF!,"")</f>
        <v/>
      </c>
      <c r="R51" s="34"/>
      <c r="S51" s="34"/>
      <c r="T51" s="34"/>
      <c r="U51" s="35"/>
      <c r="V51" s="35"/>
      <c r="W51" s="35"/>
      <c r="X51" s="35"/>
      <c r="Z51"/>
      <c r="AA51"/>
      <c r="AB51"/>
    </row>
    <row r="52" spans="1:33" s="9" customFormat="1" ht="16.149999999999999" customHeight="1" x14ac:dyDescent="0.15">
      <c r="A52"/>
      <c r="B52"/>
      <c r="C52"/>
      <c r="D52"/>
      <c r="E52"/>
      <c r="F52"/>
      <c r="G52"/>
      <c r="H52"/>
      <c r="I52"/>
      <c r="J52"/>
      <c r="K52"/>
      <c r="L52"/>
      <c r="M52"/>
      <c r="N52"/>
      <c r="O52"/>
      <c r="P52"/>
      <c r="Q52"/>
      <c r="R52"/>
      <c r="S52"/>
      <c r="T52"/>
      <c r="U52"/>
      <c r="W52"/>
      <c r="Z52"/>
      <c r="AA52"/>
      <c r="AB52"/>
      <c r="AG52"/>
    </row>
    <row r="53" spans="1:33" s="9" customFormat="1" ht="16.149999999999999" customHeight="1" x14ac:dyDescent="0.15">
      <c r="A53"/>
      <c r="B53"/>
      <c r="C53"/>
      <c r="D53"/>
      <c r="E53"/>
      <c r="F53"/>
      <c r="G53"/>
      <c r="H53"/>
      <c r="I53"/>
      <c r="J53"/>
      <c r="K53"/>
      <c r="L53"/>
      <c r="M53"/>
      <c r="N53"/>
      <c r="O53"/>
      <c r="P53"/>
      <c r="Q53"/>
      <c r="R53"/>
      <c r="S53"/>
      <c r="T53"/>
      <c r="U53"/>
      <c r="W53"/>
      <c r="Z53"/>
      <c r="AA53"/>
      <c r="AB53"/>
      <c r="AG53"/>
    </row>
    <row r="54" spans="1:33" s="9" customFormat="1" ht="16.149999999999999" customHeight="1" x14ac:dyDescent="0.15">
      <c r="A54"/>
      <c r="B54"/>
      <c r="C54"/>
      <c r="D54"/>
      <c r="E54"/>
      <c r="F54"/>
      <c r="G54"/>
      <c r="H54"/>
      <c r="I54"/>
      <c r="J54"/>
      <c r="K54"/>
      <c r="L54"/>
      <c r="M54"/>
      <c r="N54"/>
      <c r="O54"/>
      <c r="P54"/>
      <c r="Q54"/>
      <c r="R54"/>
      <c r="S54"/>
      <c r="T54"/>
      <c r="U54"/>
      <c r="W54"/>
      <c r="Z54"/>
      <c r="AA54"/>
      <c r="AB54"/>
      <c r="AG54"/>
    </row>
    <row r="55" spans="1:33" s="9" customFormat="1" ht="16.149999999999999" customHeight="1" x14ac:dyDescent="0.15">
      <c r="A55"/>
      <c r="B55"/>
      <c r="C55"/>
      <c r="D55"/>
      <c r="E55"/>
      <c r="F55"/>
      <c r="G55"/>
      <c r="H55"/>
      <c r="I55"/>
      <c r="J55"/>
      <c r="K55"/>
      <c r="L55"/>
      <c r="M55"/>
      <c r="N55"/>
      <c r="O55"/>
      <c r="P55"/>
      <c r="Q55"/>
      <c r="R55"/>
      <c r="S55"/>
      <c r="T55"/>
      <c r="U55"/>
      <c r="W55"/>
      <c r="Z55"/>
      <c r="AA55"/>
      <c r="AB55"/>
      <c r="AG55"/>
    </row>
    <row r="56" spans="1:33" s="9" customFormat="1" ht="16.149999999999999" customHeight="1" x14ac:dyDescent="0.15">
      <c r="A56"/>
      <c r="B56"/>
      <c r="C56"/>
      <c r="D56"/>
      <c r="E56"/>
      <c r="F56"/>
      <c r="G56"/>
      <c r="H56"/>
      <c r="I56"/>
      <c r="J56"/>
      <c r="K56"/>
      <c r="L56"/>
      <c r="M56"/>
      <c r="N56"/>
      <c r="O56"/>
      <c r="P56"/>
      <c r="Q56"/>
      <c r="R56"/>
      <c r="S56"/>
      <c r="T56"/>
      <c r="U56"/>
      <c r="W56"/>
      <c r="Z56"/>
      <c r="AA56"/>
      <c r="AB56"/>
      <c r="AG56"/>
    </row>
    <row r="57" spans="1:33" s="9" customFormat="1" ht="16.149999999999999" customHeight="1" x14ac:dyDescent="0.15">
      <c r="A57"/>
      <c r="B57"/>
      <c r="C57"/>
      <c r="D57"/>
      <c r="E57"/>
      <c r="F57"/>
      <c r="G57"/>
      <c r="H57"/>
      <c r="I57"/>
      <c r="J57"/>
      <c r="K57"/>
      <c r="L57"/>
      <c r="M57"/>
      <c r="N57"/>
      <c r="O57"/>
      <c r="P57"/>
      <c r="Q57"/>
      <c r="R57"/>
      <c r="S57"/>
      <c r="T57"/>
      <c r="U57"/>
      <c r="W57"/>
      <c r="Z57"/>
      <c r="AA57"/>
      <c r="AB57"/>
      <c r="AG57"/>
    </row>
    <row r="58" spans="1:33" s="9" customFormat="1" ht="16.149999999999999" customHeight="1" x14ac:dyDescent="0.15">
      <c r="A58"/>
      <c r="B58"/>
      <c r="C58"/>
      <c r="D58"/>
      <c r="E58"/>
      <c r="F58"/>
      <c r="G58"/>
      <c r="H58"/>
      <c r="I58"/>
      <c r="J58"/>
      <c r="K58"/>
      <c r="L58"/>
      <c r="M58"/>
      <c r="N58"/>
      <c r="O58"/>
      <c r="P58"/>
      <c r="Q58"/>
      <c r="R58"/>
      <c r="S58"/>
      <c r="T58"/>
      <c r="U58"/>
      <c r="W58"/>
      <c r="Z58"/>
      <c r="AA58"/>
      <c r="AB58"/>
      <c r="AG58"/>
    </row>
    <row r="59" spans="1:33" s="9" customFormat="1" ht="16.149999999999999" customHeight="1" x14ac:dyDescent="0.15">
      <c r="A59"/>
      <c r="B59"/>
      <c r="C59"/>
      <c r="D59"/>
      <c r="E59"/>
      <c r="F59"/>
      <c r="G59"/>
      <c r="H59"/>
      <c r="I59"/>
      <c r="J59"/>
      <c r="K59"/>
      <c r="L59"/>
      <c r="M59"/>
      <c r="N59"/>
      <c r="O59"/>
      <c r="P59"/>
      <c r="Q59"/>
      <c r="R59"/>
      <c r="S59"/>
      <c r="T59"/>
      <c r="U59"/>
      <c r="W59"/>
      <c r="Z59"/>
      <c r="AA59"/>
      <c r="AB59"/>
      <c r="AG59"/>
    </row>
    <row r="60" spans="1:33" s="9" customFormat="1" ht="16.149999999999999" customHeight="1" x14ac:dyDescent="0.15">
      <c r="A60"/>
      <c r="B60"/>
      <c r="C60"/>
      <c r="D60"/>
      <c r="E60"/>
      <c r="F60"/>
      <c r="G60"/>
      <c r="H60"/>
      <c r="I60"/>
      <c r="J60"/>
      <c r="K60"/>
      <c r="L60"/>
      <c r="M60"/>
      <c r="N60"/>
      <c r="O60"/>
      <c r="P60"/>
      <c r="Q60"/>
      <c r="R60"/>
      <c r="S60"/>
      <c r="T60"/>
      <c r="U60"/>
      <c r="W60"/>
      <c r="Z60"/>
      <c r="AA60"/>
      <c r="AB60"/>
      <c r="AG60"/>
    </row>
    <row r="61" spans="1:33" s="9" customFormat="1" ht="16.149999999999999" customHeight="1" x14ac:dyDescent="0.15">
      <c r="A61"/>
      <c r="B61"/>
      <c r="C61"/>
      <c r="D61"/>
      <c r="E61"/>
      <c r="F61"/>
      <c r="G61"/>
      <c r="H61"/>
      <c r="I61"/>
      <c r="J61"/>
      <c r="K61"/>
      <c r="L61"/>
      <c r="M61"/>
      <c r="N61"/>
      <c r="O61"/>
      <c r="P61"/>
      <c r="Q61"/>
      <c r="R61"/>
      <c r="S61"/>
      <c r="T61"/>
      <c r="U61"/>
      <c r="W61"/>
      <c r="Z61"/>
      <c r="AA61"/>
      <c r="AB61"/>
      <c r="AG61"/>
    </row>
  </sheetData>
  <dataValidations count="1">
    <dataValidation type="custom" allowBlank="1" showErrorMessage="1" errorTitle="Invalid IEC 61131-3 Variable Nam" error="Please enter only alphanumeric and underscore characters." sqref="L3:L5" xr:uid="{68579FBC-AAB8-4BED-837D-0C12925CD14A}">
      <formula1>ISNUMBER(SUMPRODUCT(SEARCH(MID(L3,ROW(INDIRECT("1:"&amp;LEN(L3))),1),"0123456789abcdefghijklmnopqrstuvwxyzABCDEFGHIJKLMNOPQRSTUVWXYZ-_")))</formula1>
    </dataValidation>
  </dataValidations>
  <pageMargins left="0.25" right="0.25" top="0.75" bottom="0.75" header="0.3" footer="0.3"/>
  <pageSetup paperSize="3" scale="24"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6628-447C-4385-A12B-E639C68590A4}">
  <sheetPr codeName="Sheet5">
    <tabColor rgb="FFFFC000"/>
    <pageSetUpPr fitToPage="1"/>
  </sheetPr>
  <dimension ref="A1:AG751"/>
  <sheetViews>
    <sheetView zoomScaleNormal="100" workbookViewId="0">
      <selection activeCell="H15" sqref="H15"/>
    </sheetView>
  </sheetViews>
  <sheetFormatPr defaultColWidth="14.6640625" defaultRowHeight="16.149999999999999" customHeight="1" x14ac:dyDescent="0.15"/>
  <cols>
    <col min="1" max="1" width="7.33203125" customWidth="1"/>
    <col min="2" max="2" width="14.5" customWidth="1"/>
    <col min="3" max="3" width="16.5" customWidth="1"/>
    <col min="4" max="4" width="55.1640625" bestFit="1" customWidth="1"/>
    <col min="5" max="5" width="21.5" customWidth="1"/>
    <col min="6" max="6" width="10.6640625" bestFit="1" customWidth="1"/>
    <col min="7" max="7" width="9.6640625" bestFit="1" customWidth="1"/>
    <col min="8" max="8" width="17.33203125" customWidth="1"/>
    <col min="9" max="9" width="17.1640625" hidden="1" customWidth="1"/>
    <col min="10" max="10" width="15" customWidth="1"/>
    <col min="11" max="11" width="14.6640625" customWidth="1"/>
    <col min="12" max="12" width="14.1640625" bestFit="1" customWidth="1"/>
    <col min="13" max="13" width="8.5" bestFit="1" customWidth="1"/>
    <col min="14" max="14" width="9.33203125" bestFit="1" customWidth="1"/>
    <col min="15" max="15" width="12.6640625" hidden="1" customWidth="1"/>
    <col min="16" max="16" width="13.5" hidden="1" customWidth="1"/>
    <col min="17" max="17" width="12.1640625" hidden="1" customWidth="1"/>
    <col min="18" max="18" width="13" hidden="1" customWidth="1"/>
    <col min="19" max="19" width="15.33203125" bestFit="1" customWidth="1"/>
    <col min="20" max="20" width="14.6640625" customWidth="1"/>
    <col min="21" max="21" width="17.33203125" hidden="1" customWidth="1"/>
    <col min="22" max="22" width="16" hidden="1" customWidth="1"/>
    <col min="23" max="23" width="60.6640625" style="9" bestFit="1" customWidth="1"/>
    <col min="24" max="24" width="23.6640625" bestFit="1" customWidth="1"/>
    <col min="25" max="25" width="48.6640625" style="9" customWidth="1"/>
    <col min="26" max="26" width="5.5" style="9" customWidth="1"/>
    <col min="29" max="29" width="5.5" customWidth="1"/>
    <col min="30" max="30" width="25" style="9" bestFit="1" customWidth="1"/>
    <col min="31" max="31" width="39.6640625" style="9" customWidth="1"/>
    <col min="32" max="32" width="68" style="9" customWidth="1"/>
    <col min="33" max="33" width="5.5" style="9" bestFit="1" customWidth="1"/>
    <col min="34" max="34" width="56.5" customWidth="1"/>
    <col min="35" max="35" width="14.33203125" customWidth="1"/>
    <col min="36" max="36" width="11.33203125" bestFit="1" customWidth="1"/>
    <col min="37" max="37" width="14.6640625" customWidth="1"/>
    <col min="38" max="38" width="48.5" bestFit="1" customWidth="1"/>
  </cols>
  <sheetData>
    <row r="1" spans="1:33" ht="24" customHeight="1" x14ac:dyDescent="0.15">
      <c r="A1" s="25" t="s">
        <v>0</v>
      </c>
      <c r="B1" s="2"/>
      <c r="C1" s="2"/>
      <c r="D1" s="2"/>
      <c r="E1" s="2"/>
      <c r="F1" s="2"/>
      <c r="G1" s="142" t="s">
        <v>19</v>
      </c>
      <c r="H1" s="142"/>
      <c r="K1" s="25" t="s">
        <v>7161</v>
      </c>
      <c r="L1" s="25"/>
      <c r="W1" s="6"/>
      <c r="Z1"/>
      <c r="AD1"/>
      <c r="AE1"/>
      <c r="AF1"/>
      <c r="AG1"/>
    </row>
    <row r="2" spans="1:33" ht="16.149999999999999" customHeight="1" x14ac:dyDescent="0.15">
      <c r="A2" s="10" t="s">
        <v>21</v>
      </c>
      <c r="B2" s="2"/>
      <c r="C2" s="11">
        <v>45755</v>
      </c>
      <c r="D2" s="41" t="s">
        <v>22</v>
      </c>
      <c r="E2" t="s">
        <v>7162</v>
      </c>
      <c r="K2" t="s">
        <v>24</v>
      </c>
      <c r="W2" s="6"/>
      <c r="Z2"/>
      <c r="AD2"/>
      <c r="AE2"/>
      <c r="AF2"/>
      <c r="AG2"/>
    </row>
    <row r="3" spans="1:33" ht="16.149999999999999" customHeight="1" x14ac:dyDescent="0.15">
      <c r="A3" s="12" t="s">
        <v>25</v>
      </c>
      <c r="C3">
        <v>5</v>
      </c>
      <c r="D3" s="42" t="s">
        <v>26</v>
      </c>
      <c r="E3" t="s">
        <v>27</v>
      </c>
      <c r="M3" s="13"/>
      <c r="N3" s="8"/>
      <c r="W3" s="6"/>
      <c r="Y3" s="37"/>
      <c r="Z3"/>
      <c r="AD3"/>
      <c r="AE3"/>
      <c r="AF3"/>
      <c r="AG3"/>
    </row>
    <row r="4" spans="1:33" ht="16.149999999999999" customHeight="1" x14ac:dyDescent="0.15">
      <c r="A4" s="12" t="s">
        <v>28</v>
      </c>
      <c r="C4" s="9">
        <v>1</v>
      </c>
      <c r="K4" s="55" t="s">
        <v>29</v>
      </c>
      <c r="N4" s="2"/>
      <c r="W4" s="6"/>
      <c r="Y4"/>
      <c r="Z4"/>
      <c r="AD4"/>
      <c r="AE4"/>
      <c r="AF4"/>
      <c r="AG4"/>
    </row>
    <row r="5" spans="1:33" ht="16.149999999999999" customHeight="1" x14ac:dyDescent="0.15">
      <c r="A5" s="12" t="s">
        <v>30</v>
      </c>
      <c r="C5">
        <v>6</v>
      </c>
      <c r="N5" s="2"/>
      <c r="W5" s="6"/>
      <c r="Y5"/>
      <c r="Z5"/>
      <c r="AD5"/>
      <c r="AE5"/>
      <c r="AF5"/>
      <c r="AG5"/>
    </row>
    <row r="6" spans="1:33" ht="40.5" x14ac:dyDescent="0.15">
      <c r="A6" s="14" t="s">
        <v>31</v>
      </c>
      <c r="B6" s="15" t="s">
        <v>32</v>
      </c>
      <c r="C6" s="15" t="s">
        <v>33</v>
      </c>
      <c r="D6" s="15" t="s">
        <v>34</v>
      </c>
      <c r="E6" s="15" t="s">
        <v>35</v>
      </c>
      <c r="F6" s="16" t="s">
        <v>7163</v>
      </c>
      <c r="G6" s="16" t="s">
        <v>37</v>
      </c>
      <c r="H6" s="39" t="s">
        <v>38</v>
      </c>
      <c r="I6" s="40" t="s">
        <v>39</v>
      </c>
      <c r="J6" s="17" t="s">
        <v>40</v>
      </c>
      <c r="K6" s="17" t="s">
        <v>41</v>
      </c>
      <c r="L6" s="17" t="s">
        <v>42</v>
      </c>
      <c r="M6" s="17" t="s">
        <v>43</v>
      </c>
      <c r="N6" s="15" t="s">
        <v>44</v>
      </c>
      <c r="O6" s="15" t="s">
        <v>45</v>
      </c>
      <c r="P6" s="15" t="s">
        <v>46</v>
      </c>
      <c r="Q6" s="15" t="s">
        <v>47</v>
      </c>
      <c r="R6" s="15" t="s">
        <v>48</v>
      </c>
      <c r="S6" s="40" t="s">
        <v>49</v>
      </c>
      <c r="T6" s="17" t="s">
        <v>50</v>
      </c>
      <c r="U6" s="15" t="s">
        <v>51</v>
      </c>
      <c r="V6" s="15" t="s">
        <v>52</v>
      </c>
      <c r="W6" s="17" t="s">
        <v>53</v>
      </c>
      <c r="X6" s="15" t="s">
        <v>54</v>
      </c>
      <c r="Y6" s="15" t="s">
        <v>55</v>
      </c>
      <c r="Z6"/>
      <c r="AD6"/>
      <c r="AE6"/>
      <c r="AF6"/>
      <c r="AG6"/>
    </row>
    <row r="7" spans="1:33" ht="15.75" customHeight="1" x14ac:dyDescent="0.15">
      <c r="A7" s="6">
        <v>1</v>
      </c>
      <c r="B7" s="18" t="s">
        <v>56</v>
      </c>
      <c r="C7" s="34" t="s">
        <v>57</v>
      </c>
      <c r="D7" s="15" t="s">
        <v>58</v>
      </c>
      <c r="E7" s="2" t="s">
        <v>59</v>
      </c>
      <c r="F7" s="19">
        <v>14999</v>
      </c>
      <c r="G7" s="6"/>
      <c r="H7" s="6" t="s">
        <v>60</v>
      </c>
      <c r="I7" s="34"/>
      <c r="J7" s="38"/>
      <c r="K7" s="38"/>
      <c r="L7" s="38"/>
      <c r="M7" s="38" t="s">
        <v>61</v>
      </c>
      <c r="N7" s="19"/>
      <c r="O7" s="76">
        <v>0</v>
      </c>
      <c r="P7" s="6">
        <v>4294967295</v>
      </c>
      <c r="Q7" s="38" t="s">
        <v>62</v>
      </c>
      <c r="R7" s="38" t="s">
        <v>62</v>
      </c>
      <c r="S7" s="34"/>
      <c r="T7" s="34"/>
      <c r="U7" s="34"/>
      <c r="V7" s="8"/>
      <c r="W7" s="36" t="s">
        <v>63</v>
      </c>
      <c r="X7" s="8"/>
      <c r="Y7" s="34" t="s">
        <v>64</v>
      </c>
      <c r="Z7"/>
      <c r="AD7"/>
      <c r="AE7"/>
      <c r="AF7"/>
      <c r="AG7"/>
    </row>
    <row r="8" spans="1:33" ht="15.75" customHeight="1" x14ac:dyDescent="0.15">
      <c r="A8" s="6">
        <v>2</v>
      </c>
      <c r="B8" s="18" t="s">
        <v>56</v>
      </c>
      <c r="C8" s="34" t="s">
        <v>57</v>
      </c>
      <c r="D8" s="15" t="s">
        <v>65</v>
      </c>
      <c r="E8" s="2" t="s">
        <v>59</v>
      </c>
      <c r="F8" s="19">
        <v>15001</v>
      </c>
      <c r="G8" s="6"/>
      <c r="H8" s="6" t="s">
        <v>66</v>
      </c>
      <c r="I8" s="34"/>
      <c r="J8" s="38"/>
      <c r="K8" s="38"/>
      <c r="L8" s="38"/>
      <c r="M8" s="38" t="s">
        <v>61</v>
      </c>
      <c r="N8" s="19"/>
      <c r="O8" s="76">
        <v>0</v>
      </c>
      <c r="P8" s="6">
        <v>4294967295</v>
      </c>
      <c r="Q8" s="38" t="s">
        <v>62</v>
      </c>
      <c r="R8" s="38" t="s">
        <v>62</v>
      </c>
      <c r="S8" s="34"/>
      <c r="T8" s="34"/>
      <c r="U8" s="34"/>
      <c r="V8" s="8"/>
      <c r="W8" s="36" t="s">
        <v>67</v>
      </c>
      <c r="X8" s="8"/>
      <c r="Y8" s="34" t="s">
        <v>64</v>
      </c>
      <c r="Z8"/>
      <c r="AD8"/>
      <c r="AE8"/>
      <c r="AF8"/>
      <c r="AG8"/>
    </row>
    <row r="9" spans="1:33" ht="15.75" customHeight="1" x14ac:dyDescent="0.15">
      <c r="A9" s="6">
        <v>3</v>
      </c>
      <c r="B9" s="18" t="s">
        <v>56</v>
      </c>
      <c r="C9" s="34" t="s">
        <v>57</v>
      </c>
      <c r="D9" s="15" t="s">
        <v>68</v>
      </c>
      <c r="E9" s="2" t="s">
        <v>69</v>
      </c>
      <c r="F9" s="19">
        <v>15003</v>
      </c>
      <c r="G9" s="6"/>
      <c r="H9" s="6" t="s">
        <v>70</v>
      </c>
      <c r="I9" s="34"/>
      <c r="J9" s="38"/>
      <c r="K9" s="38"/>
      <c r="L9" s="38"/>
      <c r="M9" s="38"/>
      <c r="N9" s="19"/>
      <c r="O9" s="76" t="s">
        <v>62</v>
      </c>
      <c r="P9" s="6" t="s">
        <v>62</v>
      </c>
      <c r="Q9" s="38" t="s">
        <v>62</v>
      </c>
      <c r="R9" s="38" t="s">
        <v>62</v>
      </c>
      <c r="S9" s="34"/>
      <c r="T9" s="34"/>
      <c r="U9" s="34"/>
      <c r="V9" s="8"/>
      <c r="W9" s="36" t="s">
        <v>71</v>
      </c>
      <c r="X9" s="8"/>
      <c r="Y9" s="34" t="s">
        <v>64</v>
      </c>
      <c r="Z9"/>
      <c r="AD9"/>
      <c r="AE9"/>
      <c r="AF9"/>
      <c r="AG9"/>
    </row>
    <row r="10" spans="1:33" ht="15.75" customHeight="1" x14ac:dyDescent="0.15">
      <c r="A10" s="6">
        <v>4</v>
      </c>
      <c r="B10" s="18" t="s">
        <v>56</v>
      </c>
      <c r="C10" s="34" t="s">
        <v>57</v>
      </c>
      <c r="D10" s="15" t="s">
        <v>7164</v>
      </c>
      <c r="E10" s="2" t="s">
        <v>69</v>
      </c>
      <c r="F10" s="19">
        <v>15011</v>
      </c>
      <c r="G10" s="6"/>
      <c r="H10" s="6" t="s">
        <v>73</v>
      </c>
      <c r="I10" s="34"/>
      <c r="J10" s="38"/>
      <c r="K10" s="38"/>
      <c r="L10" s="38"/>
      <c r="M10" s="38"/>
      <c r="N10" s="19"/>
      <c r="O10" s="76" t="s">
        <v>62</v>
      </c>
      <c r="P10" s="6" t="s">
        <v>62</v>
      </c>
      <c r="Q10" s="38" t="s">
        <v>62</v>
      </c>
      <c r="R10" s="38" t="s">
        <v>62</v>
      </c>
      <c r="S10" s="34"/>
      <c r="T10" s="34"/>
      <c r="U10" s="34"/>
      <c r="V10" s="8"/>
      <c r="W10" s="36" t="s">
        <v>8192</v>
      </c>
      <c r="X10" s="8"/>
      <c r="Y10" s="34" t="s">
        <v>64</v>
      </c>
      <c r="Z10"/>
      <c r="AD10"/>
      <c r="AE10"/>
      <c r="AF10"/>
      <c r="AG10"/>
    </row>
    <row r="11" spans="1:33" ht="15.75" customHeight="1" x14ac:dyDescent="0.15">
      <c r="A11" s="6">
        <v>5</v>
      </c>
      <c r="B11" s="18" t="s">
        <v>75</v>
      </c>
      <c r="C11" s="34" t="s">
        <v>57</v>
      </c>
      <c r="D11" s="15" t="s">
        <v>7165</v>
      </c>
      <c r="E11" s="2" t="s">
        <v>143</v>
      </c>
      <c r="F11" s="19">
        <v>15029</v>
      </c>
      <c r="G11" s="6"/>
      <c r="H11" s="6" t="s">
        <v>8040</v>
      </c>
      <c r="I11" s="34"/>
      <c r="J11" s="38"/>
      <c r="K11" s="38"/>
      <c r="L11" s="38"/>
      <c r="M11" s="38" t="s">
        <v>123</v>
      </c>
      <c r="N11" s="19">
        <v>10</v>
      </c>
      <c r="O11" s="76">
        <v>-32768</v>
      </c>
      <c r="P11" s="6">
        <v>32767</v>
      </c>
      <c r="Q11" s="38">
        <v>-3276.8</v>
      </c>
      <c r="R11" s="38">
        <v>3276.7</v>
      </c>
      <c r="S11" s="34"/>
      <c r="T11" s="34"/>
      <c r="U11" s="34"/>
      <c r="V11" s="8"/>
      <c r="W11" s="36" t="s">
        <v>8193</v>
      </c>
      <c r="X11" s="8"/>
      <c r="Y11" s="2"/>
      <c r="Z11"/>
      <c r="AD11"/>
      <c r="AE11"/>
      <c r="AF11"/>
      <c r="AG11"/>
    </row>
    <row r="12" spans="1:33" ht="15.75" customHeight="1" x14ac:dyDescent="0.15">
      <c r="A12" s="6">
        <v>6</v>
      </c>
      <c r="B12" s="18" t="s">
        <v>75</v>
      </c>
      <c r="C12" s="34" t="s">
        <v>57</v>
      </c>
      <c r="D12" s="15" t="s">
        <v>7166</v>
      </c>
      <c r="E12" s="2" t="s">
        <v>143</v>
      </c>
      <c r="F12" s="19">
        <v>15030</v>
      </c>
      <c r="G12" s="6"/>
      <c r="H12" s="6" t="s">
        <v>8041</v>
      </c>
      <c r="I12" s="34"/>
      <c r="J12" s="38"/>
      <c r="K12" s="38"/>
      <c r="L12" s="38"/>
      <c r="M12" s="38" t="s">
        <v>123</v>
      </c>
      <c r="N12" s="19">
        <v>10</v>
      </c>
      <c r="O12" s="76">
        <v>-32768</v>
      </c>
      <c r="P12" s="6">
        <v>32767</v>
      </c>
      <c r="Q12" s="38">
        <v>-3276.8</v>
      </c>
      <c r="R12" s="38">
        <v>3276.7</v>
      </c>
      <c r="S12" s="34"/>
      <c r="T12" s="34"/>
      <c r="U12" s="34"/>
      <c r="V12" s="8"/>
      <c r="W12" s="36" t="s">
        <v>8194</v>
      </c>
      <c r="X12" s="8"/>
      <c r="Y12" s="2"/>
      <c r="Z12"/>
      <c r="AD12"/>
      <c r="AE12"/>
      <c r="AF12"/>
      <c r="AG12"/>
    </row>
    <row r="13" spans="1:33" ht="15.75" customHeight="1" x14ac:dyDescent="0.15">
      <c r="A13" s="6">
        <v>7</v>
      </c>
      <c r="B13" s="18" t="s">
        <v>75</v>
      </c>
      <c r="C13" s="34" t="s">
        <v>57</v>
      </c>
      <c r="D13" s="15" t="s">
        <v>7167</v>
      </c>
      <c r="E13" s="2" t="s">
        <v>143</v>
      </c>
      <c r="F13" s="19">
        <v>15031</v>
      </c>
      <c r="G13" s="6"/>
      <c r="H13" s="6" t="s">
        <v>8042</v>
      </c>
      <c r="I13" s="34"/>
      <c r="J13" s="38"/>
      <c r="K13" s="38"/>
      <c r="L13" s="38"/>
      <c r="M13" s="38" t="s">
        <v>123</v>
      </c>
      <c r="N13" s="19">
        <v>10</v>
      </c>
      <c r="O13" s="76">
        <v>-32768</v>
      </c>
      <c r="P13" s="6">
        <v>32767</v>
      </c>
      <c r="Q13" s="38">
        <v>-3276.8</v>
      </c>
      <c r="R13" s="38">
        <v>3276.7</v>
      </c>
      <c r="S13" s="34"/>
      <c r="T13" s="34"/>
      <c r="U13" s="34"/>
      <c r="V13" s="8"/>
      <c r="W13" s="36" t="s">
        <v>8195</v>
      </c>
      <c r="X13" s="8"/>
      <c r="Y13" s="2"/>
      <c r="Z13"/>
      <c r="AD13"/>
      <c r="AE13"/>
      <c r="AF13"/>
      <c r="AG13"/>
    </row>
    <row r="14" spans="1:33" ht="15.75" customHeight="1" x14ac:dyDescent="0.15">
      <c r="A14" s="6">
        <v>8</v>
      </c>
      <c r="B14" s="18" t="s">
        <v>75</v>
      </c>
      <c r="C14" s="34" t="s">
        <v>57</v>
      </c>
      <c r="D14" s="15" t="s">
        <v>7168</v>
      </c>
      <c r="E14" s="2" t="s">
        <v>143</v>
      </c>
      <c r="F14" s="19">
        <v>15032</v>
      </c>
      <c r="G14" s="6"/>
      <c r="H14" s="6" t="s">
        <v>8043</v>
      </c>
      <c r="I14" s="34"/>
      <c r="J14" s="38"/>
      <c r="K14" s="38"/>
      <c r="L14" s="38"/>
      <c r="M14" s="38" t="s">
        <v>123</v>
      </c>
      <c r="N14" s="19">
        <v>10</v>
      </c>
      <c r="O14" s="76">
        <v>-32768</v>
      </c>
      <c r="P14" s="6">
        <v>32767</v>
      </c>
      <c r="Q14" s="38">
        <v>-3276.8</v>
      </c>
      <c r="R14" s="38">
        <v>3276.7</v>
      </c>
      <c r="S14" s="34"/>
      <c r="T14" s="34"/>
      <c r="U14" s="34"/>
      <c r="V14" s="8"/>
      <c r="W14" s="36" t="s">
        <v>8196</v>
      </c>
      <c r="X14" s="8"/>
      <c r="Y14" s="2"/>
      <c r="Z14"/>
      <c r="AD14"/>
      <c r="AE14"/>
      <c r="AF14"/>
      <c r="AG14"/>
    </row>
    <row r="15" spans="1:33" ht="15.75" customHeight="1" x14ac:dyDescent="0.15">
      <c r="A15" s="6">
        <v>9</v>
      </c>
      <c r="B15" s="18" t="s">
        <v>75</v>
      </c>
      <c r="C15" s="34" t="s">
        <v>57</v>
      </c>
      <c r="D15" s="15" t="s">
        <v>7169</v>
      </c>
      <c r="E15" s="2" t="s">
        <v>143</v>
      </c>
      <c r="F15" s="19">
        <v>15033</v>
      </c>
      <c r="G15" s="6"/>
      <c r="H15" s="6" t="s">
        <v>8044</v>
      </c>
      <c r="I15" s="34"/>
      <c r="J15" s="38"/>
      <c r="K15" s="38"/>
      <c r="L15" s="38"/>
      <c r="M15" s="38" t="s">
        <v>123</v>
      </c>
      <c r="N15" s="19">
        <v>10</v>
      </c>
      <c r="O15" s="76">
        <v>-32768</v>
      </c>
      <c r="P15" s="6">
        <v>32767</v>
      </c>
      <c r="Q15" s="38">
        <v>-3276.8</v>
      </c>
      <c r="R15" s="38">
        <v>3276.7</v>
      </c>
      <c r="S15" s="34"/>
      <c r="T15" s="34"/>
      <c r="U15" s="34"/>
      <c r="V15" s="8"/>
      <c r="W15" s="36" t="s">
        <v>8197</v>
      </c>
      <c r="X15" s="8"/>
      <c r="Y15" s="2"/>
      <c r="Z15"/>
      <c r="AD15"/>
      <c r="AE15"/>
      <c r="AF15"/>
      <c r="AG15"/>
    </row>
    <row r="16" spans="1:33" ht="15.75" customHeight="1" x14ac:dyDescent="0.15">
      <c r="A16" s="6">
        <v>10</v>
      </c>
      <c r="B16" s="18" t="s">
        <v>75</v>
      </c>
      <c r="C16" s="34" t="s">
        <v>57</v>
      </c>
      <c r="D16" s="15" t="s">
        <v>7170</v>
      </c>
      <c r="E16" s="2" t="s">
        <v>143</v>
      </c>
      <c r="F16" s="19">
        <v>15034</v>
      </c>
      <c r="G16" s="6"/>
      <c r="H16" s="6" t="s">
        <v>8045</v>
      </c>
      <c r="I16" s="34"/>
      <c r="J16" s="38"/>
      <c r="K16" s="38"/>
      <c r="L16" s="38"/>
      <c r="M16" s="38" t="s">
        <v>123</v>
      </c>
      <c r="N16" s="19">
        <v>10</v>
      </c>
      <c r="O16" s="76">
        <v>-32768</v>
      </c>
      <c r="P16" s="6">
        <v>32767</v>
      </c>
      <c r="Q16" s="38">
        <v>-3276.8</v>
      </c>
      <c r="R16" s="38">
        <v>3276.7</v>
      </c>
      <c r="S16" s="34"/>
      <c r="T16" s="34"/>
      <c r="U16" s="34"/>
      <c r="V16" s="8"/>
      <c r="W16" s="36" t="s">
        <v>8198</v>
      </c>
      <c r="X16" s="8"/>
      <c r="Y16" s="2"/>
      <c r="Z16"/>
      <c r="AD16"/>
      <c r="AE16"/>
      <c r="AF16"/>
      <c r="AG16"/>
    </row>
    <row r="17" spans="1:33" ht="15.75" customHeight="1" x14ac:dyDescent="0.15">
      <c r="A17" s="6">
        <v>11</v>
      </c>
      <c r="B17" s="18" t="s">
        <v>75</v>
      </c>
      <c r="C17" s="34" t="s">
        <v>57</v>
      </c>
      <c r="D17" s="15" t="s">
        <v>7171</v>
      </c>
      <c r="E17" s="2" t="s">
        <v>143</v>
      </c>
      <c r="F17" s="19">
        <v>15035</v>
      </c>
      <c r="G17" s="6"/>
      <c r="H17" s="6" t="s">
        <v>8046</v>
      </c>
      <c r="I17" s="34"/>
      <c r="J17" s="38"/>
      <c r="K17" s="38"/>
      <c r="L17" s="38"/>
      <c r="M17" s="38" t="s">
        <v>123</v>
      </c>
      <c r="N17" s="19">
        <v>10</v>
      </c>
      <c r="O17" s="76">
        <v>-32768</v>
      </c>
      <c r="P17" s="6">
        <v>32767</v>
      </c>
      <c r="Q17" s="38">
        <v>-3276.8</v>
      </c>
      <c r="R17" s="38">
        <v>3276.7</v>
      </c>
      <c r="S17" s="34"/>
      <c r="T17" s="34"/>
      <c r="U17" s="34"/>
      <c r="V17" s="8"/>
      <c r="W17" s="36" t="s">
        <v>8199</v>
      </c>
      <c r="X17" s="8"/>
      <c r="Y17" s="2"/>
      <c r="Z17"/>
      <c r="AD17"/>
      <c r="AE17"/>
      <c r="AF17"/>
      <c r="AG17"/>
    </row>
    <row r="18" spans="1:33" ht="15.75" customHeight="1" x14ac:dyDescent="0.15">
      <c r="A18" s="6">
        <v>12</v>
      </c>
      <c r="B18" s="18" t="s">
        <v>75</v>
      </c>
      <c r="C18" s="34" t="s">
        <v>57</v>
      </c>
      <c r="D18" s="15" t="s">
        <v>7172</v>
      </c>
      <c r="E18" s="2" t="s">
        <v>143</v>
      </c>
      <c r="F18" s="19">
        <v>15036</v>
      </c>
      <c r="G18" s="6"/>
      <c r="H18" s="6" t="s">
        <v>8047</v>
      </c>
      <c r="I18" s="34"/>
      <c r="J18" s="38"/>
      <c r="K18" s="38"/>
      <c r="L18" s="38"/>
      <c r="M18" s="38" t="s">
        <v>123</v>
      </c>
      <c r="N18" s="19">
        <v>10</v>
      </c>
      <c r="O18" s="76">
        <v>-32768</v>
      </c>
      <c r="P18" s="6">
        <v>32767</v>
      </c>
      <c r="Q18" s="38">
        <v>-3276.8</v>
      </c>
      <c r="R18" s="38">
        <v>3276.7</v>
      </c>
      <c r="S18" s="34"/>
      <c r="T18" s="34"/>
      <c r="U18" s="34"/>
      <c r="V18" s="8"/>
      <c r="W18" s="36" t="s">
        <v>8200</v>
      </c>
      <c r="X18" s="8"/>
      <c r="Y18" s="2"/>
      <c r="Z18"/>
      <c r="AD18"/>
      <c r="AE18"/>
      <c r="AF18"/>
      <c r="AG18"/>
    </row>
    <row r="19" spans="1:33" ht="15.4" customHeight="1" x14ac:dyDescent="0.15">
      <c r="A19" s="6">
        <v>13</v>
      </c>
      <c r="B19" s="18" t="s">
        <v>75</v>
      </c>
      <c r="C19" s="34" t="s">
        <v>57</v>
      </c>
      <c r="D19" s="15" t="s">
        <v>7173</v>
      </c>
      <c r="E19" s="2" t="s">
        <v>143</v>
      </c>
      <c r="F19" s="19">
        <v>15037</v>
      </c>
      <c r="G19" s="6"/>
      <c r="H19" s="6" t="s">
        <v>8048</v>
      </c>
      <c r="I19" s="34"/>
      <c r="J19" s="38"/>
      <c r="K19" s="38"/>
      <c r="L19" s="38"/>
      <c r="M19" s="38" t="s">
        <v>123</v>
      </c>
      <c r="N19" s="19">
        <v>10</v>
      </c>
      <c r="O19" s="76">
        <v>-32768</v>
      </c>
      <c r="P19" s="6">
        <v>32767</v>
      </c>
      <c r="Q19" s="38">
        <v>-3276.8</v>
      </c>
      <c r="R19" s="38">
        <v>3276.7</v>
      </c>
      <c r="S19" s="34"/>
      <c r="T19" s="34"/>
      <c r="U19" s="34"/>
      <c r="V19" s="8"/>
      <c r="W19" s="36" t="s">
        <v>8201</v>
      </c>
      <c r="X19" s="8"/>
      <c r="Y19" s="2"/>
      <c r="Z19"/>
      <c r="AD19"/>
      <c r="AE19"/>
      <c r="AF19"/>
      <c r="AG19"/>
    </row>
    <row r="20" spans="1:33" ht="15.75" customHeight="1" x14ac:dyDescent="0.15">
      <c r="A20" s="6">
        <v>14</v>
      </c>
      <c r="B20" s="18" t="s">
        <v>75</v>
      </c>
      <c r="C20" s="34" t="s">
        <v>57</v>
      </c>
      <c r="D20" s="15" t="s">
        <v>7174</v>
      </c>
      <c r="E20" s="2" t="s">
        <v>143</v>
      </c>
      <c r="F20" s="19">
        <v>15038</v>
      </c>
      <c r="G20" s="6"/>
      <c r="H20" s="6" t="s">
        <v>8049</v>
      </c>
      <c r="I20" s="34"/>
      <c r="J20" s="38"/>
      <c r="K20" s="38"/>
      <c r="L20" s="38"/>
      <c r="M20" s="38" t="s">
        <v>123</v>
      </c>
      <c r="N20" s="19">
        <v>10</v>
      </c>
      <c r="O20" s="76">
        <v>-32768</v>
      </c>
      <c r="P20" s="6">
        <v>32767</v>
      </c>
      <c r="Q20" s="38">
        <v>-3276.8</v>
      </c>
      <c r="R20" s="38">
        <v>3276.7</v>
      </c>
      <c r="S20" s="34"/>
      <c r="T20" s="34"/>
      <c r="U20" s="34"/>
      <c r="V20" s="8"/>
      <c r="W20" s="36" t="s">
        <v>8202</v>
      </c>
      <c r="X20" s="8"/>
      <c r="Y20" s="34"/>
      <c r="Z20"/>
      <c r="AD20"/>
      <c r="AE20"/>
      <c r="AF20"/>
      <c r="AG20"/>
    </row>
    <row r="21" spans="1:33" ht="15.75" customHeight="1" x14ac:dyDescent="0.15">
      <c r="A21" s="6">
        <v>15</v>
      </c>
      <c r="B21" s="18" t="s">
        <v>75</v>
      </c>
      <c r="C21" s="34" t="s">
        <v>57</v>
      </c>
      <c r="D21" s="15" t="s">
        <v>7175</v>
      </c>
      <c r="E21" s="2" t="s">
        <v>143</v>
      </c>
      <c r="F21" s="19">
        <v>15039</v>
      </c>
      <c r="G21" s="6"/>
      <c r="H21" s="6" t="s">
        <v>8050</v>
      </c>
      <c r="I21" s="34"/>
      <c r="J21" s="38"/>
      <c r="K21" s="38"/>
      <c r="L21" s="38"/>
      <c r="M21" s="38" t="s">
        <v>123</v>
      </c>
      <c r="N21" s="19">
        <v>10</v>
      </c>
      <c r="O21" s="76">
        <v>-32768</v>
      </c>
      <c r="P21" s="6">
        <v>32767</v>
      </c>
      <c r="Q21" s="38">
        <v>-3276.8</v>
      </c>
      <c r="R21" s="38">
        <v>3276.7</v>
      </c>
      <c r="S21" s="34"/>
      <c r="T21" s="34"/>
      <c r="U21" s="34"/>
      <c r="V21" s="8"/>
      <c r="W21" s="36" t="s">
        <v>8203</v>
      </c>
      <c r="X21" s="8"/>
      <c r="Y21" s="2"/>
      <c r="Z21"/>
      <c r="AD21"/>
      <c r="AE21"/>
      <c r="AF21"/>
      <c r="AG21"/>
    </row>
    <row r="22" spans="1:33" ht="15.75" customHeight="1" x14ac:dyDescent="0.15">
      <c r="A22" s="6">
        <v>16</v>
      </c>
      <c r="B22" s="18" t="s">
        <v>75</v>
      </c>
      <c r="C22" s="34" t="s">
        <v>57</v>
      </c>
      <c r="D22" s="15" t="s">
        <v>7176</v>
      </c>
      <c r="E22" s="2" t="s">
        <v>143</v>
      </c>
      <c r="F22" s="19">
        <v>15040</v>
      </c>
      <c r="G22" s="6"/>
      <c r="H22" s="6" t="s">
        <v>8051</v>
      </c>
      <c r="I22" s="34"/>
      <c r="J22" s="38"/>
      <c r="K22" s="38"/>
      <c r="L22" s="38"/>
      <c r="M22" s="38" t="s">
        <v>123</v>
      </c>
      <c r="N22" s="19">
        <v>10</v>
      </c>
      <c r="O22" s="76">
        <v>-32768</v>
      </c>
      <c r="P22" s="6">
        <v>32767</v>
      </c>
      <c r="Q22" s="38">
        <v>-3276.8</v>
      </c>
      <c r="R22" s="38">
        <v>3276.7</v>
      </c>
      <c r="S22" s="34"/>
      <c r="T22" s="34"/>
      <c r="U22" s="34"/>
      <c r="V22" s="8"/>
      <c r="W22" s="36" t="s">
        <v>8204</v>
      </c>
      <c r="X22" s="8"/>
      <c r="Y22" s="34"/>
      <c r="Z22"/>
      <c r="AD22"/>
      <c r="AE22"/>
      <c r="AF22"/>
      <c r="AG22"/>
    </row>
    <row r="23" spans="1:33" ht="15.75" customHeight="1" x14ac:dyDescent="0.15">
      <c r="A23" s="6">
        <v>17</v>
      </c>
      <c r="B23" s="18" t="s">
        <v>75</v>
      </c>
      <c r="C23" s="34" t="s">
        <v>57</v>
      </c>
      <c r="D23" s="15" t="s">
        <v>7177</v>
      </c>
      <c r="E23" s="2" t="s">
        <v>143</v>
      </c>
      <c r="F23" s="19">
        <v>15041</v>
      </c>
      <c r="G23" s="6"/>
      <c r="H23" s="6" t="s">
        <v>8052</v>
      </c>
      <c r="I23" s="34"/>
      <c r="J23" s="38"/>
      <c r="K23" s="38"/>
      <c r="L23" s="38"/>
      <c r="M23" s="38" t="s">
        <v>123</v>
      </c>
      <c r="N23" s="19">
        <v>10</v>
      </c>
      <c r="O23" s="76">
        <v>-32768</v>
      </c>
      <c r="P23" s="6">
        <v>32767</v>
      </c>
      <c r="Q23" s="38">
        <v>-3276.8</v>
      </c>
      <c r="R23" s="38">
        <v>3276.7</v>
      </c>
      <c r="S23" s="34"/>
      <c r="T23" s="34"/>
      <c r="U23" s="34"/>
      <c r="V23" s="8"/>
      <c r="W23" s="36" t="s">
        <v>8205</v>
      </c>
      <c r="X23" s="8"/>
      <c r="Y23" s="2"/>
      <c r="Z23"/>
      <c r="AD23"/>
      <c r="AE23"/>
      <c r="AF23"/>
      <c r="AG23"/>
    </row>
    <row r="24" spans="1:33" ht="15.75" customHeight="1" x14ac:dyDescent="0.15">
      <c r="A24" s="6">
        <v>18</v>
      </c>
      <c r="B24" s="18" t="s">
        <v>75</v>
      </c>
      <c r="C24" s="34" t="s">
        <v>57</v>
      </c>
      <c r="D24" s="15" t="s">
        <v>7178</v>
      </c>
      <c r="E24" s="2" t="s">
        <v>143</v>
      </c>
      <c r="F24" s="19">
        <v>15042</v>
      </c>
      <c r="G24" s="6"/>
      <c r="H24" s="6" t="s">
        <v>8053</v>
      </c>
      <c r="I24" s="34"/>
      <c r="J24" s="38"/>
      <c r="K24" s="38"/>
      <c r="L24" s="38"/>
      <c r="M24" s="38" t="s">
        <v>123</v>
      </c>
      <c r="N24" s="19">
        <v>10</v>
      </c>
      <c r="O24" s="76">
        <v>-32768</v>
      </c>
      <c r="P24" s="6">
        <v>32767</v>
      </c>
      <c r="Q24" s="38">
        <v>-3276.8</v>
      </c>
      <c r="R24" s="38">
        <v>3276.7</v>
      </c>
      <c r="S24" s="34"/>
      <c r="T24" s="34"/>
      <c r="U24" s="34"/>
      <c r="V24" s="8"/>
      <c r="W24" s="36" t="s">
        <v>8206</v>
      </c>
      <c r="X24" s="8"/>
      <c r="Y24" s="2"/>
      <c r="Z24"/>
      <c r="AD24"/>
      <c r="AE24"/>
      <c r="AF24"/>
      <c r="AG24"/>
    </row>
    <row r="25" spans="1:33" ht="15.75" customHeight="1" x14ac:dyDescent="0.15">
      <c r="A25" s="6">
        <v>19</v>
      </c>
      <c r="B25" s="18" t="s">
        <v>75</v>
      </c>
      <c r="C25" s="34" t="s">
        <v>57</v>
      </c>
      <c r="D25" s="15" t="s">
        <v>7179</v>
      </c>
      <c r="E25" s="2" t="s">
        <v>143</v>
      </c>
      <c r="F25" s="19">
        <v>15043</v>
      </c>
      <c r="G25" s="6"/>
      <c r="H25" s="6" t="s">
        <v>8054</v>
      </c>
      <c r="I25" s="34"/>
      <c r="J25" s="38"/>
      <c r="K25" s="38"/>
      <c r="L25" s="38"/>
      <c r="M25" s="38" t="s">
        <v>123</v>
      </c>
      <c r="N25" s="19">
        <v>10</v>
      </c>
      <c r="O25" s="76">
        <v>-32768</v>
      </c>
      <c r="P25" s="6">
        <v>32767</v>
      </c>
      <c r="Q25" s="38">
        <v>-3276.8</v>
      </c>
      <c r="R25" s="38">
        <v>3276.7</v>
      </c>
      <c r="S25" s="34"/>
      <c r="T25" s="34"/>
      <c r="U25" s="34"/>
      <c r="V25" s="8"/>
      <c r="W25" s="36" t="s">
        <v>8207</v>
      </c>
      <c r="X25" s="8"/>
      <c r="Y25" s="2"/>
      <c r="Z25"/>
      <c r="AD25"/>
      <c r="AE25"/>
      <c r="AF25"/>
      <c r="AG25"/>
    </row>
    <row r="26" spans="1:33" ht="15.75" customHeight="1" x14ac:dyDescent="0.15">
      <c r="A26" s="6">
        <v>20</v>
      </c>
      <c r="B26" s="18" t="s">
        <v>75</v>
      </c>
      <c r="C26" s="34" t="s">
        <v>57</v>
      </c>
      <c r="D26" s="15" t="s">
        <v>7180</v>
      </c>
      <c r="E26" s="2" t="s">
        <v>143</v>
      </c>
      <c r="F26" s="19">
        <v>15044</v>
      </c>
      <c r="G26" s="6"/>
      <c r="H26" s="6" t="s">
        <v>8055</v>
      </c>
      <c r="I26" s="34"/>
      <c r="J26" s="38"/>
      <c r="K26" s="38"/>
      <c r="L26" s="38"/>
      <c r="M26" s="38" t="s">
        <v>123</v>
      </c>
      <c r="N26" s="19">
        <v>10</v>
      </c>
      <c r="O26" s="76">
        <v>-32768</v>
      </c>
      <c r="P26" s="6">
        <v>32767</v>
      </c>
      <c r="Q26" s="38">
        <v>-3276.8</v>
      </c>
      <c r="R26" s="38">
        <v>3276.7</v>
      </c>
      <c r="S26" s="34"/>
      <c r="T26" s="34"/>
      <c r="U26" s="34"/>
      <c r="V26" s="8"/>
      <c r="W26" s="36" t="s">
        <v>8208</v>
      </c>
      <c r="X26" s="8"/>
      <c r="Y26" s="2"/>
      <c r="Z26"/>
      <c r="AD26"/>
      <c r="AE26"/>
      <c r="AF26"/>
      <c r="AG26"/>
    </row>
    <row r="27" spans="1:33" ht="15.75" customHeight="1" x14ac:dyDescent="0.15">
      <c r="A27" s="6">
        <v>21</v>
      </c>
      <c r="B27" s="18" t="s">
        <v>75</v>
      </c>
      <c r="C27" s="34" t="s">
        <v>57</v>
      </c>
      <c r="D27" s="15" t="s">
        <v>7181</v>
      </c>
      <c r="E27" s="2" t="s">
        <v>143</v>
      </c>
      <c r="F27" s="19">
        <v>15047</v>
      </c>
      <c r="G27" s="6"/>
      <c r="H27" s="6" t="s">
        <v>8056</v>
      </c>
      <c r="I27" s="34"/>
      <c r="J27" s="38"/>
      <c r="K27" s="38"/>
      <c r="L27" s="38"/>
      <c r="M27" s="38" t="s">
        <v>123</v>
      </c>
      <c r="N27" s="19">
        <v>10</v>
      </c>
      <c r="O27" s="76">
        <v>-32768</v>
      </c>
      <c r="P27" s="6">
        <v>32767</v>
      </c>
      <c r="Q27" s="38">
        <v>-3276.8</v>
      </c>
      <c r="R27" s="38">
        <v>3276.7</v>
      </c>
      <c r="S27" s="34"/>
      <c r="T27" s="34"/>
      <c r="U27" s="34"/>
      <c r="V27" s="8"/>
      <c r="W27" s="36" t="s">
        <v>8209</v>
      </c>
      <c r="X27" s="8"/>
      <c r="Y27" s="2"/>
      <c r="Z27"/>
      <c r="AD27"/>
      <c r="AE27"/>
      <c r="AF27"/>
      <c r="AG27"/>
    </row>
    <row r="28" spans="1:33" ht="15.75" customHeight="1" x14ac:dyDescent="0.15">
      <c r="A28" s="6">
        <v>22</v>
      </c>
      <c r="B28" s="18" t="s">
        <v>75</v>
      </c>
      <c r="C28" s="34" t="s">
        <v>57</v>
      </c>
      <c r="D28" s="15" t="s">
        <v>7182</v>
      </c>
      <c r="E28" s="2" t="s">
        <v>143</v>
      </c>
      <c r="F28" s="19">
        <v>15048</v>
      </c>
      <c r="G28" s="6"/>
      <c r="H28" s="6" t="s">
        <v>8057</v>
      </c>
      <c r="I28" s="34"/>
      <c r="J28" s="38"/>
      <c r="K28" s="38"/>
      <c r="L28" s="38"/>
      <c r="M28" s="38" t="s">
        <v>123</v>
      </c>
      <c r="N28" s="19">
        <v>10</v>
      </c>
      <c r="O28" s="76">
        <v>-32768</v>
      </c>
      <c r="P28" s="6">
        <v>32767</v>
      </c>
      <c r="Q28" s="38">
        <v>-3276.8</v>
      </c>
      <c r="R28" s="38">
        <v>3276.7</v>
      </c>
      <c r="S28" s="34"/>
      <c r="T28" s="34"/>
      <c r="U28" s="34"/>
      <c r="V28" s="8"/>
      <c r="W28" s="36" t="s">
        <v>8210</v>
      </c>
      <c r="X28" s="8"/>
      <c r="Y28" s="2"/>
      <c r="Z28"/>
      <c r="AD28"/>
      <c r="AE28"/>
      <c r="AF28"/>
      <c r="AG28"/>
    </row>
    <row r="29" spans="1:33" ht="15.75" customHeight="1" x14ac:dyDescent="0.15">
      <c r="A29" s="6">
        <v>23</v>
      </c>
      <c r="B29" s="18" t="s">
        <v>75</v>
      </c>
      <c r="C29" s="34" t="s">
        <v>57</v>
      </c>
      <c r="D29" s="15" t="s">
        <v>7183</v>
      </c>
      <c r="E29" s="2" t="s">
        <v>143</v>
      </c>
      <c r="F29" s="19">
        <v>15049</v>
      </c>
      <c r="G29" s="6"/>
      <c r="H29" s="6" t="s">
        <v>8058</v>
      </c>
      <c r="I29" s="34"/>
      <c r="J29" s="38"/>
      <c r="K29" s="38"/>
      <c r="L29" s="38"/>
      <c r="M29" s="38" t="s">
        <v>123</v>
      </c>
      <c r="N29" s="19">
        <v>10</v>
      </c>
      <c r="O29" s="76">
        <v>-32768</v>
      </c>
      <c r="P29" s="6">
        <v>32767</v>
      </c>
      <c r="Q29" s="38">
        <v>-3276.8</v>
      </c>
      <c r="R29" s="38">
        <v>3276.7</v>
      </c>
      <c r="S29" s="34"/>
      <c r="T29" s="34"/>
      <c r="U29" s="34"/>
      <c r="V29" s="8"/>
      <c r="W29" s="36" t="s">
        <v>8211</v>
      </c>
      <c r="X29" s="8"/>
      <c r="Y29" s="2"/>
      <c r="Z29"/>
      <c r="AD29"/>
      <c r="AE29"/>
      <c r="AF29"/>
      <c r="AG29"/>
    </row>
    <row r="30" spans="1:33" ht="15.75" customHeight="1" x14ac:dyDescent="0.15">
      <c r="A30" s="6">
        <v>24</v>
      </c>
      <c r="B30" s="18" t="s">
        <v>75</v>
      </c>
      <c r="C30" s="34" t="s">
        <v>57</v>
      </c>
      <c r="D30" s="15" t="s">
        <v>7184</v>
      </c>
      <c r="E30" s="2" t="s">
        <v>143</v>
      </c>
      <c r="F30" s="19">
        <v>15050</v>
      </c>
      <c r="G30" s="6"/>
      <c r="H30" s="6" t="s">
        <v>8059</v>
      </c>
      <c r="I30" s="2"/>
      <c r="J30" s="38"/>
      <c r="K30" s="38"/>
      <c r="L30" s="38"/>
      <c r="M30" s="38" t="s">
        <v>123</v>
      </c>
      <c r="N30" s="19">
        <v>10</v>
      </c>
      <c r="O30" s="76">
        <v>-32768</v>
      </c>
      <c r="P30" s="6">
        <v>32767</v>
      </c>
      <c r="Q30" s="38">
        <v>-3276.8</v>
      </c>
      <c r="R30" s="38">
        <v>3276.7</v>
      </c>
      <c r="S30" s="34"/>
      <c r="T30" s="34"/>
      <c r="U30" s="34"/>
      <c r="V30" s="8"/>
      <c r="W30" s="36" t="s">
        <v>8212</v>
      </c>
      <c r="X30" s="8"/>
      <c r="Y30" s="2"/>
      <c r="Z30"/>
      <c r="AD30"/>
      <c r="AE30"/>
      <c r="AF30"/>
      <c r="AG30"/>
    </row>
    <row r="31" spans="1:33" ht="16.149999999999999" customHeight="1" x14ac:dyDescent="0.15">
      <c r="A31" s="6">
        <v>25</v>
      </c>
      <c r="B31" s="18" t="s">
        <v>75</v>
      </c>
      <c r="C31" s="34" t="s">
        <v>57</v>
      </c>
      <c r="D31" s="15" t="s">
        <v>7185</v>
      </c>
      <c r="E31" s="2" t="s">
        <v>143</v>
      </c>
      <c r="F31" s="19">
        <v>15051</v>
      </c>
      <c r="G31" s="6"/>
      <c r="H31" s="6" t="s">
        <v>8060</v>
      </c>
      <c r="I31" s="2"/>
      <c r="J31" s="6"/>
      <c r="K31" s="6"/>
      <c r="L31" s="38"/>
      <c r="M31" s="38" t="s">
        <v>123</v>
      </c>
      <c r="N31" s="19">
        <v>10</v>
      </c>
      <c r="O31" s="24">
        <v>-32768</v>
      </c>
      <c r="P31" s="24">
        <v>32767</v>
      </c>
      <c r="Q31" s="19">
        <v>-3276.8</v>
      </c>
      <c r="R31" s="6">
        <v>3276.7</v>
      </c>
      <c r="S31" s="34"/>
      <c r="T31" s="2"/>
      <c r="U31" s="34"/>
      <c r="V31" s="8"/>
      <c r="W31" s="36" t="s">
        <v>8213</v>
      </c>
      <c r="X31" s="8"/>
      <c r="Y31" s="2"/>
      <c r="Z31"/>
      <c r="AD31"/>
      <c r="AE31"/>
      <c r="AF31"/>
      <c r="AG31"/>
    </row>
    <row r="32" spans="1:33" ht="16.149999999999999" customHeight="1" x14ac:dyDescent="0.15">
      <c r="A32" s="6">
        <v>26</v>
      </c>
      <c r="B32" s="18" t="s">
        <v>75</v>
      </c>
      <c r="C32" s="34" t="s">
        <v>57</v>
      </c>
      <c r="D32" s="15" t="s">
        <v>7186</v>
      </c>
      <c r="E32" s="2" t="s">
        <v>143</v>
      </c>
      <c r="F32" s="19">
        <v>15052</v>
      </c>
      <c r="G32" s="2"/>
      <c r="H32" s="6" t="s">
        <v>8061</v>
      </c>
      <c r="I32" s="2"/>
      <c r="J32" s="6"/>
      <c r="K32" s="6"/>
      <c r="L32" s="38"/>
      <c r="M32" s="38" t="s">
        <v>123</v>
      </c>
      <c r="N32" s="19">
        <v>10</v>
      </c>
      <c r="O32" s="24">
        <v>-32768</v>
      </c>
      <c r="P32" s="24">
        <v>32767</v>
      </c>
      <c r="Q32" s="19">
        <v>-3276.8</v>
      </c>
      <c r="R32" s="6">
        <v>3276.7</v>
      </c>
      <c r="S32" s="34"/>
      <c r="T32" s="2"/>
      <c r="U32" s="34"/>
      <c r="V32" s="8"/>
      <c r="W32" s="36" t="s">
        <v>8214</v>
      </c>
      <c r="X32" s="8"/>
      <c r="Y32" s="2"/>
      <c r="Z32"/>
      <c r="AD32"/>
      <c r="AE32"/>
      <c r="AF32"/>
      <c r="AG32"/>
    </row>
    <row r="33" spans="1:33" ht="16.149999999999999" customHeight="1" x14ac:dyDescent="0.15">
      <c r="A33" s="6">
        <v>27</v>
      </c>
      <c r="B33" s="18" t="s">
        <v>75</v>
      </c>
      <c r="C33" s="34" t="s">
        <v>57</v>
      </c>
      <c r="D33" s="15" t="s">
        <v>7187</v>
      </c>
      <c r="E33" s="2" t="s">
        <v>143</v>
      </c>
      <c r="F33" s="19">
        <v>15053</v>
      </c>
      <c r="G33" s="6"/>
      <c r="H33" s="6" t="s">
        <v>8062</v>
      </c>
      <c r="I33" s="2"/>
      <c r="J33" s="6"/>
      <c r="K33" s="6"/>
      <c r="L33" s="38"/>
      <c r="M33" s="38" t="s">
        <v>123</v>
      </c>
      <c r="N33" s="19">
        <v>10</v>
      </c>
      <c r="O33" s="24">
        <v>-32768</v>
      </c>
      <c r="P33" s="24">
        <v>32767</v>
      </c>
      <c r="Q33" s="19">
        <v>-3276.8</v>
      </c>
      <c r="R33" s="6">
        <v>3276.7</v>
      </c>
      <c r="S33" s="34"/>
      <c r="T33" s="2"/>
      <c r="U33" s="34"/>
      <c r="V33" s="8"/>
      <c r="W33" s="36" t="s">
        <v>8215</v>
      </c>
      <c r="X33" s="8"/>
      <c r="Y33" s="2"/>
      <c r="Z33"/>
      <c r="AD33"/>
      <c r="AE33"/>
      <c r="AF33"/>
      <c r="AG33"/>
    </row>
    <row r="34" spans="1:33" ht="16.149999999999999" customHeight="1" x14ac:dyDescent="0.15">
      <c r="A34" s="6">
        <v>28</v>
      </c>
      <c r="B34" s="18" t="s">
        <v>75</v>
      </c>
      <c r="C34" s="34" t="s">
        <v>57</v>
      </c>
      <c r="D34" s="15" t="s">
        <v>7188</v>
      </c>
      <c r="E34" s="2" t="s">
        <v>143</v>
      </c>
      <c r="F34" s="19">
        <v>15054</v>
      </c>
      <c r="G34" s="6"/>
      <c r="H34" s="6" t="s">
        <v>8063</v>
      </c>
      <c r="I34" s="2"/>
      <c r="J34" s="38"/>
      <c r="K34" s="38"/>
      <c r="L34" s="38"/>
      <c r="M34" s="38" t="s">
        <v>123</v>
      </c>
      <c r="N34" s="19">
        <v>10</v>
      </c>
      <c r="O34" s="38">
        <v>-32768</v>
      </c>
      <c r="P34" s="38">
        <v>32767</v>
      </c>
      <c r="Q34" s="38">
        <v>-3276.8</v>
      </c>
      <c r="R34" s="38">
        <v>3276.7</v>
      </c>
      <c r="S34" s="34"/>
      <c r="T34" s="34"/>
      <c r="U34" s="34"/>
      <c r="V34" s="8"/>
      <c r="W34" s="36" t="s">
        <v>8216</v>
      </c>
      <c r="X34" s="8"/>
      <c r="Y34" s="2"/>
      <c r="Z34"/>
      <c r="AD34"/>
      <c r="AE34"/>
      <c r="AF34"/>
      <c r="AG34"/>
    </row>
    <row r="35" spans="1:33" ht="15.75" customHeight="1" x14ac:dyDescent="0.15">
      <c r="A35" s="6">
        <v>29</v>
      </c>
      <c r="B35" s="18" t="s">
        <v>75</v>
      </c>
      <c r="C35" s="34" t="s">
        <v>57</v>
      </c>
      <c r="D35" s="15" t="s">
        <v>7189</v>
      </c>
      <c r="E35" s="2" t="s">
        <v>143</v>
      </c>
      <c r="F35" s="19">
        <v>15055</v>
      </c>
      <c r="G35" s="6"/>
      <c r="H35" s="6" t="s">
        <v>8064</v>
      </c>
      <c r="I35" s="2"/>
      <c r="J35" s="38"/>
      <c r="K35" s="38"/>
      <c r="L35" s="38"/>
      <c r="M35" s="38" t="s">
        <v>123</v>
      </c>
      <c r="N35" s="19">
        <v>10</v>
      </c>
      <c r="O35" s="38">
        <v>-32768</v>
      </c>
      <c r="P35" s="38">
        <v>32767</v>
      </c>
      <c r="Q35" s="38">
        <v>-3276.8</v>
      </c>
      <c r="R35" s="38">
        <v>3276.7</v>
      </c>
      <c r="S35" s="34"/>
      <c r="T35" s="34"/>
      <c r="U35" s="34"/>
      <c r="V35" s="8"/>
      <c r="W35" s="36" t="s">
        <v>8217</v>
      </c>
      <c r="X35" s="8"/>
      <c r="Y35" s="2"/>
      <c r="Z35"/>
      <c r="AD35"/>
      <c r="AE35"/>
      <c r="AF35"/>
      <c r="AG35"/>
    </row>
    <row r="36" spans="1:33" ht="15.75" customHeight="1" x14ac:dyDescent="0.15">
      <c r="A36" s="6">
        <v>30</v>
      </c>
      <c r="B36" s="18" t="s">
        <v>75</v>
      </c>
      <c r="C36" s="34" t="s">
        <v>57</v>
      </c>
      <c r="D36" s="15" t="s">
        <v>7190</v>
      </c>
      <c r="E36" s="2" t="s">
        <v>143</v>
      </c>
      <c r="F36" s="19">
        <v>15056</v>
      </c>
      <c r="G36" s="6"/>
      <c r="H36" s="6" t="s">
        <v>8065</v>
      </c>
      <c r="I36" s="2"/>
      <c r="J36" s="38"/>
      <c r="K36" s="38"/>
      <c r="L36" s="38"/>
      <c r="M36" s="38" t="s">
        <v>123</v>
      </c>
      <c r="N36" s="19">
        <v>10</v>
      </c>
      <c r="O36" s="38">
        <v>-32768</v>
      </c>
      <c r="P36" s="38">
        <v>32767</v>
      </c>
      <c r="Q36" s="38">
        <v>-3276.8</v>
      </c>
      <c r="R36" s="38">
        <v>3276.7</v>
      </c>
      <c r="S36" s="34"/>
      <c r="T36" s="34"/>
      <c r="U36" s="34"/>
      <c r="V36" s="8"/>
      <c r="W36" s="36" t="s">
        <v>8218</v>
      </c>
      <c r="X36" s="8"/>
      <c r="Y36" s="2"/>
      <c r="Z36"/>
      <c r="AD36"/>
      <c r="AE36"/>
      <c r="AF36"/>
      <c r="AG36"/>
    </row>
    <row r="37" spans="1:33" ht="15.75" customHeight="1" x14ac:dyDescent="0.15">
      <c r="A37" s="6">
        <v>31</v>
      </c>
      <c r="B37" s="18" t="s">
        <v>75</v>
      </c>
      <c r="C37" s="34" t="s">
        <v>57</v>
      </c>
      <c r="D37" s="15" t="s">
        <v>7191</v>
      </c>
      <c r="E37" s="2" t="s">
        <v>143</v>
      </c>
      <c r="F37" s="19">
        <v>15057</v>
      </c>
      <c r="G37" s="6"/>
      <c r="H37" s="6" t="s">
        <v>8066</v>
      </c>
      <c r="I37" s="2"/>
      <c r="J37" s="38"/>
      <c r="K37" s="38"/>
      <c r="L37" s="38"/>
      <c r="M37" s="38" t="s">
        <v>123</v>
      </c>
      <c r="N37" s="19">
        <v>10</v>
      </c>
      <c r="O37" s="38">
        <v>-32768</v>
      </c>
      <c r="P37" s="38">
        <v>32767</v>
      </c>
      <c r="Q37" s="38">
        <v>-3276.8</v>
      </c>
      <c r="R37" s="38">
        <v>3276.7</v>
      </c>
      <c r="S37" s="34"/>
      <c r="T37" s="34"/>
      <c r="U37" s="34"/>
      <c r="V37" s="8"/>
      <c r="W37" s="36" t="s">
        <v>8219</v>
      </c>
      <c r="X37" s="8"/>
      <c r="Y37" s="2"/>
      <c r="Z37"/>
      <c r="AD37"/>
      <c r="AE37"/>
      <c r="AF37"/>
      <c r="AG37"/>
    </row>
    <row r="38" spans="1:33" ht="16.149999999999999" customHeight="1" x14ac:dyDescent="0.15">
      <c r="A38" s="6">
        <v>32</v>
      </c>
      <c r="B38" s="18" t="s">
        <v>75</v>
      </c>
      <c r="C38" s="34" t="s">
        <v>57</v>
      </c>
      <c r="D38" s="15" t="s">
        <v>7192</v>
      </c>
      <c r="E38" s="2" t="s">
        <v>143</v>
      </c>
      <c r="F38" s="19">
        <v>15058</v>
      </c>
      <c r="G38" s="6"/>
      <c r="H38" s="6" t="s">
        <v>8067</v>
      </c>
      <c r="I38" s="2"/>
      <c r="J38" s="38"/>
      <c r="K38" s="38"/>
      <c r="L38" s="38"/>
      <c r="M38" s="38" t="s">
        <v>123</v>
      </c>
      <c r="N38" s="19">
        <v>10</v>
      </c>
      <c r="O38" s="38">
        <v>-32768</v>
      </c>
      <c r="P38" s="38">
        <v>32767</v>
      </c>
      <c r="Q38" s="38">
        <v>-3276.8</v>
      </c>
      <c r="R38" s="38">
        <v>3276.7</v>
      </c>
      <c r="S38" s="2"/>
      <c r="T38" s="34"/>
      <c r="U38" s="101"/>
      <c r="V38" s="34"/>
      <c r="W38" s="36" t="s">
        <v>8220</v>
      </c>
      <c r="X38" s="34"/>
      <c r="Y38" s="2"/>
      <c r="Z38"/>
      <c r="AD38"/>
      <c r="AE38"/>
      <c r="AF38"/>
      <c r="AG38"/>
    </row>
    <row r="39" spans="1:33" ht="16.149999999999999" customHeight="1" x14ac:dyDescent="0.15">
      <c r="A39" s="6">
        <v>33</v>
      </c>
      <c r="B39" s="18" t="s">
        <v>75</v>
      </c>
      <c r="C39" s="34" t="s">
        <v>57</v>
      </c>
      <c r="D39" s="15" t="s">
        <v>7193</v>
      </c>
      <c r="E39" s="2" t="s">
        <v>143</v>
      </c>
      <c r="F39" s="19">
        <v>15059</v>
      </c>
      <c r="G39" s="6"/>
      <c r="H39" s="6" t="s">
        <v>8068</v>
      </c>
      <c r="I39" s="2"/>
      <c r="J39" s="38"/>
      <c r="K39" s="38"/>
      <c r="L39" s="38"/>
      <c r="M39" s="38" t="s">
        <v>123</v>
      </c>
      <c r="N39" s="19">
        <v>10</v>
      </c>
      <c r="O39" s="76">
        <v>-32768</v>
      </c>
      <c r="P39" s="6">
        <v>32767</v>
      </c>
      <c r="Q39" s="38">
        <v>-3276.8</v>
      </c>
      <c r="R39" s="38">
        <v>3276.7</v>
      </c>
      <c r="S39" s="2"/>
      <c r="T39" s="34"/>
      <c r="U39" s="2"/>
      <c r="V39" s="8"/>
      <c r="W39" s="36" t="s">
        <v>8221</v>
      </c>
      <c r="X39" s="8"/>
      <c r="Y39" s="2"/>
      <c r="Z39"/>
      <c r="AD39"/>
      <c r="AE39"/>
      <c r="AF39"/>
      <c r="AG39"/>
    </row>
    <row r="40" spans="1:33" ht="16.149999999999999" customHeight="1" x14ac:dyDescent="0.15">
      <c r="A40" s="6">
        <v>34</v>
      </c>
      <c r="B40" s="18" t="s">
        <v>75</v>
      </c>
      <c r="C40" s="34" t="s">
        <v>57</v>
      </c>
      <c r="D40" s="15" t="s">
        <v>7194</v>
      </c>
      <c r="E40" s="2" t="s">
        <v>143</v>
      </c>
      <c r="F40" s="19">
        <v>15060</v>
      </c>
      <c r="G40" s="6"/>
      <c r="H40" s="6" t="s">
        <v>8069</v>
      </c>
      <c r="I40" s="33"/>
      <c r="J40" s="19"/>
      <c r="K40" s="38"/>
      <c r="L40" s="38"/>
      <c r="M40" s="38" t="s">
        <v>123</v>
      </c>
      <c r="N40" s="19">
        <v>10</v>
      </c>
      <c r="O40" s="38">
        <v>-32768</v>
      </c>
      <c r="P40" s="38">
        <v>32767</v>
      </c>
      <c r="Q40" s="38">
        <v>-3276.8</v>
      </c>
      <c r="R40" s="38">
        <v>3276.7</v>
      </c>
      <c r="S40" s="34"/>
      <c r="T40" s="34"/>
      <c r="U40" s="34"/>
      <c r="V40" s="8"/>
      <c r="W40" s="36" t="s">
        <v>8222</v>
      </c>
      <c r="X40" s="8"/>
      <c r="Y40" s="2"/>
      <c r="Z40"/>
      <c r="AD40"/>
      <c r="AE40"/>
      <c r="AF40"/>
      <c r="AG40"/>
    </row>
    <row r="41" spans="1:33" ht="16.149999999999999" customHeight="1" x14ac:dyDescent="0.15">
      <c r="A41" s="6">
        <v>35</v>
      </c>
      <c r="B41" s="18" t="s">
        <v>75</v>
      </c>
      <c r="C41" s="34" t="s">
        <v>57</v>
      </c>
      <c r="D41" s="15" t="s">
        <v>7195</v>
      </c>
      <c r="E41" s="2" t="s">
        <v>143</v>
      </c>
      <c r="F41" s="19">
        <v>15061</v>
      </c>
      <c r="G41" s="6"/>
      <c r="H41" s="6" t="s">
        <v>8070</v>
      </c>
      <c r="I41" s="33"/>
      <c r="J41" s="19"/>
      <c r="K41" s="38"/>
      <c r="L41" s="38"/>
      <c r="M41" s="38" t="s">
        <v>123</v>
      </c>
      <c r="N41" s="19">
        <v>10</v>
      </c>
      <c r="O41" s="38">
        <v>-32768</v>
      </c>
      <c r="P41" s="38">
        <v>32767</v>
      </c>
      <c r="Q41" s="38">
        <v>-3276.8</v>
      </c>
      <c r="R41" s="38">
        <v>3276.7</v>
      </c>
      <c r="S41" s="34"/>
      <c r="T41" s="34"/>
      <c r="U41" s="34"/>
      <c r="V41" s="8"/>
      <c r="W41" s="36" t="s">
        <v>8223</v>
      </c>
      <c r="X41" s="8"/>
      <c r="Y41" s="2"/>
      <c r="Z41"/>
      <c r="AD41"/>
      <c r="AE41"/>
      <c r="AF41"/>
      <c r="AG41"/>
    </row>
    <row r="42" spans="1:33" ht="16.149999999999999" customHeight="1" x14ac:dyDescent="0.15">
      <c r="A42" s="6">
        <v>36</v>
      </c>
      <c r="B42" s="18" t="s">
        <v>75</v>
      </c>
      <c r="C42" s="34" t="s">
        <v>57</v>
      </c>
      <c r="D42" s="15" t="s">
        <v>7196</v>
      </c>
      <c r="E42" s="2" t="s">
        <v>143</v>
      </c>
      <c r="F42" s="19">
        <v>15062</v>
      </c>
      <c r="G42" s="6"/>
      <c r="H42" s="6" t="s">
        <v>8071</v>
      </c>
      <c r="I42" s="8"/>
      <c r="J42" s="19"/>
      <c r="K42" s="38"/>
      <c r="L42" s="38"/>
      <c r="M42" s="38" t="s">
        <v>123</v>
      </c>
      <c r="N42" s="19">
        <v>10</v>
      </c>
      <c r="O42" s="76">
        <v>-32768</v>
      </c>
      <c r="P42" s="6">
        <v>32767</v>
      </c>
      <c r="Q42" s="38">
        <v>-3276.8</v>
      </c>
      <c r="R42" s="38">
        <v>3276.7</v>
      </c>
      <c r="S42" s="34"/>
      <c r="T42" s="34"/>
      <c r="U42" s="34"/>
      <c r="V42" s="8"/>
      <c r="W42" s="36" t="s">
        <v>8224</v>
      </c>
      <c r="X42" s="8"/>
      <c r="Y42" s="2"/>
      <c r="Z42"/>
      <c r="AD42"/>
      <c r="AE42"/>
      <c r="AF42"/>
      <c r="AG42"/>
    </row>
    <row r="43" spans="1:33" ht="16.149999999999999" customHeight="1" x14ac:dyDescent="0.15">
      <c r="A43" s="6">
        <v>37</v>
      </c>
      <c r="B43" s="18" t="s">
        <v>56</v>
      </c>
      <c r="C43" s="34" t="s">
        <v>57</v>
      </c>
      <c r="D43" s="15" t="s">
        <v>76</v>
      </c>
      <c r="E43" s="2" t="s">
        <v>77</v>
      </c>
      <c r="F43" s="19">
        <v>15069</v>
      </c>
      <c r="G43" s="6"/>
      <c r="H43" s="6" t="s">
        <v>78</v>
      </c>
      <c r="I43" s="2"/>
      <c r="J43" s="38"/>
      <c r="K43" s="6"/>
      <c r="L43" s="38"/>
      <c r="M43" s="38" t="s">
        <v>61</v>
      </c>
      <c r="N43" s="19"/>
      <c r="O43" s="76">
        <v>0</v>
      </c>
      <c r="P43" s="6">
        <v>65535</v>
      </c>
      <c r="Q43" s="102" t="s">
        <v>62</v>
      </c>
      <c r="R43" s="38" t="s">
        <v>62</v>
      </c>
      <c r="S43" s="34"/>
      <c r="T43" s="34"/>
      <c r="U43" s="34"/>
      <c r="V43" s="8"/>
      <c r="W43" s="36" t="s">
        <v>79</v>
      </c>
      <c r="X43" s="8"/>
      <c r="Y43" s="34" t="s">
        <v>64</v>
      </c>
      <c r="Z43"/>
      <c r="AD43"/>
      <c r="AE43"/>
      <c r="AF43"/>
      <c r="AG43"/>
    </row>
    <row r="44" spans="1:33" ht="16.149999999999999" customHeight="1" x14ac:dyDescent="0.15">
      <c r="A44" s="6">
        <v>38</v>
      </c>
      <c r="B44" s="18" t="s">
        <v>56</v>
      </c>
      <c r="C44" s="34" t="s">
        <v>57</v>
      </c>
      <c r="D44" s="15" t="s">
        <v>80</v>
      </c>
      <c r="E44" s="2" t="s">
        <v>77</v>
      </c>
      <c r="F44" s="19">
        <v>15070</v>
      </c>
      <c r="G44" s="6"/>
      <c r="H44" s="6" t="s">
        <v>81</v>
      </c>
      <c r="I44" s="2"/>
      <c r="J44" s="38"/>
      <c r="K44" s="6"/>
      <c r="L44" s="38"/>
      <c r="M44" s="38" t="s">
        <v>82</v>
      </c>
      <c r="N44" s="19">
        <v>10</v>
      </c>
      <c r="O44" s="76">
        <v>0</v>
      </c>
      <c r="P44" s="6">
        <v>65535</v>
      </c>
      <c r="Q44" s="6">
        <v>0</v>
      </c>
      <c r="R44" s="6">
        <v>6553.5</v>
      </c>
      <c r="S44" s="2"/>
      <c r="T44" s="34"/>
      <c r="U44" s="2"/>
      <c r="V44" s="8"/>
      <c r="W44" s="36" t="s">
        <v>83</v>
      </c>
      <c r="X44" s="8"/>
      <c r="Y44" s="34" t="s">
        <v>64</v>
      </c>
      <c r="Z44"/>
      <c r="AD44"/>
      <c r="AE44"/>
      <c r="AF44"/>
      <c r="AG44"/>
    </row>
    <row r="45" spans="1:33" ht="16.149999999999999" customHeight="1" x14ac:dyDescent="0.15">
      <c r="A45" s="6">
        <v>39</v>
      </c>
      <c r="B45" s="18" t="s">
        <v>75</v>
      </c>
      <c r="C45" s="34" t="s">
        <v>57</v>
      </c>
      <c r="D45" s="15" t="s">
        <v>84</v>
      </c>
      <c r="E45" s="2" t="s">
        <v>59</v>
      </c>
      <c r="F45" s="19">
        <v>15072</v>
      </c>
      <c r="G45" s="6"/>
      <c r="H45" s="6" t="s">
        <v>85</v>
      </c>
      <c r="I45" s="2"/>
      <c r="J45" s="38"/>
      <c r="K45" s="6"/>
      <c r="L45" s="38"/>
      <c r="M45" s="38" t="s">
        <v>86</v>
      </c>
      <c r="N45" s="19">
        <v>10</v>
      </c>
      <c r="O45" s="76">
        <v>0</v>
      </c>
      <c r="P45" s="6">
        <v>4294967295</v>
      </c>
      <c r="Q45" s="6">
        <v>0</v>
      </c>
      <c r="R45" s="6">
        <v>429496729.5</v>
      </c>
      <c r="S45" s="2"/>
      <c r="T45" s="34"/>
      <c r="U45" s="2"/>
      <c r="V45" s="8"/>
      <c r="W45" s="36" t="s">
        <v>87</v>
      </c>
      <c r="X45" s="8"/>
      <c r="Y45" s="2"/>
      <c r="Z45"/>
      <c r="AD45"/>
      <c r="AE45"/>
      <c r="AF45"/>
      <c r="AG45"/>
    </row>
    <row r="46" spans="1:33" ht="16.149999999999999" customHeight="1" x14ac:dyDescent="0.15">
      <c r="A46" s="6">
        <v>40</v>
      </c>
      <c r="B46" s="18" t="s">
        <v>75</v>
      </c>
      <c r="C46" s="34" t="s">
        <v>57</v>
      </c>
      <c r="D46" s="15" t="s">
        <v>88</v>
      </c>
      <c r="E46" s="2" t="s">
        <v>59</v>
      </c>
      <c r="F46" s="19">
        <v>15074</v>
      </c>
      <c r="G46" s="6"/>
      <c r="H46" s="6" t="s">
        <v>89</v>
      </c>
      <c r="I46" s="8"/>
      <c r="J46" s="19"/>
      <c r="K46" s="6"/>
      <c r="L46" s="38"/>
      <c r="M46" s="38" t="s">
        <v>86</v>
      </c>
      <c r="N46" s="19">
        <v>1</v>
      </c>
      <c r="O46" s="76">
        <v>0</v>
      </c>
      <c r="P46" s="6">
        <v>4294967295</v>
      </c>
      <c r="Q46" s="6">
        <v>0</v>
      </c>
      <c r="R46" s="6">
        <v>4294967295</v>
      </c>
      <c r="S46" s="2"/>
      <c r="T46" s="34"/>
      <c r="U46" s="2"/>
      <c r="V46" s="8"/>
      <c r="W46" s="36" t="s">
        <v>90</v>
      </c>
      <c r="X46" s="8"/>
      <c r="Y46" s="34" t="s">
        <v>64</v>
      </c>
      <c r="Z46"/>
      <c r="AD46"/>
      <c r="AE46"/>
      <c r="AF46"/>
      <c r="AG46"/>
    </row>
    <row r="47" spans="1:33" ht="16.149999999999999" customHeight="1" x14ac:dyDescent="0.15">
      <c r="A47" s="6">
        <v>41</v>
      </c>
      <c r="B47" s="18" t="s">
        <v>75</v>
      </c>
      <c r="C47" s="34" t="s">
        <v>57</v>
      </c>
      <c r="D47" s="15" t="s">
        <v>91</v>
      </c>
      <c r="E47" s="2" t="s">
        <v>59</v>
      </c>
      <c r="F47" s="19">
        <v>15076</v>
      </c>
      <c r="G47" s="103"/>
      <c r="H47" s="6" t="s">
        <v>92</v>
      </c>
      <c r="I47" s="104"/>
      <c r="J47" s="105"/>
      <c r="K47" s="103"/>
      <c r="L47" s="38"/>
      <c r="M47" s="105" t="s">
        <v>86</v>
      </c>
      <c r="N47" s="19">
        <v>1</v>
      </c>
      <c r="O47" s="106">
        <v>0</v>
      </c>
      <c r="P47" s="103">
        <v>4294967295</v>
      </c>
      <c r="Q47" s="103">
        <v>0</v>
      </c>
      <c r="R47" s="107">
        <v>4294967295</v>
      </c>
      <c r="S47" s="104"/>
      <c r="T47" s="108"/>
      <c r="U47" s="104"/>
      <c r="V47" s="109"/>
      <c r="W47" s="110" t="s">
        <v>93</v>
      </c>
      <c r="X47" s="109"/>
      <c r="Y47" s="104"/>
      <c r="Z47"/>
      <c r="AD47"/>
      <c r="AE47"/>
      <c r="AF47"/>
      <c r="AG47"/>
    </row>
    <row r="48" spans="1:33" ht="16.149999999999999" customHeight="1" x14ac:dyDescent="0.15">
      <c r="A48" s="6">
        <v>42</v>
      </c>
      <c r="B48" s="18" t="s">
        <v>75</v>
      </c>
      <c r="C48" s="34" t="s">
        <v>57</v>
      </c>
      <c r="D48" s="15" t="s">
        <v>94</v>
      </c>
      <c r="E48" s="2" t="s">
        <v>59</v>
      </c>
      <c r="F48" s="19">
        <v>15078</v>
      </c>
      <c r="G48" s="6"/>
      <c r="H48" s="6" t="s">
        <v>95</v>
      </c>
      <c r="I48" s="2"/>
      <c r="J48" s="38"/>
      <c r="K48" s="6"/>
      <c r="L48" s="38"/>
      <c r="M48" s="38" t="s">
        <v>96</v>
      </c>
      <c r="N48" s="19">
        <v>1</v>
      </c>
      <c r="O48" s="76">
        <v>0</v>
      </c>
      <c r="P48" s="6">
        <v>4294967295</v>
      </c>
      <c r="Q48" s="6">
        <v>0</v>
      </c>
      <c r="R48" s="6">
        <v>4294967295</v>
      </c>
      <c r="S48" s="2"/>
      <c r="T48" s="34"/>
      <c r="U48" s="2"/>
      <c r="V48" s="8"/>
      <c r="W48" s="36" t="s">
        <v>97</v>
      </c>
      <c r="X48" s="8"/>
      <c r="Y48" s="34" t="s">
        <v>64</v>
      </c>
      <c r="Z48"/>
      <c r="AD48"/>
      <c r="AE48"/>
      <c r="AF48"/>
      <c r="AG48"/>
    </row>
    <row r="49" spans="1:33" ht="16.149999999999999" customHeight="1" x14ac:dyDescent="0.15">
      <c r="A49" s="6">
        <v>43</v>
      </c>
      <c r="B49" s="18" t="s">
        <v>75</v>
      </c>
      <c r="C49" s="34" t="s">
        <v>57</v>
      </c>
      <c r="D49" s="15" t="s">
        <v>98</v>
      </c>
      <c r="E49" s="2" t="s">
        <v>77</v>
      </c>
      <c r="F49" s="19">
        <v>15080</v>
      </c>
      <c r="G49" s="103"/>
      <c r="H49" s="6" t="s">
        <v>99</v>
      </c>
      <c r="I49" s="104"/>
      <c r="J49" s="105"/>
      <c r="K49" s="103"/>
      <c r="L49" s="38"/>
      <c r="M49" s="103" t="s">
        <v>100</v>
      </c>
      <c r="N49" s="19">
        <v>1</v>
      </c>
      <c r="O49" s="103">
        <v>0</v>
      </c>
      <c r="P49" s="103">
        <v>65535</v>
      </c>
      <c r="Q49" s="103">
        <v>0</v>
      </c>
      <c r="R49" s="107">
        <v>65535</v>
      </c>
      <c r="S49" s="104"/>
      <c r="T49" s="104"/>
      <c r="U49" s="104"/>
      <c r="V49" s="109"/>
      <c r="W49" s="111" t="s">
        <v>101</v>
      </c>
      <c r="X49" s="109"/>
      <c r="Y49" s="34" t="s">
        <v>64</v>
      </c>
      <c r="Z49"/>
      <c r="AD49"/>
      <c r="AE49"/>
      <c r="AF49"/>
      <c r="AG49"/>
    </row>
    <row r="50" spans="1:33" ht="16.149999999999999" customHeight="1" x14ac:dyDescent="0.15">
      <c r="A50" s="6">
        <v>44</v>
      </c>
      <c r="B50" s="18" t="s">
        <v>75</v>
      </c>
      <c r="C50" s="34" t="s">
        <v>57</v>
      </c>
      <c r="D50" s="15" t="s">
        <v>102</v>
      </c>
      <c r="E50" s="2" t="s">
        <v>59</v>
      </c>
      <c r="F50" s="19">
        <v>15081</v>
      </c>
      <c r="G50" s="6"/>
      <c r="H50" s="6" t="s">
        <v>103</v>
      </c>
      <c r="I50" s="2"/>
      <c r="J50" s="38"/>
      <c r="K50" s="6"/>
      <c r="L50" s="38"/>
      <c r="M50" s="6" t="s">
        <v>104</v>
      </c>
      <c r="N50" s="19">
        <v>1</v>
      </c>
      <c r="O50" s="6">
        <v>0</v>
      </c>
      <c r="P50" s="6">
        <v>4294967295</v>
      </c>
      <c r="Q50" s="6">
        <v>0</v>
      </c>
      <c r="R50" s="6">
        <v>4294967295</v>
      </c>
      <c r="S50" s="2"/>
      <c r="T50" s="2"/>
      <c r="U50" s="2"/>
      <c r="V50" s="8"/>
      <c r="W50" s="77" t="s">
        <v>105</v>
      </c>
      <c r="X50" s="8"/>
      <c r="Y50" s="2"/>
      <c r="Z50"/>
      <c r="AD50"/>
      <c r="AE50"/>
      <c r="AF50"/>
      <c r="AG50"/>
    </row>
    <row r="51" spans="1:33" ht="16.149999999999999" customHeight="1" x14ac:dyDescent="0.15">
      <c r="A51" s="6">
        <v>45</v>
      </c>
      <c r="B51" s="18" t="s">
        <v>75</v>
      </c>
      <c r="C51" s="34" t="s">
        <v>57</v>
      </c>
      <c r="D51" s="15" t="s">
        <v>106</v>
      </c>
      <c r="E51" s="2" t="s">
        <v>59</v>
      </c>
      <c r="F51" s="19">
        <v>15091</v>
      </c>
      <c r="G51" s="6"/>
      <c r="H51" s="6" t="s">
        <v>108</v>
      </c>
      <c r="I51" s="2"/>
      <c r="J51" s="38"/>
      <c r="K51" s="6"/>
      <c r="L51" s="38"/>
      <c r="M51" s="6" t="s">
        <v>109</v>
      </c>
      <c r="N51" s="19">
        <v>1</v>
      </c>
      <c r="O51" s="6">
        <v>0</v>
      </c>
      <c r="P51" s="6">
        <v>4294967295</v>
      </c>
      <c r="Q51" s="6">
        <v>0</v>
      </c>
      <c r="R51" s="6">
        <v>4294967295</v>
      </c>
      <c r="S51" s="2"/>
      <c r="T51" s="2"/>
      <c r="U51" s="2"/>
      <c r="V51" s="8"/>
      <c r="W51" s="77" t="s">
        <v>110</v>
      </c>
      <c r="X51" s="8"/>
      <c r="Y51" s="2"/>
      <c r="Z51"/>
      <c r="AD51"/>
      <c r="AE51"/>
      <c r="AF51"/>
      <c r="AG51"/>
    </row>
    <row r="52" spans="1:33" ht="16.149999999999999" customHeight="1" x14ac:dyDescent="0.15">
      <c r="A52" s="6">
        <v>46</v>
      </c>
      <c r="B52" s="18" t="s">
        <v>75</v>
      </c>
      <c r="C52" s="34" t="s">
        <v>57</v>
      </c>
      <c r="D52" s="15" t="s">
        <v>111</v>
      </c>
      <c r="E52" s="2" t="s">
        <v>77</v>
      </c>
      <c r="F52" s="19">
        <v>15093</v>
      </c>
      <c r="G52" s="6"/>
      <c r="H52" s="6" t="s">
        <v>112</v>
      </c>
      <c r="I52" s="2"/>
      <c r="J52" s="38"/>
      <c r="K52" s="6"/>
      <c r="L52" s="38"/>
      <c r="M52" s="6" t="s">
        <v>113</v>
      </c>
      <c r="N52" s="19">
        <v>10</v>
      </c>
      <c r="O52" s="6">
        <v>0</v>
      </c>
      <c r="P52" s="6">
        <v>65535</v>
      </c>
      <c r="Q52" s="6">
        <v>0</v>
      </c>
      <c r="R52" s="6">
        <v>6553.5</v>
      </c>
      <c r="S52" s="2"/>
      <c r="T52" s="2"/>
      <c r="U52" s="2"/>
      <c r="V52" s="8"/>
      <c r="W52" s="77" t="s">
        <v>114</v>
      </c>
      <c r="X52" s="8"/>
      <c r="Y52" s="2"/>
      <c r="Z52"/>
      <c r="AD52"/>
      <c r="AE52"/>
      <c r="AF52"/>
      <c r="AG52"/>
    </row>
    <row r="53" spans="1:33" ht="16.149999999999999" customHeight="1" x14ac:dyDescent="0.15">
      <c r="A53" s="6">
        <v>47</v>
      </c>
      <c r="B53" s="18" t="s">
        <v>75</v>
      </c>
      <c r="C53" s="34" t="s">
        <v>57</v>
      </c>
      <c r="D53" s="15" t="s">
        <v>115</v>
      </c>
      <c r="E53" s="2" t="s">
        <v>77</v>
      </c>
      <c r="F53" s="19">
        <v>15094</v>
      </c>
      <c r="G53" s="6"/>
      <c r="H53" s="6" t="s">
        <v>116</v>
      </c>
      <c r="I53" s="2"/>
      <c r="J53" s="38"/>
      <c r="K53" s="6"/>
      <c r="L53" s="38"/>
      <c r="M53" s="6" t="s">
        <v>113</v>
      </c>
      <c r="N53" s="19">
        <v>10</v>
      </c>
      <c r="O53" s="6">
        <v>0</v>
      </c>
      <c r="P53" s="6">
        <v>65535</v>
      </c>
      <c r="Q53" s="6">
        <v>0</v>
      </c>
      <c r="R53" s="6">
        <v>6553.5</v>
      </c>
      <c r="S53" s="2"/>
      <c r="T53" s="2"/>
      <c r="U53" s="2"/>
      <c r="V53" s="8"/>
      <c r="W53" s="77" t="s">
        <v>117</v>
      </c>
      <c r="X53" s="8"/>
      <c r="Y53" s="2"/>
      <c r="Z53"/>
      <c r="AD53"/>
      <c r="AE53"/>
      <c r="AF53"/>
      <c r="AG53"/>
    </row>
    <row r="54" spans="1:33" ht="16.149999999999999" customHeight="1" x14ac:dyDescent="0.15">
      <c r="A54" s="6">
        <v>48</v>
      </c>
      <c r="B54" s="18" t="s">
        <v>75</v>
      </c>
      <c r="C54" s="34" t="s">
        <v>57</v>
      </c>
      <c r="D54" s="15" t="s">
        <v>118</v>
      </c>
      <c r="E54" s="2" t="s">
        <v>77</v>
      </c>
      <c r="F54" s="19">
        <v>15095</v>
      </c>
      <c r="G54" s="6"/>
      <c r="H54" s="6" t="s">
        <v>119</v>
      </c>
      <c r="I54" s="2"/>
      <c r="J54" s="38"/>
      <c r="K54" s="6"/>
      <c r="L54" s="38"/>
      <c r="M54" s="6" t="s">
        <v>113</v>
      </c>
      <c r="N54" s="19">
        <v>10</v>
      </c>
      <c r="O54" s="6">
        <v>0</v>
      </c>
      <c r="P54" s="6">
        <v>65535</v>
      </c>
      <c r="Q54" s="6">
        <v>0</v>
      </c>
      <c r="R54" s="6">
        <v>6553.5</v>
      </c>
      <c r="S54" s="2"/>
      <c r="T54" s="2"/>
      <c r="U54" s="2"/>
      <c r="V54" s="8"/>
      <c r="W54" s="77" t="s">
        <v>120</v>
      </c>
      <c r="X54" s="8"/>
      <c r="Y54" s="2"/>
      <c r="Z54"/>
      <c r="AD54"/>
      <c r="AE54"/>
      <c r="AF54"/>
      <c r="AG54"/>
    </row>
    <row r="55" spans="1:33" ht="16.149999999999999" customHeight="1" x14ac:dyDescent="0.15">
      <c r="A55" s="6">
        <v>49</v>
      </c>
      <c r="B55" s="18" t="s">
        <v>75</v>
      </c>
      <c r="C55" s="34" t="s">
        <v>57</v>
      </c>
      <c r="D55" s="15" t="s">
        <v>121</v>
      </c>
      <c r="E55" s="2" t="s">
        <v>77</v>
      </c>
      <c r="F55" s="19">
        <v>15096</v>
      </c>
      <c r="G55" s="6"/>
      <c r="H55" s="6" t="s">
        <v>122</v>
      </c>
      <c r="I55" s="2"/>
      <c r="J55" s="38"/>
      <c r="K55" s="6"/>
      <c r="L55" s="38"/>
      <c r="M55" s="6" t="s">
        <v>123</v>
      </c>
      <c r="N55" s="19">
        <v>10</v>
      </c>
      <c r="O55" s="6">
        <v>0</v>
      </c>
      <c r="P55" s="6">
        <v>65535</v>
      </c>
      <c r="Q55" s="6">
        <v>0</v>
      </c>
      <c r="R55" s="6">
        <v>6553.5</v>
      </c>
      <c r="S55" s="2"/>
      <c r="T55" s="2"/>
      <c r="U55" s="2"/>
      <c r="V55" s="8"/>
      <c r="W55" s="77" t="s">
        <v>124</v>
      </c>
      <c r="X55" s="8"/>
      <c r="Y55" s="2"/>
      <c r="Z55"/>
      <c r="AD55"/>
      <c r="AE55"/>
      <c r="AF55"/>
      <c r="AG55"/>
    </row>
    <row r="56" spans="1:33" ht="16.149999999999999" customHeight="1" x14ac:dyDescent="0.15">
      <c r="A56" s="6">
        <v>50</v>
      </c>
      <c r="B56" s="18" t="s">
        <v>75</v>
      </c>
      <c r="C56" s="34" t="s">
        <v>57</v>
      </c>
      <c r="D56" s="15" t="s">
        <v>125</v>
      </c>
      <c r="E56" s="2" t="s">
        <v>77</v>
      </c>
      <c r="F56" s="19">
        <v>15097</v>
      </c>
      <c r="G56" s="6"/>
      <c r="H56" s="6" t="s">
        <v>126</v>
      </c>
      <c r="I56" s="2"/>
      <c r="J56" s="38"/>
      <c r="K56" s="6"/>
      <c r="L56" s="38"/>
      <c r="M56" s="6" t="s">
        <v>123</v>
      </c>
      <c r="N56" s="19">
        <v>10</v>
      </c>
      <c r="O56" s="6">
        <v>0</v>
      </c>
      <c r="P56" s="6">
        <v>65535</v>
      </c>
      <c r="Q56" s="6">
        <v>0</v>
      </c>
      <c r="R56" s="6">
        <v>6553.5</v>
      </c>
      <c r="S56" s="2"/>
      <c r="T56" s="2"/>
      <c r="U56" s="2"/>
      <c r="V56" s="8"/>
      <c r="W56" s="77" t="s">
        <v>127</v>
      </c>
      <c r="X56" s="8"/>
      <c r="Y56" s="2"/>
      <c r="Z56"/>
      <c r="AD56"/>
      <c r="AE56"/>
      <c r="AF56"/>
      <c r="AG56"/>
    </row>
    <row r="57" spans="1:33" ht="16.149999999999999" customHeight="1" x14ac:dyDescent="0.15">
      <c r="A57" s="6">
        <v>51</v>
      </c>
      <c r="B57" s="18" t="s">
        <v>75</v>
      </c>
      <c r="C57" s="34" t="s">
        <v>57</v>
      </c>
      <c r="D57" s="15" t="s">
        <v>128</v>
      </c>
      <c r="E57" s="2" t="s">
        <v>77</v>
      </c>
      <c r="F57" s="19">
        <v>15098</v>
      </c>
      <c r="G57" s="6"/>
      <c r="H57" s="6" t="s">
        <v>129</v>
      </c>
      <c r="I57" s="2"/>
      <c r="J57" s="38"/>
      <c r="K57" s="6"/>
      <c r="L57" s="38"/>
      <c r="M57" s="6" t="s">
        <v>123</v>
      </c>
      <c r="N57" s="19">
        <v>10</v>
      </c>
      <c r="O57" s="6">
        <v>0</v>
      </c>
      <c r="P57" s="6">
        <v>65535</v>
      </c>
      <c r="Q57" s="6">
        <v>0</v>
      </c>
      <c r="R57" s="6">
        <v>6553.5</v>
      </c>
      <c r="S57" s="2"/>
      <c r="T57" s="2"/>
      <c r="U57" s="2"/>
      <c r="V57" s="8"/>
      <c r="W57" s="77" t="s">
        <v>130</v>
      </c>
      <c r="X57" s="8"/>
      <c r="Y57" s="2"/>
      <c r="Z57"/>
      <c r="AD57"/>
      <c r="AE57"/>
      <c r="AF57"/>
      <c r="AG57"/>
    </row>
    <row r="58" spans="1:33" ht="16.149999999999999" customHeight="1" x14ac:dyDescent="0.15">
      <c r="A58" s="6">
        <v>52</v>
      </c>
      <c r="B58" s="18" t="s">
        <v>75</v>
      </c>
      <c r="C58" s="34" t="s">
        <v>57</v>
      </c>
      <c r="D58" s="15" t="s">
        <v>131</v>
      </c>
      <c r="E58" s="2" t="s">
        <v>59</v>
      </c>
      <c r="F58" s="19">
        <v>15099</v>
      </c>
      <c r="G58" s="6"/>
      <c r="H58" s="6" t="s">
        <v>132</v>
      </c>
      <c r="I58" s="2"/>
      <c r="J58" s="38"/>
      <c r="K58" s="6"/>
      <c r="L58" s="38"/>
      <c r="M58" s="6" t="s">
        <v>109</v>
      </c>
      <c r="N58" s="19">
        <v>1</v>
      </c>
      <c r="O58" s="6">
        <v>0</v>
      </c>
      <c r="P58" s="6">
        <v>4294967295</v>
      </c>
      <c r="Q58" s="6">
        <v>0</v>
      </c>
      <c r="R58" s="6">
        <v>4294967295</v>
      </c>
      <c r="S58" s="2"/>
      <c r="T58" s="2"/>
      <c r="U58" s="2"/>
      <c r="V58" s="8"/>
      <c r="W58" s="77" t="s">
        <v>133</v>
      </c>
      <c r="X58" s="8"/>
      <c r="Y58" s="2"/>
      <c r="Z58"/>
      <c r="AD58"/>
      <c r="AE58"/>
      <c r="AF58"/>
      <c r="AG58"/>
    </row>
    <row r="59" spans="1:33" ht="16.149999999999999" customHeight="1" x14ac:dyDescent="0.15">
      <c r="A59" s="6">
        <v>53</v>
      </c>
      <c r="B59" s="18" t="s">
        <v>75</v>
      </c>
      <c r="C59" s="34" t="s">
        <v>57</v>
      </c>
      <c r="D59" s="15" t="s">
        <v>134</v>
      </c>
      <c r="E59" s="2" t="s">
        <v>107</v>
      </c>
      <c r="F59" s="19">
        <v>15101</v>
      </c>
      <c r="G59" s="6"/>
      <c r="H59" s="6" t="s">
        <v>135</v>
      </c>
      <c r="I59" s="2"/>
      <c r="J59" s="38"/>
      <c r="K59" s="6"/>
      <c r="L59" s="38"/>
      <c r="M59" s="6" t="s">
        <v>136</v>
      </c>
      <c r="N59" s="19">
        <v>1</v>
      </c>
      <c r="O59" s="6">
        <v>-2147483648</v>
      </c>
      <c r="P59" s="6">
        <v>2147483647</v>
      </c>
      <c r="Q59" s="6">
        <v>-2147483648</v>
      </c>
      <c r="R59" s="6">
        <v>2147483647</v>
      </c>
      <c r="S59" s="2"/>
      <c r="T59" s="2"/>
      <c r="U59" s="2"/>
      <c r="V59" s="8"/>
      <c r="W59" s="77" t="s">
        <v>137</v>
      </c>
      <c r="X59" s="8"/>
      <c r="Y59" s="2"/>
      <c r="Z59"/>
      <c r="AD59"/>
      <c r="AE59"/>
      <c r="AF59"/>
      <c r="AG59"/>
    </row>
    <row r="60" spans="1:33" ht="16.149999999999999" customHeight="1" x14ac:dyDescent="0.15">
      <c r="A60" s="6">
        <v>54</v>
      </c>
      <c r="B60" s="18" t="s">
        <v>75</v>
      </c>
      <c r="C60" s="34" t="s">
        <v>57</v>
      </c>
      <c r="D60" s="15" t="s">
        <v>138</v>
      </c>
      <c r="E60" s="2" t="s">
        <v>59</v>
      </c>
      <c r="F60" s="19">
        <v>15103</v>
      </c>
      <c r="G60" s="6"/>
      <c r="H60" s="6" t="s">
        <v>139</v>
      </c>
      <c r="I60" s="2"/>
      <c r="J60" s="38"/>
      <c r="K60" s="6"/>
      <c r="L60" s="38"/>
      <c r="M60" s="6" t="s">
        <v>140</v>
      </c>
      <c r="N60" s="19">
        <v>1</v>
      </c>
      <c r="O60" s="6">
        <v>0</v>
      </c>
      <c r="P60" s="6">
        <v>4294967295</v>
      </c>
      <c r="Q60" s="6">
        <v>0</v>
      </c>
      <c r="R60" s="6">
        <v>4294967295</v>
      </c>
      <c r="S60" s="2"/>
      <c r="T60" s="2"/>
      <c r="U60" s="2"/>
      <c r="V60" s="8"/>
      <c r="W60" s="77" t="s">
        <v>141</v>
      </c>
      <c r="X60" s="8"/>
      <c r="Y60" s="34" t="s">
        <v>64</v>
      </c>
      <c r="Z60"/>
      <c r="AD60"/>
      <c r="AE60"/>
      <c r="AF60"/>
      <c r="AG60"/>
    </row>
    <row r="61" spans="1:33" ht="16.149999999999999" customHeight="1" x14ac:dyDescent="0.15">
      <c r="A61" s="6">
        <v>55</v>
      </c>
      <c r="B61" s="18" t="s">
        <v>75</v>
      </c>
      <c r="C61" s="34" t="s">
        <v>57</v>
      </c>
      <c r="D61" s="15" t="s">
        <v>142</v>
      </c>
      <c r="E61" s="2" t="s">
        <v>143</v>
      </c>
      <c r="F61" s="19">
        <v>15105</v>
      </c>
      <c r="G61" s="6"/>
      <c r="H61" s="6" t="s">
        <v>144</v>
      </c>
      <c r="I61" s="2"/>
      <c r="J61" s="38"/>
      <c r="K61" s="6"/>
      <c r="L61" s="38"/>
      <c r="M61" s="6" t="s">
        <v>145</v>
      </c>
      <c r="N61" s="19">
        <v>1000</v>
      </c>
      <c r="O61" s="6">
        <v>-32768</v>
      </c>
      <c r="P61" s="6">
        <v>32767</v>
      </c>
      <c r="Q61" s="6">
        <v>-32.768000000000001</v>
      </c>
      <c r="R61" s="6">
        <v>32.767000000000003</v>
      </c>
      <c r="S61" s="2"/>
      <c r="T61" s="2"/>
      <c r="U61" s="2"/>
      <c r="V61" s="8"/>
      <c r="W61" s="77" t="s">
        <v>146</v>
      </c>
      <c r="X61" s="8"/>
      <c r="Y61" s="2"/>
      <c r="Z61"/>
      <c r="AD61"/>
      <c r="AE61"/>
      <c r="AF61"/>
      <c r="AG61"/>
    </row>
    <row r="62" spans="1:33" ht="16.149999999999999" customHeight="1" x14ac:dyDescent="0.15">
      <c r="A62" s="6">
        <v>56</v>
      </c>
      <c r="B62" s="18" t="s">
        <v>75</v>
      </c>
      <c r="C62" s="34" t="s">
        <v>57</v>
      </c>
      <c r="D62" s="15" t="s">
        <v>147</v>
      </c>
      <c r="E62" s="2" t="s">
        <v>77</v>
      </c>
      <c r="F62" s="19">
        <v>15106</v>
      </c>
      <c r="G62" s="6"/>
      <c r="H62" s="6" t="s">
        <v>148</v>
      </c>
      <c r="I62" s="2"/>
      <c r="J62" s="38"/>
      <c r="K62" s="6"/>
      <c r="L62" s="38"/>
      <c r="M62" s="6" t="s">
        <v>149</v>
      </c>
      <c r="N62" s="19">
        <v>10</v>
      </c>
      <c r="O62" s="6">
        <v>0</v>
      </c>
      <c r="P62" s="6">
        <v>65535</v>
      </c>
      <c r="Q62" s="6">
        <v>0</v>
      </c>
      <c r="R62" s="6">
        <v>6553.5</v>
      </c>
      <c r="S62" s="2"/>
      <c r="T62" s="2"/>
      <c r="U62" s="2"/>
      <c r="V62" s="8"/>
      <c r="W62" s="77" t="s">
        <v>150</v>
      </c>
      <c r="X62" s="8"/>
      <c r="Y62" s="2"/>
      <c r="Z62"/>
      <c r="AD62"/>
      <c r="AE62"/>
      <c r="AF62"/>
      <c r="AG62"/>
    </row>
    <row r="63" spans="1:33" ht="16.149999999999999" customHeight="1" x14ac:dyDescent="0.15">
      <c r="A63" s="6">
        <v>57</v>
      </c>
      <c r="B63" s="18" t="s">
        <v>56</v>
      </c>
      <c r="C63" s="34" t="s">
        <v>57</v>
      </c>
      <c r="D63" s="15" t="s">
        <v>151</v>
      </c>
      <c r="E63" s="2" t="s">
        <v>77</v>
      </c>
      <c r="F63" s="19">
        <v>15107</v>
      </c>
      <c r="G63" s="6"/>
      <c r="H63" s="6" t="s">
        <v>152</v>
      </c>
      <c r="I63" s="2"/>
      <c r="J63" s="38"/>
      <c r="K63" s="6"/>
      <c r="L63" s="38"/>
      <c r="M63" s="6" t="s">
        <v>153</v>
      </c>
      <c r="N63" s="19">
        <v>10</v>
      </c>
      <c r="O63" s="76">
        <v>0</v>
      </c>
      <c r="P63" s="6">
        <v>65535</v>
      </c>
      <c r="Q63" s="6">
        <v>0</v>
      </c>
      <c r="R63" s="6">
        <v>6553.5</v>
      </c>
      <c r="S63" s="2"/>
      <c r="T63" s="2"/>
      <c r="U63" s="2"/>
      <c r="V63" s="33"/>
      <c r="W63" s="77" t="s">
        <v>154</v>
      </c>
      <c r="X63" s="33"/>
      <c r="Y63" s="34" t="s">
        <v>64</v>
      </c>
      <c r="Z63"/>
      <c r="AD63"/>
      <c r="AE63"/>
      <c r="AF63"/>
      <c r="AG63"/>
    </row>
    <row r="64" spans="1:33" ht="16.149999999999999" customHeight="1" x14ac:dyDescent="0.15">
      <c r="A64" s="6">
        <v>58</v>
      </c>
      <c r="B64" s="18" t="s">
        <v>75</v>
      </c>
      <c r="C64" s="34" t="s">
        <v>57</v>
      </c>
      <c r="D64" s="15" t="s">
        <v>155</v>
      </c>
      <c r="E64" s="2" t="s">
        <v>59</v>
      </c>
      <c r="F64" s="19">
        <v>15108</v>
      </c>
      <c r="G64" s="6"/>
      <c r="H64" s="6" t="s">
        <v>156</v>
      </c>
      <c r="I64" s="2"/>
      <c r="J64" s="38"/>
      <c r="K64" s="6"/>
      <c r="L64" s="38"/>
      <c r="M64" s="6" t="s">
        <v>109</v>
      </c>
      <c r="N64" s="19">
        <v>1</v>
      </c>
      <c r="O64" s="6">
        <v>0</v>
      </c>
      <c r="P64" s="6">
        <v>4294967295</v>
      </c>
      <c r="Q64" s="6">
        <v>0</v>
      </c>
      <c r="R64" s="6">
        <v>4294967295</v>
      </c>
      <c r="S64" s="2"/>
      <c r="T64" s="2"/>
      <c r="U64" s="2"/>
      <c r="V64" s="8"/>
      <c r="W64" s="77" t="s">
        <v>157</v>
      </c>
      <c r="X64" s="8"/>
      <c r="Y64" s="2"/>
      <c r="Z64"/>
      <c r="AD64"/>
      <c r="AE64"/>
      <c r="AF64"/>
      <c r="AG64"/>
    </row>
    <row r="65" spans="1:33" ht="16.149999999999999" customHeight="1" x14ac:dyDescent="0.15">
      <c r="A65" s="6">
        <v>59</v>
      </c>
      <c r="B65" s="18" t="s">
        <v>75</v>
      </c>
      <c r="C65" s="34" t="s">
        <v>57</v>
      </c>
      <c r="D65" s="15" t="s">
        <v>158</v>
      </c>
      <c r="E65" s="2" t="s">
        <v>107</v>
      </c>
      <c r="F65" s="19">
        <v>15110</v>
      </c>
      <c r="G65" s="6"/>
      <c r="H65" s="6" t="s">
        <v>159</v>
      </c>
      <c r="I65" s="2"/>
      <c r="J65" s="38"/>
      <c r="K65" s="6"/>
      <c r="L65" s="38"/>
      <c r="M65" s="6" t="s">
        <v>136</v>
      </c>
      <c r="N65" s="19">
        <v>1</v>
      </c>
      <c r="O65" s="6">
        <v>-2147483648</v>
      </c>
      <c r="P65" s="6">
        <v>2147483647</v>
      </c>
      <c r="Q65" s="6">
        <v>-2147483648</v>
      </c>
      <c r="R65" s="6">
        <v>2147483647</v>
      </c>
      <c r="S65" s="2"/>
      <c r="T65" s="2"/>
      <c r="U65" s="2"/>
      <c r="V65" s="8"/>
      <c r="W65" s="77" t="s">
        <v>160</v>
      </c>
      <c r="X65" s="8"/>
      <c r="Y65" s="2"/>
      <c r="Z65"/>
      <c r="AD65"/>
      <c r="AE65"/>
      <c r="AF65"/>
      <c r="AG65"/>
    </row>
    <row r="66" spans="1:33" ht="16.149999999999999" customHeight="1" x14ac:dyDescent="0.15">
      <c r="A66" s="6">
        <v>60</v>
      </c>
      <c r="B66" s="18" t="s">
        <v>75</v>
      </c>
      <c r="C66" s="34" t="s">
        <v>57</v>
      </c>
      <c r="D66" s="15" t="s">
        <v>161</v>
      </c>
      <c r="E66" s="2" t="s">
        <v>143</v>
      </c>
      <c r="F66" s="19">
        <v>15112</v>
      </c>
      <c r="G66" s="6"/>
      <c r="H66" s="6" t="s">
        <v>162</v>
      </c>
      <c r="I66" s="2"/>
      <c r="J66" s="38"/>
      <c r="K66" s="6"/>
      <c r="L66" s="38"/>
      <c r="M66" s="6" t="s">
        <v>145</v>
      </c>
      <c r="N66" s="19">
        <v>1000</v>
      </c>
      <c r="O66" s="6">
        <v>-32768</v>
      </c>
      <c r="P66" s="6">
        <v>32767</v>
      </c>
      <c r="Q66" s="6">
        <v>-32.768000000000001</v>
      </c>
      <c r="R66" s="6">
        <v>32.767000000000003</v>
      </c>
      <c r="S66" s="2"/>
      <c r="T66" s="2"/>
      <c r="U66" s="2"/>
      <c r="V66" s="8"/>
      <c r="W66" s="77" t="s">
        <v>163</v>
      </c>
      <c r="X66" s="8"/>
      <c r="Y66" s="2"/>
      <c r="Z66"/>
      <c r="AD66"/>
      <c r="AE66"/>
      <c r="AF66"/>
      <c r="AG66"/>
    </row>
    <row r="67" spans="1:33" ht="16.149999999999999" customHeight="1" x14ac:dyDescent="0.15">
      <c r="A67" s="6">
        <v>61</v>
      </c>
      <c r="B67" s="18" t="s">
        <v>75</v>
      </c>
      <c r="C67" s="34" t="s">
        <v>57</v>
      </c>
      <c r="D67" s="15" t="s">
        <v>164</v>
      </c>
      <c r="E67" s="2" t="s">
        <v>165</v>
      </c>
      <c r="F67" s="19">
        <v>15113</v>
      </c>
      <c r="G67" s="6"/>
      <c r="H67" s="6" t="s">
        <v>166</v>
      </c>
      <c r="I67" s="2"/>
      <c r="J67" s="38"/>
      <c r="K67" s="6"/>
      <c r="L67" s="38"/>
      <c r="M67" s="6" t="s">
        <v>61</v>
      </c>
      <c r="N67" s="19"/>
      <c r="O67" s="6" t="s">
        <v>62</v>
      </c>
      <c r="P67" s="6" t="s">
        <v>62</v>
      </c>
      <c r="Q67" s="6" t="s">
        <v>62</v>
      </c>
      <c r="R67" s="6" t="s">
        <v>62</v>
      </c>
      <c r="S67" s="2"/>
      <c r="T67" s="2"/>
      <c r="U67" s="2"/>
      <c r="V67" s="8"/>
      <c r="W67" s="77" t="s">
        <v>167</v>
      </c>
      <c r="X67" s="8"/>
      <c r="Y67" s="2"/>
      <c r="Z67"/>
      <c r="AD67"/>
      <c r="AE67"/>
      <c r="AF67"/>
      <c r="AG67"/>
    </row>
    <row r="68" spans="1:33" ht="16.149999999999999" customHeight="1" x14ac:dyDescent="0.15">
      <c r="A68" s="6">
        <v>62</v>
      </c>
      <c r="B68" s="18" t="s">
        <v>75</v>
      </c>
      <c r="C68" s="34" t="s">
        <v>57</v>
      </c>
      <c r="D68" s="43" t="s">
        <v>168</v>
      </c>
      <c r="E68" s="77" t="s">
        <v>169</v>
      </c>
      <c r="F68" s="19">
        <v>15113</v>
      </c>
      <c r="G68" s="6">
        <v>0</v>
      </c>
      <c r="H68" s="6" t="s">
        <v>170</v>
      </c>
      <c r="I68" s="2"/>
      <c r="J68" s="38" t="s">
        <v>171</v>
      </c>
      <c r="K68" s="6" t="s">
        <v>172</v>
      </c>
      <c r="L68" s="38" t="s">
        <v>173</v>
      </c>
      <c r="M68" s="2"/>
      <c r="N68" s="8"/>
      <c r="O68" s="112" t="s">
        <v>62</v>
      </c>
      <c r="P68" s="2" t="s">
        <v>62</v>
      </c>
      <c r="Q68" s="6" t="s">
        <v>62</v>
      </c>
      <c r="R68" s="77" t="s">
        <v>62</v>
      </c>
      <c r="S68" s="2"/>
      <c r="T68" s="2"/>
      <c r="U68" s="2"/>
      <c r="V68" s="33"/>
      <c r="W68" s="33" t="s">
        <v>174</v>
      </c>
      <c r="X68" s="33"/>
      <c r="Y68" s="33"/>
      <c r="Z68"/>
      <c r="AD68"/>
      <c r="AE68"/>
      <c r="AF68"/>
      <c r="AG68"/>
    </row>
    <row r="69" spans="1:33" ht="16.149999999999999" customHeight="1" x14ac:dyDescent="0.15">
      <c r="A69" s="6">
        <v>63</v>
      </c>
      <c r="B69" s="18" t="s">
        <v>75</v>
      </c>
      <c r="C69" s="34" t="s">
        <v>57</v>
      </c>
      <c r="D69" s="43" t="s">
        <v>175</v>
      </c>
      <c r="E69" s="77" t="s">
        <v>169</v>
      </c>
      <c r="F69" s="19">
        <v>15113</v>
      </c>
      <c r="G69" s="6">
        <v>1</v>
      </c>
      <c r="H69" s="6" t="s">
        <v>176</v>
      </c>
      <c r="I69" s="2"/>
      <c r="J69" s="38" t="s">
        <v>171</v>
      </c>
      <c r="K69" s="6" t="s">
        <v>177</v>
      </c>
      <c r="L69" s="38" t="s">
        <v>173</v>
      </c>
      <c r="M69" s="2"/>
      <c r="N69" s="8"/>
      <c r="O69" s="112" t="s">
        <v>62</v>
      </c>
      <c r="P69" s="2" t="s">
        <v>62</v>
      </c>
      <c r="Q69" s="6" t="s">
        <v>62</v>
      </c>
      <c r="R69" s="77" t="s">
        <v>62</v>
      </c>
      <c r="S69" s="2"/>
      <c r="T69" s="2"/>
      <c r="U69" s="2"/>
      <c r="V69" s="33"/>
      <c r="W69" s="33" t="s">
        <v>178</v>
      </c>
      <c r="X69" s="33"/>
      <c r="Y69" s="33"/>
      <c r="Z69"/>
      <c r="AD69"/>
      <c r="AE69"/>
      <c r="AF69"/>
      <c r="AG69"/>
    </row>
    <row r="70" spans="1:33" ht="16.149999999999999" customHeight="1" x14ac:dyDescent="0.15">
      <c r="A70" s="6">
        <v>64</v>
      </c>
      <c r="B70" s="18" t="s">
        <v>75</v>
      </c>
      <c r="C70" s="34" t="s">
        <v>57</v>
      </c>
      <c r="D70" s="43" t="s">
        <v>179</v>
      </c>
      <c r="E70" s="77" t="s">
        <v>169</v>
      </c>
      <c r="F70" s="19">
        <v>15113</v>
      </c>
      <c r="G70" s="6">
        <v>2</v>
      </c>
      <c r="H70" s="6" t="s">
        <v>180</v>
      </c>
      <c r="I70" s="2"/>
      <c r="J70" s="38" t="s">
        <v>171</v>
      </c>
      <c r="K70" s="6" t="s">
        <v>177</v>
      </c>
      <c r="L70" s="38" t="s">
        <v>173</v>
      </c>
      <c r="M70" s="2"/>
      <c r="N70" s="8"/>
      <c r="O70" s="112" t="s">
        <v>62</v>
      </c>
      <c r="P70" s="2" t="s">
        <v>62</v>
      </c>
      <c r="Q70" s="6" t="s">
        <v>62</v>
      </c>
      <c r="R70" s="77" t="s">
        <v>62</v>
      </c>
      <c r="S70" s="2"/>
      <c r="T70" s="2"/>
      <c r="U70" s="2"/>
      <c r="V70" s="33"/>
      <c r="W70" s="33" t="s">
        <v>181</v>
      </c>
      <c r="X70" s="33"/>
      <c r="Y70" s="33"/>
      <c r="Z70"/>
      <c r="AD70"/>
      <c r="AE70"/>
      <c r="AF70"/>
      <c r="AG70"/>
    </row>
    <row r="71" spans="1:33" ht="16.149999999999999" customHeight="1" x14ac:dyDescent="0.15">
      <c r="A71" s="6">
        <v>65</v>
      </c>
      <c r="B71" s="18" t="s">
        <v>75</v>
      </c>
      <c r="C71" s="34" t="s">
        <v>57</v>
      </c>
      <c r="D71" s="43" t="s">
        <v>182</v>
      </c>
      <c r="E71" s="77" t="s">
        <v>169</v>
      </c>
      <c r="F71" s="19">
        <v>15113</v>
      </c>
      <c r="G71" s="6">
        <v>3</v>
      </c>
      <c r="H71" s="6" t="s">
        <v>183</v>
      </c>
      <c r="I71" s="2"/>
      <c r="J71" s="38" t="s">
        <v>171</v>
      </c>
      <c r="K71" s="6" t="s">
        <v>172</v>
      </c>
      <c r="L71" s="38" t="s">
        <v>173</v>
      </c>
      <c r="M71" s="2"/>
      <c r="N71" s="8"/>
      <c r="O71" s="112" t="s">
        <v>62</v>
      </c>
      <c r="P71" s="2" t="s">
        <v>62</v>
      </c>
      <c r="Q71" s="6" t="s">
        <v>62</v>
      </c>
      <c r="R71" s="77" t="s">
        <v>62</v>
      </c>
      <c r="S71" s="2"/>
      <c r="T71" s="2"/>
      <c r="U71" s="2"/>
      <c r="V71" s="33"/>
      <c r="W71" s="33" t="s">
        <v>184</v>
      </c>
      <c r="X71" s="33"/>
      <c r="Y71" s="33"/>
      <c r="Z71"/>
      <c r="AD71"/>
      <c r="AE71"/>
      <c r="AF71"/>
      <c r="AG71"/>
    </row>
    <row r="72" spans="1:33" ht="16.149999999999999" customHeight="1" x14ac:dyDescent="0.15">
      <c r="A72" s="6">
        <v>66</v>
      </c>
      <c r="B72" s="18" t="s">
        <v>75</v>
      </c>
      <c r="C72" s="34" t="s">
        <v>57</v>
      </c>
      <c r="D72" s="43" t="s">
        <v>185</v>
      </c>
      <c r="E72" s="77" t="s">
        <v>169</v>
      </c>
      <c r="F72" s="19">
        <v>15113</v>
      </c>
      <c r="G72" s="6">
        <v>4</v>
      </c>
      <c r="H72" s="6" t="s">
        <v>186</v>
      </c>
      <c r="I72" s="2"/>
      <c r="J72" s="38" t="s">
        <v>171</v>
      </c>
      <c r="K72" s="6" t="s">
        <v>172</v>
      </c>
      <c r="L72" s="38" t="s">
        <v>173</v>
      </c>
      <c r="M72" s="2"/>
      <c r="N72" s="8"/>
      <c r="O72" s="112" t="s">
        <v>62</v>
      </c>
      <c r="P72" s="2" t="s">
        <v>62</v>
      </c>
      <c r="Q72" s="6" t="s">
        <v>62</v>
      </c>
      <c r="R72" s="77" t="s">
        <v>62</v>
      </c>
      <c r="S72" s="2"/>
      <c r="T72" s="2"/>
      <c r="U72" s="2"/>
      <c r="V72" s="33"/>
      <c r="W72" s="33" t="s">
        <v>187</v>
      </c>
      <c r="X72" s="33"/>
      <c r="Y72" s="33"/>
      <c r="Z72"/>
      <c r="AD72"/>
      <c r="AE72"/>
      <c r="AF72"/>
      <c r="AG72"/>
    </row>
    <row r="73" spans="1:33" ht="16.149999999999999" customHeight="1" x14ac:dyDescent="0.15">
      <c r="A73" s="6">
        <v>67</v>
      </c>
      <c r="B73" s="18" t="s">
        <v>75</v>
      </c>
      <c r="C73" s="34" t="s">
        <v>57</v>
      </c>
      <c r="D73" s="43" t="s">
        <v>188</v>
      </c>
      <c r="E73" s="77" t="s">
        <v>169</v>
      </c>
      <c r="F73" s="19">
        <v>15113</v>
      </c>
      <c r="G73" s="6">
        <v>5</v>
      </c>
      <c r="H73" s="6" t="s">
        <v>189</v>
      </c>
      <c r="I73" s="2"/>
      <c r="J73" s="38" t="s">
        <v>171</v>
      </c>
      <c r="K73" s="6" t="s">
        <v>177</v>
      </c>
      <c r="L73" s="38" t="s">
        <v>173</v>
      </c>
      <c r="M73" s="2"/>
      <c r="N73" s="8"/>
      <c r="O73" s="112" t="s">
        <v>62</v>
      </c>
      <c r="P73" s="2" t="s">
        <v>62</v>
      </c>
      <c r="Q73" s="6" t="s">
        <v>62</v>
      </c>
      <c r="R73" s="77" t="s">
        <v>62</v>
      </c>
      <c r="S73" s="2"/>
      <c r="T73" s="2"/>
      <c r="U73" s="2"/>
      <c r="V73" s="33"/>
      <c r="W73" s="33" t="s">
        <v>190</v>
      </c>
      <c r="X73" s="33"/>
      <c r="Y73" s="33"/>
      <c r="Z73"/>
      <c r="AD73"/>
      <c r="AE73"/>
      <c r="AF73"/>
      <c r="AG73"/>
    </row>
    <row r="74" spans="1:33" ht="16.149999999999999" customHeight="1" x14ac:dyDescent="0.15">
      <c r="A74" s="6">
        <v>68</v>
      </c>
      <c r="B74" s="18" t="s">
        <v>75</v>
      </c>
      <c r="C74" s="34" t="s">
        <v>57</v>
      </c>
      <c r="D74" s="43" t="s">
        <v>191</v>
      </c>
      <c r="E74" s="77" t="s">
        <v>169</v>
      </c>
      <c r="F74" s="19">
        <v>15113</v>
      </c>
      <c r="G74" s="6">
        <v>6</v>
      </c>
      <c r="H74" s="6" t="s">
        <v>192</v>
      </c>
      <c r="I74" s="2"/>
      <c r="J74" s="38" t="s">
        <v>171</v>
      </c>
      <c r="K74" s="6" t="s">
        <v>172</v>
      </c>
      <c r="L74" s="38" t="s">
        <v>173</v>
      </c>
      <c r="M74" s="2"/>
      <c r="N74" s="8"/>
      <c r="O74" s="112" t="s">
        <v>62</v>
      </c>
      <c r="P74" s="2" t="s">
        <v>62</v>
      </c>
      <c r="Q74" s="6" t="s">
        <v>62</v>
      </c>
      <c r="R74" s="77" t="s">
        <v>62</v>
      </c>
      <c r="S74" s="2"/>
      <c r="T74" s="2"/>
      <c r="U74" s="2"/>
      <c r="V74" s="33"/>
      <c r="W74" s="33" t="s">
        <v>193</v>
      </c>
      <c r="X74" s="33"/>
      <c r="Y74" s="33"/>
      <c r="Z74"/>
      <c r="AD74"/>
      <c r="AE74"/>
      <c r="AF74"/>
      <c r="AG74"/>
    </row>
    <row r="75" spans="1:33" ht="16.149999999999999" customHeight="1" x14ac:dyDescent="0.15">
      <c r="A75" s="6">
        <v>69</v>
      </c>
      <c r="B75" s="18" t="s">
        <v>75</v>
      </c>
      <c r="C75" s="34" t="s">
        <v>57</v>
      </c>
      <c r="D75" s="43" t="s">
        <v>7197</v>
      </c>
      <c r="E75" s="77" t="s">
        <v>169</v>
      </c>
      <c r="F75" s="19">
        <v>15113</v>
      </c>
      <c r="G75" s="6">
        <v>7</v>
      </c>
      <c r="H75" s="6" t="s">
        <v>8072</v>
      </c>
      <c r="I75" s="2"/>
      <c r="J75" s="38" t="s">
        <v>171</v>
      </c>
      <c r="K75" s="6" t="s">
        <v>177</v>
      </c>
      <c r="L75" s="38" t="s">
        <v>173</v>
      </c>
      <c r="M75" s="2"/>
      <c r="N75" s="8"/>
      <c r="O75" s="112" t="s">
        <v>62</v>
      </c>
      <c r="P75" s="2" t="s">
        <v>62</v>
      </c>
      <c r="Q75" s="6" t="s">
        <v>62</v>
      </c>
      <c r="R75" s="77" t="s">
        <v>62</v>
      </c>
      <c r="S75" s="2"/>
      <c r="T75" s="2"/>
      <c r="U75" s="2"/>
      <c r="V75" s="33"/>
      <c r="W75" s="33" t="s">
        <v>8225</v>
      </c>
      <c r="X75" s="33"/>
      <c r="Y75" s="33"/>
      <c r="Z75"/>
      <c r="AD75"/>
      <c r="AE75"/>
      <c r="AF75"/>
      <c r="AG75"/>
    </row>
    <row r="76" spans="1:33" ht="16.149999999999999" customHeight="1" x14ac:dyDescent="0.15">
      <c r="A76" s="6">
        <v>70</v>
      </c>
      <c r="B76" s="18" t="s">
        <v>75</v>
      </c>
      <c r="C76" s="34" t="s">
        <v>57</v>
      </c>
      <c r="D76" s="43" t="s">
        <v>7198</v>
      </c>
      <c r="E76" s="77" t="s">
        <v>169</v>
      </c>
      <c r="F76" s="19">
        <v>15113</v>
      </c>
      <c r="G76" s="6">
        <v>8</v>
      </c>
      <c r="H76" s="6" t="s">
        <v>195</v>
      </c>
      <c r="I76" s="2"/>
      <c r="J76" s="38" t="s">
        <v>196</v>
      </c>
      <c r="K76" s="6" t="s">
        <v>198</v>
      </c>
      <c r="L76" s="38" t="s">
        <v>197</v>
      </c>
      <c r="M76" s="2"/>
      <c r="N76" s="8"/>
      <c r="O76" s="112" t="s">
        <v>62</v>
      </c>
      <c r="P76" s="2" t="s">
        <v>62</v>
      </c>
      <c r="Q76" s="6" t="s">
        <v>62</v>
      </c>
      <c r="R76" s="77" t="s">
        <v>62</v>
      </c>
      <c r="S76" s="2"/>
      <c r="T76" s="2"/>
      <c r="U76" s="2"/>
      <c r="V76" s="33"/>
      <c r="W76" s="33" t="s">
        <v>8226</v>
      </c>
      <c r="X76" s="33"/>
      <c r="Y76" s="33"/>
      <c r="Z76"/>
      <c r="AD76"/>
      <c r="AE76"/>
      <c r="AF76"/>
      <c r="AG76"/>
    </row>
    <row r="77" spans="1:33" ht="16.149999999999999" customHeight="1" x14ac:dyDescent="0.15">
      <c r="A77" s="6">
        <v>71</v>
      </c>
      <c r="B77" s="18" t="s">
        <v>75</v>
      </c>
      <c r="C77" s="34" t="s">
        <v>57</v>
      </c>
      <c r="D77" s="43" t="s">
        <v>7199</v>
      </c>
      <c r="E77" s="77" t="s">
        <v>169</v>
      </c>
      <c r="F77" s="19">
        <v>15113</v>
      </c>
      <c r="G77" s="6">
        <v>9</v>
      </c>
      <c r="H77" s="6" t="s">
        <v>201</v>
      </c>
      <c r="I77" s="2"/>
      <c r="J77" s="38" t="s">
        <v>196</v>
      </c>
      <c r="K77" s="6" t="s">
        <v>198</v>
      </c>
      <c r="L77" s="38" t="s">
        <v>197</v>
      </c>
      <c r="M77" s="2"/>
      <c r="N77" s="8"/>
      <c r="O77" s="112" t="s">
        <v>62</v>
      </c>
      <c r="P77" s="2" t="s">
        <v>62</v>
      </c>
      <c r="Q77" s="6" t="s">
        <v>62</v>
      </c>
      <c r="R77" s="77" t="s">
        <v>62</v>
      </c>
      <c r="S77" s="2"/>
      <c r="T77" s="2"/>
      <c r="U77" s="2"/>
      <c r="V77" s="33"/>
      <c r="W77" s="33" t="s">
        <v>8227</v>
      </c>
      <c r="X77" s="33"/>
      <c r="Y77" s="33"/>
      <c r="Z77"/>
      <c r="AD77"/>
      <c r="AE77"/>
      <c r="AF77"/>
      <c r="AG77"/>
    </row>
    <row r="78" spans="1:33" ht="16.149999999999999" customHeight="1" x14ac:dyDescent="0.15">
      <c r="A78" s="6">
        <v>72</v>
      </c>
      <c r="B78" s="18" t="s">
        <v>75</v>
      </c>
      <c r="C78" s="34" t="s">
        <v>57</v>
      </c>
      <c r="D78" s="43" t="s">
        <v>7200</v>
      </c>
      <c r="E78" s="77" t="s">
        <v>169</v>
      </c>
      <c r="F78" s="19">
        <v>15113</v>
      </c>
      <c r="G78" s="6">
        <v>10</v>
      </c>
      <c r="H78" s="6" t="s">
        <v>8073</v>
      </c>
      <c r="I78" s="2"/>
      <c r="J78" s="38" t="s">
        <v>196</v>
      </c>
      <c r="K78" s="6" t="s">
        <v>198</v>
      </c>
      <c r="L78" s="38" t="s">
        <v>197</v>
      </c>
      <c r="M78" s="2"/>
      <c r="N78" s="8"/>
      <c r="O78" s="112" t="s">
        <v>62</v>
      </c>
      <c r="P78" s="2" t="s">
        <v>62</v>
      </c>
      <c r="Q78" s="6" t="s">
        <v>62</v>
      </c>
      <c r="R78" s="77" t="s">
        <v>62</v>
      </c>
      <c r="S78" s="2"/>
      <c r="T78" s="2"/>
      <c r="U78" s="2"/>
      <c r="V78" s="33"/>
      <c r="W78" s="33" t="s">
        <v>8228</v>
      </c>
      <c r="X78" s="33"/>
      <c r="Y78" s="33"/>
      <c r="Z78"/>
      <c r="AD78"/>
      <c r="AE78"/>
      <c r="AF78"/>
      <c r="AG78"/>
    </row>
    <row r="79" spans="1:33" ht="16.149999999999999" customHeight="1" x14ac:dyDescent="0.15">
      <c r="A79" s="6">
        <v>73</v>
      </c>
      <c r="B79" s="18" t="s">
        <v>75</v>
      </c>
      <c r="C79" s="34" t="s">
        <v>57</v>
      </c>
      <c r="D79" s="43" t="s">
        <v>203</v>
      </c>
      <c r="E79" s="77" t="s">
        <v>169</v>
      </c>
      <c r="F79" s="19">
        <v>15113</v>
      </c>
      <c r="G79" s="6">
        <v>11</v>
      </c>
      <c r="H79" s="6" t="s">
        <v>204</v>
      </c>
      <c r="I79" s="2"/>
      <c r="J79" s="38" t="s">
        <v>196</v>
      </c>
      <c r="K79" s="6" t="s">
        <v>198</v>
      </c>
      <c r="L79" s="38" t="s">
        <v>197</v>
      </c>
      <c r="M79" s="2"/>
      <c r="N79" s="8"/>
      <c r="O79" s="112" t="s">
        <v>62</v>
      </c>
      <c r="P79" s="2" t="s">
        <v>62</v>
      </c>
      <c r="Q79" s="6" t="s">
        <v>62</v>
      </c>
      <c r="R79" s="77" t="s">
        <v>62</v>
      </c>
      <c r="S79" s="2"/>
      <c r="T79" s="2"/>
      <c r="U79" s="2"/>
      <c r="V79" s="33"/>
      <c r="W79" s="33" t="s">
        <v>205</v>
      </c>
      <c r="X79" s="33"/>
      <c r="Y79" s="33"/>
      <c r="Z79"/>
      <c r="AD79"/>
      <c r="AE79"/>
      <c r="AF79"/>
      <c r="AG79"/>
    </row>
    <row r="80" spans="1:33" ht="16.149999999999999" customHeight="1" x14ac:dyDescent="0.15">
      <c r="A80" s="6">
        <v>74</v>
      </c>
      <c r="B80" s="18" t="s">
        <v>75</v>
      </c>
      <c r="C80" s="34" t="s">
        <v>57</v>
      </c>
      <c r="D80" s="43" t="s">
        <v>7201</v>
      </c>
      <c r="E80" s="77" t="s">
        <v>169</v>
      </c>
      <c r="F80" s="19">
        <v>15113</v>
      </c>
      <c r="G80" s="6">
        <v>12</v>
      </c>
      <c r="H80" s="6" t="s">
        <v>8074</v>
      </c>
      <c r="I80" s="2"/>
      <c r="J80" s="38" t="s">
        <v>171</v>
      </c>
      <c r="K80" s="6" t="s">
        <v>172</v>
      </c>
      <c r="L80" s="38" t="s">
        <v>173</v>
      </c>
      <c r="M80" s="2"/>
      <c r="N80" s="8"/>
      <c r="O80" s="112" t="s">
        <v>62</v>
      </c>
      <c r="P80" s="2" t="s">
        <v>62</v>
      </c>
      <c r="Q80" s="6" t="s">
        <v>62</v>
      </c>
      <c r="R80" s="77" t="s">
        <v>62</v>
      </c>
      <c r="S80" s="2"/>
      <c r="T80" s="2"/>
      <c r="U80" s="2"/>
      <c r="V80" s="33"/>
      <c r="W80" s="33" t="s">
        <v>8229</v>
      </c>
      <c r="X80" s="33"/>
      <c r="Y80" s="33"/>
      <c r="Z80"/>
      <c r="AD80"/>
      <c r="AE80"/>
      <c r="AF80"/>
      <c r="AG80"/>
    </row>
    <row r="81" spans="1:33" ht="16.149999999999999" customHeight="1" x14ac:dyDescent="0.15">
      <c r="A81" s="6">
        <v>75</v>
      </c>
      <c r="B81" s="18" t="s">
        <v>75</v>
      </c>
      <c r="C81" s="34" t="s">
        <v>57</v>
      </c>
      <c r="D81" s="43" t="s">
        <v>206</v>
      </c>
      <c r="E81" s="77" t="s">
        <v>169</v>
      </c>
      <c r="F81" s="19">
        <v>15113</v>
      </c>
      <c r="G81" s="6">
        <v>13</v>
      </c>
      <c r="H81" s="6" t="s">
        <v>207</v>
      </c>
      <c r="I81" s="2"/>
      <c r="J81" s="38" t="s">
        <v>171</v>
      </c>
      <c r="K81" s="6" t="s">
        <v>177</v>
      </c>
      <c r="L81" s="38" t="s">
        <v>173</v>
      </c>
      <c r="M81" s="2"/>
      <c r="N81" s="8"/>
      <c r="O81" s="112" t="s">
        <v>62</v>
      </c>
      <c r="P81" s="2" t="s">
        <v>62</v>
      </c>
      <c r="Q81" s="6" t="s">
        <v>62</v>
      </c>
      <c r="R81" s="77" t="s">
        <v>62</v>
      </c>
      <c r="S81" s="2"/>
      <c r="T81" s="2"/>
      <c r="U81" s="2"/>
      <c r="V81" s="33"/>
      <c r="W81" s="33" t="s">
        <v>208</v>
      </c>
      <c r="X81" s="33"/>
      <c r="Y81" s="33"/>
      <c r="Z81"/>
      <c r="AD81"/>
      <c r="AE81"/>
      <c r="AF81"/>
      <c r="AG81"/>
    </row>
    <row r="82" spans="1:33" ht="16.149999999999999" customHeight="1" x14ac:dyDescent="0.15">
      <c r="A82" s="6">
        <v>76</v>
      </c>
      <c r="B82" s="18" t="s">
        <v>75</v>
      </c>
      <c r="C82" s="34" t="s">
        <v>57</v>
      </c>
      <c r="D82" s="15" t="s">
        <v>215</v>
      </c>
      <c r="E82" s="2" t="s">
        <v>59</v>
      </c>
      <c r="F82" s="19">
        <v>15114</v>
      </c>
      <c r="G82" s="6"/>
      <c r="H82" s="6" t="s">
        <v>216</v>
      </c>
      <c r="I82" s="2"/>
      <c r="J82" s="38"/>
      <c r="K82" s="6"/>
      <c r="L82" s="38"/>
      <c r="M82" s="6" t="s">
        <v>86</v>
      </c>
      <c r="N82" s="19">
        <v>1</v>
      </c>
      <c r="O82" s="6">
        <v>0</v>
      </c>
      <c r="P82" s="6">
        <v>4294967295</v>
      </c>
      <c r="Q82" s="6">
        <v>0</v>
      </c>
      <c r="R82" s="6">
        <v>4294967295</v>
      </c>
      <c r="S82" s="2"/>
      <c r="T82" s="2"/>
      <c r="U82" s="2"/>
      <c r="V82" s="8"/>
      <c r="W82" s="77" t="s">
        <v>217</v>
      </c>
      <c r="X82" s="8"/>
      <c r="Y82" s="34" t="s">
        <v>64</v>
      </c>
      <c r="Z82"/>
      <c r="AD82"/>
      <c r="AE82"/>
      <c r="AF82"/>
      <c r="AG82"/>
    </row>
    <row r="83" spans="1:33" ht="16.149999999999999" customHeight="1" x14ac:dyDescent="0.15">
      <c r="A83" s="6">
        <v>77</v>
      </c>
      <c r="B83" s="18" t="s">
        <v>75</v>
      </c>
      <c r="C83" s="34" t="s">
        <v>57</v>
      </c>
      <c r="D83" s="15" t="s">
        <v>218</v>
      </c>
      <c r="E83" s="2" t="s">
        <v>219</v>
      </c>
      <c r="F83" s="19">
        <v>15116</v>
      </c>
      <c r="G83" s="6"/>
      <c r="H83" s="6" t="s">
        <v>220</v>
      </c>
      <c r="I83" s="2"/>
      <c r="J83" s="38"/>
      <c r="K83" s="6"/>
      <c r="L83" s="38"/>
      <c r="M83" s="6" t="s">
        <v>61</v>
      </c>
      <c r="N83" s="38"/>
      <c r="O83" s="38" t="s">
        <v>62</v>
      </c>
      <c r="P83" s="38" t="s">
        <v>62</v>
      </c>
      <c r="Q83" s="38" t="s">
        <v>62</v>
      </c>
      <c r="R83" s="38" t="s">
        <v>62</v>
      </c>
      <c r="S83" s="34"/>
      <c r="T83" s="2"/>
      <c r="U83" s="34"/>
      <c r="V83" s="34"/>
      <c r="W83" s="77" t="s">
        <v>221</v>
      </c>
      <c r="X83" s="34"/>
      <c r="Y83" s="2"/>
      <c r="Z83"/>
      <c r="AD83"/>
      <c r="AE83"/>
      <c r="AF83"/>
      <c r="AG83"/>
    </row>
    <row r="84" spans="1:33" ht="16.149999999999999" customHeight="1" x14ac:dyDescent="0.15">
      <c r="A84" s="6">
        <v>78</v>
      </c>
      <c r="B84" s="18" t="s">
        <v>75</v>
      </c>
      <c r="C84" s="34" t="s">
        <v>57</v>
      </c>
      <c r="D84" s="43" t="s">
        <v>222</v>
      </c>
      <c r="E84" s="77" t="s">
        <v>169</v>
      </c>
      <c r="F84" s="19">
        <v>15116</v>
      </c>
      <c r="G84" s="6">
        <v>0</v>
      </c>
      <c r="H84" s="6" t="s">
        <v>223</v>
      </c>
      <c r="I84" s="2"/>
      <c r="J84" s="38" t="s">
        <v>196</v>
      </c>
      <c r="K84" s="6" t="s">
        <v>222</v>
      </c>
      <c r="L84" s="38" t="s">
        <v>224</v>
      </c>
      <c r="M84" s="2"/>
      <c r="N84" s="113"/>
      <c r="O84" s="45" t="s">
        <v>62</v>
      </c>
      <c r="P84" s="2" t="s">
        <v>62</v>
      </c>
      <c r="Q84" s="38" t="s">
        <v>62</v>
      </c>
      <c r="R84" s="36" t="s">
        <v>62</v>
      </c>
      <c r="S84" s="34"/>
      <c r="T84" s="2"/>
      <c r="U84" s="34"/>
      <c r="V84" s="33"/>
      <c r="W84" s="33" t="s">
        <v>225</v>
      </c>
      <c r="X84" s="33"/>
      <c r="Y84" s="33"/>
      <c r="Z84"/>
      <c r="AD84"/>
      <c r="AE84"/>
      <c r="AF84"/>
      <c r="AG84"/>
    </row>
    <row r="85" spans="1:33" ht="16.149999999999999" customHeight="1" x14ac:dyDescent="0.15">
      <c r="A85" s="6">
        <v>79</v>
      </c>
      <c r="B85" s="18" t="s">
        <v>75</v>
      </c>
      <c r="C85" s="34" t="s">
        <v>57</v>
      </c>
      <c r="D85" s="43" t="s">
        <v>226</v>
      </c>
      <c r="E85" s="77" t="s">
        <v>169</v>
      </c>
      <c r="F85" s="19">
        <v>15116</v>
      </c>
      <c r="G85" s="6">
        <v>1</v>
      </c>
      <c r="H85" s="6" t="s">
        <v>227</v>
      </c>
      <c r="I85" s="2"/>
      <c r="J85" s="38" t="s">
        <v>196</v>
      </c>
      <c r="K85" s="6" t="s">
        <v>226</v>
      </c>
      <c r="L85" s="38" t="s">
        <v>228</v>
      </c>
      <c r="M85" s="2"/>
      <c r="N85" s="113"/>
      <c r="O85" s="45" t="s">
        <v>62</v>
      </c>
      <c r="P85" s="2" t="s">
        <v>62</v>
      </c>
      <c r="Q85" s="38" t="s">
        <v>62</v>
      </c>
      <c r="R85" s="36" t="s">
        <v>62</v>
      </c>
      <c r="S85" s="34"/>
      <c r="T85" s="2"/>
      <c r="U85" s="34"/>
      <c r="V85" s="33"/>
      <c r="W85" s="33" t="s">
        <v>229</v>
      </c>
      <c r="X85" s="33"/>
      <c r="Y85" s="33"/>
      <c r="Z85"/>
      <c r="AD85"/>
      <c r="AE85"/>
      <c r="AF85"/>
      <c r="AG85"/>
    </row>
    <row r="86" spans="1:33" ht="16.149999999999999" customHeight="1" x14ac:dyDescent="0.15">
      <c r="A86" s="6">
        <v>80</v>
      </c>
      <c r="B86" s="18" t="s">
        <v>75</v>
      </c>
      <c r="C86" s="34" t="s">
        <v>57</v>
      </c>
      <c r="D86" s="43" t="s">
        <v>7202</v>
      </c>
      <c r="E86" s="77" t="s">
        <v>169</v>
      </c>
      <c r="F86" s="19">
        <v>15116</v>
      </c>
      <c r="G86" s="6">
        <v>2</v>
      </c>
      <c r="H86" s="6" t="s">
        <v>8075</v>
      </c>
      <c r="I86" s="2"/>
      <c r="J86" s="38" t="s">
        <v>171</v>
      </c>
      <c r="K86" s="6" t="s">
        <v>177</v>
      </c>
      <c r="L86" s="38" t="s">
        <v>173</v>
      </c>
      <c r="M86" s="2"/>
      <c r="N86" s="113"/>
      <c r="O86" s="45" t="s">
        <v>62</v>
      </c>
      <c r="P86" s="2" t="s">
        <v>62</v>
      </c>
      <c r="Q86" s="38" t="s">
        <v>62</v>
      </c>
      <c r="R86" s="36" t="s">
        <v>62</v>
      </c>
      <c r="S86" s="34"/>
      <c r="T86" s="2"/>
      <c r="U86" s="34"/>
      <c r="V86" s="33"/>
      <c r="W86" s="33" t="s">
        <v>8230</v>
      </c>
      <c r="X86" s="33"/>
      <c r="Y86" s="33"/>
      <c r="Z86"/>
      <c r="AD86"/>
      <c r="AE86"/>
      <c r="AF86"/>
      <c r="AG86"/>
    </row>
    <row r="87" spans="1:33" ht="16.149999999999999" customHeight="1" x14ac:dyDescent="0.15">
      <c r="A87" s="6">
        <v>81</v>
      </c>
      <c r="B87" s="18" t="s">
        <v>75</v>
      </c>
      <c r="C87" s="34" t="s">
        <v>57</v>
      </c>
      <c r="D87" s="43" t="s">
        <v>230</v>
      </c>
      <c r="E87" s="77" t="s">
        <v>169</v>
      </c>
      <c r="F87" s="19">
        <v>15116</v>
      </c>
      <c r="G87" s="6">
        <v>3</v>
      </c>
      <c r="H87" s="6" t="s">
        <v>231</v>
      </c>
      <c r="I87" s="2"/>
      <c r="J87" s="38" t="s">
        <v>171</v>
      </c>
      <c r="K87" s="6" t="s">
        <v>177</v>
      </c>
      <c r="L87" s="38" t="s">
        <v>173</v>
      </c>
      <c r="M87" s="2"/>
      <c r="N87" s="113"/>
      <c r="O87" s="45" t="s">
        <v>62</v>
      </c>
      <c r="P87" s="2" t="s">
        <v>62</v>
      </c>
      <c r="Q87" s="38" t="s">
        <v>62</v>
      </c>
      <c r="R87" s="36" t="s">
        <v>62</v>
      </c>
      <c r="S87" s="34"/>
      <c r="T87" s="2"/>
      <c r="U87" s="34"/>
      <c r="V87" s="33"/>
      <c r="W87" s="33" t="s">
        <v>232</v>
      </c>
      <c r="X87" s="33"/>
      <c r="Y87" s="33"/>
      <c r="Z87"/>
      <c r="AD87"/>
      <c r="AE87"/>
      <c r="AF87"/>
      <c r="AG87"/>
    </row>
    <row r="88" spans="1:33" ht="16.149999999999999" customHeight="1" x14ac:dyDescent="0.15">
      <c r="A88" s="6">
        <v>82</v>
      </c>
      <c r="B88" s="18" t="s">
        <v>75</v>
      </c>
      <c r="C88" s="34" t="s">
        <v>57</v>
      </c>
      <c r="D88" s="43" t="s">
        <v>7203</v>
      </c>
      <c r="E88" s="77" t="s">
        <v>169</v>
      </c>
      <c r="F88" s="19">
        <v>15116</v>
      </c>
      <c r="G88" s="6">
        <v>4</v>
      </c>
      <c r="H88" s="6" t="s">
        <v>8076</v>
      </c>
      <c r="I88" s="2"/>
      <c r="J88" s="38" t="s">
        <v>171</v>
      </c>
      <c r="K88" s="6" t="s">
        <v>177</v>
      </c>
      <c r="L88" s="38" t="s">
        <v>173</v>
      </c>
      <c r="M88" s="2"/>
      <c r="N88" s="113"/>
      <c r="O88" s="45" t="s">
        <v>62</v>
      </c>
      <c r="P88" s="2" t="s">
        <v>62</v>
      </c>
      <c r="Q88" s="38" t="s">
        <v>62</v>
      </c>
      <c r="R88" s="36" t="s">
        <v>62</v>
      </c>
      <c r="S88" s="34"/>
      <c r="T88" s="2"/>
      <c r="U88" s="34"/>
      <c r="V88" s="33"/>
      <c r="W88" s="33" t="s">
        <v>8231</v>
      </c>
      <c r="X88" s="33"/>
      <c r="Y88" s="33"/>
      <c r="Z88"/>
      <c r="AD88"/>
      <c r="AE88"/>
      <c r="AF88"/>
      <c r="AG88"/>
    </row>
    <row r="89" spans="1:33" ht="16.149999999999999" customHeight="1" x14ac:dyDescent="0.15">
      <c r="A89" s="6">
        <v>83</v>
      </c>
      <c r="B89" s="18" t="s">
        <v>75</v>
      </c>
      <c r="C89" s="34" t="s">
        <v>57</v>
      </c>
      <c r="D89" s="43" t="s">
        <v>7204</v>
      </c>
      <c r="E89" s="77" t="s">
        <v>169</v>
      </c>
      <c r="F89" s="19">
        <v>15116</v>
      </c>
      <c r="G89" s="6">
        <v>5</v>
      </c>
      <c r="H89" s="6" t="s">
        <v>8077</v>
      </c>
      <c r="I89" s="2"/>
      <c r="J89" s="38" t="s">
        <v>171</v>
      </c>
      <c r="K89" s="6" t="s">
        <v>177</v>
      </c>
      <c r="L89" s="38" t="s">
        <v>173</v>
      </c>
      <c r="M89" s="2"/>
      <c r="N89" s="113"/>
      <c r="O89" s="45" t="s">
        <v>62</v>
      </c>
      <c r="P89" s="2" t="s">
        <v>62</v>
      </c>
      <c r="Q89" s="38" t="s">
        <v>62</v>
      </c>
      <c r="R89" s="36" t="s">
        <v>62</v>
      </c>
      <c r="S89" s="34"/>
      <c r="T89" s="2"/>
      <c r="U89" s="34"/>
      <c r="V89" s="33"/>
      <c r="W89" s="33" t="s">
        <v>8232</v>
      </c>
      <c r="X89" s="33"/>
      <c r="Y89" s="33"/>
      <c r="Z89"/>
      <c r="AD89"/>
      <c r="AE89"/>
      <c r="AF89"/>
      <c r="AG89"/>
    </row>
    <row r="90" spans="1:33" ht="16.149999999999999" customHeight="1" x14ac:dyDescent="0.15">
      <c r="A90" s="6">
        <v>84</v>
      </c>
      <c r="B90" s="18" t="s">
        <v>75</v>
      </c>
      <c r="C90" s="34" t="s">
        <v>57</v>
      </c>
      <c r="D90" s="43" t="s">
        <v>233</v>
      </c>
      <c r="E90" s="77" t="s">
        <v>169</v>
      </c>
      <c r="F90" s="19">
        <v>15116</v>
      </c>
      <c r="G90" s="6">
        <v>6</v>
      </c>
      <c r="H90" s="6" t="s">
        <v>234</v>
      </c>
      <c r="I90" s="2"/>
      <c r="J90" s="38" t="s">
        <v>171</v>
      </c>
      <c r="K90" s="6" t="s">
        <v>177</v>
      </c>
      <c r="L90" s="38" t="s">
        <v>173</v>
      </c>
      <c r="M90" s="2"/>
      <c r="N90" s="113"/>
      <c r="O90" s="45" t="s">
        <v>62</v>
      </c>
      <c r="P90" s="2" t="s">
        <v>62</v>
      </c>
      <c r="Q90" s="38" t="s">
        <v>62</v>
      </c>
      <c r="R90" s="36" t="s">
        <v>62</v>
      </c>
      <c r="S90" s="34"/>
      <c r="T90" s="2"/>
      <c r="U90" s="34"/>
      <c r="V90" s="33"/>
      <c r="W90" s="33" t="s">
        <v>235</v>
      </c>
      <c r="X90" s="33"/>
      <c r="Y90" s="33"/>
      <c r="Z90"/>
      <c r="AD90"/>
      <c r="AE90"/>
      <c r="AF90"/>
      <c r="AG90"/>
    </row>
    <row r="91" spans="1:33" ht="16.149999999999999" customHeight="1" x14ac:dyDescent="0.15">
      <c r="A91" s="6">
        <v>85</v>
      </c>
      <c r="B91" s="18" t="s">
        <v>75</v>
      </c>
      <c r="C91" s="34" t="s">
        <v>57</v>
      </c>
      <c r="D91" s="15" t="s">
        <v>264</v>
      </c>
      <c r="E91" s="2" t="s">
        <v>143</v>
      </c>
      <c r="F91" s="19">
        <v>15118</v>
      </c>
      <c r="G91" s="6"/>
      <c r="H91" s="6" t="s">
        <v>265</v>
      </c>
      <c r="I91" s="2"/>
      <c r="J91" s="38"/>
      <c r="K91" s="6"/>
      <c r="L91" s="38"/>
      <c r="M91" s="6" t="s">
        <v>266</v>
      </c>
      <c r="N91" s="38">
        <v>10</v>
      </c>
      <c r="O91" s="38">
        <v>-32768</v>
      </c>
      <c r="P91" s="38">
        <v>32767</v>
      </c>
      <c r="Q91" s="38">
        <v>-3276.8</v>
      </c>
      <c r="R91" s="38">
        <v>3276.7</v>
      </c>
      <c r="S91" s="34"/>
      <c r="T91" s="2"/>
      <c r="U91" s="34"/>
      <c r="V91" s="34"/>
      <c r="W91" s="77" t="s">
        <v>267</v>
      </c>
      <c r="X91" s="34"/>
      <c r="Y91" s="2"/>
      <c r="Z91"/>
      <c r="AD91"/>
      <c r="AE91"/>
      <c r="AF91"/>
      <c r="AG91"/>
    </row>
    <row r="92" spans="1:33" ht="16.149999999999999" customHeight="1" x14ac:dyDescent="0.15">
      <c r="A92" s="6">
        <v>86</v>
      </c>
      <c r="B92" s="18" t="s">
        <v>75</v>
      </c>
      <c r="C92" s="34" t="s">
        <v>57</v>
      </c>
      <c r="D92" s="15" t="s">
        <v>268</v>
      </c>
      <c r="E92" s="2" t="s">
        <v>143</v>
      </c>
      <c r="F92" s="19">
        <v>15119</v>
      </c>
      <c r="G92" s="6"/>
      <c r="H92" s="6" t="s">
        <v>269</v>
      </c>
      <c r="I92" s="2"/>
      <c r="J92" s="38"/>
      <c r="K92" s="6"/>
      <c r="L92" s="38"/>
      <c r="M92" s="6" t="s">
        <v>266</v>
      </c>
      <c r="N92" s="38">
        <v>10</v>
      </c>
      <c r="O92" s="38">
        <v>-32768</v>
      </c>
      <c r="P92" s="38">
        <v>32767</v>
      </c>
      <c r="Q92" s="38">
        <v>-3276.8</v>
      </c>
      <c r="R92" s="38">
        <v>3276.7</v>
      </c>
      <c r="S92" s="34"/>
      <c r="T92" s="2"/>
      <c r="U92" s="34"/>
      <c r="V92" s="34"/>
      <c r="W92" s="77" t="s">
        <v>270</v>
      </c>
      <c r="X92" s="34"/>
      <c r="Y92" s="2"/>
      <c r="Z92"/>
      <c r="AD92"/>
      <c r="AE92"/>
      <c r="AF92"/>
      <c r="AG92"/>
    </row>
    <row r="93" spans="1:33" ht="16.149999999999999" customHeight="1" x14ac:dyDescent="0.15">
      <c r="A93" s="6">
        <v>87</v>
      </c>
      <c r="B93" s="18" t="s">
        <v>75</v>
      </c>
      <c r="C93" s="34" t="s">
        <v>57</v>
      </c>
      <c r="D93" s="15" t="s">
        <v>271</v>
      </c>
      <c r="E93" s="2" t="s">
        <v>165</v>
      </c>
      <c r="F93" s="19">
        <v>15125</v>
      </c>
      <c r="G93" s="6"/>
      <c r="H93" s="6" t="s">
        <v>272</v>
      </c>
      <c r="I93" s="2"/>
      <c r="J93" s="38"/>
      <c r="K93" s="6"/>
      <c r="L93" s="38"/>
      <c r="M93" s="6" t="s">
        <v>61</v>
      </c>
      <c r="N93" s="38"/>
      <c r="O93" s="38" t="s">
        <v>62</v>
      </c>
      <c r="P93" s="38" t="s">
        <v>62</v>
      </c>
      <c r="Q93" s="38" t="s">
        <v>62</v>
      </c>
      <c r="R93" s="38" t="s">
        <v>62</v>
      </c>
      <c r="S93" s="34"/>
      <c r="T93" s="2"/>
      <c r="U93" s="34"/>
      <c r="V93" s="34"/>
      <c r="W93" s="77" t="s">
        <v>273</v>
      </c>
      <c r="X93" s="34"/>
      <c r="Y93" s="2"/>
      <c r="Z93"/>
      <c r="AD93"/>
      <c r="AE93"/>
      <c r="AF93"/>
      <c r="AG93"/>
    </row>
    <row r="94" spans="1:33" ht="16.149999999999999" customHeight="1" x14ac:dyDescent="0.15">
      <c r="A94" s="6">
        <v>88</v>
      </c>
      <c r="B94" s="18" t="s">
        <v>75</v>
      </c>
      <c r="C94" s="34" t="s">
        <v>57</v>
      </c>
      <c r="D94" s="43" t="s">
        <v>7205</v>
      </c>
      <c r="E94" s="77" t="s">
        <v>169</v>
      </c>
      <c r="F94" s="19">
        <v>15125</v>
      </c>
      <c r="G94" s="6">
        <v>6</v>
      </c>
      <c r="H94" s="6" t="s">
        <v>8078</v>
      </c>
      <c r="I94" s="2"/>
      <c r="J94" s="38" t="s">
        <v>2274</v>
      </c>
      <c r="K94" s="6" t="s">
        <v>197</v>
      </c>
      <c r="L94" s="38" t="s">
        <v>198</v>
      </c>
      <c r="M94" s="2"/>
      <c r="N94" s="113"/>
      <c r="O94" s="45" t="s">
        <v>62</v>
      </c>
      <c r="P94" s="2" t="s">
        <v>62</v>
      </c>
      <c r="Q94" s="38" t="s">
        <v>62</v>
      </c>
      <c r="R94" s="36" t="s">
        <v>62</v>
      </c>
      <c r="S94" s="34"/>
      <c r="T94" s="2"/>
      <c r="U94" s="34"/>
      <c r="V94" s="33"/>
      <c r="W94" s="33" t="s">
        <v>8233</v>
      </c>
      <c r="X94" s="33"/>
      <c r="Y94" s="33"/>
      <c r="Z94"/>
      <c r="AD94"/>
      <c r="AE94"/>
      <c r="AF94"/>
      <c r="AG94"/>
    </row>
    <row r="95" spans="1:33" ht="16.149999999999999" customHeight="1" x14ac:dyDescent="0.15">
      <c r="A95" s="6">
        <v>89</v>
      </c>
      <c r="B95" s="18" t="s">
        <v>75</v>
      </c>
      <c r="C95" s="34" t="s">
        <v>57</v>
      </c>
      <c r="D95" s="43" t="s">
        <v>7206</v>
      </c>
      <c r="E95" s="77" t="s">
        <v>169</v>
      </c>
      <c r="F95" s="19">
        <v>15125</v>
      </c>
      <c r="G95" s="6">
        <v>10</v>
      </c>
      <c r="H95" s="6" t="s">
        <v>8079</v>
      </c>
      <c r="I95" s="2"/>
      <c r="J95" s="38" t="s">
        <v>171</v>
      </c>
      <c r="K95" s="6" t="s">
        <v>177</v>
      </c>
      <c r="L95" s="38" t="s">
        <v>173</v>
      </c>
      <c r="M95" s="2"/>
      <c r="N95" s="113"/>
      <c r="O95" s="45" t="s">
        <v>62</v>
      </c>
      <c r="P95" s="2" t="s">
        <v>62</v>
      </c>
      <c r="Q95" s="38" t="s">
        <v>62</v>
      </c>
      <c r="R95" s="36" t="s">
        <v>62</v>
      </c>
      <c r="S95" s="34"/>
      <c r="T95" s="2"/>
      <c r="U95" s="34"/>
      <c r="V95" s="33"/>
      <c r="W95" s="33" t="s">
        <v>8234</v>
      </c>
      <c r="X95" s="33"/>
      <c r="Y95" s="33"/>
      <c r="Z95"/>
      <c r="AD95"/>
      <c r="AE95"/>
      <c r="AF95"/>
      <c r="AG95"/>
    </row>
    <row r="96" spans="1:33" ht="16.149999999999999" customHeight="1" x14ac:dyDescent="0.15">
      <c r="A96" s="6">
        <v>90</v>
      </c>
      <c r="B96" s="18" t="s">
        <v>75</v>
      </c>
      <c r="C96" s="34" t="s">
        <v>57</v>
      </c>
      <c r="D96" s="43" t="s">
        <v>274</v>
      </c>
      <c r="E96" s="77" t="s">
        <v>169</v>
      </c>
      <c r="F96" s="19">
        <v>15125</v>
      </c>
      <c r="G96" s="6">
        <v>11</v>
      </c>
      <c r="H96" s="6" t="s">
        <v>275</v>
      </c>
      <c r="I96" s="2"/>
      <c r="J96" s="38" t="s">
        <v>171</v>
      </c>
      <c r="K96" s="6" t="s">
        <v>177</v>
      </c>
      <c r="L96" s="38" t="s">
        <v>173</v>
      </c>
      <c r="M96" s="2"/>
      <c r="N96" s="113"/>
      <c r="O96" s="45" t="s">
        <v>62</v>
      </c>
      <c r="P96" s="2" t="s">
        <v>62</v>
      </c>
      <c r="Q96" s="38" t="s">
        <v>62</v>
      </c>
      <c r="R96" s="36" t="s">
        <v>62</v>
      </c>
      <c r="S96" s="34"/>
      <c r="T96" s="2"/>
      <c r="U96" s="34"/>
      <c r="V96" s="33"/>
      <c r="W96" s="33" t="s">
        <v>276</v>
      </c>
      <c r="X96" s="33"/>
      <c r="Y96" s="33"/>
      <c r="Z96"/>
      <c r="AD96"/>
      <c r="AE96"/>
      <c r="AF96"/>
      <c r="AG96"/>
    </row>
    <row r="97" spans="1:33" ht="16.149999999999999" customHeight="1" x14ac:dyDescent="0.15">
      <c r="A97" s="6">
        <v>91</v>
      </c>
      <c r="B97" s="18" t="s">
        <v>75</v>
      </c>
      <c r="C97" s="34" t="s">
        <v>57</v>
      </c>
      <c r="D97" s="43" t="s">
        <v>277</v>
      </c>
      <c r="E97" s="77" t="s">
        <v>169</v>
      </c>
      <c r="F97" s="19">
        <v>15125</v>
      </c>
      <c r="G97" s="6">
        <v>12</v>
      </c>
      <c r="H97" s="6" t="s">
        <v>278</v>
      </c>
      <c r="I97" s="2"/>
      <c r="J97" s="38" t="s">
        <v>171</v>
      </c>
      <c r="K97" s="6" t="s">
        <v>177</v>
      </c>
      <c r="L97" s="38" t="s">
        <v>173</v>
      </c>
      <c r="M97" s="2"/>
      <c r="N97" s="113"/>
      <c r="O97" s="45" t="s">
        <v>62</v>
      </c>
      <c r="P97" s="2" t="s">
        <v>62</v>
      </c>
      <c r="Q97" s="38" t="s">
        <v>62</v>
      </c>
      <c r="R97" s="36" t="s">
        <v>62</v>
      </c>
      <c r="S97" s="34"/>
      <c r="T97" s="2"/>
      <c r="U97" s="34"/>
      <c r="V97" s="33"/>
      <c r="W97" s="33" t="s">
        <v>279</v>
      </c>
      <c r="X97" s="33"/>
      <c r="Y97" s="33"/>
      <c r="Z97"/>
      <c r="AD97"/>
      <c r="AE97"/>
      <c r="AF97"/>
      <c r="AG97"/>
    </row>
    <row r="98" spans="1:33" ht="16.149999999999999" customHeight="1" x14ac:dyDescent="0.15">
      <c r="A98" s="6">
        <v>92</v>
      </c>
      <c r="B98" s="18" t="s">
        <v>75</v>
      </c>
      <c r="C98" s="34" t="s">
        <v>57</v>
      </c>
      <c r="D98" s="43" t="s">
        <v>280</v>
      </c>
      <c r="E98" s="77" t="s">
        <v>169</v>
      </c>
      <c r="F98" s="19">
        <v>15125</v>
      </c>
      <c r="G98" s="6">
        <v>13</v>
      </c>
      <c r="H98" s="6" t="s">
        <v>281</v>
      </c>
      <c r="I98" s="2"/>
      <c r="J98" s="38" t="s">
        <v>171</v>
      </c>
      <c r="K98" s="6" t="s">
        <v>177</v>
      </c>
      <c r="L98" s="38" t="s">
        <v>173</v>
      </c>
      <c r="M98" s="2"/>
      <c r="N98" s="113"/>
      <c r="O98" s="45" t="s">
        <v>62</v>
      </c>
      <c r="P98" s="2" t="s">
        <v>62</v>
      </c>
      <c r="Q98" s="38" t="s">
        <v>62</v>
      </c>
      <c r="R98" s="36" t="s">
        <v>62</v>
      </c>
      <c r="S98" s="34"/>
      <c r="T98" s="2"/>
      <c r="U98" s="34"/>
      <c r="V98" s="33"/>
      <c r="W98" s="33" t="s">
        <v>282</v>
      </c>
      <c r="X98" s="33"/>
      <c r="Y98" s="33"/>
      <c r="Z98"/>
      <c r="AD98"/>
      <c r="AE98"/>
      <c r="AF98"/>
      <c r="AG98"/>
    </row>
    <row r="99" spans="1:33" ht="16.149999999999999" customHeight="1" x14ac:dyDescent="0.15">
      <c r="A99" s="6">
        <v>93</v>
      </c>
      <c r="B99" s="18" t="s">
        <v>75</v>
      </c>
      <c r="C99" s="34" t="s">
        <v>57</v>
      </c>
      <c r="D99" s="43" t="s">
        <v>283</v>
      </c>
      <c r="E99" s="77" t="s">
        <v>169</v>
      </c>
      <c r="F99" s="19">
        <v>15125</v>
      </c>
      <c r="G99" s="6">
        <v>14</v>
      </c>
      <c r="H99" s="6" t="s">
        <v>284</v>
      </c>
      <c r="I99" s="2"/>
      <c r="J99" s="38" t="s">
        <v>171</v>
      </c>
      <c r="K99" s="6" t="s">
        <v>285</v>
      </c>
      <c r="L99" s="38" t="s">
        <v>286</v>
      </c>
      <c r="M99" s="6"/>
      <c r="N99" s="113"/>
      <c r="O99" s="45" t="s">
        <v>62</v>
      </c>
      <c r="P99" s="2" t="s">
        <v>62</v>
      </c>
      <c r="Q99" s="38" t="s">
        <v>62</v>
      </c>
      <c r="R99" s="36" t="s">
        <v>62</v>
      </c>
      <c r="S99" s="34"/>
      <c r="T99" s="2"/>
      <c r="U99" s="34"/>
      <c r="V99" s="33"/>
      <c r="W99" s="33" t="s">
        <v>287</v>
      </c>
      <c r="X99" s="33"/>
      <c r="Y99" s="33"/>
      <c r="Z99"/>
      <c r="AD99"/>
      <c r="AE99"/>
      <c r="AF99"/>
      <c r="AG99"/>
    </row>
    <row r="100" spans="1:33" ht="16.149999999999999" customHeight="1" x14ac:dyDescent="0.15">
      <c r="A100" s="6">
        <v>94</v>
      </c>
      <c r="B100" s="18" t="s">
        <v>75</v>
      </c>
      <c r="C100" s="34" t="s">
        <v>57</v>
      </c>
      <c r="D100" s="15" t="s">
        <v>288</v>
      </c>
      <c r="E100" s="2" t="s">
        <v>165</v>
      </c>
      <c r="F100" s="19">
        <v>15126</v>
      </c>
      <c r="G100" s="6"/>
      <c r="H100" s="6" t="s">
        <v>289</v>
      </c>
      <c r="I100" s="2"/>
      <c r="J100" s="38"/>
      <c r="K100" s="6"/>
      <c r="L100" s="38"/>
      <c r="M100" s="6" t="s">
        <v>61</v>
      </c>
      <c r="N100" s="38"/>
      <c r="O100" s="38" t="s">
        <v>62</v>
      </c>
      <c r="P100" s="38" t="s">
        <v>62</v>
      </c>
      <c r="Q100" s="38" t="s">
        <v>62</v>
      </c>
      <c r="R100" s="38" t="s">
        <v>62</v>
      </c>
      <c r="S100" s="34"/>
      <c r="T100" s="2"/>
      <c r="U100" s="34"/>
      <c r="V100" s="34"/>
      <c r="W100" s="77" t="s">
        <v>290</v>
      </c>
      <c r="X100" s="34"/>
      <c r="Y100" s="2"/>
      <c r="Z100"/>
      <c r="AD100"/>
      <c r="AE100"/>
      <c r="AF100"/>
      <c r="AG100"/>
    </row>
    <row r="101" spans="1:33" ht="16.149999999999999" customHeight="1" x14ac:dyDescent="0.15">
      <c r="A101" s="6">
        <v>95</v>
      </c>
      <c r="B101" s="18" t="s">
        <v>75</v>
      </c>
      <c r="C101" s="34" t="s">
        <v>57</v>
      </c>
      <c r="D101" s="43" t="s">
        <v>7207</v>
      </c>
      <c r="E101" s="77" t="s">
        <v>169</v>
      </c>
      <c r="F101" s="19">
        <v>15126</v>
      </c>
      <c r="G101" s="6">
        <v>0</v>
      </c>
      <c r="H101" s="6" t="s">
        <v>8080</v>
      </c>
      <c r="I101" s="2"/>
      <c r="J101" s="38" t="s">
        <v>171</v>
      </c>
      <c r="K101" s="6" t="s">
        <v>177</v>
      </c>
      <c r="L101" s="38" t="s">
        <v>173</v>
      </c>
      <c r="M101" s="6"/>
      <c r="N101" s="113"/>
      <c r="O101" s="45" t="s">
        <v>62</v>
      </c>
      <c r="P101" s="2" t="s">
        <v>62</v>
      </c>
      <c r="Q101" s="38" t="s">
        <v>62</v>
      </c>
      <c r="R101" s="36" t="s">
        <v>62</v>
      </c>
      <c r="S101" s="34"/>
      <c r="T101" s="2"/>
      <c r="U101" s="34"/>
      <c r="V101" s="33"/>
      <c r="W101" s="33" t="s">
        <v>8235</v>
      </c>
      <c r="X101" s="33"/>
      <c r="Y101" s="33"/>
      <c r="Z101"/>
      <c r="AD101"/>
      <c r="AE101"/>
      <c r="AF101"/>
      <c r="AG101"/>
    </row>
    <row r="102" spans="1:33" ht="16.149999999999999" customHeight="1" x14ac:dyDescent="0.15">
      <c r="A102" s="6">
        <v>96</v>
      </c>
      <c r="B102" s="18" t="s">
        <v>75</v>
      </c>
      <c r="C102" s="34" t="s">
        <v>57</v>
      </c>
      <c r="D102" s="43" t="s">
        <v>7208</v>
      </c>
      <c r="E102" s="77" t="s">
        <v>169</v>
      </c>
      <c r="F102" s="19">
        <v>15126</v>
      </c>
      <c r="G102" s="6">
        <v>3</v>
      </c>
      <c r="H102" s="6" t="s">
        <v>8081</v>
      </c>
      <c r="I102" s="2"/>
      <c r="J102" s="38" t="s">
        <v>171</v>
      </c>
      <c r="K102" s="6" t="s">
        <v>177</v>
      </c>
      <c r="L102" s="38" t="s">
        <v>173</v>
      </c>
      <c r="M102" s="6"/>
      <c r="N102" s="113"/>
      <c r="O102" s="45" t="s">
        <v>62</v>
      </c>
      <c r="P102" s="2" t="s">
        <v>62</v>
      </c>
      <c r="Q102" s="38" t="s">
        <v>62</v>
      </c>
      <c r="R102" s="36" t="s">
        <v>62</v>
      </c>
      <c r="S102" s="34"/>
      <c r="T102" s="2"/>
      <c r="U102" s="34"/>
      <c r="V102" s="33"/>
      <c r="W102" s="33" t="s">
        <v>8236</v>
      </c>
      <c r="X102" s="33"/>
      <c r="Y102" s="33"/>
      <c r="Z102"/>
      <c r="AD102"/>
      <c r="AE102"/>
      <c r="AF102"/>
      <c r="AG102"/>
    </row>
    <row r="103" spans="1:33" ht="16.149999999999999" customHeight="1" x14ac:dyDescent="0.15">
      <c r="A103" s="6">
        <v>97</v>
      </c>
      <c r="B103" s="18" t="s">
        <v>75</v>
      </c>
      <c r="C103" s="34" t="s">
        <v>57</v>
      </c>
      <c r="D103" s="15" t="s">
        <v>316</v>
      </c>
      <c r="E103" s="2" t="s">
        <v>219</v>
      </c>
      <c r="F103" s="19">
        <v>15128</v>
      </c>
      <c r="G103" s="6"/>
      <c r="H103" s="6" t="s">
        <v>317</v>
      </c>
      <c r="I103" s="2"/>
      <c r="J103" s="38"/>
      <c r="K103" s="6"/>
      <c r="L103" s="38"/>
      <c r="M103" s="6" t="s">
        <v>61</v>
      </c>
      <c r="N103" s="38"/>
      <c r="O103" s="38" t="s">
        <v>62</v>
      </c>
      <c r="P103" s="38" t="s">
        <v>62</v>
      </c>
      <c r="Q103" s="38" t="s">
        <v>62</v>
      </c>
      <c r="R103" s="38" t="s">
        <v>62</v>
      </c>
      <c r="S103" s="34"/>
      <c r="T103" s="2"/>
      <c r="U103" s="34"/>
      <c r="V103" s="34"/>
      <c r="W103" s="77" t="s">
        <v>318</v>
      </c>
      <c r="X103" s="34"/>
      <c r="Y103" s="2"/>
      <c r="Z103"/>
      <c r="AD103"/>
      <c r="AE103"/>
      <c r="AF103"/>
      <c r="AG103"/>
    </row>
    <row r="104" spans="1:33" ht="16.149999999999999" customHeight="1" x14ac:dyDescent="0.15">
      <c r="A104" s="6">
        <v>98</v>
      </c>
      <c r="B104" s="18" t="s">
        <v>75</v>
      </c>
      <c r="C104" s="34" t="s">
        <v>57</v>
      </c>
      <c r="D104" s="43" t="s">
        <v>319</v>
      </c>
      <c r="E104" s="77" t="s">
        <v>169</v>
      </c>
      <c r="F104" s="19">
        <v>15128</v>
      </c>
      <c r="G104" s="6">
        <v>0</v>
      </c>
      <c r="H104" s="6" t="s">
        <v>320</v>
      </c>
      <c r="I104" s="2"/>
      <c r="J104" s="38" t="s">
        <v>196</v>
      </c>
      <c r="K104" s="6" t="s">
        <v>940</v>
      </c>
      <c r="L104" s="38" t="s">
        <v>941</v>
      </c>
      <c r="M104" s="6"/>
      <c r="N104" s="113"/>
      <c r="O104" s="45" t="s">
        <v>62</v>
      </c>
      <c r="P104" s="2" t="s">
        <v>62</v>
      </c>
      <c r="Q104" s="38" t="s">
        <v>62</v>
      </c>
      <c r="R104" s="36" t="s">
        <v>62</v>
      </c>
      <c r="S104" s="34"/>
      <c r="T104" s="2"/>
      <c r="U104" s="34"/>
      <c r="V104" s="33"/>
      <c r="W104" s="33" t="s">
        <v>321</v>
      </c>
      <c r="X104" s="33"/>
      <c r="Y104" s="33"/>
      <c r="Z104"/>
      <c r="AD104"/>
      <c r="AE104"/>
      <c r="AF104"/>
      <c r="AG104"/>
    </row>
    <row r="105" spans="1:33" ht="16.149999999999999" customHeight="1" x14ac:dyDescent="0.15">
      <c r="A105" s="6">
        <v>99</v>
      </c>
      <c r="B105" s="18" t="s">
        <v>75</v>
      </c>
      <c r="C105" s="34" t="s">
        <v>57</v>
      </c>
      <c r="D105" s="43" t="s">
        <v>322</v>
      </c>
      <c r="E105" s="77" t="s">
        <v>169</v>
      </c>
      <c r="F105" s="19">
        <v>15128</v>
      </c>
      <c r="G105" s="6">
        <v>1</v>
      </c>
      <c r="H105" s="6" t="s">
        <v>323</v>
      </c>
      <c r="I105" s="2"/>
      <c r="J105" s="38" t="s">
        <v>196</v>
      </c>
      <c r="K105" s="6" t="s">
        <v>941</v>
      </c>
      <c r="L105" s="38" t="s">
        <v>940</v>
      </c>
      <c r="M105" s="6"/>
      <c r="N105" s="113"/>
      <c r="O105" s="45" t="s">
        <v>62</v>
      </c>
      <c r="P105" s="2" t="s">
        <v>62</v>
      </c>
      <c r="Q105" s="38" t="s">
        <v>62</v>
      </c>
      <c r="R105" s="36" t="s">
        <v>62</v>
      </c>
      <c r="S105" s="34"/>
      <c r="T105" s="2"/>
      <c r="U105" s="34"/>
      <c r="V105" s="33"/>
      <c r="W105" s="33" t="s">
        <v>324</v>
      </c>
      <c r="X105" s="33"/>
      <c r="Y105" s="33"/>
      <c r="Z105"/>
      <c r="AD105"/>
      <c r="AE105"/>
      <c r="AF105"/>
      <c r="AG105"/>
    </row>
    <row r="106" spans="1:33" ht="16.149999999999999" customHeight="1" x14ac:dyDescent="0.15">
      <c r="A106" s="6">
        <v>100</v>
      </c>
      <c r="B106" s="18" t="s">
        <v>75</v>
      </c>
      <c r="C106" s="34" t="s">
        <v>57</v>
      </c>
      <c r="D106" s="43" t="s">
        <v>325</v>
      </c>
      <c r="E106" s="77" t="s">
        <v>169</v>
      </c>
      <c r="F106" s="19">
        <v>15128</v>
      </c>
      <c r="G106" s="6">
        <v>2</v>
      </c>
      <c r="H106" s="6" t="s">
        <v>326</v>
      </c>
      <c r="I106" s="2"/>
      <c r="J106" s="38" t="s">
        <v>196</v>
      </c>
      <c r="K106" s="6" t="s">
        <v>941</v>
      </c>
      <c r="L106" s="38" t="s">
        <v>940</v>
      </c>
      <c r="M106" s="2"/>
      <c r="N106" s="113"/>
      <c r="O106" s="45" t="s">
        <v>62</v>
      </c>
      <c r="P106" s="2" t="s">
        <v>62</v>
      </c>
      <c r="Q106" s="38" t="s">
        <v>62</v>
      </c>
      <c r="R106" s="36" t="s">
        <v>62</v>
      </c>
      <c r="S106" s="34"/>
      <c r="T106" s="2"/>
      <c r="U106" s="34"/>
      <c r="V106" s="33"/>
      <c r="W106" s="33" t="s">
        <v>327</v>
      </c>
      <c r="X106" s="33"/>
      <c r="Y106" s="33"/>
      <c r="Z106"/>
      <c r="AD106"/>
      <c r="AE106"/>
      <c r="AF106"/>
      <c r="AG106"/>
    </row>
    <row r="107" spans="1:33" ht="16.149999999999999" customHeight="1" x14ac:dyDescent="0.15">
      <c r="A107" s="6">
        <v>101</v>
      </c>
      <c r="B107" s="18" t="s">
        <v>75</v>
      </c>
      <c r="C107" s="34" t="s">
        <v>57</v>
      </c>
      <c r="D107" s="43" t="s">
        <v>328</v>
      </c>
      <c r="E107" s="77" t="s">
        <v>169</v>
      </c>
      <c r="F107" s="19">
        <v>15128</v>
      </c>
      <c r="G107" s="6">
        <v>3</v>
      </c>
      <c r="H107" s="6" t="s">
        <v>329</v>
      </c>
      <c r="I107" s="2"/>
      <c r="J107" s="38" t="s">
        <v>196</v>
      </c>
      <c r="K107" s="6" t="s">
        <v>941</v>
      </c>
      <c r="L107" s="38" t="s">
        <v>940</v>
      </c>
      <c r="M107" s="2"/>
      <c r="N107" s="113"/>
      <c r="O107" s="45" t="s">
        <v>62</v>
      </c>
      <c r="P107" s="2" t="s">
        <v>62</v>
      </c>
      <c r="Q107" s="38" t="s">
        <v>62</v>
      </c>
      <c r="R107" s="36" t="s">
        <v>62</v>
      </c>
      <c r="S107" s="34"/>
      <c r="T107" s="2"/>
      <c r="U107" s="34"/>
      <c r="V107" s="33"/>
      <c r="W107" s="33" t="s">
        <v>330</v>
      </c>
      <c r="X107" s="33"/>
      <c r="Y107" s="33"/>
      <c r="Z107"/>
      <c r="AD107"/>
      <c r="AE107"/>
      <c r="AF107"/>
      <c r="AG107"/>
    </row>
    <row r="108" spans="1:33" ht="16.149999999999999" customHeight="1" x14ac:dyDescent="0.15">
      <c r="A108" s="6">
        <v>102</v>
      </c>
      <c r="B108" s="18" t="s">
        <v>75</v>
      </c>
      <c r="C108" s="34" t="s">
        <v>57</v>
      </c>
      <c r="D108" s="43" t="s">
        <v>331</v>
      </c>
      <c r="E108" s="77" t="s">
        <v>169</v>
      </c>
      <c r="F108" s="19">
        <v>15128</v>
      </c>
      <c r="G108" s="6">
        <v>4</v>
      </c>
      <c r="H108" s="6" t="s">
        <v>332</v>
      </c>
      <c r="I108" s="2"/>
      <c r="J108" s="38" t="s">
        <v>196</v>
      </c>
      <c r="K108" s="6" t="s">
        <v>940</v>
      </c>
      <c r="L108" s="38" t="s">
        <v>941</v>
      </c>
      <c r="M108" s="2"/>
      <c r="N108" s="113"/>
      <c r="O108" s="45" t="s">
        <v>62</v>
      </c>
      <c r="P108" s="2" t="s">
        <v>62</v>
      </c>
      <c r="Q108" s="38" t="s">
        <v>62</v>
      </c>
      <c r="R108" s="36" t="s">
        <v>62</v>
      </c>
      <c r="S108" s="34"/>
      <c r="T108" s="2"/>
      <c r="U108" s="34"/>
      <c r="V108" s="33"/>
      <c r="W108" s="33" t="s">
        <v>333</v>
      </c>
      <c r="X108" s="33"/>
      <c r="Y108" s="33"/>
      <c r="Z108"/>
      <c r="AD108"/>
      <c r="AE108"/>
      <c r="AF108"/>
      <c r="AG108"/>
    </row>
    <row r="109" spans="1:33" ht="16.149999999999999" customHeight="1" x14ac:dyDescent="0.15">
      <c r="A109" s="6">
        <v>103</v>
      </c>
      <c r="B109" s="18" t="s">
        <v>75</v>
      </c>
      <c r="C109" s="34" t="s">
        <v>57</v>
      </c>
      <c r="D109" s="43" t="s">
        <v>334</v>
      </c>
      <c r="E109" s="77" t="s">
        <v>169</v>
      </c>
      <c r="F109" s="19">
        <v>15128</v>
      </c>
      <c r="G109" s="6">
        <v>5</v>
      </c>
      <c r="H109" s="6" t="s">
        <v>335</v>
      </c>
      <c r="I109" s="2"/>
      <c r="J109" s="38" t="s">
        <v>196</v>
      </c>
      <c r="K109" s="6" t="s">
        <v>940</v>
      </c>
      <c r="L109" s="38" t="s">
        <v>941</v>
      </c>
      <c r="M109" s="2"/>
      <c r="N109" s="113"/>
      <c r="O109" s="45" t="s">
        <v>62</v>
      </c>
      <c r="P109" s="2" t="s">
        <v>62</v>
      </c>
      <c r="Q109" s="38" t="s">
        <v>62</v>
      </c>
      <c r="R109" s="36" t="s">
        <v>62</v>
      </c>
      <c r="S109" s="34"/>
      <c r="T109" s="2"/>
      <c r="U109" s="34"/>
      <c r="V109" s="33"/>
      <c r="W109" s="33" t="s">
        <v>336</v>
      </c>
      <c r="X109" s="33"/>
      <c r="Y109" s="33"/>
      <c r="Z109"/>
      <c r="AD109"/>
      <c r="AE109"/>
      <c r="AF109"/>
      <c r="AG109"/>
    </row>
    <row r="110" spans="1:33" ht="16.149999999999999" customHeight="1" x14ac:dyDescent="0.15">
      <c r="A110" s="6">
        <v>104</v>
      </c>
      <c r="B110" s="18" t="s">
        <v>75</v>
      </c>
      <c r="C110" s="34" t="s">
        <v>57</v>
      </c>
      <c r="D110" s="43" t="s">
        <v>337</v>
      </c>
      <c r="E110" s="77" t="s">
        <v>169</v>
      </c>
      <c r="F110" s="19">
        <v>15128</v>
      </c>
      <c r="G110" s="6">
        <v>6</v>
      </c>
      <c r="H110" s="6" t="s">
        <v>338</v>
      </c>
      <c r="I110" s="2"/>
      <c r="J110" s="38" t="s">
        <v>196</v>
      </c>
      <c r="K110" s="6" t="s">
        <v>940</v>
      </c>
      <c r="L110" s="38" t="s">
        <v>941</v>
      </c>
      <c r="M110" s="2"/>
      <c r="N110" s="113"/>
      <c r="O110" s="45" t="s">
        <v>62</v>
      </c>
      <c r="P110" s="2" t="s">
        <v>62</v>
      </c>
      <c r="Q110" s="38" t="s">
        <v>62</v>
      </c>
      <c r="R110" s="36" t="s">
        <v>62</v>
      </c>
      <c r="S110" s="34"/>
      <c r="T110" s="2"/>
      <c r="U110" s="34"/>
      <c r="V110" s="33"/>
      <c r="W110" s="33" t="s">
        <v>339</v>
      </c>
      <c r="X110" s="33"/>
      <c r="Y110" s="33"/>
      <c r="Z110"/>
      <c r="AD110"/>
      <c r="AE110"/>
      <c r="AF110"/>
      <c r="AG110"/>
    </row>
    <row r="111" spans="1:33" ht="16.149999999999999" customHeight="1" x14ac:dyDescent="0.15">
      <c r="A111" s="6">
        <v>105</v>
      </c>
      <c r="B111" s="18" t="s">
        <v>75</v>
      </c>
      <c r="C111" s="34" t="s">
        <v>57</v>
      </c>
      <c r="D111" s="43" t="s">
        <v>340</v>
      </c>
      <c r="E111" s="77" t="s">
        <v>169</v>
      </c>
      <c r="F111" s="19">
        <v>15128</v>
      </c>
      <c r="G111" s="6">
        <v>7</v>
      </c>
      <c r="H111" s="6" t="s">
        <v>341</v>
      </c>
      <c r="I111" s="2"/>
      <c r="J111" s="38" t="s">
        <v>196</v>
      </c>
      <c r="K111" s="6" t="s">
        <v>940</v>
      </c>
      <c r="L111" s="38" t="s">
        <v>941</v>
      </c>
      <c r="M111" s="2"/>
      <c r="N111" s="113"/>
      <c r="O111" s="45" t="s">
        <v>62</v>
      </c>
      <c r="P111" s="2" t="s">
        <v>62</v>
      </c>
      <c r="Q111" s="38" t="s">
        <v>62</v>
      </c>
      <c r="R111" s="36" t="s">
        <v>62</v>
      </c>
      <c r="S111" s="34"/>
      <c r="T111" s="2"/>
      <c r="U111" s="34"/>
      <c r="V111" s="33"/>
      <c r="W111" s="33" t="s">
        <v>342</v>
      </c>
      <c r="X111" s="33"/>
      <c r="Y111" s="33"/>
      <c r="Z111"/>
      <c r="AD111"/>
      <c r="AE111"/>
      <c r="AF111"/>
      <c r="AG111"/>
    </row>
    <row r="112" spans="1:33" ht="16.149999999999999" customHeight="1" x14ac:dyDescent="0.15">
      <c r="A112" s="6">
        <v>106</v>
      </c>
      <c r="B112" s="18" t="s">
        <v>75</v>
      </c>
      <c r="C112" s="34" t="s">
        <v>57</v>
      </c>
      <c r="D112" s="43" t="s">
        <v>343</v>
      </c>
      <c r="E112" s="77" t="s">
        <v>169</v>
      </c>
      <c r="F112" s="19">
        <v>15128</v>
      </c>
      <c r="G112" s="6">
        <v>8</v>
      </c>
      <c r="H112" s="6" t="s">
        <v>344</v>
      </c>
      <c r="I112" s="2"/>
      <c r="J112" s="38" t="s">
        <v>196</v>
      </c>
      <c r="K112" s="6" t="s">
        <v>940</v>
      </c>
      <c r="L112" s="38" t="s">
        <v>941</v>
      </c>
      <c r="M112" s="2"/>
      <c r="N112" s="113"/>
      <c r="O112" s="45" t="s">
        <v>62</v>
      </c>
      <c r="P112" s="2" t="s">
        <v>62</v>
      </c>
      <c r="Q112" s="38" t="s">
        <v>62</v>
      </c>
      <c r="R112" s="36" t="s">
        <v>62</v>
      </c>
      <c r="S112" s="34"/>
      <c r="T112" s="2"/>
      <c r="U112" s="34"/>
      <c r="V112" s="33"/>
      <c r="W112" s="33" t="s">
        <v>345</v>
      </c>
      <c r="X112" s="33"/>
      <c r="Y112" s="33"/>
      <c r="Z112"/>
      <c r="AD112"/>
      <c r="AE112"/>
      <c r="AF112"/>
      <c r="AG112"/>
    </row>
    <row r="113" spans="1:33" ht="16.149999999999999" customHeight="1" x14ac:dyDescent="0.15">
      <c r="A113" s="6">
        <v>107</v>
      </c>
      <c r="B113" s="18" t="s">
        <v>75</v>
      </c>
      <c r="C113" s="34" t="s">
        <v>57</v>
      </c>
      <c r="D113" s="43" t="s">
        <v>346</v>
      </c>
      <c r="E113" s="77" t="s">
        <v>169</v>
      </c>
      <c r="F113" s="19">
        <v>15128</v>
      </c>
      <c r="G113" s="6">
        <v>9</v>
      </c>
      <c r="H113" s="6" t="s">
        <v>347</v>
      </c>
      <c r="I113" s="2"/>
      <c r="J113" s="38" t="s">
        <v>196</v>
      </c>
      <c r="K113" s="6" t="s">
        <v>940</v>
      </c>
      <c r="L113" s="38" t="s">
        <v>941</v>
      </c>
      <c r="M113" s="2"/>
      <c r="N113" s="113"/>
      <c r="O113" s="45" t="s">
        <v>62</v>
      </c>
      <c r="P113" s="2" t="s">
        <v>62</v>
      </c>
      <c r="Q113" s="38" t="s">
        <v>62</v>
      </c>
      <c r="R113" s="36" t="s">
        <v>62</v>
      </c>
      <c r="S113" s="34"/>
      <c r="T113" s="2"/>
      <c r="U113" s="34"/>
      <c r="V113" s="33"/>
      <c r="W113" s="33" t="s">
        <v>348</v>
      </c>
      <c r="X113" s="33"/>
      <c r="Y113" s="33"/>
      <c r="Z113"/>
      <c r="AD113"/>
      <c r="AE113"/>
      <c r="AF113"/>
      <c r="AG113"/>
    </row>
    <row r="114" spans="1:33" ht="16.149999999999999" customHeight="1" x14ac:dyDescent="0.15">
      <c r="A114" s="6">
        <v>108</v>
      </c>
      <c r="B114" s="18" t="s">
        <v>75</v>
      </c>
      <c r="C114" s="34" t="s">
        <v>57</v>
      </c>
      <c r="D114" s="43" t="s">
        <v>349</v>
      </c>
      <c r="E114" s="77" t="s">
        <v>169</v>
      </c>
      <c r="F114" s="19">
        <v>15128</v>
      </c>
      <c r="G114" s="6">
        <v>10</v>
      </c>
      <c r="H114" s="6" t="s">
        <v>350</v>
      </c>
      <c r="I114" s="2"/>
      <c r="J114" s="38" t="s">
        <v>196</v>
      </c>
      <c r="K114" s="6" t="s">
        <v>940</v>
      </c>
      <c r="L114" s="38" t="s">
        <v>941</v>
      </c>
      <c r="M114" s="2"/>
      <c r="N114" s="113"/>
      <c r="O114" s="45" t="s">
        <v>62</v>
      </c>
      <c r="P114" s="2" t="s">
        <v>62</v>
      </c>
      <c r="Q114" s="38" t="s">
        <v>62</v>
      </c>
      <c r="R114" s="36" t="s">
        <v>62</v>
      </c>
      <c r="S114" s="34"/>
      <c r="T114" s="2"/>
      <c r="U114" s="34"/>
      <c r="V114" s="33"/>
      <c r="W114" s="33" t="s">
        <v>351</v>
      </c>
      <c r="X114" s="33"/>
      <c r="Y114" s="33"/>
      <c r="Z114"/>
      <c r="AD114"/>
      <c r="AE114"/>
      <c r="AF114"/>
      <c r="AG114"/>
    </row>
    <row r="115" spans="1:33" ht="16.149999999999999" customHeight="1" x14ac:dyDescent="0.15">
      <c r="A115" s="6">
        <v>109</v>
      </c>
      <c r="B115" s="18" t="s">
        <v>75</v>
      </c>
      <c r="C115" s="34" t="s">
        <v>57</v>
      </c>
      <c r="D115" s="43" t="s">
        <v>352</v>
      </c>
      <c r="E115" s="77" t="s">
        <v>169</v>
      </c>
      <c r="F115" s="19">
        <v>15128</v>
      </c>
      <c r="G115" s="6">
        <v>11</v>
      </c>
      <c r="H115" s="6" t="s">
        <v>353</v>
      </c>
      <c r="I115" s="2"/>
      <c r="J115" s="38" t="s">
        <v>196</v>
      </c>
      <c r="K115" s="6" t="s">
        <v>940</v>
      </c>
      <c r="L115" s="38" t="s">
        <v>941</v>
      </c>
      <c r="M115" s="2"/>
      <c r="N115" s="113"/>
      <c r="O115" s="45" t="s">
        <v>62</v>
      </c>
      <c r="P115" s="2" t="s">
        <v>62</v>
      </c>
      <c r="Q115" s="38" t="s">
        <v>62</v>
      </c>
      <c r="R115" s="36" t="s">
        <v>62</v>
      </c>
      <c r="S115" s="34"/>
      <c r="T115" s="2"/>
      <c r="U115" s="34"/>
      <c r="V115" s="33"/>
      <c r="W115" s="33" t="s">
        <v>354</v>
      </c>
      <c r="X115" s="33"/>
      <c r="Y115" s="33"/>
      <c r="Z115"/>
      <c r="AD115"/>
      <c r="AE115"/>
      <c r="AF115"/>
      <c r="AG115"/>
    </row>
    <row r="116" spans="1:33" ht="16.149999999999999" customHeight="1" x14ac:dyDescent="0.15">
      <c r="A116" s="6">
        <v>110</v>
      </c>
      <c r="B116" s="18" t="s">
        <v>75</v>
      </c>
      <c r="C116" s="34" t="s">
        <v>57</v>
      </c>
      <c r="D116" s="43" t="s">
        <v>355</v>
      </c>
      <c r="E116" s="77" t="s">
        <v>169</v>
      </c>
      <c r="F116" s="19">
        <v>15128</v>
      </c>
      <c r="G116" s="6">
        <v>12</v>
      </c>
      <c r="H116" s="6" t="s">
        <v>356</v>
      </c>
      <c r="I116" s="2"/>
      <c r="J116" s="38" t="s">
        <v>196</v>
      </c>
      <c r="K116" s="6" t="s">
        <v>940</v>
      </c>
      <c r="L116" s="38" t="s">
        <v>941</v>
      </c>
      <c r="M116" s="2"/>
      <c r="N116" s="113"/>
      <c r="O116" s="45" t="s">
        <v>62</v>
      </c>
      <c r="P116" s="2" t="s">
        <v>62</v>
      </c>
      <c r="Q116" s="38" t="s">
        <v>62</v>
      </c>
      <c r="R116" s="36" t="s">
        <v>62</v>
      </c>
      <c r="S116" s="34"/>
      <c r="T116" s="2"/>
      <c r="U116" s="34"/>
      <c r="V116" s="33"/>
      <c r="W116" s="33" t="s">
        <v>357</v>
      </c>
      <c r="X116" s="33"/>
      <c r="Y116" s="33"/>
      <c r="Z116"/>
      <c r="AD116"/>
      <c r="AE116"/>
      <c r="AF116"/>
      <c r="AG116"/>
    </row>
    <row r="117" spans="1:33" ht="16.149999999999999" customHeight="1" x14ac:dyDescent="0.15">
      <c r="A117" s="6">
        <v>111</v>
      </c>
      <c r="B117" s="18" t="s">
        <v>75</v>
      </c>
      <c r="C117" s="34" t="s">
        <v>57</v>
      </c>
      <c r="D117" s="43" t="s">
        <v>358</v>
      </c>
      <c r="E117" s="77" t="s">
        <v>169</v>
      </c>
      <c r="F117" s="19">
        <v>15128</v>
      </c>
      <c r="G117" s="6">
        <v>13</v>
      </c>
      <c r="H117" s="6" t="s">
        <v>359</v>
      </c>
      <c r="I117" s="2"/>
      <c r="J117" s="38" t="s">
        <v>196</v>
      </c>
      <c r="K117" s="6" t="s">
        <v>940</v>
      </c>
      <c r="L117" s="38" t="s">
        <v>941</v>
      </c>
      <c r="M117" s="2"/>
      <c r="N117" s="113"/>
      <c r="O117" s="45" t="s">
        <v>62</v>
      </c>
      <c r="P117" s="2" t="s">
        <v>62</v>
      </c>
      <c r="Q117" s="38" t="s">
        <v>62</v>
      </c>
      <c r="R117" s="36" t="s">
        <v>62</v>
      </c>
      <c r="S117" s="34"/>
      <c r="T117" s="2"/>
      <c r="U117" s="34"/>
      <c r="V117" s="33"/>
      <c r="W117" s="33" t="s">
        <v>360</v>
      </c>
      <c r="X117" s="33"/>
      <c r="Y117" s="33"/>
      <c r="Z117"/>
      <c r="AD117"/>
      <c r="AE117"/>
      <c r="AF117"/>
      <c r="AG117"/>
    </row>
    <row r="118" spans="1:33" ht="16.149999999999999" customHeight="1" x14ac:dyDescent="0.15">
      <c r="A118" s="6">
        <v>112</v>
      </c>
      <c r="B118" s="18" t="s">
        <v>75</v>
      </c>
      <c r="C118" s="34" t="s">
        <v>57</v>
      </c>
      <c r="D118" s="43" t="s">
        <v>361</v>
      </c>
      <c r="E118" s="77" t="s">
        <v>169</v>
      </c>
      <c r="F118" s="19">
        <v>15128</v>
      </c>
      <c r="G118" s="6">
        <v>14</v>
      </c>
      <c r="H118" s="6" t="s">
        <v>362</v>
      </c>
      <c r="I118" s="2"/>
      <c r="J118" s="38" t="s">
        <v>196</v>
      </c>
      <c r="K118" s="6" t="s">
        <v>940</v>
      </c>
      <c r="L118" s="38" t="s">
        <v>941</v>
      </c>
      <c r="M118" s="2"/>
      <c r="N118" s="113"/>
      <c r="O118" s="45" t="s">
        <v>62</v>
      </c>
      <c r="P118" s="2" t="s">
        <v>62</v>
      </c>
      <c r="Q118" s="38" t="s">
        <v>62</v>
      </c>
      <c r="R118" s="36" t="s">
        <v>62</v>
      </c>
      <c r="S118" s="34"/>
      <c r="T118" s="2"/>
      <c r="U118" s="34"/>
      <c r="V118" s="33"/>
      <c r="W118" s="33" t="s">
        <v>363</v>
      </c>
      <c r="X118" s="33"/>
      <c r="Y118" s="33"/>
      <c r="Z118"/>
      <c r="AD118"/>
      <c r="AE118"/>
      <c r="AF118"/>
      <c r="AG118"/>
    </row>
    <row r="119" spans="1:33" ht="16.149999999999999" customHeight="1" x14ac:dyDescent="0.15">
      <c r="A119" s="6">
        <v>113</v>
      </c>
      <c r="B119" s="18" t="s">
        <v>75</v>
      </c>
      <c r="C119" s="34" t="s">
        <v>57</v>
      </c>
      <c r="D119" s="43" t="s">
        <v>364</v>
      </c>
      <c r="E119" s="77" t="s">
        <v>169</v>
      </c>
      <c r="F119" s="19">
        <v>15128</v>
      </c>
      <c r="G119" s="6">
        <v>15</v>
      </c>
      <c r="H119" s="6" t="s">
        <v>365</v>
      </c>
      <c r="I119" s="2"/>
      <c r="J119" s="38" t="s">
        <v>196</v>
      </c>
      <c r="K119" s="6" t="s">
        <v>940</v>
      </c>
      <c r="L119" s="38" t="s">
        <v>941</v>
      </c>
      <c r="M119" s="2"/>
      <c r="N119" s="113"/>
      <c r="O119" s="45" t="s">
        <v>62</v>
      </c>
      <c r="P119" s="2" t="s">
        <v>62</v>
      </c>
      <c r="Q119" s="38" t="s">
        <v>62</v>
      </c>
      <c r="R119" s="36" t="s">
        <v>62</v>
      </c>
      <c r="S119" s="34"/>
      <c r="T119" s="2"/>
      <c r="U119" s="34"/>
      <c r="V119" s="33"/>
      <c r="W119" s="33" t="s">
        <v>366</v>
      </c>
      <c r="X119" s="33"/>
      <c r="Y119" s="33"/>
      <c r="Z119"/>
      <c r="AD119"/>
      <c r="AE119"/>
      <c r="AF119"/>
      <c r="AG119"/>
    </row>
    <row r="120" spans="1:33" ht="16.149999999999999" customHeight="1" x14ac:dyDescent="0.15">
      <c r="A120" s="6">
        <v>114</v>
      </c>
      <c r="B120" s="18" t="s">
        <v>75</v>
      </c>
      <c r="C120" s="34" t="s">
        <v>57</v>
      </c>
      <c r="D120" s="43" t="s">
        <v>367</v>
      </c>
      <c r="E120" s="77" t="s">
        <v>169</v>
      </c>
      <c r="F120" s="19">
        <v>15128</v>
      </c>
      <c r="G120" s="6">
        <v>16</v>
      </c>
      <c r="H120" s="6" t="s">
        <v>368</v>
      </c>
      <c r="I120" s="2"/>
      <c r="J120" s="38" t="s">
        <v>196</v>
      </c>
      <c r="K120" s="6" t="s">
        <v>940</v>
      </c>
      <c r="L120" s="38" t="s">
        <v>941</v>
      </c>
      <c r="M120" s="2"/>
      <c r="N120" s="113"/>
      <c r="O120" s="45" t="s">
        <v>62</v>
      </c>
      <c r="P120" s="2" t="s">
        <v>62</v>
      </c>
      <c r="Q120" s="38" t="s">
        <v>62</v>
      </c>
      <c r="R120" s="36" t="s">
        <v>62</v>
      </c>
      <c r="S120" s="34"/>
      <c r="T120" s="2"/>
      <c r="U120" s="34"/>
      <c r="V120" s="33"/>
      <c r="W120" s="33" t="s">
        <v>369</v>
      </c>
      <c r="X120" s="33"/>
      <c r="Y120" s="33"/>
      <c r="Z120"/>
      <c r="AD120"/>
      <c r="AE120"/>
      <c r="AF120"/>
      <c r="AG120"/>
    </row>
    <row r="121" spans="1:33" ht="16.149999999999999" customHeight="1" x14ac:dyDescent="0.15">
      <c r="A121" s="6">
        <v>115</v>
      </c>
      <c r="B121" s="18" t="s">
        <v>75</v>
      </c>
      <c r="C121" s="34" t="s">
        <v>57</v>
      </c>
      <c r="D121" s="43" t="s">
        <v>370</v>
      </c>
      <c r="E121" s="77" t="s">
        <v>169</v>
      </c>
      <c r="F121" s="19">
        <v>15128</v>
      </c>
      <c r="G121" s="6">
        <v>17</v>
      </c>
      <c r="H121" s="6" t="s">
        <v>371</v>
      </c>
      <c r="I121" s="2"/>
      <c r="J121" s="38" t="s">
        <v>196</v>
      </c>
      <c r="K121" s="6" t="s">
        <v>940</v>
      </c>
      <c r="L121" s="38" t="s">
        <v>941</v>
      </c>
      <c r="M121" s="2"/>
      <c r="N121" s="113"/>
      <c r="O121" s="45" t="s">
        <v>62</v>
      </c>
      <c r="P121" s="2" t="s">
        <v>62</v>
      </c>
      <c r="Q121" s="38" t="s">
        <v>62</v>
      </c>
      <c r="R121" s="36" t="s">
        <v>62</v>
      </c>
      <c r="S121" s="34"/>
      <c r="T121" s="2"/>
      <c r="U121" s="34"/>
      <c r="V121" s="33"/>
      <c r="W121" s="33" t="s">
        <v>372</v>
      </c>
      <c r="X121" s="33"/>
      <c r="Y121" s="33"/>
      <c r="Z121"/>
      <c r="AD121"/>
      <c r="AE121"/>
      <c r="AF121"/>
      <c r="AG121"/>
    </row>
    <row r="122" spans="1:33" ht="16.149999999999999" customHeight="1" x14ac:dyDescent="0.15">
      <c r="A122" s="6">
        <v>116</v>
      </c>
      <c r="B122" s="18" t="s">
        <v>75</v>
      </c>
      <c r="C122" s="34" t="s">
        <v>57</v>
      </c>
      <c r="D122" s="43" t="s">
        <v>373</v>
      </c>
      <c r="E122" s="77" t="s">
        <v>169</v>
      </c>
      <c r="F122" s="19">
        <v>15128</v>
      </c>
      <c r="G122" s="6">
        <v>18</v>
      </c>
      <c r="H122" s="6" t="s">
        <v>374</v>
      </c>
      <c r="I122" s="2"/>
      <c r="J122" s="38" t="s">
        <v>196</v>
      </c>
      <c r="K122" s="6" t="s">
        <v>940</v>
      </c>
      <c r="L122" s="38" t="s">
        <v>941</v>
      </c>
      <c r="M122" s="6"/>
      <c r="N122" s="113"/>
      <c r="O122" s="45" t="s">
        <v>62</v>
      </c>
      <c r="P122" s="2" t="s">
        <v>62</v>
      </c>
      <c r="Q122" s="38" t="s">
        <v>62</v>
      </c>
      <c r="R122" s="36" t="s">
        <v>62</v>
      </c>
      <c r="S122" s="34"/>
      <c r="T122" s="2"/>
      <c r="U122" s="34"/>
      <c r="V122" s="33"/>
      <c r="W122" s="33" t="s">
        <v>375</v>
      </c>
      <c r="X122" s="33"/>
      <c r="Y122" s="33"/>
      <c r="Z122"/>
      <c r="AD122"/>
      <c r="AE122"/>
      <c r="AF122"/>
      <c r="AG122"/>
    </row>
    <row r="123" spans="1:33" ht="16.149999999999999" customHeight="1" x14ac:dyDescent="0.15">
      <c r="A123" s="6">
        <v>117</v>
      </c>
      <c r="B123" s="18" t="s">
        <v>75</v>
      </c>
      <c r="C123" s="34" t="s">
        <v>57</v>
      </c>
      <c r="D123" s="43" t="s">
        <v>376</v>
      </c>
      <c r="E123" s="77" t="s">
        <v>169</v>
      </c>
      <c r="F123" s="19">
        <v>15128</v>
      </c>
      <c r="G123" s="6">
        <v>19</v>
      </c>
      <c r="H123" s="6" t="s">
        <v>377</v>
      </c>
      <c r="I123" s="2"/>
      <c r="J123" s="38" t="s">
        <v>196</v>
      </c>
      <c r="K123" s="6" t="s">
        <v>940</v>
      </c>
      <c r="L123" s="38" t="s">
        <v>941</v>
      </c>
      <c r="M123" s="6"/>
      <c r="N123" s="113"/>
      <c r="O123" s="45" t="s">
        <v>62</v>
      </c>
      <c r="P123" s="2" t="s">
        <v>62</v>
      </c>
      <c r="Q123" s="38" t="s">
        <v>62</v>
      </c>
      <c r="R123" s="36" t="s">
        <v>62</v>
      </c>
      <c r="S123" s="34"/>
      <c r="T123" s="2"/>
      <c r="U123" s="34"/>
      <c r="V123" s="33"/>
      <c r="W123" s="33" t="s">
        <v>378</v>
      </c>
      <c r="X123" s="33"/>
      <c r="Y123" s="33"/>
      <c r="Z123"/>
      <c r="AD123"/>
      <c r="AE123"/>
      <c r="AF123"/>
      <c r="AG123"/>
    </row>
    <row r="124" spans="1:33" ht="16.149999999999999" customHeight="1" x14ac:dyDescent="0.15">
      <c r="A124" s="6">
        <v>118</v>
      </c>
      <c r="B124" s="18" t="s">
        <v>75</v>
      </c>
      <c r="C124" s="34" t="s">
        <v>57</v>
      </c>
      <c r="D124" s="43" t="s">
        <v>379</v>
      </c>
      <c r="E124" s="77" t="s">
        <v>169</v>
      </c>
      <c r="F124" s="19">
        <v>15128</v>
      </c>
      <c r="G124" s="6">
        <v>20</v>
      </c>
      <c r="H124" s="6" t="s">
        <v>380</v>
      </c>
      <c r="I124" s="2"/>
      <c r="J124" s="38" t="s">
        <v>196</v>
      </c>
      <c r="K124" s="6" t="s">
        <v>940</v>
      </c>
      <c r="L124" s="38" t="s">
        <v>941</v>
      </c>
      <c r="M124" s="6"/>
      <c r="N124" s="113"/>
      <c r="O124" s="45" t="s">
        <v>62</v>
      </c>
      <c r="P124" s="2" t="s">
        <v>62</v>
      </c>
      <c r="Q124" s="38" t="s">
        <v>62</v>
      </c>
      <c r="R124" s="36" t="s">
        <v>62</v>
      </c>
      <c r="S124" s="34"/>
      <c r="T124" s="2"/>
      <c r="U124" s="34"/>
      <c r="V124" s="33"/>
      <c r="W124" s="33" t="s">
        <v>381</v>
      </c>
      <c r="X124" s="33"/>
      <c r="Y124" s="33"/>
      <c r="Z124"/>
      <c r="AD124"/>
      <c r="AE124"/>
      <c r="AF124"/>
      <c r="AG124"/>
    </row>
    <row r="125" spans="1:33" ht="16.149999999999999" customHeight="1" x14ac:dyDescent="0.15">
      <c r="A125" s="6">
        <v>119</v>
      </c>
      <c r="B125" s="18" t="s">
        <v>75</v>
      </c>
      <c r="C125" s="34" t="s">
        <v>57</v>
      </c>
      <c r="D125" s="15" t="s">
        <v>391</v>
      </c>
      <c r="E125" s="2" t="s">
        <v>219</v>
      </c>
      <c r="F125" s="19">
        <v>15130</v>
      </c>
      <c r="G125" s="6"/>
      <c r="H125" s="6" t="s">
        <v>392</v>
      </c>
      <c r="I125" s="2"/>
      <c r="J125" s="38"/>
      <c r="K125" s="6"/>
      <c r="L125" s="38"/>
      <c r="M125" s="6" t="s">
        <v>61</v>
      </c>
      <c r="N125" s="38"/>
      <c r="O125" s="38" t="s">
        <v>62</v>
      </c>
      <c r="P125" s="38" t="s">
        <v>62</v>
      </c>
      <c r="Q125" s="38" t="s">
        <v>62</v>
      </c>
      <c r="R125" s="38" t="s">
        <v>62</v>
      </c>
      <c r="S125" s="34"/>
      <c r="T125" s="2"/>
      <c r="U125" s="34"/>
      <c r="V125" s="34"/>
      <c r="W125" s="77" t="s">
        <v>393</v>
      </c>
      <c r="X125" s="34"/>
      <c r="Y125" s="2"/>
      <c r="Z125"/>
      <c r="AD125"/>
      <c r="AE125"/>
      <c r="AF125"/>
      <c r="AG125"/>
    </row>
    <row r="126" spans="1:33" ht="16.149999999999999" customHeight="1" x14ac:dyDescent="0.15">
      <c r="A126" s="6">
        <v>120</v>
      </c>
      <c r="B126" s="18" t="s">
        <v>75</v>
      </c>
      <c r="C126" s="34" t="s">
        <v>57</v>
      </c>
      <c r="D126" s="43" t="s">
        <v>394</v>
      </c>
      <c r="E126" s="77" t="s">
        <v>169</v>
      </c>
      <c r="F126" s="19">
        <v>15130</v>
      </c>
      <c r="G126" s="6">
        <v>0</v>
      </c>
      <c r="H126" s="6" t="s">
        <v>395</v>
      </c>
      <c r="I126" s="2"/>
      <c r="J126" s="38" t="s">
        <v>196</v>
      </c>
      <c r="K126" s="6" t="s">
        <v>197</v>
      </c>
      <c r="L126" s="38" t="s">
        <v>198</v>
      </c>
      <c r="M126" s="6"/>
      <c r="N126" s="113"/>
      <c r="O126" s="45" t="s">
        <v>62</v>
      </c>
      <c r="P126" s="2" t="s">
        <v>62</v>
      </c>
      <c r="Q126" s="38" t="s">
        <v>62</v>
      </c>
      <c r="R126" s="36" t="s">
        <v>62</v>
      </c>
      <c r="S126" s="34"/>
      <c r="T126" s="2"/>
      <c r="U126" s="34"/>
      <c r="V126" s="33"/>
      <c r="W126" s="33" t="s">
        <v>396</v>
      </c>
      <c r="X126" s="33"/>
      <c r="Y126" s="33"/>
      <c r="Z126"/>
      <c r="AD126"/>
      <c r="AE126"/>
      <c r="AF126"/>
      <c r="AG126"/>
    </row>
    <row r="127" spans="1:33" ht="16.149999999999999" customHeight="1" x14ac:dyDescent="0.15">
      <c r="A127" s="6">
        <v>121</v>
      </c>
      <c r="B127" s="18" t="s">
        <v>75</v>
      </c>
      <c r="C127" s="34" t="s">
        <v>57</v>
      </c>
      <c r="D127" s="43" t="s">
        <v>397</v>
      </c>
      <c r="E127" s="77" t="s">
        <v>169</v>
      </c>
      <c r="F127" s="19">
        <v>15130</v>
      </c>
      <c r="G127" s="6">
        <v>1</v>
      </c>
      <c r="H127" s="6" t="s">
        <v>398</v>
      </c>
      <c r="I127" s="2"/>
      <c r="J127" s="38" t="s">
        <v>171</v>
      </c>
      <c r="K127" s="6" t="s">
        <v>172</v>
      </c>
      <c r="L127" s="38" t="s">
        <v>173</v>
      </c>
      <c r="M127" s="2"/>
      <c r="N127" s="113"/>
      <c r="O127" s="45" t="s">
        <v>62</v>
      </c>
      <c r="P127" s="2" t="s">
        <v>62</v>
      </c>
      <c r="Q127" s="38" t="s">
        <v>62</v>
      </c>
      <c r="R127" s="36" t="s">
        <v>62</v>
      </c>
      <c r="S127" s="34"/>
      <c r="T127" s="2"/>
      <c r="U127" s="34"/>
      <c r="V127" s="33"/>
      <c r="W127" s="33" t="s">
        <v>399</v>
      </c>
      <c r="X127" s="33"/>
      <c r="Y127" s="33"/>
      <c r="Z127"/>
      <c r="AD127"/>
      <c r="AE127"/>
      <c r="AF127"/>
      <c r="AG127"/>
    </row>
    <row r="128" spans="1:33" ht="16.149999999999999" customHeight="1" x14ac:dyDescent="0.15">
      <c r="A128" s="6">
        <v>122</v>
      </c>
      <c r="B128" s="18" t="s">
        <v>75</v>
      </c>
      <c r="C128" s="34" t="s">
        <v>57</v>
      </c>
      <c r="D128" s="43" t="s">
        <v>403</v>
      </c>
      <c r="E128" s="77" t="s">
        <v>169</v>
      </c>
      <c r="F128" s="19">
        <v>15130</v>
      </c>
      <c r="G128" s="6">
        <v>7</v>
      </c>
      <c r="H128" s="6" t="s">
        <v>404</v>
      </c>
      <c r="I128" s="2"/>
      <c r="J128" s="38" t="s">
        <v>2274</v>
      </c>
      <c r="K128" s="6" t="s">
        <v>197</v>
      </c>
      <c r="L128" s="38" t="s">
        <v>198</v>
      </c>
      <c r="M128" s="2"/>
      <c r="N128" s="113"/>
      <c r="O128" s="45" t="s">
        <v>62</v>
      </c>
      <c r="P128" s="2" t="s">
        <v>62</v>
      </c>
      <c r="Q128" s="38" t="s">
        <v>62</v>
      </c>
      <c r="R128" s="36" t="s">
        <v>62</v>
      </c>
      <c r="S128" s="34"/>
      <c r="T128" s="2"/>
      <c r="U128" s="34"/>
      <c r="V128" s="33"/>
      <c r="W128" s="33" t="s">
        <v>405</v>
      </c>
      <c r="X128" s="33"/>
      <c r="Y128" s="33"/>
      <c r="Z128"/>
      <c r="AD128"/>
      <c r="AE128"/>
      <c r="AF128"/>
      <c r="AG128"/>
    </row>
    <row r="129" spans="1:33" ht="16.149999999999999" customHeight="1" x14ac:dyDescent="0.15">
      <c r="A129" s="6">
        <v>123</v>
      </c>
      <c r="B129" s="18" t="s">
        <v>75</v>
      </c>
      <c r="C129" s="34" t="s">
        <v>57</v>
      </c>
      <c r="D129" s="43" t="s">
        <v>406</v>
      </c>
      <c r="E129" s="77" t="s">
        <v>169</v>
      </c>
      <c r="F129" s="19">
        <v>15130</v>
      </c>
      <c r="G129" s="6">
        <v>8</v>
      </c>
      <c r="H129" s="6" t="s">
        <v>407</v>
      </c>
      <c r="I129" s="2"/>
      <c r="J129" s="38" t="s">
        <v>171</v>
      </c>
      <c r="K129" s="6" t="s">
        <v>177</v>
      </c>
      <c r="L129" s="38" t="s">
        <v>173</v>
      </c>
      <c r="M129" s="2"/>
      <c r="N129" s="113"/>
      <c r="O129" s="45" t="s">
        <v>62</v>
      </c>
      <c r="P129" s="2" t="s">
        <v>62</v>
      </c>
      <c r="Q129" s="38" t="s">
        <v>62</v>
      </c>
      <c r="R129" s="36" t="s">
        <v>62</v>
      </c>
      <c r="S129" s="34"/>
      <c r="T129" s="2"/>
      <c r="U129" s="34"/>
      <c r="V129" s="33"/>
      <c r="W129" s="33" t="s">
        <v>408</v>
      </c>
      <c r="X129" s="33"/>
      <c r="Y129" s="33"/>
      <c r="Z129"/>
      <c r="AD129"/>
      <c r="AE129"/>
      <c r="AF129"/>
      <c r="AG129"/>
    </row>
    <row r="130" spans="1:33" ht="16.149999999999999" customHeight="1" x14ac:dyDescent="0.15">
      <c r="A130" s="6">
        <v>124</v>
      </c>
      <c r="B130" s="18" t="s">
        <v>75</v>
      </c>
      <c r="C130" s="34" t="s">
        <v>57</v>
      </c>
      <c r="D130" s="43" t="s">
        <v>409</v>
      </c>
      <c r="E130" s="77" t="s">
        <v>169</v>
      </c>
      <c r="F130" s="19">
        <v>15130</v>
      </c>
      <c r="G130" s="6">
        <v>9</v>
      </c>
      <c r="H130" s="6" t="s">
        <v>410</v>
      </c>
      <c r="I130" s="2"/>
      <c r="J130" s="38" t="s">
        <v>171</v>
      </c>
      <c r="K130" s="6" t="s">
        <v>177</v>
      </c>
      <c r="L130" s="38" t="s">
        <v>173</v>
      </c>
      <c r="M130" s="2"/>
      <c r="N130" s="113"/>
      <c r="O130" s="45" t="s">
        <v>62</v>
      </c>
      <c r="P130" s="2" t="s">
        <v>62</v>
      </c>
      <c r="Q130" s="38" t="s">
        <v>62</v>
      </c>
      <c r="R130" s="36" t="s">
        <v>62</v>
      </c>
      <c r="S130" s="34"/>
      <c r="T130" s="2"/>
      <c r="U130" s="34"/>
      <c r="V130" s="33"/>
      <c r="W130" s="33" t="s">
        <v>411</v>
      </c>
      <c r="X130" s="33"/>
      <c r="Y130" s="33"/>
      <c r="Z130"/>
      <c r="AD130"/>
      <c r="AE130"/>
      <c r="AF130"/>
      <c r="AG130"/>
    </row>
    <row r="131" spans="1:33" ht="16.149999999999999" customHeight="1" x14ac:dyDescent="0.15">
      <c r="A131" s="6">
        <v>125</v>
      </c>
      <c r="B131" s="18" t="s">
        <v>75</v>
      </c>
      <c r="C131" s="34" t="s">
        <v>57</v>
      </c>
      <c r="D131" s="15" t="s">
        <v>501</v>
      </c>
      <c r="E131" s="2" t="s">
        <v>59</v>
      </c>
      <c r="F131" s="19">
        <v>15149</v>
      </c>
      <c r="G131" s="6"/>
      <c r="H131" s="6" t="s">
        <v>502</v>
      </c>
      <c r="I131" s="2"/>
      <c r="J131" s="38"/>
      <c r="K131" s="6"/>
      <c r="L131" s="38"/>
      <c r="M131" s="6" t="s">
        <v>86</v>
      </c>
      <c r="N131" s="38">
        <v>10</v>
      </c>
      <c r="O131" s="38">
        <v>0</v>
      </c>
      <c r="P131" s="38">
        <v>4294967295</v>
      </c>
      <c r="Q131" s="38">
        <v>0</v>
      </c>
      <c r="R131" s="38">
        <v>429496729.5</v>
      </c>
      <c r="S131" s="34"/>
      <c r="T131" s="2"/>
      <c r="U131" s="34"/>
      <c r="V131" s="34"/>
      <c r="W131" s="77" t="s">
        <v>503</v>
      </c>
      <c r="X131" s="34"/>
      <c r="Y131" s="2"/>
      <c r="Z131"/>
      <c r="AD131"/>
      <c r="AE131"/>
      <c r="AF131"/>
      <c r="AG131"/>
    </row>
    <row r="132" spans="1:33" ht="16.149999999999999" customHeight="1" x14ac:dyDescent="0.15">
      <c r="A132" s="6">
        <v>126</v>
      </c>
      <c r="B132" s="18" t="s">
        <v>75</v>
      </c>
      <c r="C132" s="34" t="s">
        <v>57</v>
      </c>
      <c r="D132" s="15" t="s">
        <v>504</v>
      </c>
      <c r="E132" s="2" t="s">
        <v>59</v>
      </c>
      <c r="F132" s="19">
        <v>15151</v>
      </c>
      <c r="G132" s="6"/>
      <c r="H132" s="6" t="s">
        <v>505</v>
      </c>
      <c r="I132" s="2"/>
      <c r="J132" s="38"/>
      <c r="K132" s="6"/>
      <c r="L132" s="38"/>
      <c r="M132" s="6" t="s">
        <v>86</v>
      </c>
      <c r="N132" s="38">
        <v>1</v>
      </c>
      <c r="O132" s="38">
        <v>0</v>
      </c>
      <c r="P132" s="38">
        <v>4294967295</v>
      </c>
      <c r="Q132" s="38">
        <v>0</v>
      </c>
      <c r="R132" s="38">
        <v>4294967295</v>
      </c>
      <c r="S132" s="34"/>
      <c r="T132" s="2"/>
      <c r="U132" s="34"/>
      <c r="V132" s="34"/>
      <c r="W132" s="77" t="s">
        <v>506</v>
      </c>
      <c r="X132" s="34"/>
      <c r="Y132" s="34" t="s">
        <v>64</v>
      </c>
      <c r="Z132"/>
      <c r="AD132"/>
      <c r="AE132"/>
      <c r="AF132"/>
      <c r="AG132"/>
    </row>
    <row r="133" spans="1:33" ht="16.149999999999999" customHeight="1" x14ac:dyDescent="0.15">
      <c r="A133" s="6">
        <v>127</v>
      </c>
      <c r="B133" s="18" t="s">
        <v>75</v>
      </c>
      <c r="C133" s="34" t="s">
        <v>57</v>
      </c>
      <c r="D133" s="15" t="s">
        <v>507</v>
      </c>
      <c r="E133" s="2" t="s">
        <v>59</v>
      </c>
      <c r="F133" s="19">
        <v>15153</v>
      </c>
      <c r="G133" s="6"/>
      <c r="H133" s="6" t="s">
        <v>508</v>
      </c>
      <c r="I133" s="2"/>
      <c r="J133" s="38"/>
      <c r="K133" s="6"/>
      <c r="L133" s="38"/>
      <c r="M133" s="6" t="s">
        <v>86</v>
      </c>
      <c r="N133" s="38">
        <v>1</v>
      </c>
      <c r="O133" s="38">
        <v>0</v>
      </c>
      <c r="P133" s="38">
        <v>4294967295</v>
      </c>
      <c r="Q133" s="38">
        <v>0</v>
      </c>
      <c r="R133" s="38">
        <v>4294967295</v>
      </c>
      <c r="S133" s="34"/>
      <c r="T133" s="2"/>
      <c r="U133" s="34"/>
      <c r="V133" s="34"/>
      <c r="W133" s="77" t="s">
        <v>509</v>
      </c>
      <c r="X133" s="34"/>
      <c r="Y133" s="2"/>
      <c r="Z133"/>
      <c r="AD133"/>
      <c r="AE133"/>
      <c r="AF133"/>
      <c r="AG133"/>
    </row>
    <row r="134" spans="1:33" ht="16.149999999999999" customHeight="1" x14ac:dyDescent="0.15">
      <c r="A134" s="6">
        <v>128</v>
      </c>
      <c r="B134" s="18" t="s">
        <v>75</v>
      </c>
      <c r="C134" s="34" t="s">
        <v>57</v>
      </c>
      <c r="D134" s="15" t="s">
        <v>510</v>
      </c>
      <c r="E134" s="2" t="s">
        <v>77</v>
      </c>
      <c r="F134" s="19">
        <v>15155</v>
      </c>
      <c r="G134" s="6"/>
      <c r="H134" s="6" t="s">
        <v>511</v>
      </c>
      <c r="I134" s="2"/>
      <c r="J134" s="38"/>
      <c r="K134" s="6"/>
      <c r="L134" s="38"/>
      <c r="M134" s="6" t="s">
        <v>100</v>
      </c>
      <c r="N134" s="38">
        <v>1</v>
      </c>
      <c r="O134" s="38">
        <v>0</v>
      </c>
      <c r="P134" s="38">
        <v>65535</v>
      </c>
      <c r="Q134" s="38">
        <v>0</v>
      </c>
      <c r="R134" s="38">
        <v>65535</v>
      </c>
      <c r="S134" s="34"/>
      <c r="T134" s="2"/>
      <c r="U134" s="34"/>
      <c r="V134" s="34"/>
      <c r="W134" s="77" t="s">
        <v>512</v>
      </c>
      <c r="X134" s="34"/>
      <c r="Y134" s="2"/>
      <c r="Z134"/>
      <c r="AD134"/>
      <c r="AE134"/>
      <c r="AF134"/>
      <c r="AG134"/>
    </row>
    <row r="135" spans="1:33" ht="16.149999999999999" customHeight="1" x14ac:dyDescent="0.15">
      <c r="A135" s="6">
        <v>129</v>
      </c>
      <c r="B135" s="18" t="s">
        <v>75</v>
      </c>
      <c r="C135" s="34" t="s">
        <v>57</v>
      </c>
      <c r="D135" s="15" t="s">
        <v>513</v>
      </c>
      <c r="E135" s="2" t="s">
        <v>59</v>
      </c>
      <c r="F135" s="19">
        <v>15156</v>
      </c>
      <c r="G135" s="6"/>
      <c r="H135" s="6" t="s">
        <v>514</v>
      </c>
      <c r="I135" s="2"/>
      <c r="J135" s="38"/>
      <c r="K135" s="6"/>
      <c r="L135" s="38"/>
      <c r="M135" s="6" t="s">
        <v>104</v>
      </c>
      <c r="N135" s="38">
        <v>1</v>
      </c>
      <c r="O135" s="38">
        <v>0</v>
      </c>
      <c r="P135" s="38">
        <v>4294967295</v>
      </c>
      <c r="Q135" s="38">
        <v>0</v>
      </c>
      <c r="R135" s="38">
        <v>4294967295</v>
      </c>
      <c r="S135" s="34"/>
      <c r="T135" s="2"/>
      <c r="U135" s="34"/>
      <c r="V135" s="34"/>
      <c r="W135" s="77" t="s">
        <v>515</v>
      </c>
      <c r="X135" s="34"/>
      <c r="Y135" s="2"/>
      <c r="Z135"/>
      <c r="AD135"/>
      <c r="AE135"/>
      <c r="AF135"/>
      <c r="AG135"/>
    </row>
    <row r="136" spans="1:33" ht="16.149999999999999" customHeight="1" x14ac:dyDescent="0.15">
      <c r="A136" s="6">
        <v>130</v>
      </c>
      <c r="B136" s="18" t="s">
        <v>75</v>
      </c>
      <c r="C136" s="34" t="s">
        <v>57</v>
      </c>
      <c r="D136" s="15" t="s">
        <v>516</v>
      </c>
      <c r="E136" s="2" t="s">
        <v>143</v>
      </c>
      <c r="F136" s="19">
        <v>15158</v>
      </c>
      <c r="G136" s="6"/>
      <c r="H136" s="6" t="s">
        <v>517</v>
      </c>
      <c r="I136" s="2"/>
      <c r="J136" s="38"/>
      <c r="K136" s="6"/>
      <c r="L136" s="38"/>
      <c r="M136" s="6" t="s">
        <v>266</v>
      </c>
      <c r="N136" s="38">
        <v>10</v>
      </c>
      <c r="O136" s="38">
        <v>-32768</v>
      </c>
      <c r="P136" s="38">
        <v>32767</v>
      </c>
      <c r="Q136" s="38">
        <v>-3276.8</v>
      </c>
      <c r="R136" s="38">
        <v>3276.7</v>
      </c>
      <c r="S136" s="34"/>
      <c r="T136" s="2"/>
      <c r="U136" s="34"/>
      <c r="V136" s="34"/>
      <c r="W136" s="77" t="s">
        <v>518</v>
      </c>
      <c r="X136" s="34"/>
      <c r="Y136" s="2"/>
      <c r="Z136"/>
      <c r="AD136"/>
      <c r="AE136"/>
      <c r="AF136"/>
      <c r="AG136"/>
    </row>
    <row r="137" spans="1:33" ht="16.149999999999999" customHeight="1" x14ac:dyDescent="0.15">
      <c r="A137" s="6">
        <v>131</v>
      </c>
      <c r="B137" s="18" t="s">
        <v>75</v>
      </c>
      <c r="C137" s="34" t="s">
        <v>57</v>
      </c>
      <c r="D137" s="15" t="s">
        <v>519</v>
      </c>
      <c r="E137" s="2" t="s">
        <v>77</v>
      </c>
      <c r="F137" s="19">
        <v>15159</v>
      </c>
      <c r="G137" s="6"/>
      <c r="H137" s="6" t="s">
        <v>520</v>
      </c>
      <c r="I137" s="2"/>
      <c r="J137" s="38"/>
      <c r="K137" s="38"/>
      <c r="L137" s="38"/>
      <c r="M137" s="38" t="s">
        <v>113</v>
      </c>
      <c r="N137" s="38">
        <v>10</v>
      </c>
      <c r="O137" s="38">
        <v>0</v>
      </c>
      <c r="P137" s="38">
        <v>65535</v>
      </c>
      <c r="Q137" s="38">
        <v>0</v>
      </c>
      <c r="R137" s="38">
        <v>6553.5</v>
      </c>
      <c r="S137" s="34"/>
      <c r="T137" s="2"/>
      <c r="U137" s="34"/>
      <c r="V137" s="34"/>
      <c r="W137" s="36" t="s">
        <v>521</v>
      </c>
      <c r="X137" s="34"/>
      <c r="Y137" s="2"/>
      <c r="Z137"/>
      <c r="AD137"/>
      <c r="AE137"/>
      <c r="AF137"/>
      <c r="AG137"/>
    </row>
    <row r="138" spans="1:33" ht="16.149999999999999" customHeight="1" x14ac:dyDescent="0.15">
      <c r="A138" s="6">
        <v>132</v>
      </c>
      <c r="B138" s="18" t="s">
        <v>75</v>
      </c>
      <c r="C138" s="34" t="s">
        <v>57</v>
      </c>
      <c r="D138" s="15" t="s">
        <v>522</v>
      </c>
      <c r="E138" s="2" t="s">
        <v>77</v>
      </c>
      <c r="F138" s="19">
        <v>15160</v>
      </c>
      <c r="G138" s="6"/>
      <c r="H138" s="6" t="s">
        <v>523</v>
      </c>
      <c r="I138" s="2"/>
      <c r="J138" s="38"/>
      <c r="K138" s="38"/>
      <c r="L138" s="38"/>
      <c r="M138" s="38" t="s">
        <v>123</v>
      </c>
      <c r="N138" s="38">
        <v>10</v>
      </c>
      <c r="O138" s="38">
        <v>0</v>
      </c>
      <c r="P138" s="38">
        <v>65535</v>
      </c>
      <c r="Q138" s="38">
        <v>0</v>
      </c>
      <c r="R138" s="38">
        <v>6553.5</v>
      </c>
      <c r="S138" s="34"/>
      <c r="T138" s="34"/>
      <c r="U138" s="34"/>
      <c r="V138" s="34"/>
      <c r="W138" s="36" t="s">
        <v>524</v>
      </c>
      <c r="X138" s="34"/>
      <c r="Y138" s="2"/>
      <c r="Z138"/>
      <c r="AD138"/>
      <c r="AE138"/>
      <c r="AF138"/>
      <c r="AG138"/>
    </row>
    <row r="139" spans="1:33" ht="16.149999999999999" customHeight="1" x14ac:dyDescent="0.15">
      <c r="A139" s="6">
        <v>133</v>
      </c>
      <c r="B139" s="18" t="s">
        <v>75</v>
      </c>
      <c r="C139" s="34" t="s">
        <v>57</v>
      </c>
      <c r="D139" s="15" t="s">
        <v>525</v>
      </c>
      <c r="E139" s="2" t="s">
        <v>59</v>
      </c>
      <c r="F139" s="19">
        <v>15161</v>
      </c>
      <c r="G139" s="6"/>
      <c r="H139" s="6" t="s">
        <v>526</v>
      </c>
      <c r="I139" s="2"/>
      <c r="J139" s="38"/>
      <c r="K139" s="38"/>
      <c r="L139" s="38"/>
      <c r="M139" s="38" t="s">
        <v>109</v>
      </c>
      <c r="N139" s="38">
        <v>1</v>
      </c>
      <c r="O139" s="38">
        <v>0</v>
      </c>
      <c r="P139" s="38">
        <v>4294967295</v>
      </c>
      <c r="Q139" s="38">
        <v>0</v>
      </c>
      <c r="R139" s="38">
        <v>4294967295</v>
      </c>
      <c r="S139" s="34"/>
      <c r="T139" s="34"/>
      <c r="U139" s="34"/>
      <c r="V139" s="34"/>
      <c r="W139" s="36" t="s">
        <v>527</v>
      </c>
      <c r="X139" s="34"/>
      <c r="Y139" s="2"/>
      <c r="Z139"/>
      <c r="AD139"/>
      <c r="AE139"/>
      <c r="AF139"/>
      <c r="AG139"/>
    </row>
    <row r="140" spans="1:33" ht="16.149999999999999" customHeight="1" x14ac:dyDescent="0.15">
      <c r="A140" s="6">
        <v>134</v>
      </c>
      <c r="B140" s="18" t="s">
        <v>75</v>
      </c>
      <c r="C140" s="34" t="s">
        <v>57</v>
      </c>
      <c r="D140" s="15" t="s">
        <v>528</v>
      </c>
      <c r="E140" s="2" t="s">
        <v>77</v>
      </c>
      <c r="F140" s="19">
        <v>15163</v>
      </c>
      <c r="G140" s="6"/>
      <c r="H140" s="6" t="s">
        <v>529</v>
      </c>
      <c r="I140" s="2"/>
      <c r="J140" s="38"/>
      <c r="K140" s="38"/>
      <c r="L140" s="38"/>
      <c r="M140" s="38" t="s">
        <v>113</v>
      </c>
      <c r="N140" s="38">
        <v>10</v>
      </c>
      <c r="O140" s="38">
        <v>0</v>
      </c>
      <c r="P140" s="38">
        <v>65535</v>
      </c>
      <c r="Q140" s="38">
        <v>0</v>
      </c>
      <c r="R140" s="38">
        <v>6553.5</v>
      </c>
      <c r="S140" s="34"/>
      <c r="T140" s="34"/>
      <c r="U140" s="34"/>
      <c r="V140" s="34"/>
      <c r="W140" s="36" t="s">
        <v>530</v>
      </c>
      <c r="X140" s="34"/>
      <c r="Y140" s="2"/>
      <c r="Z140"/>
      <c r="AD140"/>
      <c r="AE140"/>
      <c r="AF140"/>
      <c r="AG140"/>
    </row>
    <row r="141" spans="1:33" ht="16.149999999999999" customHeight="1" x14ac:dyDescent="0.15">
      <c r="A141" s="6">
        <v>135</v>
      </c>
      <c r="B141" s="18" t="s">
        <v>75</v>
      </c>
      <c r="C141" s="34" t="s">
        <v>57</v>
      </c>
      <c r="D141" s="15" t="s">
        <v>531</v>
      </c>
      <c r="E141" s="2" t="s">
        <v>77</v>
      </c>
      <c r="F141" s="19">
        <v>15164</v>
      </c>
      <c r="G141" s="6"/>
      <c r="H141" s="6" t="s">
        <v>532</v>
      </c>
      <c r="I141" s="2"/>
      <c r="J141" s="38"/>
      <c r="K141" s="38"/>
      <c r="L141" s="38"/>
      <c r="M141" s="38" t="s">
        <v>113</v>
      </c>
      <c r="N141" s="38">
        <v>10</v>
      </c>
      <c r="O141" s="38">
        <v>0</v>
      </c>
      <c r="P141" s="38">
        <v>65535</v>
      </c>
      <c r="Q141" s="38">
        <v>0</v>
      </c>
      <c r="R141" s="38">
        <v>6553.5</v>
      </c>
      <c r="S141" s="34"/>
      <c r="T141" s="34"/>
      <c r="U141" s="34"/>
      <c r="V141" s="34"/>
      <c r="W141" s="36" t="s">
        <v>533</v>
      </c>
      <c r="X141" s="34"/>
      <c r="Y141" s="2"/>
      <c r="Z141"/>
      <c r="AD141"/>
      <c r="AE141"/>
      <c r="AF141"/>
      <c r="AG141"/>
    </row>
    <row r="142" spans="1:33" ht="16.149999999999999" customHeight="1" x14ac:dyDescent="0.15">
      <c r="A142" s="6">
        <v>136</v>
      </c>
      <c r="B142" s="18" t="s">
        <v>75</v>
      </c>
      <c r="C142" s="34" t="s">
        <v>57</v>
      </c>
      <c r="D142" s="15" t="s">
        <v>534</v>
      </c>
      <c r="E142" s="2" t="s">
        <v>77</v>
      </c>
      <c r="F142" s="19">
        <v>15165</v>
      </c>
      <c r="G142" s="6"/>
      <c r="H142" s="6" t="s">
        <v>535</v>
      </c>
      <c r="I142" s="2"/>
      <c r="J142" s="38"/>
      <c r="K142" s="38"/>
      <c r="L142" s="38"/>
      <c r="M142" s="38" t="s">
        <v>113</v>
      </c>
      <c r="N142" s="38">
        <v>10</v>
      </c>
      <c r="O142" s="38">
        <v>0</v>
      </c>
      <c r="P142" s="38">
        <v>65535</v>
      </c>
      <c r="Q142" s="38">
        <v>0</v>
      </c>
      <c r="R142" s="38">
        <v>6553.5</v>
      </c>
      <c r="S142" s="34"/>
      <c r="T142" s="34"/>
      <c r="U142" s="34"/>
      <c r="V142" s="34"/>
      <c r="W142" s="36" t="s">
        <v>536</v>
      </c>
      <c r="X142" s="34"/>
      <c r="Y142" s="2"/>
      <c r="Z142"/>
      <c r="AD142"/>
      <c r="AE142"/>
      <c r="AF142"/>
      <c r="AG142"/>
    </row>
    <row r="143" spans="1:33" ht="16.149999999999999" customHeight="1" x14ac:dyDescent="0.15">
      <c r="A143" s="6">
        <v>137</v>
      </c>
      <c r="B143" s="18" t="s">
        <v>75</v>
      </c>
      <c r="C143" s="34" t="s">
        <v>57</v>
      </c>
      <c r="D143" s="15" t="s">
        <v>537</v>
      </c>
      <c r="E143" s="2" t="s">
        <v>77</v>
      </c>
      <c r="F143" s="19">
        <v>15166</v>
      </c>
      <c r="G143" s="6"/>
      <c r="H143" s="6" t="s">
        <v>538</v>
      </c>
      <c r="I143" s="2"/>
      <c r="J143" s="38"/>
      <c r="K143" s="38"/>
      <c r="L143" s="38"/>
      <c r="M143" s="38" t="s">
        <v>123</v>
      </c>
      <c r="N143" s="38">
        <v>10</v>
      </c>
      <c r="O143" s="38">
        <v>0</v>
      </c>
      <c r="P143" s="38">
        <v>65535</v>
      </c>
      <c r="Q143" s="38">
        <v>0</v>
      </c>
      <c r="R143" s="38">
        <v>6553.5</v>
      </c>
      <c r="S143" s="34"/>
      <c r="T143" s="34"/>
      <c r="U143" s="34"/>
      <c r="V143" s="34"/>
      <c r="W143" s="36" t="s">
        <v>539</v>
      </c>
      <c r="X143" s="34"/>
      <c r="Y143" s="2"/>
      <c r="Z143"/>
      <c r="AD143"/>
      <c r="AE143"/>
      <c r="AF143"/>
      <c r="AG143"/>
    </row>
    <row r="144" spans="1:33" ht="16.149999999999999" customHeight="1" x14ac:dyDescent="0.15">
      <c r="A144" s="6">
        <v>138</v>
      </c>
      <c r="B144" s="18" t="s">
        <v>75</v>
      </c>
      <c r="C144" s="34" t="s">
        <v>57</v>
      </c>
      <c r="D144" s="15" t="s">
        <v>540</v>
      </c>
      <c r="E144" s="2" t="s">
        <v>77</v>
      </c>
      <c r="F144" s="19">
        <v>15167</v>
      </c>
      <c r="G144" s="6"/>
      <c r="H144" s="6" t="s">
        <v>541</v>
      </c>
      <c r="I144" s="2"/>
      <c r="J144" s="38"/>
      <c r="K144" s="38"/>
      <c r="L144" s="38"/>
      <c r="M144" s="38" t="s">
        <v>123</v>
      </c>
      <c r="N144" s="38">
        <v>10</v>
      </c>
      <c r="O144" s="38">
        <v>0</v>
      </c>
      <c r="P144" s="38">
        <v>65535</v>
      </c>
      <c r="Q144" s="38">
        <v>0</v>
      </c>
      <c r="R144" s="38">
        <v>6553.5</v>
      </c>
      <c r="S144" s="34"/>
      <c r="T144" s="34"/>
      <c r="U144" s="34"/>
      <c r="V144" s="34"/>
      <c r="W144" s="36" t="s">
        <v>542</v>
      </c>
      <c r="X144" s="34"/>
      <c r="Y144" s="2"/>
      <c r="Z144"/>
      <c r="AD144"/>
      <c r="AE144"/>
      <c r="AF144"/>
      <c r="AG144"/>
    </row>
    <row r="145" spans="1:33" ht="16.149999999999999" customHeight="1" x14ac:dyDescent="0.15">
      <c r="A145" s="6">
        <v>139</v>
      </c>
      <c r="B145" s="18" t="s">
        <v>75</v>
      </c>
      <c r="C145" s="34" t="s">
        <v>57</v>
      </c>
      <c r="D145" s="15" t="s">
        <v>543</v>
      </c>
      <c r="E145" s="2" t="s">
        <v>77</v>
      </c>
      <c r="F145" s="19">
        <v>15168</v>
      </c>
      <c r="G145" s="6"/>
      <c r="H145" s="6" t="s">
        <v>544</v>
      </c>
      <c r="I145" s="2"/>
      <c r="J145" s="38"/>
      <c r="K145" s="38"/>
      <c r="L145" s="38"/>
      <c r="M145" s="38" t="s">
        <v>123</v>
      </c>
      <c r="N145" s="38">
        <v>10</v>
      </c>
      <c r="O145" s="38">
        <v>0</v>
      </c>
      <c r="P145" s="38">
        <v>65535</v>
      </c>
      <c r="Q145" s="38">
        <v>0</v>
      </c>
      <c r="R145" s="38">
        <v>6553.5</v>
      </c>
      <c r="S145" s="34"/>
      <c r="T145" s="34"/>
      <c r="U145" s="34"/>
      <c r="V145" s="34"/>
      <c r="W145" s="36" t="s">
        <v>545</v>
      </c>
      <c r="X145" s="34"/>
      <c r="Y145" s="2"/>
      <c r="Z145"/>
      <c r="AD145"/>
      <c r="AE145"/>
      <c r="AF145"/>
      <c r="AG145"/>
    </row>
    <row r="146" spans="1:33" ht="16.149999999999999" customHeight="1" x14ac:dyDescent="0.15">
      <c r="A146" s="6">
        <v>140</v>
      </c>
      <c r="B146" s="18" t="s">
        <v>75</v>
      </c>
      <c r="C146" s="34" t="s">
        <v>57</v>
      </c>
      <c r="D146" s="15" t="s">
        <v>546</v>
      </c>
      <c r="E146" s="2" t="s">
        <v>59</v>
      </c>
      <c r="F146" s="19">
        <v>15169</v>
      </c>
      <c r="G146" s="6"/>
      <c r="H146" s="6" t="s">
        <v>547</v>
      </c>
      <c r="I146" s="2"/>
      <c r="J146" s="38"/>
      <c r="K146" s="38"/>
      <c r="L146" s="38"/>
      <c r="M146" s="38" t="s">
        <v>109</v>
      </c>
      <c r="N146" s="38">
        <v>1</v>
      </c>
      <c r="O146" s="38">
        <v>0</v>
      </c>
      <c r="P146" s="38">
        <v>4294967295</v>
      </c>
      <c r="Q146" s="38">
        <v>0</v>
      </c>
      <c r="R146" s="38">
        <v>4294967295</v>
      </c>
      <c r="S146" s="34"/>
      <c r="T146" s="34"/>
      <c r="U146" s="34"/>
      <c r="V146" s="34"/>
      <c r="W146" s="36" t="s">
        <v>548</v>
      </c>
      <c r="X146" s="34"/>
      <c r="Y146" s="2"/>
      <c r="Z146"/>
      <c r="AD146"/>
      <c r="AE146"/>
      <c r="AF146"/>
      <c r="AG146"/>
    </row>
    <row r="147" spans="1:33" ht="16.149999999999999" customHeight="1" x14ac:dyDescent="0.15">
      <c r="A147" s="6">
        <v>141</v>
      </c>
      <c r="B147" s="18" t="s">
        <v>75</v>
      </c>
      <c r="C147" s="34" t="s">
        <v>57</v>
      </c>
      <c r="D147" s="15" t="s">
        <v>549</v>
      </c>
      <c r="E147" s="2" t="s">
        <v>107</v>
      </c>
      <c r="F147" s="19">
        <v>15171</v>
      </c>
      <c r="G147" s="6"/>
      <c r="H147" s="6" t="s">
        <v>550</v>
      </c>
      <c r="I147" s="2"/>
      <c r="J147" s="38"/>
      <c r="K147" s="38"/>
      <c r="L147" s="38"/>
      <c r="M147" s="38" t="s">
        <v>136</v>
      </c>
      <c r="N147" s="38">
        <v>1</v>
      </c>
      <c r="O147" s="38">
        <v>-2147483648</v>
      </c>
      <c r="P147" s="38">
        <v>2147483647</v>
      </c>
      <c r="Q147" s="38">
        <v>-2147483648</v>
      </c>
      <c r="R147" s="38">
        <v>2147483647</v>
      </c>
      <c r="S147" s="34"/>
      <c r="T147" s="34"/>
      <c r="U147" s="34"/>
      <c r="V147" s="34"/>
      <c r="W147" s="36" t="s">
        <v>551</v>
      </c>
      <c r="X147" s="34"/>
      <c r="Y147" s="2"/>
      <c r="Z147"/>
      <c r="AD147"/>
      <c r="AE147"/>
      <c r="AF147"/>
      <c r="AG147"/>
    </row>
    <row r="148" spans="1:33" ht="16.149999999999999" customHeight="1" x14ac:dyDescent="0.15">
      <c r="A148" s="6">
        <v>142</v>
      </c>
      <c r="B148" s="18" t="s">
        <v>75</v>
      </c>
      <c r="C148" s="34" t="s">
        <v>57</v>
      </c>
      <c r="D148" s="15" t="s">
        <v>552</v>
      </c>
      <c r="E148" s="2" t="s">
        <v>143</v>
      </c>
      <c r="F148" s="19">
        <v>15173</v>
      </c>
      <c r="G148" s="6"/>
      <c r="H148" s="6" t="s">
        <v>553</v>
      </c>
      <c r="I148" s="2"/>
      <c r="J148" s="38"/>
      <c r="K148" s="38"/>
      <c r="L148" s="38"/>
      <c r="M148" s="38" t="s">
        <v>145</v>
      </c>
      <c r="N148" s="38">
        <v>1000</v>
      </c>
      <c r="O148" s="38">
        <v>-32768</v>
      </c>
      <c r="P148" s="38">
        <v>32767</v>
      </c>
      <c r="Q148" s="38">
        <v>-32.768000000000001</v>
      </c>
      <c r="R148" s="38">
        <v>32.767000000000003</v>
      </c>
      <c r="S148" s="34"/>
      <c r="T148" s="34"/>
      <c r="U148" s="34"/>
      <c r="V148" s="34"/>
      <c r="W148" s="36" t="s">
        <v>554</v>
      </c>
      <c r="X148" s="34"/>
      <c r="Y148" s="2"/>
      <c r="Z148"/>
      <c r="AD148"/>
      <c r="AE148"/>
      <c r="AF148"/>
      <c r="AG148"/>
    </row>
    <row r="149" spans="1:33" ht="16.149999999999999" customHeight="1" x14ac:dyDescent="0.15">
      <c r="A149" s="6">
        <v>143</v>
      </c>
      <c r="B149" s="18" t="s">
        <v>75</v>
      </c>
      <c r="C149" s="34" t="s">
        <v>57</v>
      </c>
      <c r="D149" s="15" t="s">
        <v>555</v>
      </c>
      <c r="E149" s="2" t="s">
        <v>77</v>
      </c>
      <c r="F149" s="19">
        <v>15174</v>
      </c>
      <c r="G149" s="6"/>
      <c r="H149" s="6" t="s">
        <v>556</v>
      </c>
      <c r="I149" s="2"/>
      <c r="J149" s="38"/>
      <c r="K149" s="38"/>
      <c r="L149" s="38"/>
      <c r="M149" s="38" t="s">
        <v>149</v>
      </c>
      <c r="N149" s="38">
        <v>10</v>
      </c>
      <c r="O149" s="38">
        <v>0</v>
      </c>
      <c r="P149" s="38">
        <v>65535</v>
      </c>
      <c r="Q149" s="38">
        <v>0</v>
      </c>
      <c r="R149" s="38">
        <v>6553.5</v>
      </c>
      <c r="S149" s="34"/>
      <c r="T149" s="34"/>
      <c r="U149" s="34"/>
      <c r="V149" s="34"/>
      <c r="W149" s="36" t="s">
        <v>557</v>
      </c>
      <c r="X149" s="34"/>
      <c r="Y149" s="2"/>
      <c r="Z149"/>
      <c r="AD149"/>
      <c r="AE149"/>
      <c r="AF149"/>
      <c r="AG149"/>
    </row>
    <row r="150" spans="1:33" ht="16.149999999999999" customHeight="1" x14ac:dyDescent="0.15">
      <c r="A150" s="6">
        <v>144</v>
      </c>
      <c r="B150" s="18" t="s">
        <v>75</v>
      </c>
      <c r="C150" s="34" t="s">
        <v>57</v>
      </c>
      <c r="D150" s="15" t="s">
        <v>558</v>
      </c>
      <c r="E150" s="2" t="s">
        <v>77</v>
      </c>
      <c r="F150" s="19">
        <v>15175</v>
      </c>
      <c r="G150" s="6"/>
      <c r="H150" s="6" t="s">
        <v>559</v>
      </c>
      <c r="I150" s="2"/>
      <c r="J150" s="38"/>
      <c r="K150" s="38"/>
      <c r="L150" s="38"/>
      <c r="M150" s="38" t="s">
        <v>560</v>
      </c>
      <c r="N150" s="38">
        <v>10</v>
      </c>
      <c r="O150" s="38">
        <v>0</v>
      </c>
      <c r="P150" s="38">
        <v>65535</v>
      </c>
      <c r="Q150" s="38">
        <v>0</v>
      </c>
      <c r="R150" s="38">
        <v>6553.5</v>
      </c>
      <c r="S150" s="34"/>
      <c r="T150" s="34"/>
      <c r="U150" s="34"/>
      <c r="V150" s="34"/>
      <c r="W150" s="36" t="s">
        <v>561</v>
      </c>
      <c r="X150" s="34"/>
      <c r="Y150" s="2"/>
      <c r="Z150"/>
      <c r="AD150"/>
      <c r="AE150"/>
      <c r="AF150"/>
      <c r="AG150"/>
    </row>
    <row r="151" spans="1:33" ht="16.149999999999999" customHeight="1" x14ac:dyDescent="0.15">
      <c r="A151" s="6">
        <v>145</v>
      </c>
      <c r="B151" s="18" t="s">
        <v>75</v>
      </c>
      <c r="C151" s="34" t="s">
        <v>57</v>
      </c>
      <c r="D151" s="15" t="s">
        <v>562</v>
      </c>
      <c r="E151" s="2" t="s">
        <v>77</v>
      </c>
      <c r="F151" s="19">
        <v>15177</v>
      </c>
      <c r="G151" s="6"/>
      <c r="H151" s="6" t="s">
        <v>563</v>
      </c>
      <c r="I151" s="2"/>
      <c r="J151" s="38"/>
      <c r="K151" s="38"/>
      <c r="L151" s="38"/>
      <c r="M151" s="38" t="s">
        <v>564</v>
      </c>
      <c r="N151" s="38">
        <v>1</v>
      </c>
      <c r="O151" s="38">
        <v>0</v>
      </c>
      <c r="P151" s="38">
        <v>65535</v>
      </c>
      <c r="Q151" s="38">
        <v>0</v>
      </c>
      <c r="R151" s="38">
        <v>65535</v>
      </c>
      <c r="S151" s="34"/>
      <c r="T151" s="34"/>
      <c r="U151" s="34"/>
      <c r="V151" s="34"/>
      <c r="W151" s="36" t="s">
        <v>565</v>
      </c>
      <c r="X151" s="34"/>
      <c r="Y151" s="34" t="s">
        <v>64</v>
      </c>
      <c r="Z151"/>
      <c r="AD151"/>
      <c r="AE151"/>
      <c r="AF151"/>
      <c r="AG151"/>
    </row>
    <row r="152" spans="1:33" ht="16.149999999999999" customHeight="1" x14ac:dyDescent="0.15">
      <c r="A152" s="6">
        <v>146</v>
      </c>
      <c r="B152" s="18" t="s">
        <v>75</v>
      </c>
      <c r="C152" s="34" t="s">
        <v>57</v>
      </c>
      <c r="D152" s="15" t="s">
        <v>566</v>
      </c>
      <c r="E152" s="2" t="s">
        <v>77</v>
      </c>
      <c r="F152" s="19">
        <v>15178</v>
      </c>
      <c r="G152" s="6"/>
      <c r="H152" s="6" t="s">
        <v>567</v>
      </c>
      <c r="I152" s="2"/>
      <c r="J152" s="6"/>
      <c r="K152" s="6"/>
      <c r="L152" s="38"/>
      <c r="M152" s="6" t="s">
        <v>568</v>
      </c>
      <c r="N152" s="38">
        <v>1</v>
      </c>
      <c r="O152" s="38">
        <v>0</v>
      </c>
      <c r="P152" s="38">
        <v>65535</v>
      </c>
      <c r="Q152" s="38">
        <v>0</v>
      </c>
      <c r="R152" s="38">
        <v>65535</v>
      </c>
      <c r="S152" s="34"/>
      <c r="T152" s="2"/>
      <c r="U152" s="34"/>
      <c r="V152" s="34"/>
      <c r="W152" s="77" t="s">
        <v>569</v>
      </c>
      <c r="X152" s="34"/>
      <c r="Y152" s="34" t="s">
        <v>64</v>
      </c>
      <c r="Z152"/>
      <c r="AD152"/>
      <c r="AE152"/>
      <c r="AF152"/>
      <c r="AG152"/>
    </row>
    <row r="153" spans="1:33" ht="16.149999999999999" customHeight="1" x14ac:dyDescent="0.15">
      <c r="A153" s="6">
        <v>147</v>
      </c>
      <c r="B153" s="18" t="s">
        <v>75</v>
      </c>
      <c r="C153" s="34" t="s">
        <v>57</v>
      </c>
      <c r="D153" s="15" t="s">
        <v>570</v>
      </c>
      <c r="E153" s="2" t="s">
        <v>77</v>
      </c>
      <c r="F153" s="19">
        <v>15179</v>
      </c>
      <c r="G153" s="6"/>
      <c r="H153" s="6" t="s">
        <v>571</v>
      </c>
      <c r="I153" s="2"/>
      <c r="J153" s="6"/>
      <c r="K153" s="6"/>
      <c r="L153" s="38"/>
      <c r="M153" s="6" t="s">
        <v>572</v>
      </c>
      <c r="N153" s="38">
        <v>1</v>
      </c>
      <c r="O153" s="38">
        <v>0</v>
      </c>
      <c r="P153" s="38">
        <v>65535</v>
      </c>
      <c r="Q153" s="38">
        <v>0</v>
      </c>
      <c r="R153" s="38">
        <v>65535</v>
      </c>
      <c r="S153" s="34"/>
      <c r="T153" s="2"/>
      <c r="U153" s="34"/>
      <c r="V153" s="34"/>
      <c r="W153" s="77" t="s">
        <v>573</v>
      </c>
      <c r="X153" s="34"/>
      <c r="Y153" s="34" t="s">
        <v>64</v>
      </c>
      <c r="Z153"/>
      <c r="AD153"/>
      <c r="AE153"/>
      <c r="AF153"/>
      <c r="AG153"/>
    </row>
    <row r="154" spans="1:33" ht="16.149999999999999" customHeight="1" x14ac:dyDescent="0.15">
      <c r="A154" s="6">
        <v>148</v>
      </c>
      <c r="B154" s="18" t="s">
        <v>75</v>
      </c>
      <c r="C154" s="34" t="s">
        <v>57</v>
      </c>
      <c r="D154" s="15" t="s">
        <v>574</v>
      </c>
      <c r="E154" s="2" t="s">
        <v>77</v>
      </c>
      <c r="F154" s="19">
        <v>15180</v>
      </c>
      <c r="G154" s="6"/>
      <c r="H154" s="6" t="s">
        <v>575</v>
      </c>
      <c r="I154" s="2"/>
      <c r="J154" s="6"/>
      <c r="K154" s="6"/>
      <c r="L154" s="38"/>
      <c r="M154" s="6" t="s">
        <v>104</v>
      </c>
      <c r="N154" s="38">
        <v>1</v>
      </c>
      <c r="O154" s="38">
        <v>0</v>
      </c>
      <c r="P154" s="38">
        <v>65535</v>
      </c>
      <c r="Q154" s="102">
        <v>0</v>
      </c>
      <c r="R154" s="38">
        <v>65535</v>
      </c>
      <c r="S154" s="34"/>
      <c r="T154" s="2"/>
      <c r="U154" s="34"/>
      <c r="V154" s="34"/>
      <c r="W154" s="77" t="s">
        <v>576</v>
      </c>
      <c r="X154" s="34"/>
      <c r="Y154" s="34" t="s">
        <v>64</v>
      </c>
      <c r="Z154"/>
      <c r="AD154"/>
      <c r="AE154"/>
      <c r="AF154"/>
      <c r="AG154"/>
    </row>
    <row r="155" spans="1:33" ht="16.149999999999999" customHeight="1" x14ac:dyDescent="0.15">
      <c r="A155" s="6">
        <v>149</v>
      </c>
      <c r="B155" s="18" t="s">
        <v>75</v>
      </c>
      <c r="C155" s="34" t="s">
        <v>57</v>
      </c>
      <c r="D155" s="15" t="s">
        <v>577</v>
      </c>
      <c r="E155" s="2" t="s">
        <v>77</v>
      </c>
      <c r="F155" s="19">
        <v>15181</v>
      </c>
      <c r="G155" s="6"/>
      <c r="H155" s="6" t="s">
        <v>578</v>
      </c>
      <c r="I155" s="2"/>
      <c r="J155" s="6"/>
      <c r="K155" s="6"/>
      <c r="L155" s="38"/>
      <c r="M155" s="6" t="s">
        <v>100</v>
      </c>
      <c r="N155" s="38">
        <v>1</v>
      </c>
      <c r="O155" s="38">
        <v>0</v>
      </c>
      <c r="P155" s="38">
        <v>65535</v>
      </c>
      <c r="Q155" s="38">
        <v>0</v>
      </c>
      <c r="R155" s="38">
        <v>65535</v>
      </c>
      <c r="S155" s="34"/>
      <c r="T155" s="2"/>
      <c r="U155" s="34"/>
      <c r="V155" s="34"/>
      <c r="W155" s="77" t="s">
        <v>579</v>
      </c>
      <c r="X155" s="34"/>
      <c r="Y155" s="34" t="s">
        <v>64</v>
      </c>
      <c r="Z155"/>
      <c r="AD155"/>
      <c r="AE155"/>
      <c r="AF155"/>
      <c r="AG155"/>
    </row>
    <row r="156" spans="1:33" ht="16.149999999999999" customHeight="1" x14ac:dyDescent="0.15">
      <c r="A156" s="6">
        <v>150</v>
      </c>
      <c r="B156" s="18" t="s">
        <v>75</v>
      </c>
      <c r="C156" s="34" t="s">
        <v>57</v>
      </c>
      <c r="D156" s="15" t="s">
        <v>580</v>
      </c>
      <c r="E156" s="2" t="s">
        <v>77</v>
      </c>
      <c r="F156" s="19">
        <v>15182</v>
      </c>
      <c r="G156" s="6"/>
      <c r="H156" s="6" t="s">
        <v>581</v>
      </c>
      <c r="I156" s="2"/>
      <c r="J156" s="6"/>
      <c r="K156" s="6"/>
      <c r="L156" s="38"/>
      <c r="M156" s="6" t="s">
        <v>582</v>
      </c>
      <c r="N156" s="38">
        <v>1</v>
      </c>
      <c r="O156" s="38">
        <v>0</v>
      </c>
      <c r="P156" s="38">
        <v>65535</v>
      </c>
      <c r="Q156" s="38">
        <v>0</v>
      </c>
      <c r="R156" s="38">
        <v>65535</v>
      </c>
      <c r="S156" s="34"/>
      <c r="T156" s="2"/>
      <c r="U156" s="34"/>
      <c r="V156" s="34"/>
      <c r="W156" s="77" t="s">
        <v>583</v>
      </c>
      <c r="X156" s="34"/>
      <c r="Y156" s="34" t="s">
        <v>64</v>
      </c>
      <c r="Z156"/>
      <c r="AD156"/>
      <c r="AE156"/>
      <c r="AF156"/>
      <c r="AG156"/>
    </row>
    <row r="157" spans="1:33" ht="16.149999999999999" customHeight="1" x14ac:dyDescent="0.15">
      <c r="A157" s="6">
        <v>151</v>
      </c>
      <c r="B157" s="18" t="s">
        <v>75</v>
      </c>
      <c r="C157" s="34" t="s">
        <v>57</v>
      </c>
      <c r="D157" s="15" t="s">
        <v>584</v>
      </c>
      <c r="E157" s="2" t="s">
        <v>219</v>
      </c>
      <c r="F157" s="19">
        <v>15185</v>
      </c>
      <c r="G157" s="6"/>
      <c r="H157" s="6" t="s">
        <v>585</v>
      </c>
      <c r="I157" s="2"/>
      <c r="J157" s="6"/>
      <c r="K157" s="6"/>
      <c r="L157" s="38"/>
      <c r="M157" s="6" t="s">
        <v>61</v>
      </c>
      <c r="N157" s="38"/>
      <c r="O157" s="38" t="s">
        <v>62</v>
      </c>
      <c r="P157" s="38" t="s">
        <v>62</v>
      </c>
      <c r="Q157" s="38" t="s">
        <v>62</v>
      </c>
      <c r="R157" s="38" t="s">
        <v>62</v>
      </c>
      <c r="S157" s="34"/>
      <c r="T157" s="2"/>
      <c r="U157" s="34"/>
      <c r="V157" s="34"/>
      <c r="W157" s="77" t="s">
        <v>586</v>
      </c>
      <c r="X157" s="34"/>
      <c r="Y157" s="2"/>
      <c r="Z157"/>
      <c r="AD157"/>
      <c r="AE157"/>
      <c r="AF157"/>
      <c r="AG157"/>
    </row>
    <row r="158" spans="1:33" ht="16.149999999999999" customHeight="1" x14ac:dyDescent="0.15">
      <c r="A158" s="6">
        <v>152</v>
      </c>
      <c r="B158" s="18" t="s">
        <v>75</v>
      </c>
      <c r="C158" s="34" t="s">
        <v>57</v>
      </c>
      <c r="D158" s="113" t="s">
        <v>587</v>
      </c>
      <c r="E158" s="77" t="s">
        <v>169</v>
      </c>
      <c r="F158" s="19">
        <v>15185</v>
      </c>
      <c r="G158" s="6">
        <v>0</v>
      </c>
      <c r="H158" s="6" t="s">
        <v>588</v>
      </c>
      <c r="I158" s="2"/>
      <c r="J158" s="6" t="s">
        <v>171</v>
      </c>
      <c r="K158" s="6" t="s">
        <v>177</v>
      </c>
      <c r="L158" s="38" t="s">
        <v>173</v>
      </c>
      <c r="M158" s="6"/>
      <c r="N158" s="113"/>
      <c r="O158" s="45" t="s">
        <v>62</v>
      </c>
      <c r="P158" s="2" t="s">
        <v>62</v>
      </c>
      <c r="Q158" s="38" t="s">
        <v>62</v>
      </c>
      <c r="R158" s="36" t="s">
        <v>62</v>
      </c>
      <c r="S158" s="34"/>
      <c r="T158" s="2"/>
      <c r="U158" s="34"/>
      <c r="V158" s="33"/>
      <c r="W158" s="33" t="s">
        <v>589</v>
      </c>
      <c r="X158" s="33"/>
      <c r="Y158" s="33"/>
      <c r="Z158"/>
      <c r="AD158"/>
      <c r="AE158"/>
      <c r="AF158"/>
      <c r="AG158"/>
    </row>
    <row r="159" spans="1:33" ht="16.149999999999999" customHeight="1" x14ac:dyDescent="0.15">
      <c r="A159" s="6">
        <v>153</v>
      </c>
      <c r="B159" s="18" t="s">
        <v>75</v>
      </c>
      <c r="C159" s="34" t="s">
        <v>57</v>
      </c>
      <c r="D159" s="113" t="s">
        <v>590</v>
      </c>
      <c r="E159" s="77" t="s">
        <v>169</v>
      </c>
      <c r="F159" s="19">
        <v>15185</v>
      </c>
      <c r="G159" s="6">
        <v>1</v>
      </c>
      <c r="H159" s="6" t="s">
        <v>591</v>
      </c>
      <c r="I159" s="2"/>
      <c r="J159" s="6" t="s">
        <v>171</v>
      </c>
      <c r="K159" s="6" t="s">
        <v>177</v>
      </c>
      <c r="L159" s="38" t="s">
        <v>173</v>
      </c>
      <c r="M159" s="2"/>
      <c r="N159" s="113"/>
      <c r="O159" s="45" t="s">
        <v>62</v>
      </c>
      <c r="P159" s="2" t="s">
        <v>62</v>
      </c>
      <c r="Q159" s="38" t="s">
        <v>62</v>
      </c>
      <c r="R159" s="36" t="s">
        <v>62</v>
      </c>
      <c r="S159" s="34"/>
      <c r="T159" s="2"/>
      <c r="U159" s="34"/>
      <c r="V159" s="33"/>
      <c r="W159" s="33" t="s">
        <v>592</v>
      </c>
      <c r="X159" s="33"/>
      <c r="Y159" s="33"/>
      <c r="Z159"/>
      <c r="AD159"/>
      <c r="AE159"/>
      <c r="AF159"/>
      <c r="AG159"/>
    </row>
    <row r="160" spans="1:33" ht="16.149999999999999" customHeight="1" x14ac:dyDescent="0.15">
      <c r="A160" s="6">
        <v>154</v>
      </c>
      <c r="B160" s="18" t="s">
        <v>75</v>
      </c>
      <c r="C160" s="34" t="s">
        <v>57</v>
      </c>
      <c r="D160" s="113" t="s">
        <v>593</v>
      </c>
      <c r="E160" s="77" t="s">
        <v>169</v>
      </c>
      <c r="F160" s="19">
        <v>15185</v>
      </c>
      <c r="G160" s="6">
        <v>2</v>
      </c>
      <c r="H160" s="6" t="s">
        <v>594</v>
      </c>
      <c r="I160" s="2"/>
      <c r="J160" s="6" t="s">
        <v>171</v>
      </c>
      <c r="K160" s="6" t="s">
        <v>177</v>
      </c>
      <c r="L160" s="38" t="s">
        <v>173</v>
      </c>
      <c r="M160" s="2"/>
      <c r="N160" s="113"/>
      <c r="O160" s="45" t="s">
        <v>62</v>
      </c>
      <c r="P160" s="2" t="s">
        <v>62</v>
      </c>
      <c r="Q160" s="38" t="s">
        <v>62</v>
      </c>
      <c r="R160" s="36" t="s">
        <v>62</v>
      </c>
      <c r="S160" s="34"/>
      <c r="T160" s="2"/>
      <c r="U160" s="34"/>
      <c r="V160" s="33"/>
      <c r="W160" s="33" t="s">
        <v>595</v>
      </c>
      <c r="X160" s="33"/>
      <c r="Y160" s="33"/>
      <c r="Z160"/>
      <c r="AD160"/>
      <c r="AE160"/>
      <c r="AF160"/>
      <c r="AG160"/>
    </row>
    <row r="161" spans="1:33" ht="16.149999999999999" customHeight="1" x14ac:dyDescent="0.15">
      <c r="A161" s="6">
        <v>155</v>
      </c>
      <c r="B161" s="18" t="s">
        <v>75</v>
      </c>
      <c r="C161" s="34" t="s">
        <v>57</v>
      </c>
      <c r="D161" s="113" t="s">
        <v>596</v>
      </c>
      <c r="E161" s="77" t="s">
        <v>169</v>
      </c>
      <c r="F161" s="19">
        <v>15185</v>
      </c>
      <c r="G161" s="6">
        <v>3</v>
      </c>
      <c r="H161" s="6" t="s">
        <v>597</v>
      </c>
      <c r="I161" s="2"/>
      <c r="J161" s="6" t="s">
        <v>171</v>
      </c>
      <c r="K161" s="6" t="s">
        <v>177</v>
      </c>
      <c r="L161" s="38" t="s">
        <v>173</v>
      </c>
      <c r="M161" s="2"/>
      <c r="N161" s="113"/>
      <c r="O161" s="45" t="s">
        <v>62</v>
      </c>
      <c r="P161" s="2" t="s">
        <v>62</v>
      </c>
      <c r="Q161" s="38" t="s">
        <v>62</v>
      </c>
      <c r="R161" s="36" t="s">
        <v>62</v>
      </c>
      <c r="S161" s="34"/>
      <c r="T161" s="2"/>
      <c r="U161" s="34"/>
      <c r="V161" s="33"/>
      <c r="W161" s="33" t="s">
        <v>598</v>
      </c>
      <c r="X161" s="33"/>
      <c r="Y161" s="33"/>
      <c r="Z161"/>
      <c r="AD161"/>
      <c r="AE161"/>
      <c r="AF161"/>
      <c r="AG161"/>
    </row>
    <row r="162" spans="1:33" ht="16.149999999999999" customHeight="1" x14ac:dyDescent="0.15">
      <c r="A162" s="6">
        <v>156</v>
      </c>
      <c r="B162" s="18" t="s">
        <v>75</v>
      </c>
      <c r="C162" s="34" t="s">
        <v>57</v>
      </c>
      <c r="D162" s="113" t="s">
        <v>7209</v>
      </c>
      <c r="E162" s="77" t="s">
        <v>169</v>
      </c>
      <c r="F162" s="19">
        <v>15185</v>
      </c>
      <c r="G162" s="6">
        <v>4</v>
      </c>
      <c r="H162" s="6" t="s">
        <v>8082</v>
      </c>
      <c r="I162" s="2"/>
      <c r="J162" s="6" t="s">
        <v>171</v>
      </c>
      <c r="K162" s="6" t="s">
        <v>177</v>
      </c>
      <c r="L162" s="38" t="s">
        <v>173</v>
      </c>
      <c r="M162" s="2"/>
      <c r="N162" s="113"/>
      <c r="O162" s="45" t="s">
        <v>62</v>
      </c>
      <c r="P162" s="2" t="s">
        <v>62</v>
      </c>
      <c r="Q162" s="38" t="s">
        <v>62</v>
      </c>
      <c r="R162" s="36" t="s">
        <v>62</v>
      </c>
      <c r="S162" s="34"/>
      <c r="T162" s="2"/>
      <c r="U162" s="34"/>
      <c r="V162" s="33"/>
      <c r="W162" s="33" t="s">
        <v>8237</v>
      </c>
      <c r="X162" s="33"/>
      <c r="Y162" s="33"/>
      <c r="Z162"/>
      <c r="AD162"/>
      <c r="AE162"/>
      <c r="AF162"/>
      <c r="AG162"/>
    </row>
    <row r="163" spans="1:33" ht="16.149999999999999" customHeight="1" x14ac:dyDescent="0.15">
      <c r="A163" s="6">
        <v>157</v>
      </c>
      <c r="B163" s="18" t="s">
        <v>75</v>
      </c>
      <c r="C163" s="34" t="s">
        <v>57</v>
      </c>
      <c r="D163" s="113" t="s">
        <v>7210</v>
      </c>
      <c r="E163" s="77" t="s">
        <v>169</v>
      </c>
      <c r="F163" s="19">
        <v>15185</v>
      </c>
      <c r="G163" s="6">
        <v>5</v>
      </c>
      <c r="H163" s="6" t="s">
        <v>8083</v>
      </c>
      <c r="I163" s="2"/>
      <c r="J163" s="6" t="s">
        <v>171</v>
      </c>
      <c r="K163" s="6" t="s">
        <v>177</v>
      </c>
      <c r="L163" s="38" t="s">
        <v>173</v>
      </c>
      <c r="M163" s="2"/>
      <c r="N163" s="113"/>
      <c r="O163" s="45" t="s">
        <v>62</v>
      </c>
      <c r="P163" s="2" t="s">
        <v>62</v>
      </c>
      <c r="Q163" s="38" t="s">
        <v>62</v>
      </c>
      <c r="R163" s="36" t="s">
        <v>62</v>
      </c>
      <c r="S163" s="34"/>
      <c r="T163" s="2"/>
      <c r="U163" s="34"/>
      <c r="V163" s="33"/>
      <c r="W163" s="33" t="s">
        <v>8238</v>
      </c>
      <c r="X163" s="33"/>
      <c r="Y163" s="33"/>
      <c r="Z163"/>
      <c r="AD163"/>
      <c r="AE163"/>
      <c r="AF163"/>
      <c r="AG163"/>
    </row>
    <row r="164" spans="1:33" ht="16.149999999999999" customHeight="1" x14ac:dyDescent="0.15">
      <c r="A164" s="6">
        <v>158</v>
      </c>
      <c r="B164" s="18" t="s">
        <v>75</v>
      </c>
      <c r="C164" s="34" t="s">
        <v>57</v>
      </c>
      <c r="D164" s="113" t="s">
        <v>7211</v>
      </c>
      <c r="E164" s="77" t="s">
        <v>169</v>
      </c>
      <c r="F164" s="19">
        <v>15185</v>
      </c>
      <c r="G164" s="6">
        <v>6</v>
      </c>
      <c r="H164" s="6" t="s">
        <v>8084</v>
      </c>
      <c r="I164" s="2"/>
      <c r="J164" s="6" t="s">
        <v>171</v>
      </c>
      <c r="K164" s="6" t="s">
        <v>177</v>
      </c>
      <c r="L164" s="38" t="s">
        <v>173</v>
      </c>
      <c r="M164" s="2"/>
      <c r="N164" s="113"/>
      <c r="O164" s="45" t="s">
        <v>62</v>
      </c>
      <c r="P164" s="2" t="s">
        <v>62</v>
      </c>
      <c r="Q164" s="38" t="s">
        <v>62</v>
      </c>
      <c r="R164" s="36" t="s">
        <v>62</v>
      </c>
      <c r="S164" s="34"/>
      <c r="T164" s="2"/>
      <c r="U164" s="34"/>
      <c r="V164" s="33"/>
      <c r="W164" s="33" t="s">
        <v>8239</v>
      </c>
      <c r="X164" s="33"/>
      <c r="Y164" s="33"/>
      <c r="Z164"/>
      <c r="AD164"/>
      <c r="AE164"/>
      <c r="AF164"/>
      <c r="AG164"/>
    </row>
    <row r="165" spans="1:33" ht="16.149999999999999" customHeight="1" x14ac:dyDescent="0.15">
      <c r="A165" s="6">
        <v>159</v>
      </c>
      <c r="B165" s="18" t="s">
        <v>75</v>
      </c>
      <c r="C165" s="34" t="s">
        <v>57</v>
      </c>
      <c r="D165" s="113" t="s">
        <v>599</v>
      </c>
      <c r="E165" s="77" t="s">
        <v>169</v>
      </c>
      <c r="F165" s="19">
        <v>15185</v>
      </c>
      <c r="G165" s="6">
        <v>7</v>
      </c>
      <c r="H165" s="6" t="s">
        <v>600</v>
      </c>
      <c r="I165" s="2"/>
      <c r="J165" s="6" t="s">
        <v>171</v>
      </c>
      <c r="K165" s="6" t="s">
        <v>177</v>
      </c>
      <c r="L165" s="38" t="s">
        <v>173</v>
      </c>
      <c r="M165" s="2"/>
      <c r="N165" s="113"/>
      <c r="O165" s="45" t="s">
        <v>62</v>
      </c>
      <c r="P165" s="2" t="s">
        <v>62</v>
      </c>
      <c r="Q165" s="38" t="s">
        <v>62</v>
      </c>
      <c r="R165" s="36" t="s">
        <v>62</v>
      </c>
      <c r="S165" s="34"/>
      <c r="T165" s="2"/>
      <c r="U165" s="34"/>
      <c r="V165" s="33"/>
      <c r="W165" s="33" t="s">
        <v>601</v>
      </c>
      <c r="X165" s="33"/>
      <c r="Y165" s="33"/>
      <c r="Z165"/>
      <c r="AD165"/>
      <c r="AE165"/>
      <c r="AF165"/>
      <c r="AG165"/>
    </row>
    <row r="166" spans="1:33" ht="16.149999999999999" customHeight="1" x14ac:dyDescent="0.15">
      <c r="A166" s="6">
        <v>160</v>
      </c>
      <c r="B166" s="18" t="s">
        <v>75</v>
      </c>
      <c r="C166" s="34" t="s">
        <v>57</v>
      </c>
      <c r="D166" s="113" t="s">
        <v>7212</v>
      </c>
      <c r="E166" s="77" t="s">
        <v>169</v>
      </c>
      <c r="F166" s="19">
        <v>15185</v>
      </c>
      <c r="G166" s="6">
        <v>8</v>
      </c>
      <c r="H166" s="6" t="s">
        <v>8085</v>
      </c>
      <c r="I166" s="2"/>
      <c r="J166" s="6" t="s">
        <v>171</v>
      </c>
      <c r="K166" s="6" t="s">
        <v>177</v>
      </c>
      <c r="L166" s="38" t="s">
        <v>173</v>
      </c>
      <c r="M166" s="2"/>
      <c r="N166" s="113"/>
      <c r="O166" s="45" t="s">
        <v>62</v>
      </c>
      <c r="P166" s="2" t="s">
        <v>62</v>
      </c>
      <c r="Q166" s="38" t="s">
        <v>62</v>
      </c>
      <c r="R166" s="36" t="s">
        <v>62</v>
      </c>
      <c r="S166" s="34"/>
      <c r="T166" s="2"/>
      <c r="U166" s="34"/>
      <c r="V166" s="33"/>
      <c r="W166" s="33" t="s">
        <v>8240</v>
      </c>
      <c r="X166" s="33"/>
      <c r="Y166" s="33"/>
      <c r="Z166"/>
      <c r="AD166"/>
      <c r="AE166"/>
      <c r="AF166"/>
      <c r="AG166"/>
    </row>
    <row r="167" spans="1:33" ht="16.149999999999999" customHeight="1" x14ac:dyDescent="0.15">
      <c r="A167" s="6">
        <v>161</v>
      </c>
      <c r="B167" s="18" t="s">
        <v>75</v>
      </c>
      <c r="C167" s="34" t="s">
        <v>57</v>
      </c>
      <c r="D167" s="113" t="s">
        <v>602</v>
      </c>
      <c r="E167" s="77" t="s">
        <v>169</v>
      </c>
      <c r="F167" s="19">
        <v>15185</v>
      </c>
      <c r="G167" s="6">
        <v>9</v>
      </c>
      <c r="H167" s="6" t="s">
        <v>603</v>
      </c>
      <c r="I167" s="2"/>
      <c r="J167" s="6" t="s">
        <v>171</v>
      </c>
      <c r="K167" s="6" t="s">
        <v>177</v>
      </c>
      <c r="L167" s="38" t="s">
        <v>173</v>
      </c>
      <c r="M167" s="2"/>
      <c r="N167" s="113"/>
      <c r="O167" s="45" t="s">
        <v>62</v>
      </c>
      <c r="P167" s="2" t="s">
        <v>62</v>
      </c>
      <c r="Q167" s="38" t="s">
        <v>62</v>
      </c>
      <c r="R167" s="36" t="s">
        <v>62</v>
      </c>
      <c r="S167" s="34"/>
      <c r="T167" s="2"/>
      <c r="U167" s="34"/>
      <c r="V167" s="33"/>
      <c r="W167" s="33" t="s">
        <v>604</v>
      </c>
      <c r="X167" s="33"/>
      <c r="Y167" s="33"/>
      <c r="Z167"/>
      <c r="AD167"/>
      <c r="AE167"/>
      <c r="AF167"/>
      <c r="AG167"/>
    </row>
    <row r="168" spans="1:33" ht="16.149999999999999" customHeight="1" x14ac:dyDescent="0.15">
      <c r="A168" s="6">
        <v>162</v>
      </c>
      <c r="B168" s="18" t="s">
        <v>75</v>
      </c>
      <c r="C168" s="34" t="s">
        <v>57</v>
      </c>
      <c r="D168" s="113" t="s">
        <v>605</v>
      </c>
      <c r="E168" s="77" t="s">
        <v>169</v>
      </c>
      <c r="F168" s="19">
        <v>15185</v>
      </c>
      <c r="G168" s="6">
        <v>10</v>
      </c>
      <c r="H168" s="6" t="s">
        <v>606</v>
      </c>
      <c r="I168" s="2"/>
      <c r="J168" s="6" t="s">
        <v>171</v>
      </c>
      <c r="K168" s="6" t="s">
        <v>177</v>
      </c>
      <c r="L168" s="38" t="s">
        <v>173</v>
      </c>
      <c r="M168" s="2"/>
      <c r="N168" s="113"/>
      <c r="O168" s="45" t="s">
        <v>62</v>
      </c>
      <c r="P168" s="2" t="s">
        <v>62</v>
      </c>
      <c r="Q168" s="38" t="s">
        <v>62</v>
      </c>
      <c r="R168" s="36" t="s">
        <v>62</v>
      </c>
      <c r="S168" s="34"/>
      <c r="T168" s="2"/>
      <c r="U168" s="34"/>
      <c r="V168" s="33"/>
      <c r="W168" s="33" t="s">
        <v>607</v>
      </c>
      <c r="X168" s="33"/>
      <c r="Y168" s="33"/>
      <c r="Z168"/>
      <c r="AD168"/>
      <c r="AE168"/>
      <c r="AF168"/>
      <c r="AG168"/>
    </row>
    <row r="169" spans="1:33" ht="16.149999999999999" customHeight="1" x14ac:dyDescent="0.15">
      <c r="A169" s="6">
        <v>163</v>
      </c>
      <c r="B169" s="18" t="s">
        <v>75</v>
      </c>
      <c r="C169" s="34" t="s">
        <v>57</v>
      </c>
      <c r="D169" s="113" t="s">
        <v>608</v>
      </c>
      <c r="E169" s="77" t="s">
        <v>169</v>
      </c>
      <c r="F169" s="19">
        <v>15185</v>
      </c>
      <c r="G169" s="6">
        <v>11</v>
      </c>
      <c r="H169" s="6" t="s">
        <v>609</v>
      </c>
      <c r="I169" s="2"/>
      <c r="J169" s="6" t="s">
        <v>171</v>
      </c>
      <c r="K169" s="6" t="s">
        <v>177</v>
      </c>
      <c r="L169" s="38" t="s">
        <v>173</v>
      </c>
      <c r="M169" s="2"/>
      <c r="N169" s="113"/>
      <c r="O169" s="45" t="s">
        <v>62</v>
      </c>
      <c r="P169" s="2" t="s">
        <v>62</v>
      </c>
      <c r="Q169" s="38" t="s">
        <v>62</v>
      </c>
      <c r="R169" s="36" t="s">
        <v>62</v>
      </c>
      <c r="S169" s="34"/>
      <c r="T169" s="2"/>
      <c r="U169" s="34"/>
      <c r="V169" s="33"/>
      <c r="W169" s="33" t="s">
        <v>610</v>
      </c>
      <c r="X169" s="33"/>
      <c r="Y169" s="33"/>
      <c r="Z169"/>
      <c r="AD169"/>
      <c r="AE169"/>
      <c r="AF169"/>
      <c r="AG169"/>
    </row>
    <row r="170" spans="1:33" ht="16.149999999999999" customHeight="1" x14ac:dyDescent="0.15">
      <c r="A170" s="6">
        <v>164</v>
      </c>
      <c r="B170" s="18" t="s">
        <v>75</v>
      </c>
      <c r="C170" s="34" t="s">
        <v>57</v>
      </c>
      <c r="D170" s="113" t="s">
        <v>7213</v>
      </c>
      <c r="E170" s="77" t="s">
        <v>169</v>
      </c>
      <c r="F170" s="19">
        <v>15185</v>
      </c>
      <c r="G170" s="6">
        <v>12</v>
      </c>
      <c r="H170" s="6" t="s">
        <v>8086</v>
      </c>
      <c r="I170" s="2"/>
      <c r="J170" s="6" t="s">
        <v>171</v>
      </c>
      <c r="K170" s="6" t="s">
        <v>177</v>
      </c>
      <c r="L170" s="38" t="s">
        <v>173</v>
      </c>
      <c r="M170" s="2"/>
      <c r="N170" s="113"/>
      <c r="O170" s="45" t="s">
        <v>62</v>
      </c>
      <c r="P170" s="2" t="s">
        <v>62</v>
      </c>
      <c r="Q170" s="38" t="s">
        <v>62</v>
      </c>
      <c r="R170" s="36" t="s">
        <v>62</v>
      </c>
      <c r="S170" s="34"/>
      <c r="T170" s="2"/>
      <c r="U170" s="34"/>
      <c r="V170" s="33"/>
      <c r="W170" s="33" t="s">
        <v>8241</v>
      </c>
      <c r="X170" s="33"/>
      <c r="Y170" s="33"/>
      <c r="Z170"/>
      <c r="AD170"/>
      <c r="AE170"/>
      <c r="AF170"/>
      <c r="AG170"/>
    </row>
    <row r="171" spans="1:33" ht="16.149999999999999" customHeight="1" x14ac:dyDescent="0.15">
      <c r="A171" s="6">
        <v>165</v>
      </c>
      <c r="B171" s="18" t="s">
        <v>75</v>
      </c>
      <c r="C171" s="34" t="s">
        <v>57</v>
      </c>
      <c r="D171" s="113" t="s">
        <v>7214</v>
      </c>
      <c r="E171" s="77" t="s">
        <v>169</v>
      </c>
      <c r="F171" s="19">
        <v>15185</v>
      </c>
      <c r="G171" s="6">
        <v>13</v>
      </c>
      <c r="H171" s="6" t="s">
        <v>8087</v>
      </c>
      <c r="I171" s="2"/>
      <c r="J171" s="6" t="s">
        <v>171</v>
      </c>
      <c r="K171" s="6" t="s">
        <v>177</v>
      </c>
      <c r="L171" s="38" t="s">
        <v>173</v>
      </c>
      <c r="M171" s="2"/>
      <c r="N171" s="113"/>
      <c r="O171" s="45" t="s">
        <v>62</v>
      </c>
      <c r="P171" s="2" t="s">
        <v>62</v>
      </c>
      <c r="Q171" s="38" t="s">
        <v>62</v>
      </c>
      <c r="R171" s="36" t="s">
        <v>62</v>
      </c>
      <c r="S171" s="34"/>
      <c r="T171" s="2"/>
      <c r="U171" s="34"/>
      <c r="V171" s="33"/>
      <c r="W171" s="33" t="s">
        <v>8242</v>
      </c>
      <c r="X171" s="33"/>
      <c r="Y171" s="33"/>
      <c r="Z171"/>
      <c r="AD171"/>
      <c r="AE171"/>
      <c r="AF171"/>
      <c r="AG171"/>
    </row>
    <row r="172" spans="1:33" ht="16.149999999999999" customHeight="1" x14ac:dyDescent="0.15">
      <c r="A172" s="6">
        <v>166</v>
      </c>
      <c r="B172" s="18" t="s">
        <v>75</v>
      </c>
      <c r="C172" s="34" t="s">
        <v>57</v>
      </c>
      <c r="D172" s="113" t="s">
        <v>611</v>
      </c>
      <c r="E172" s="77" t="s">
        <v>169</v>
      </c>
      <c r="F172" s="19">
        <v>15185</v>
      </c>
      <c r="G172" s="6">
        <v>14</v>
      </c>
      <c r="H172" s="6" t="s">
        <v>612</v>
      </c>
      <c r="I172" s="2"/>
      <c r="J172" s="6" t="s">
        <v>171</v>
      </c>
      <c r="K172" s="6" t="s">
        <v>177</v>
      </c>
      <c r="L172" s="38" t="s">
        <v>173</v>
      </c>
      <c r="M172" s="2"/>
      <c r="N172" s="113"/>
      <c r="O172" s="45" t="s">
        <v>62</v>
      </c>
      <c r="P172" s="2" t="s">
        <v>62</v>
      </c>
      <c r="Q172" s="38" t="s">
        <v>62</v>
      </c>
      <c r="R172" s="36" t="s">
        <v>62</v>
      </c>
      <c r="S172" s="34"/>
      <c r="T172" s="2"/>
      <c r="U172" s="34"/>
      <c r="V172" s="33"/>
      <c r="W172" s="33" t="s">
        <v>613</v>
      </c>
      <c r="X172" s="33"/>
      <c r="Y172" s="33"/>
      <c r="Z172"/>
      <c r="AD172"/>
      <c r="AE172"/>
      <c r="AF172"/>
      <c r="AG172"/>
    </row>
    <row r="173" spans="1:33" ht="16.149999999999999" customHeight="1" x14ac:dyDescent="0.15">
      <c r="A173" s="6">
        <v>167</v>
      </c>
      <c r="B173" s="18" t="s">
        <v>75</v>
      </c>
      <c r="C173" s="34" t="s">
        <v>57</v>
      </c>
      <c r="D173" s="113" t="s">
        <v>7215</v>
      </c>
      <c r="E173" s="77" t="s">
        <v>169</v>
      </c>
      <c r="F173" s="19">
        <v>15185</v>
      </c>
      <c r="G173" s="6">
        <v>15</v>
      </c>
      <c r="H173" s="6" t="s">
        <v>8088</v>
      </c>
      <c r="I173" s="2"/>
      <c r="J173" s="6" t="s">
        <v>171</v>
      </c>
      <c r="K173" s="6" t="s">
        <v>177</v>
      </c>
      <c r="L173" s="38" t="s">
        <v>173</v>
      </c>
      <c r="M173" s="2"/>
      <c r="N173" s="113"/>
      <c r="O173" s="45" t="s">
        <v>62</v>
      </c>
      <c r="P173" s="2" t="s">
        <v>62</v>
      </c>
      <c r="Q173" s="38" t="s">
        <v>62</v>
      </c>
      <c r="R173" s="36" t="s">
        <v>62</v>
      </c>
      <c r="S173" s="34"/>
      <c r="T173" s="2"/>
      <c r="U173" s="34"/>
      <c r="V173" s="33"/>
      <c r="W173" s="33" t="s">
        <v>8243</v>
      </c>
      <c r="X173" s="33"/>
      <c r="Y173" s="33"/>
      <c r="Z173"/>
      <c r="AD173"/>
      <c r="AE173"/>
      <c r="AF173"/>
      <c r="AG173"/>
    </row>
    <row r="174" spans="1:33" ht="16.149999999999999" customHeight="1" x14ac:dyDescent="0.15">
      <c r="A174" s="6">
        <v>168</v>
      </c>
      <c r="B174" s="18" t="s">
        <v>75</v>
      </c>
      <c r="C174" s="34" t="s">
        <v>57</v>
      </c>
      <c r="D174" s="113" t="s">
        <v>614</v>
      </c>
      <c r="E174" s="77" t="s">
        <v>169</v>
      </c>
      <c r="F174" s="19">
        <v>15185</v>
      </c>
      <c r="G174" s="6">
        <v>17</v>
      </c>
      <c r="H174" s="6" t="s">
        <v>615</v>
      </c>
      <c r="I174" s="2"/>
      <c r="J174" s="6" t="s">
        <v>171</v>
      </c>
      <c r="K174" s="6" t="s">
        <v>177</v>
      </c>
      <c r="L174" s="38" t="s">
        <v>173</v>
      </c>
      <c r="M174" s="2"/>
      <c r="N174" s="113"/>
      <c r="O174" s="45" t="s">
        <v>62</v>
      </c>
      <c r="P174" s="2" t="s">
        <v>62</v>
      </c>
      <c r="Q174" s="38" t="s">
        <v>62</v>
      </c>
      <c r="R174" s="36" t="s">
        <v>62</v>
      </c>
      <c r="S174" s="34"/>
      <c r="T174" s="2"/>
      <c r="U174" s="34"/>
      <c r="V174" s="33"/>
      <c r="W174" s="33" t="s">
        <v>616</v>
      </c>
      <c r="X174" s="33"/>
      <c r="Y174" s="33"/>
      <c r="Z174"/>
      <c r="AD174"/>
      <c r="AE174"/>
      <c r="AF174"/>
      <c r="AG174"/>
    </row>
    <row r="175" spans="1:33" ht="16.149999999999999" customHeight="1" x14ac:dyDescent="0.15">
      <c r="A175" s="6">
        <v>169</v>
      </c>
      <c r="B175" s="18" t="s">
        <v>75</v>
      </c>
      <c r="C175" s="34" t="s">
        <v>57</v>
      </c>
      <c r="D175" s="113" t="s">
        <v>617</v>
      </c>
      <c r="E175" s="77" t="s">
        <v>169</v>
      </c>
      <c r="F175" s="19">
        <v>15185</v>
      </c>
      <c r="G175" s="6">
        <v>18</v>
      </c>
      <c r="H175" s="6" t="s">
        <v>618</v>
      </c>
      <c r="I175" s="2"/>
      <c r="J175" s="6" t="s">
        <v>171</v>
      </c>
      <c r="K175" s="6" t="s">
        <v>177</v>
      </c>
      <c r="L175" s="38" t="s">
        <v>173</v>
      </c>
      <c r="M175" s="2"/>
      <c r="N175" s="113"/>
      <c r="O175" s="45" t="s">
        <v>62</v>
      </c>
      <c r="P175" s="2" t="s">
        <v>62</v>
      </c>
      <c r="Q175" s="38" t="s">
        <v>62</v>
      </c>
      <c r="R175" s="36" t="s">
        <v>62</v>
      </c>
      <c r="S175" s="34"/>
      <c r="T175" s="2"/>
      <c r="U175" s="34"/>
      <c r="V175" s="33"/>
      <c r="W175" s="33" t="s">
        <v>619</v>
      </c>
      <c r="X175" s="33"/>
      <c r="Y175" s="33"/>
      <c r="Z175"/>
      <c r="AD175"/>
      <c r="AE175"/>
      <c r="AF175"/>
      <c r="AG175"/>
    </row>
    <row r="176" spans="1:33" ht="16.149999999999999" customHeight="1" x14ac:dyDescent="0.15">
      <c r="A176" s="6">
        <v>170</v>
      </c>
      <c r="B176" s="18" t="s">
        <v>75</v>
      </c>
      <c r="C176" s="34" t="s">
        <v>57</v>
      </c>
      <c r="D176" s="113" t="s">
        <v>7216</v>
      </c>
      <c r="E176" s="77" t="s">
        <v>169</v>
      </c>
      <c r="F176" s="19">
        <v>15185</v>
      </c>
      <c r="G176" s="6">
        <v>19</v>
      </c>
      <c r="H176" s="6" t="s">
        <v>8089</v>
      </c>
      <c r="I176" s="2"/>
      <c r="J176" s="6" t="s">
        <v>171</v>
      </c>
      <c r="K176" s="6" t="s">
        <v>177</v>
      </c>
      <c r="L176" s="38" t="s">
        <v>173</v>
      </c>
      <c r="M176" s="2"/>
      <c r="N176" s="113"/>
      <c r="O176" s="45" t="s">
        <v>62</v>
      </c>
      <c r="P176" s="2" t="s">
        <v>62</v>
      </c>
      <c r="Q176" s="38" t="s">
        <v>62</v>
      </c>
      <c r="R176" s="36" t="s">
        <v>62</v>
      </c>
      <c r="S176" s="34"/>
      <c r="T176" s="2"/>
      <c r="U176" s="34"/>
      <c r="V176" s="33"/>
      <c r="W176" s="33" t="s">
        <v>8244</v>
      </c>
      <c r="X176" s="33"/>
      <c r="Y176" s="33"/>
      <c r="Z176"/>
      <c r="AD176"/>
      <c r="AE176"/>
      <c r="AF176"/>
      <c r="AG176"/>
    </row>
    <row r="177" spans="1:33" ht="16.149999999999999" customHeight="1" x14ac:dyDescent="0.15">
      <c r="A177" s="6">
        <v>171</v>
      </c>
      <c r="B177" s="18" t="s">
        <v>75</v>
      </c>
      <c r="C177" s="34" t="s">
        <v>57</v>
      </c>
      <c r="D177" s="113" t="s">
        <v>7217</v>
      </c>
      <c r="E177" s="77" t="s">
        <v>169</v>
      </c>
      <c r="F177" s="19">
        <v>15185</v>
      </c>
      <c r="G177" s="6">
        <v>20</v>
      </c>
      <c r="H177" s="6" t="s">
        <v>8090</v>
      </c>
      <c r="I177" s="2"/>
      <c r="J177" s="6" t="s">
        <v>171</v>
      </c>
      <c r="K177" s="6" t="s">
        <v>177</v>
      </c>
      <c r="L177" s="38" t="s">
        <v>173</v>
      </c>
      <c r="M177" s="2"/>
      <c r="N177" s="113"/>
      <c r="O177" s="45" t="s">
        <v>62</v>
      </c>
      <c r="P177" s="2" t="s">
        <v>62</v>
      </c>
      <c r="Q177" s="38" t="s">
        <v>62</v>
      </c>
      <c r="R177" s="36" t="s">
        <v>62</v>
      </c>
      <c r="S177" s="34"/>
      <c r="T177" s="2"/>
      <c r="U177" s="34"/>
      <c r="V177" s="33"/>
      <c r="W177" s="33" t="s">
        <v>8245</v>
      </c>
      <c r="X177" s="33"/>
      <c r="Y177" s="33"/>
      <c r="Z177"/>
      <c r="AD177"/>
      <c r="AE177"/>
      <c r="AF177"/>
      <c r="AG177"/>
    </row>
    <row r="178" spans="1:33" ht="16.149999999999999" customHeight="1" x14ac:dyDescent="0.15">
      <c r="A178" s="6">
        <v>172</v>
      </c>
      <c r="B178" s="18" t="s">
        <v>75</v>
      </c>
      <c r="C178" s="34" t="s">
        <v>57</v>
      </c>
      <c r="D178" s="113" t="s">
        <v>620</v>
      </c>
      <c r="E178" s="77" t="s">
        <v>169</v>
      </c>
      <c r="F178" s="19">
        <v>15185</v>
      </c>
      <c r="G178" s="6">
        <v>21</v>
      </c>
      <c r="H178" s="6" t="s">
        <v>621</v>
      </c>
      <c r="I178" s="2"/>
      <c r="J178" s="6" t="s">
        <v>171</v>
      </c>
      <c r="K178" s="6" t="s">
        <v>177</v>
      </c>
      <c r="L178" s="38" t="s">
        <v>173</v>
      </c>
      <c r="M178" s="2"/>
      <c r="N178" s="113"/>
      <c r="O178" s="45" t="s">
        <v>62</v>
      </c>
      <c r="P178" s="2" t="s">
        <v>62</v>
      </c>
      <c r="Q178" s="38" t="s">
        <v>62</v>
      </c>
      <c r="R178" s="36" t="s">
        <v>62</v>
      </c>
      <c r="S178" s="34"/>
      <c r="T178" s="2"/>
      <c r="U178" s="34"/>
      <c r="V178" s="33"/>
      <c r="W178" s="33" t="s">
        <v>622</v>
      </c>
      <c r="X178" s="33"/>
      <c r="Y178" s="33"/>
      <c r="Z178"/>
      <c r="AD178"/>
      <c r="AE178"/>
      <c r="AF178"/>
      <c r="AG178"/>
    </row>
    <row r="179" spans="1:33" ht="16.149999999999999" customHeight="1" x14ac:dyDescent="0.15">
      <c r="A179" s="6">
        <v>173</v>
      </c>
      <c r="B179" s="18" t="s">
        <v>75</v>
      </c>
      <c r="C179" s="34" t="s">
        <v>57</v>
      </c>
      <c r="D179" s="113" t="s">
        <v>623</v>
      </c>
      <c r="E179" s="77" t="s">
        <v>169</v>
      </c>
      <c r="F179" s="19">
        <v>15185</v>
      </c>
      <c r="G179" s="6">
        <v>22</v>
      </c>
      <c r="H179" s="6" t="s">
        <v>624</v>
      </c>
      <c r="I179" s="2"/>
      <c r="J179" s="6" t="s">
        <v>171</v>
      </c>
      <c r="K179" s="6" t="s">
        <v>177</v>
      </c>
      <c r="L179" s="38" t="s">
        <v>173</v>
      </c>
      <c r="M179" s="2"/>
      <c r="N179" s="113"/>
      <c r="O179" s="45" t="s">
        <v>62</v>
      </c>
      <c r="P179" s="2" t="s">
        <v>62</v>
      </c>
      <c r="Q179" s="38" t="s">
        <v>62</v>
      </c>
      <c r="R179" s="36" t="s">
        <v>62</v>
      </c>
      <c r="S179" s="34"/>
      <c r="T179" s="2"/>
      <c r="U179" s="34"/>
      <c r="V179" s="33"/>
      <c r="W179" s="33" t="s">
        <v>625</v>
      </c>
      <c r="X179" s="33"/>
      <c r="Y179" s="33"/>
      <c r="Z179"/>
      <c r="AD179"/>
      <c r="AE179"/>
      <c r="AF179"/>
      <c r="AG179"/>
    </row>
    <row r="180" spans="1:33" ht="16.149999999999999" customHeight="1" x14ac:dyDescent="0.15">
      <c r="A180" s="6">
        <v>174</v>
      </c>
      <c r="B180" s="18" t="s">
        <v>75</v>
      </c>
      <c r="C180" s="34" t="s">
        <v>57</v>
      </c>
      <c r="D180" s="113" t="s">
        <v>626</v>
      </c>
      <c r="E180" s="77" t="s">
        <v>169</v>
      </c>
      <c r="F180" s="19">
        <v>15185</v>
      </c>
      <c r="G180" s="6">
        <v>23</v>
      </c>
      <c r="H180" s="6" t="s">
        <v>627</v>
      </c>
      <c r="I180" s="2"/>
      <c r="J180" s="6" t="s">
        <v>171</v>
      </c>
      <c r="K180" s="6" t="s">
        <v>177</v>
      </c>
      <c r="L180" s="38" t="s">
        <v>173</v>
      </c>
      <c r="M180" s="2"/>
      <c r="N180" s="113"/>
      <c r="O180" s="45" t="s">
        <v>62</v>
      </c>
      <c r="P180" s="2" t="s">
        <v>62</v>
      </c>
      <c r="Q180" s="38" t="s">
        <v>62</v>
      </c>
      <c r="R180" s="36" t="s">
        <v>62</v>
      </c>
      <c r="S180" s="34"/>
      <c r="T180" s="2"/>
      <c r="U180" s="34"/>
      <c r="V180" s="33"/>
      <c r="W180" s="33" t="s">
        <v>628</v>
      </c>
      <c r="X180" s="33"/>
      <c r="Y180" s="33"/>
      <c r="Z180"/>
      <c r="AD180"/>
      <c r="AE180"/>
      <c r="AF180"/>
      <c r="AG180"/>
    </row>
    <row r="181" spans="1:33" ht="16.149999999999999" customHeight="1" x14ac:dyDescent="0.15">
      <c r="A181" s="6">
        <v>175</v>
      </c>
      <c r="B181" s="18" t="s">
        <v>75</v>
      </c>
      <c r="C181" s="34" t="s">
        <v>57</v>
      </c>
      <c r="D181" s="113" t="s">
        <v>629</v>
      </c>
      <c r="E181" s="77" t="s">
        <v>169</v>
      </c>
      <c r="F181" s="19">
        <v>15185</v>
      </c>
      <c r="G181" s="6">
        <v>24</v>
      </c>
      <c r="H181" s="6" t="s">
        <v>630</v>
      </c>
      <c r="I181" s="2"/>
      <c r="J181" s="6" t="s">
        <v>171</v>
      </c>
      <c r="K181" s="6" t="s">
        <v>177</v>
      </c>
      <c r="L181" s="38" t="s">
        <v>173</v>
      </c>
      <c r="M181" s="2"/>
      <c r="N181" s="113"/>
      <c r="O181" s="45" t="s">
        <v>62</v>
      </c>
      <c r="P181" s="2" t="s">
        <v>62</v>
      </c>
      <c r="Q181" s="38" t="s">
        <v>62</v>
      </c>
      <c r="R181" s="36" t="s">
        <v>62</v>
      </c>
      <c r="S181" s="34"/>
      <c r="T181" s="2"/>
      <c r="U181" s="34"/>
      <c r="V181" s="33"/>
      <c r="W181" s="33" t="s">
        <v>631</v>
      </c>
      <c r="X181" s="33"/>
      <c r="Y181" s="33"/>
      <c r="Z181"/>
      <c r="AD181"/>
      <c r="AE181"/>
      <c r="AF181"/>
      <c r="AG181"/>
    </row>
    <row r="182" spans="1:33" ht="16.149999999999999" customHeight="1" x14ac:dyDescent="0.15">
      <c r="A182" s="6">
        <v>176</v>
      </c>
      <c r="B182" s="18" t="s">
        <v>75</v>
      </c>
      <c r="C182" s="34" t="s">
        <v>57</v>
      </c>
      <c r="D182" s="113" t="s">
        <v>632</v>
      </c>
      <c r="E182" s="77" t="s">
        <v>169</v>
      </c>
      <c r="F182" s="19">
        <v>15185</v>
      </c>
      <c r="G182" s="6">
        <v>25</v>
      </c>
      <c r="H182" s="6" t="s">
        <v>633</v>
      </c>
      <c r="I182" s="2"/>
      <c r="J182" s="6" t="s">
        <v>171</v>
      </c>
      <c r="K182" s="6" t="s">
        <v>177</v>
      </c>
      <c r="L182" s="38" t="s">
        <v>173</v>
      </c>
      <c r="M182" s="2"/>
      <c r="N182" s="113"/>
      <c r="O182" s="45" t="s">
        <v>62</v>
      </c>
      <c r="P182" s="2" t="s">
        <v>62</v>
      </c>
      <c r="Q182" s="38" t="s">
        <v>62</v>
      </c>
      <c r="R182" s="36" t="s">
        <v>62</v>
      </c>
      <c r="S182" s="34"/>
      <c r="T182" s="2"/>
      <c r="U182" s="34"/>
      <c r="V182" s="33"/>
      <c r="W182" s="33" t="s">
        <v>634</v>
      </c>
      <c r="X182" s="33"/>
      <c r="Y182" s="33"/>
      <c r="Z182"/>
      <c r="AD182"/>
      <c r="AE182"/>
      <c r="AF182"/>
      <c r="AG182"/>
    </row>
    <row r="183" spans="1:33" ht="16.149999999999999" customHeight="1" x14ac:dyDescent="0.15">
      <c r="A183" s="6">
        <v>177</v>
      </c>
      <c r="B183" s="18" t="s">
        <v>75</v>
      </c>
      <c r="C183" s="34" t="s">
        <v>57</v>
      </c>
      <c r="D183" s="113" t="s">
        <v>635</v>
      </c>
      <c r="E183" s="77" t="s">
        <v>169</v>
      </c>
      <c r="F183" s="19">
        <v>15185</v>
      </c>
      <c r="G183" s="6">
        <v>26</v>
      </c>
      <c r="H183" s="6" t="s">
        <v>636</v>
      </c>
      <c r="I183" s="2"/>
      <c r="J183" s="6" t="s">
        <v>171</v>
      </c>
      <c r="K183" s="6" t="s">
        <v>177</v>
      </c>
      <c r="L183" s="38" t="s">
        <v>173</v>
      </c>
      <c r="M183" s="2"/>
      <c r="N183" s="113"/>
      <c r="O183" s="45" t="s">
        <v>62</v>
      </c>
      <c r="P183" s="2" t="s">
        <v>62</v>
      </c>
      <c r="Q183" s="38" t="s">
        <v>62</v>
      </c>
      <c r="R183" s="36" t="s">
        <v>62</v>
      </c>
      <c r="S183" s="34"/>
      <c r="T183" s="2"/>
      <c r="U183" s="34"/>
      <c r="V183" s="33"/>
      <c r="W183" s="33" t="s">
        <v>637</v>
      </c>
      <c r="X183" s="33"/>
      <c r="Y183" s="33"/>
      <c r="Z183"/>
      <c r="AD183"/>
      <c r="AE183"/>
      <c r="AF183"/>
      <c r="AG183"/>
    </row>
    <row r="184" spans="1:33" ht="16.149999999999999" customHeight="1" x14ac:dyDescent="0.15">
      <c r="A184" s="6">
        <v>178</v>
      </c>
      <c r="B184" s="18" t="s">
        <v>75</v>
      </c>
      <c r="C184" s="34" t="s">
        <v>57</v>
      </c>
      <c r="D184" s="113" t="s">
        <v>638</v>
      </c>
      <c r="E184" s="77" t="s">
        <v>169</v>
      </c>
      <c r="F184" s="19">
        <v>15185</v>
      </c>
      <c r="G184" s="6">
        <v>27</v>
      </c>
      <c r="H184" s="6" t="s">
        <v>639</v>
      </c>
      <c r="I184" s="2"/>
      <c r="J184" s="6" t="s">
        <v>171</v>
      </c>
      <c r="K184" s="6" t="s">
        <v>177</v>
      </c>
      <c r="L184" s="38" t="s">
        <v>173</v>
      </c>
      <c r="M184" s="2"/>
      <c r="N184" s="113"/>
      <c r="O184" s="45" t="s">
        <v>62</v>
      </c>
      <c r="P184" s="2" t="s">
        <v>62</v>
      </c>
      <c r="Q184" s="38" t="s">
        <v>62</v>
      </c>
      <c r="R184" s="36" t="s">
        <v>62</v>
      </c>
      <c r="S184" s="34"/>
      <c r="T184" s="2"/>
      <c r="U184" s="34"/>
      <c r="V184" s="33"/>
      <c r="W184" s="33" t="s">
        <v>640</v>
      </c>
      <c r="X184" s="33"/>
      <c r="Y184" s="33"/>
      <c r="Z184"/>
      <c r="AD184"/>
      <c r="AE184"/>
      <c r="AF184"/>
      <c r="AG184"/>
    </row>
    <row r="185" spans="1:33" ht="16.149999999999999" customHeight="1" x14ac:dyDescent="0.15">
      <c r="A185" s="6">
        <v>179</v>
      </c>
      <c r="B185" s="18" t="s">
        <v>75</v>
      </c>
      <c r="C185" s="34" t="s">
        <v>57</v>
      </c>
      <c r="D185" s="113" t="s">
        <v>641</v>
      </c>
      <c r="E185" s="77" t="s">
        <v>169</v>
      </c>
      <c r="F185" s="19">
        <v>15185</v>
      </c>
      <c r="G185" s="6">
        <v>28</v>
      </c>
      <c r="H185" s="6" t="s">
        <v>642</v>
      </c>
      <c r="I185" s="2"/>
      <c r="J185" s="6" t="s">
        <v>171</v>
      </c>
      <c r="K185" s="6" t="s">
        <v>177</v>
      </c>
      <c r="L185" s="38" t="s">
        <v>173</v>
      </c>
      <c r="M185" s="2"/>
      <c r="N185" s="113"/>
      <c r="O185" s="45" t="s">
        <v>62</v>
      </c>
      <c r="P185" s="2" t="s">
        <v>62</v>
      </c>
      <c r="Q185" s="38" t="s">
        <v>62</v>
      </c>
      <c r="R185" s="36" t="s">
        <v>62</v>
      </c>
      <c r="S185" s="34"/>
      <c r="T185" s="2"/>
      <c r="U185" s="34"/>
      <c r="V185" s="33"/>
      <c r="W185" s="33" t="s">
        <v>643</v>
      </c>
      <c r="X185" s="33"/>
      <c r="Y185" s="33"/>
      <c r="Z185"/>
      <c r="AD185"/>
      <c r="AE185"/>
      <c r="AF185"/>
      <c r="AG185"/>
    </row>
    <row r="186" spans="1:33" ht="16.149999999999999" customHeight="1" x14ac:dyDescent="0.15">
      <c r="A186" s="6">
        <v>180</v>
      </c>
      <c r="B186" s="18" t="s">
        <v>75</v>
      </c>
      <c r="C186" s="34" t="s">
        <v>57</v>
      </c>
      <c r="D186" s="113" t="s">
        <v>644</v>
      </c>
      <c r="E186" s="77" t="s">
        <v>169</v>
      </c>
      <c r="F186" s="19">
        <v>15185</v>
      </c>
      <c r="G186" s="6">
        <v>29</v>
      </c>
      <c r="H186" s="6" t="s">
        <v>645</v>
      </c>
      <c r="I186" s="2"/>
      <c r="J186" s="6" t="s">
        <v>171</v>
      </c>
      <c r="K186" s="6" t="s">
        <v>177</v>
      </c>
      <c r="L186" s="38" t="s">
        <v>173</v>
      </c>
      <c r="M186" s="6"/>
      <c r="N186" s="113"/>
      <c r="O186" s="45" t="s">
        <v>62</v>
      </c>
      <c r="P186" s="2" t="s">
        <v>62</v>
      </c>
      <c r="Q186" s="38" t="s">
        <v>62</v>
      </c>
      <c r="R186" s="36" t="s">
        <v>62</v>
      </c>
      <c r="S186" s="34"/>
      <c r="T186" s="2"/>
      <c r="U186" s="34"/>
      <c r="V186" s="33"/>
      <c r="W186" s="33" t="s">
        <v>646</v>
      </c>
      <c r="X186" s="33"/>
      <c r="Y186" s="33"/>
      <c r="Z186"/>
      <c r="AD186"/>
      <c r="AE186"/>
      <c r="AF186"/>
      <c r="AG186"/>
    </row>
    <row r="187" spans="1:33" ht="16.149999999999999" customHeight="1" x14ac:dyDescent="0.15">
      <c r="A187" s="6">
        <v>181</v>
      </c>
      <c r="B187" s="18" t="s">
        <v>75</v>
      </c>
      <c r="C187" s="34" t="s">
        <v>57</v>
      </c>
      <c r="D187" s="15" t="s">
        <v>647</v>
      </c>
      <c r="E187" s="2" t="s">
        <v>219</v>
      </c>
      <c r="F187" s="19">
        <v>15187</v>
      </c>
      <c r="G187" s="6"/>
      <c r="H187" s="6" t="s">
        <v>648</v>
      </c>
      <c r="I187" s="2"/>
      <c r="J187" s="6"/>
      <c r="K187" s="6"/>
      <c r="L187" s="38"/>
      <c r="M187" s="6" t="s">
        <v>61</v>
      </c>
      <c r="N187" s="114"/>
      <c r="O187" s="38" t="s">
        <v>62</v>
      </c>
      <c r="P187" s="38" t="s">
        <v>62</v>
      </c>
      <c r="Q187" s="38" t="s">
        <v>62</v>
      </c>
      <c r="R187" s="38" t="s">
        <v>62</v>
      </c>
      <c r="S187" s="34"/>
      <c r="T187" s="2"/>
      <c r="U187" s="34"/>
      <c r="V187" s="34"/>
      <c r="W187" s="77" t="s">
        <v>649</v>
      </c>
      <c r="X187" s="34"/>
      <c r="Y187" s="2"/>
      <c r="Z187"/>
      <c r="AD187"/>
      <c r="AE187"/>
      <c r="AF187"/>
      <c r="AG187"/>
    </row>
    <row r="188" spans="1:33" ht="16.149999999999999" customHeight="1" x14ac:dyDescent="0.15">
      <c r="A188" s="6">
        <v>182</v>
      </c>
      <c r="B188" s="18" t="s">
        <v>75</v>
      </c>
      <c r="C188" s="34" t="s">
        <v>57</v>
      </c>
      <c r="D188" s="43" t="s">
        <v>650</v>
      </c>
      <c r="E188" s="77" t="s">
        <v>169</v>
      </c>
      <c r="F188" s="19">
        <v>15187</v>
      </c>
      <c r="G188" s="6">
        <v>0</v>
      </c>
      <c r="H188" s="6" t="s">
        <v>651</v>
      </c>
      <c r="I188" s="2"/>
      <c r="J188" s="6" t="s">
        <v>171</v>
      </c>
      <c r="K188" s="6" t="s">
        <v>177</v>
      </c>
      <c r="L188" s="38" t="s">
        <v>173</v>
      </c>
      <c r="M188" s="6"/>
      <c r="N188" s="113"/>
      <c r="O188" s="45" t="s">
        <v>62</v>
      </c>
      <c r="P188" s="2" t="s">
        <v>62</v>
      </c>
      <c r="Q188" s="38" t="s">
        <v>62</v>
      </c>
      <c r="R188" s="36" t="s">
        <v>62</v>
      </c>
      <c r="S188" s="34"/>
      <c r="T188" s="2"/>
      <c r="U188" s="34"/>
      <c r="V188" s="33"/>
      <c r="W188" s="33" t="s">
        <v>652</v>
      </c>
      <c r="X188" s="33"/>
      <c r="Y188" s="33"/>
      <c r="Z188"/>
      <c r="AD188"/>
      <c r="AE188"/>
      <c r="AF188"/>
      <c r="AG188"/>
    </row>
    <row r="189" spans="1:33" ht="16.149999999999999" customHeight="1" x14ac:dyDescent="0.15">
      <c r="A189" s="6">
        <v>183</v>
      </c>
      <c r="B189" s="18" t="s">
        <v>75</v>
      </c>
      <c r="C189" s="34" t="s">
        <v>57</v>
      </c>
      <c r="D189" s="43" t="s">
        <v>653</v>
      </c>
      <c r="E189" s="77" t="s">
        <v>169</v>
      </c>
      <c r="F189" s="19">
        <v>15187</v>
      </c>
      <c r="G189" s="6">
        <v>1</v>
      </c>
      <c r="H189" s="6" t="s">
        <v>654</v>
      </c>
      <c r="I189" s="2"/>
      <c r="J189" s="6" t="s">
        <v>171</v>
      </c>
      <c r="K189" s="6" t="s">
        <v>177</v>
      </c>
      <c r="L189" s="38" t="s">
        <v>173</v>
      </c>
      <c r="M189" s="6"/>
      <c r="N189" s="113"/>
      <c r="O189" s="45" t="s">
        <v>62</v>
      </c>
      <c r="P189" s="2" t="s">
        <v>62</v>
      </c>
      <c r="Q189" s="38" t="s">
        <v>62</v>
      </c>
      <c r="R189" s="36" t="s">
        <v>62</v>
      </c>
      <c r="S189" s="34"/>
      <c r="T189" s="2"/>
      <c r="U189" s="34"/>
      <c r="V189" s="33"/>
      <c r="W189" s="33" t="s">
        <v>655</v>
      </c>
      <c r="X189" s="33"/>
      <c r="Y189" s="33"/>
      <c r="Z189"/>
      <c r="AD189"/>
      <c r="AE189"/>
      <c r="AF189"/>
      <c r="AG189"/>
    </row>
    <row r="190" spans="1:33" ht="16.149999999999999" customHeight="1" x14ac:dyDescent="0.15">
      <c r="A190" s="6">
        <v>184</v>
      </c>
      <c r="B190" s="18" t="s">
        <v>75</v>
      </c>
      <c r="C190" s="34" t="s">
        <v>57</v>
      </c>
      <c r="D190" s="43" t="s">
        <v>656</v>
      </c>
      <c r="E190" s="77" t="s">
        <v>169</v>
      </c>
      <c r="F190" s="19">
        <v>15187</v>
      </c>
      <c r="G190" s="6">
        <v>2</v>
      </c>
      <c r="H190" s="6" t="s">
        <v>657</v>
      </c>
      <c r="I190" s="2"/>
      <c r="J190" s="6" t="s">
        <v>171</v>
      </c>
      <c r="K190" s="6" t="s">
        <v>177</v>
      </c>
      <c r="L190" s="38" t="s">
        <v>173</v>
      </c>
      <c r="M190" s="2"/>
      <c r="N190" s="113"/>
      <c r="O190" s="45" t="s">
        <v>62</v>
      </c>
      <c r="P190" s="2" t="s">
        <v>62</v>
      </c>
      <c r="Q190" s="38" t="s">
        <v>62</v>
      </c>
      <c r="R190" s="36" t="s">
        <v>62</v>
      </c>
      <c r="S190" s="34"/>
      <c r="T190" s="2"/>
      <c r="U190" s="34"/>
      <c r="V190" s="33"/>
      <c r="W190" s="33" t="s">
        <v>658</v>
      </c>
      <c r="X190" s="33"/>
      <c r="Y190" s="33"/>
      <c r="Z190"/>
      <c r="AD190"/>
      <c r="AE190"/>
      <c r="AF190"/>
      <c r="AG190"/>
    </row>
    <row r="191" spans="1:33" ht="16.149999999999999" customHeight="1" x14ac:dyDescent="0.15">
      <c r="A191" s="6">
        <v>185</v>
      </c>
      <c r="B191" s="18" t="s">
        <v>75</v>
      </c>
      <c r="C191" s="34" t="s">
        <v>57</v>
      </c>
      <c r="D191" s="43" t="s">
        <v>659</v>
      </c>
      <c r="E191" s="77" t="s">
        <v>169</v>
      </c>
      <c r="F191" s="19">
        <v>15187</v>
      </c>
      <c r="G191" s="6">
        <v>3</v>
      </c>
      <c r="H191" s="6" t="s">
        <v>660</v>
      </c>
      <c r="I191" s="2"/>
      <c r="J191" s="6" t="s">
        <v>171</v>
      </c>
      <c r="K191" s="6" t="s">
        <v>177</v>
      </c>
      <c r="L191" s="38" t="s">
        <v>173</v>
      </c>
      <c r="M191" s="2"/>
      <c r="N191" s="113"/>
      <c r="O191" s="45" t="s">
        <v>62</v>
      </c>
      <c r="P191" s="2" t="s">
        <v>62</v>
      </c>
      <c r="Q191" s="38" t="s">
        <v>62</v>
      </c>
      <c r="R191" s="36" t="s">
        <v>62</v>
      </c>
      <c r="S191" s="34"/>
      <c r="T191" s="2"/>
      <c r="U191" s="34"/>
      <c r="V191" s="33"/>
      <c r="W191" s="33" t="s">
        <v>661</v>
      </c>
      <c r="X191" s="33"/>
      <c r="Y191" s="33"/>
      <c r="Z191"/>
      <c r="AD191"/>
      <c r="AE191"/>
      <c r="AF191"/>
      <c r="AG191"/>
    </row>
    <row r="192" spans="1:33" ht="16.149999999999999" customHeight="1" x14ac:dyDescent="0.15">
      <c r="A192" s="6">
        <v>186</v>
      </c>
      <c r="B192" s="18" t="s">
        <v>75</v>
      </c>
      <c r="C192" s="34" t="s">
        <v>57</v>
      </c>
      <c r="D192" s="43" t="s">
        <v>662</v>
      </c>
      <c r="E192" s="77" t="s">
        <v>169</v>
      </c>
      <c r="F192" s="19">
        <v>15187</v>
      </c>
      <c r="G192" s="6">
        <v>4</v>
      </c>
      <c r="H192" s="6" t="s">
        <v>663</v>
      </c>
      <c r="I192" s="2"/>
      <c r="J192" s="6" t="s">
        <v>171</v>
      </c>
      <c r="K192" s="6" t="s">
        <v>177</v>
      </c>
      <c r="L192" s="38" t="s">
        <v>173</v>
      </c>
      <c r="M192" s="2"/>
      <c r="N192" s="113"/>
      <c r="O192" s="45" t="s">
        <v>62</v>
      </c>
      <c r="P192" s="2" t="s">
        <v>62</v>
      </c>
      <c r="Q192" s="38" t="s">
        <v>62</v>
      </c>
      <c r="R192" s="36" t="s">
        <v>62</v>
      </c>
      <c r="S192" s="34"/>
      <c r="T192" s="2"/>
      <c r="U192" s="34"/>
      <c r="V192" s="33"/>
      <c r="W192" s="33" t="s">
        <v>664</v>
      </c>
      <c r="X192" s="33"/>
      <c r="Y192" s="33"/>
      <c r="Z192"/>
      <c r="AD192"/>
      <c r="AE192"/>
      <c r="AF192"/>
      <c r="AG192"/>
    </row>
    <row r="193" spans="1:33" ht="16.149999999999999" customHeight="1" x14ac:dyDescent="0.15">
      <c r="A193" s="6">
        <v>187</v>
      </c>
      <c r="B193" s="18" t="s">
        <v>75</v>
      </c>
      <c r="C193" s="34" t="s">
        <v>57</v>
      </c>
      <c r="D193" s="43" t="s">
        <v>665</v>
      </c>
      <c r="E193" s="77" t="s">
        <v>169</v>
      </c>
      <c r="F193" s="19">
        <v>15187</v>
      </c>
      <c r="G193" s="6">
        <v>5</v>
      </c>
      <c r="H193" s="6" t="s">
        <v>666</v>
      </c>
      <c r="I193" s="2"/>
      <c r="J193" s="6" t="s">
        <v>171</v>
      </c>
      <c r="K193" s="6" t="s">
        <v>177</v>
      </c>
      <c r="L193" s="38" t="s">
        <v>173</v>
      </c>
      <c r="M193" s="2"/>
      <c r="N193" s="113"/>
      <c r="O193" s="45" t="s">
        <v>62</v>
      </c>
      <c r="P193" s="2" t="s">
        <v>62</v>
      </c>
      <c r="Q193" s="38" t="s">
        <v>62</v>
      </c>
      <c r="R193" s="36" t="s">
        <v>62</v>
      </c>
      <c r="S193" s="34"/>
      <c r="T193" s="2"/>
      <c r="U193" s="34"/>
      <c r="V193" s="33"/>
      <c r="W193" s="33" t="s">
        <v>667</v>
      </c>
      <c r="X193" s="33"/>
      <c r="Y193" s="33"/>
      <c r="Z193"/>
      <c r="AD193"/>
      <c r="AE193"/>
      <c r="AF193"/>
      <c r="AG193"/>
    </row>
    <row r="194" spans="1:33" ht="16.149999999999999" customHeight="1" x14ac:dyDescent="0.15">
      <c r="A194" s="6">
        <v>188</v>
      </c>
      <c r="B194" s="18" t="s">
        <v>75</v>
      </c>
      <c r="C194" s="34" t="s">
        <v>57</v>
      </c>
      <c r="D194" s="43" t="s">
        <v>668</v>
      </c>
      <c r="E194" s="77" t="s">
        <v>169</v>
      </c>
      <c r="F194" s="19">
        <v>15187</v>
      </c>
      <c r="G194" s="6">
        <v>6</v>
      </c>
      <c r="H194" s="6" t="s">
        <v>669</v>
      </c>
      <c r="I194" s="2"/>
      <c r="J194" s="6" t="s">
        <v>171</v>
      </c>
      <c r="K194" s="6" t="s">
        <v>177</v>
      </c>
      <c r="L194" s="38" t="s">
        <v>173</v>
      </c>
      <c r="M194" s="2"/>
      <c r="N194" s="113"/>
      <c r="O194" s="45" t="s">
        <v>62</v>
      </c>
      <c r="P194" s="2" t="s">
        <v>62</v>
      </c>
      <c r="Q194" s="38" t="s">
        <v>62</v>
      </c>
      <c r="R194" s="36" t="s">
        <v>62</v>
      </c>
      <c r="S194" s="34"/>
      <c r="T194" s="2"/>
      <c r="U194" s="34"/>
      <c r="V194" s="33"/>
      <c r="W194" s="33" t="s">
        <v>670</v>
      </c>
      <c r="X194" s="33"/>
      <c r="Y194" s="33"/>
      <c r="Z194"/>
      <c r="AD194"/>
      <c r="AE194"/>
      <c r="AF194"/>
      <c r="AG194"/>
    </row>
    <row r="195" spans="1:33" ht="16.149999999999999" customHeight="1" x14ac:dyDescent="0.15">
      <c r="A195" s="6">
        <v>189</v>
      </c>
      <c r="B195" s="18" t="s">
        <v>75</v>
      </c>
      <c r="C195" s="34" t="s">
        <v>57</v>
      </c>
      <c r="D195" s="43" t="s">
        <v>671</v>
      </c>
      <c r="E195" s="77" t="s">
        <v>169</v>
      </c>
      <c r="F195" s="19">
        <v>15187</v>
      </c>
      <c r="G195" s="6">
        <v>7</v>
      </c>
      <c r="H195" s="6" t="s">
        <v>672</v>
      </c>
      <c r="I195" s="2"/>
      <c r="J195" s="6" t="s">
        <v>171</v>
      </c>
      <c r="K195" s="6" t="s">
        <v>177</v>
      </c>
      <c r="L195" s="38" t="s">
        <v>173</v>
      </c>
      <c r="M195" s="2"/>
      <c r="N195" s="113"/>
      <c r="O195" s="45" t="s">
        <v>62</v>
      </c>
      <c r="P195" s="2" t="s">
        <v>62</v>
      </c>
      <c r="Q195" s="38" t="s">
        <v>62</v>
      </c>
      <c r="R195" s="36" t="s">
        <v>62</v>
      </c>
      <c r="S195" s="34"/>
      <c r="T195" s="2"/>
      <c r="U195" s="34"/>
      <c r="V195" s="33"/>
      <c r="W195" s="33" t="s">
        <v>673</v>
      </c>
      <c r="X195" s="33"/>
      <c r="Y195" s="33"/>
      <c r="Z195"/>
      <c r="AD195"/>
      <c r="AE195"/>
      <c r="AF195"/>
      <c r="AG195"/>
    </row>
    <row r="196" spans="1:33" ht="16.149999999999999" customHeight="1" x14ac:dyDescent="0.15">
      <c r="A196" s="6">
        <v>190</v>
      </c>
      <c r="B196" s="18" t="s">
        <v>75</v>
      </c>
      <c r="C196" s="34" t="s">
        <v>57</v>
      </c>
      <c r="D196" s="43" t="s">
        <v>674</v>
      </c>
      <c r="E196" s="77" t="s">
        <v>169</v>
      </c>
      <c r="F196" s="19">
        <v>15187</v>
      </c>
      <c r="G196" s="6">
        <v>8</v>
      </c>
      <c r="H196" s="6" t="s">
        <v>675</v>
      </c>
      <c r="I196" s="2"/>
      <c r="J196" s="6" t="s">
        <v>171</v>
      </c>
      <c r="K196" s="6" t="s">
        <v>177</v>
      </c>
      <c r="L196" s="38" t="s">
        <v>173</v>
      </c>
      <c r="M196" s="2"/>
      <c r="N196" s="113"/>
      <c r="O196" s="45" t="s">
        <v>62</v>
      </c>
      <c r="P196" s="2" t="s">
        <v>62</v>
      </c>
      <c r="Q196" s="38" t="s">
        <v>62</v>
      </c>
      <c r="R196" s="36" t="s">
        <v>62</v>
      </c>
      <c r="S196" s="34"/>
      <c r="T196" s="2"/>
      <c r="U196" s="34"/>
      <c r="V196" s="33"/>
      <c r="W196" s="33" t="s">
        <v>676</v>
      </c>
      <c r="X196" s="33"/>
      <c r="Y196" s="33"/>
      <c r="Z196"/>
      <c r="AD196"/>
      <c r="AE196"/>
      <c r="AF196"/>
      <c r="AG196"/>
    </row>
    <row r="197" spans="1:33" ht="16.149999999999999" customHeight="1" x14ac:dyDescent="0.15">
      <c r="A197" s="6">
        <v>191</v>
      </c>
      <c r="B197" s="18" t="s">
        <v>75</v>
      </c>
      <c r="C197" s="34" t="s">
        <v>57</v>
      </c>
      <c r="D197" s="43" t="s">
        <v>677</v>
      </c>
      <c r="E197" s="77" t="s">
        <v>169</v>
      </c>
      <c r="F197" s="19">
        <v>15187</v>
      </c>
      <c r="G197" s="6">
        <v>9</v>
      </c>
      <c r="H197" s="6" t="s">
        <v>678</v>
      </c>
      <c r="I197" s="2"/>
      <c r="J197" s="6" t="s">
        <v>171</v>
      </c>
      <c r="K197" s="6" t="s">
        <v>177</v>
      </c>
      <c r="L197" s="38" t="s">
        <v>173</v>
      </c>
      <c r="M197" s="2"/>
      <c r="N197" s="113"/>
      <c r="O197" s="45" t="s">
        <v>62</v>
      </c>
      <c r="P197" s="2" t="s">
        <v>62</v>
      </c>
      <c r="Q197" s="38" t="s">
        <v>62</v>
      </c>
      <c r="R197" s="36" t="s">
        <v>62</v>
      </c>
      <c r="S197" s="34"/>
      <c r="T197" s="2"/>
      <c r="U197" s="34"/>
      <c r="V197" s="33"/>
      <c r="W197" s="33" t="s">
        <v>679</v>
      </c>
      <c r="X197" s="33"/>
      <c r="Y197" s="33"/>
      <c r="Z197"/>
      <c r="AD197"/>
      <c r="AE197"/>
      <c r="AF197"/>
      <c r="AG197"/>
    </row>
    <row r="198" spans="1:33" ht="16.149999999999999" customHeight="1" x14ac:dyDescent="0.15">
      <c r="A198" s="6">
        <v>192</v>
      </c>
      <c r="B198" s="18" t="s">
        <v>75</v>
      </c>
      <c r="C198" s="34" t="s">
        <v>57</v>
      </c>
      <c r="D198" s="43" t="s">
        <v>680</v>
      </c>
      <c r="E198" s="77" t="s">
        <v>169</v>
      </c>
      <c r="F198" s="19">
        <v>15187</v>
      </c>
      <c r="G198" s="6">
        <v>10</v>
      </c>
      <c r="H198" s="6" t="s">
        <v>681</v>
      </c>
      <c r="I198" s="2"/>
      <c r="J198" s="6" t="s">
        <v>171</v>
      </c>
      <c r="K198" s="6" t="s">
        <v>177</v>
      </c>
      <c r="L198" s="38" t="s">
        <v>173</v>
      </c>
      <c r="M198" s="2"/>
      <c r="N198" s="113"/>
      <c r="O198" s="45" t="s">
        <v>62</v>
      </c>
      <c r="P198" s="2" t="s">
        <v>62</v>
      </c>
      <c r="Q198" s="38" t="s">
        <v>62</v>
      </c>
      <c r="R198" s="36" t="s">
        <v>62</v>
      </c>
      <c r="S198" s="34"/>
      <c r="T198" s="2"/>
      <c r="U198" s="34"/>
      <c r="V198" s="33"/>
      <c r="W198" s="33" t="s">
        <v>682</v>
      </c>
      <c r="X198" s="33"/>
      <c r="Y198" s="33"/>
      <c r="Z198"/>
      <c r="AD198"/>
      <c r="AE198"/>
      <c r="AF198"/>
      <c r="AG198"/>
    </row>
    <row r="199" spans="1:33" ht="16.149999999999999" customHeight="1" x14ac:dyDescent="0.15">
      <c r="A199" s="6">
        <v>193</v>
      </c>
      <c r="B199" s="18" t="s">
        <v>75</v>
      </c>
      <c r="C199" s="34" t="s">
        <v>57</v>
      </c>
      <c r="D199" s="43" t="s">
        <v>683</v>
      </c>
      <c r="E199" s="77" t="s">
        <v>169</v>
      </c>
      <c r="F199" s="19">
        <v>15187</v>
      </c>
      <c r="G199" s="6">
        <v>11</v>
      </c>
      <c r="H199" s="6" t="s">
        <v>684</v>
      </c>
      <c r="I199" s="2"/>
      <c r="J199" s="6" t="s">
        <v>171</v>
      </c>
      <c r="K199" s="6" t="s">
        <v>177</v>
      </c>
      <c r="L199" s="38" t="s">
        <v>173</v>
      </c>
      <c r="M199" s="2"/>
      <c r="N199" s="113"/>
      <c r="O199" s="45" t="s">
        <v>62</v>
      </c>
      <c r="P199" s="2" t="s">
        <v>62</v>
      </c>
      <c r="Q199" s="38" t="s">
        <v>62</v>
      </c>
      <c r="R199" s="36" t="s">
        <v>62</v>
      </c>
      <c r="S199" s="34"/>
      <c r="T199" s="2"/>
      <c r="U199" s="34"/>
      <c r="V199" s="33"/>
      <c r="W199" s="33" t="s">
        <v>685</v>
      </c>
      <c r="X199" s="33"/>
      <c r="Y199" s="33"/>
      <c r="Z199"/>
      <c r="AD199"/>
      <c r="AE199"/>
      <c r="AF199"/>
      <c r="AG199"/>
    </row>
    <row r="200" spans="1:33" ht="16.149999999999999" customHeight="1" x14ac:dyDescent="0.15">
      <c r="A200" s="6">
        <v>194</v>
      </c>
      <c r="B200" s="18" t="s">
        <v>75</v>
      </c>
      <c r="C200" s="34" t="s">
        <v>57</v>
      </c>
      <c r="D200" s="43" t="s">
        <v>686</v>
      </c>
      <c r="E200" s="77" t="s">
        <v>169</v>
      </c>
      <c r="F200" s="19">
        <v>15187</v>
      </c>
      <c r="G200" s="6">
        <v>12</v>
      </c>
      <c r="H200" s="6" t="s">
        <v>687</v>
      </c>
      <c r="I200" s="2"/>
      <c r="J200" s="6" t="s">
        <v>171</v>
      </c>
      <c r="K200" s="6" t="s">
        <v>177</v>
      </c>
      <c r="L200" s="38" t="s">
        <v>173</v>
      </c>
      <c r="M200" s="2"/>
      <c r="N200" s="113"/>
      <c r="O200" s="45" t="s">
        <v>62</v>
      </c>
      <c r="P200" s="2" t="s">
        <v>62</v>
      </c>
      <c r="Q200" s="38" t="s">
        <v>62</v>
      </c>
      <c r="R200" s="36" t="s">
        <v>62</v>
      </c>
      <c r="S200" s="34"/>
      <c r="T200" s="2"/>
      <c r="U200" s="34"/>
      <c r="V200" s="33"/>
      <c r="W200" s="33" t="s">
        <v>688</v>
      </c>
      <c r="X200" s="33"/>
      <c r="Y200" s="33"/>
      <c r="Z200"/>
      <c r="AD200"/>
      <c r="AE200"/>
      <c r="AF200"/>
      <c r="AG200"/>
    </row>
    <row r="201" spans="1:33" ht="16.149999999999999" customHeight="1" x14ac:dyDescent="0.15">
      <c r="A201" s="6">
        <v>195</v>
      </c>
      <c r="B201" s="18" t="s">
        <v>75</v>
      </c>
      <c r="C201" s="34" t="s">
        <v>57</v>
      </c>
      <c r="D201" s="43" t="s">
        <v>689</v>
      </c>
      <c r="E201" s="77" t="s">
        <v>169</v>
      </c>
      <c r="F201" s="19">
        <v>15187</v>
      </c>
      <c r="G201" s="6">
        <v>13</v>
      </c>
      <c r="H201" s="6" t="s">
        <v>690</v>
      </c>
      <c r="I201" s="2"/>
      <c r="J201" s="6" t="s">
        <v>171</v>
      </c>
      <c r="K201" s="6" t="s">
        <v>177</v>
      </c>
      <c r="L201" s="38" t="s">
        <v>173</v>
      </c>
      <c r="M201" s="2"/>
      <c r="N201" s="113"/>
      <c r="O201" s="45" t="s">
        <v>62</v>
      </c>
      <c r="P201" s="2" t="s">
        <v>62</v>
      </c>
      <c r="Q201" s="38" t="s">
        <v>62</v>
      </c>
      <c r="R201" s="36" t="s">
        <v>62</v>
      </c>
      <c r="S201" s="34"/>
      <c r="T201" s="2"/>
      <c r="U201" s="34"/>
      <c r="V201" s="33"/>
      <c r="W201" s="33" t="s">
        <v>691</v>
      </c>
      <c r="X201" s="33"/>
      <c r="Y201" s="33"/>
      <c r="Z201"/>
      <c r="AD201"/>
      <c r="AE201"/>
      <c r="AF201"/>
      <c r="AG201"/>
    </row>
    <row r="202" spans="1:33" ht="16.149999999999999" customHeight="1" x14ac:dyDescent="0.15">
      <c r="A202" s="6">
        <v>196</v>
      </c>
      <c r="B202" s="18" t="s">
        <v>75</v>
      </c>
      <c r="C202" s="34" t="s">
        <v>57</v>
      </c>
      <c r="D202" s="43" t="s">
        <v>692</v>
      </c>
      <c r="E202" s="77" t="s">
        <v>169</v>
      </c>
      <c r="F202" s="19">
        <v>15187</v>
      </c>
      <c r="G202" s="6">
        <v>14</v>
      </c>
      <c r="H202" s="6" t="s">
        <v>693</v>
      </c>
      <c r="I202" s="2"/>
      <c r="J202" s="6" t="s">
        <v>171</v>
      </c>
      <c r="K202" s="6" t="s">
        <v>177</v>
      </c>
      <c r="L202" s="38" t="s">
        <v>173</v>
      </c>
      <c r="M202" s="2"/>
      <c r="N202" s="113"/>
      <c r="O202" s="45" t="s">
        <v>62</v>
      </c>
      <c r="P202" s="2" t="s">
        <v>62</v>
      </c>
      <c r="Q202" s="38" t="s">
        <v>62</v>
      </c>
      <c r="R202" s="36" t="s">
        <v>62</v>
      </c>
      <c r="S202" s="34"/>
      <c r="T202" s="2"/>
      <c r="U202" s="34"/>
      <c r="V202" s="33"/>
      <c r="W202" s="33" t="s">
        <v>694</v>
      </c>
      <c r="X202" s="33"/>
      <c r="Y202" s="33"/>
      <c r="Z202"/>
      <c r="AD202"/>
      <c r="AE202"/>
      <c r="AF202"/>
      <c r="AG202"/>
    </row>
    <row r="203" spans="1:33" ht="16.149999999999999" customHeight="1" x14ac:dyDescent="0.15">
      <c r="A203" s="6">
        <v>197</v>
      </c>
      <c r="B203" s="18" t="s">
        <v>75</v>
      </c>
      <c r="C203" s="34" t="s">
        <v>57</v>
      </c>
      <c r="D203" s="43" t="s">
        <v>695</v>
      </c>
      <c r="E203" s="77" t="s">
        <v>169</v>
      </c>
      <c r="F203" s="19">
        <v>15187</v>
      </c>
      <c r="G203" s="6">
        <v>15</v>
      </c>
      <c r="H203" s="6" t="s">
        <v>696</v>
      </c>
      <c r="I203" s="2"/>
      <c r="J203" s="6" t="s">
        <v>171</v>
      </c>
      <c r="K203" s="6" t="s">
        <v>177</v>
      </c>
      <c r="L203" s="38" t="s">
        <v>173</v>
      </c>
      <c r="M203" s="2"/>
      <c r="N203" s="113"/>
      <c r="O203" s="45" t="s">
        <v>62</v>
      </c>
      <c r="P203" s="2" t="s">
        <v>62</v>
      </c>
      <c r="Q203" s="38" t="s">
        <v>62</v>
      </c>
      <c r="R203" s="36" t="s">
        <v>62</v>
      </c>
      <c r="S203" s="34"/>
      <c r="T203" s="2"/>
      <c r="U203" s="34"/>
      <c r="V203" s="33"/>
      <c r="W203" s="33" t="s">
        <v>697</v>
      </c>
      <c r="X203" s="33"/>
      <c r="Y203" s="33"/>
      <c r="Z203"/>
      <c r="AD203"/>
      <c r="AE203"/>
      <c r="AF203"/>
      <c r="AG203"/>
    </row>
    <row r="204" spans="1:33" ht="16.149999999999999" customHeight="1" x14ac:dyDescent="0.15">
      <c r="A204" s="6">
        <v>198</v>
      </c>
      <c r="B204" s="18" t="s">
        <v>75</v>
      </c>
      <c r="C204" s="34" t="s">
        <v>57</v>
      </c>
      <c r="D204" s="43" t="s">
        <v>698</v>
      </c>
      <c r="E204" s="77" t="s">
        <v>169</v>
      </c>
      <c r="F204" s="19">
        <v>15187</v>
      </c>
      <c r="G204" s="6">
        <v>16</v>
      </c>
      <c r="H204" s="6" t="s">
        <v>699</v>
      </c>
      <c r="I204" s="2"/>
      <c r="J204" s="6" t="s">
        <v>171</v>
      </c>
      <c r="K204" s="6" t="s">
        <v>177</v>
      </c>
      <c r="L204" s="38" t="s">
        <v>173</v>
      </c>
      <c r="M204" s="2"/>
      <c r="N204" s="113"/>
      <c r="O204" s="45" t="s">
        <v>62</v>
      </c>
      <c r="P204" s="2" t="s">
        <v>62</v>
      </c>
      <c r="Q204" s="38" t="s">
        <v>62</v>
      </c>
      <c r="R204" s="36" t="s">
        <v>62</v>
      </c>
      <c r="S204" s="34"/>
      <c r="T204" s="2"/>
      <c r="U204" s="34"/>
      <c r="V204" s="33"/>
      <c r="W204" s="33" t="s">
        <v>700</v>
      </c>
      <c r="X204" s="33"/>
      <c r="Y204" s="33"/>
      <c r="Z204"/>
      <c r="AD204"/>
      <c r="AE204"/>
      <c r="AF204"/>
      <c r="AG204"/>
    </row>
    <row r="205" spans="1:33" ht="16.149999999999999" customHeight="1" x14ac:dyDescent="0.15">
      <c r="A205" s="6">
        <v>199</v>
      </c>
      <c r="B205" s="18" t="s">
        <v>75</v>
      </c>
      <c r="C205" s="34" t="s">
        <v>57</v>
      </c>
      <c r="D205" s="43" t="s">
        <v>701</v>
      </c>
      <c r="E205" s="77" t="s">
        <v>169</v>
      </c>
      <c r="F205" s="19">
        <v>15187</v>
      </c>
      <c r="G205" s="6">
        <v>17</v>
      </c>
      <c r="H205" s="6" t="s">
        <v>702</v>
      </c>
      <c r="I205" s="2"/>
      <c r="J205" s="6" t="s">
        <v>171</v>
      </c>
      <c r="K205" s="6" t="s">
        <v>177</v>
      </c>
      <c r="L205" s="38" t="s">
        <v>173</v>
      </c>
      <c r="M205" s="2"/>
      <c r="N205" s="113"/>
      <c r="O205" s="45" t="s">
        <v>62</v>
      </c>
      <c r="P205" s="2" t="s">
        <v>62</v>
      </c>
      <c r="Q205" s="38" t="s">
        <v>62</v>
      </c>
      <c r="R205" s="36" t="s">
        <v>62</v>
      </c>
      <c r="S205" s="34"/>
      <c r="T205" s="2"/>
      <c r="U205" s="34"/>
      <c r="V205" s="33"/>
      <c r="W205" s="33" t="s">
        <v>703</v>
      </c>
      <c r="X205" s="33"/>
      <c r="Y205" s="33"/>
      <c r="Z205"/>
      <c r="AD205"/>
      <c r="AE205"/>
      <c r="AF205"/>
      <c r="AG205"/>
    </row>
    <row r="206" spans="1:33" ht="16.149999999999999" customHeight="1" x14ac:dyDescent="0.15">
      <c r="A206" s="6">
        <v>200</v>
      </c>
      <c r="B206" s="18" t="s">
        <v>75</v>
      </c>
      <c r="C206" s="34" t="s">
        <v>57</v>
      </c>
      <c r="D206" s="43" t="s">
        <v>707</v>
      </c>
      <c r="E206" s="77" t="s">
        <v>169</v>
      </c>
      <c r="F206" s="19">
        <v>15187</v>
      </c>
      <c r="G206" s="6">
        <v>20</v>
      </c>
      <c r="H206" s="6" t="s">
        <v>708</v>
      </c>
      <c r="I206" s="2"/>
      <c r="J206" s="6" t="s">
        <v>171</v>
      </c>
      <c r="K206" s="6" t="s">
        <v>177</v>
      </c>
      <c r="L206" s="38" t="s">
        <v>173</v>
      </c>
      <c r="M206" s="2"/>
      <c r="N206" s="113"/>
      <c r="O206" s="45" t="s">
        <v>62</v>
      </c>
      <c r="P206" s="2" t="s">
        <v>62</v>
      </c>
      <c r="Q206" s="38" t="s">
        <v>62</v>
      </c>
      <c r="R206" s="36" t="s">
        <v>62</v>
      </c>
      <c r="S206" s="34"/>
      <c r="T206" s="2"/>
      <c r="U206" s="34"/>
      <c r="V206" s="33"/>
      <c r="W206" s="33" t="s">
        <v>709</v>
      </c>
      <c r="X206" s="33"/>
      <c r="Y206" s="33"/>
      <c r="Z206"/>
      <c r="AD206"/>
      <c r="AE206"/>
      <c r="AF206"/>
      <c r="AG206"/>
    </row>
    <row r="207" spans="1:33" ht="16.149999999999999" customHeight="1" x14ac:dyDescent="0.15">
      <c r="A207" s="6">
        <v>201</v>
      </c>
      <c r="B207" s="18" t="s">
        <v>75</v>
      </c>
      <c r="C207" s="34" t="s">
        <v>57</v>
      </c>
      <c r="D207" s="43" t="s">
        <v>710</v>
      </c>
      <c r="E207" s="77" t="s">
        <v>169</v>
      </c>
      <c r="F207" s="19">
        <v>15187</v>
      </c>
      <c r="G207" s="6">
        <v>21</v>
      </c>
      <c r="H207" s="6" t="s">
        <v>711</v>
      </c>
      <c r="I207" s="2"/>
      <c r="J207" s="6" t="s">
        <v>171</v>
      </c>
      <c r="K207" s="6" t="s">
        <v>177</v>
      </c>
      <c r="L207" s="38" t="s">
        <v>173</v>
      </c>
      <c r="M207" s="2"/>
      <c r="N207" s="113"/>
      <c r="O207" s="45" t="s">
        <v>62</v>
      </c>
      <c r="P207" s="2" t="s">
        <v>62</v>
      </c>
      <c r="Q207" s="38" t="s">
        <v>62</v>
      </c>
      <c r="R207" s="36" t="s">
        <v>62</v>
      </c>
      <c r="S207" s="34"/>
      <c r="T207" s="2"/>
      <c r="U207" s="34"/>
      <c r="V207" s="33"/>
      <c r="W207" s="33" t="s">
        <v>712</v>
      </c>
      <c r="X207" s="33"/>
      <c r="Y207" s="33"/>
      <c r="Z207"/>
      <c r="AD207"/>
      <c r="AE207"/>
      <c r="AF207"/>
      <c r="AG207"/>
    </row>
    <row r="208" spans="1:33" ht="16.149999999999999" customHeight="1" x14ac:dyDescent="0.15">
      <c r="A208" s="6">
        <v>202</v>
      </c>
      <c r="B208" s="18" t="s">
        <v>75</v>
      </c>
      <c r="C208" s="34" t="s">
        <v>57</v>
      </c>
      <c r="D208" s="43" t="s">
        <v>713</v>
      </c>
      <c r="E208" s="77" t="s">
        <v>169</v>
      </c>
      <c r="F208" s="19">
        <v>15187</v>
      </c>
      <c r="G208" s="6">
        <v>22</v>
      </c>
      <c r="H208" s="6" t="s">
        <v>714</v>
      </c>
      <c r="I208" s="2"/>
      <c r="J208" s="6" t="s">
        <v>171</v>
      </c>
      <c r="K208" s="6" t="s">
        <v>177</v>
      </c>
      <c r="L208" s="38" t="s">
        <v>173</v>
      </c>
      <c r="M208" s="2"/>
      <c r="N208" s="113"/>
      <c r="O208" s="45" t="s">
        <v>62</v>
      </c>
      <c r="P208" s="2" t="s">
        <v>62</v>
      </c>
      <c r="Q208" s="38" t="s">
        <v>62</v>
      </c>
      <c r="R208" s="36" t="s">
        <v>62</v>
      </c>
      <c r="S208" s="34"/>
      <c r="T208" s="2"/>
      <c r="U208" s="34"/>
      <c r="V208" s="33"/>
      <c r="W208" s="33" t="s">
        <v>715</v>
      </c>
      <c r="X208" s="33"/>
      <c r="Y208" s="33"/>
      <c r="Z208"/>
      <c r="AD208"/>
      <c r="AE208"/>
      <c r="AF208"/>
      <c r="AG208"/>
    </row>
    <row r="209" spans="1:33" ht="16.149999999999999" customHeight="1" x14ac:dyDescent="0.15">
      <c r="A209" s="6">
        <v>203</v>
      </c>
      <c r="B209" s="18" t="s">
        <v>75</v>
      </c>
      <c r="C209" s="34" t="s">
        <v>57</v>
      </c>
      <c r="D209" s="43" t="s">
        <v>716</v>
      </c>
      <c r="E209" s="77" t="s">
        <v>169</v>
      </c>
      <c r="F209" s="19">
        <v>15187</v>
      </c>
      <c r="G209" s="6">
        <v>23</v>
      </c>
      <c r="H209" s="6" t="s">
        <v>717</v>
      </c>
      <c r="I209" s="2"/>
      <c r="J209" s="6" t="s">
        <v>171</v>
      </c>
      <c r="K209" s="6" t="s">
        <v>177</v>
      </c>
      <c r="L209" s="38" t="s">
        <v>173</v>
      </c>
      <c r="M209" s="2"/>
      <c r="N209" s="113"/>
      <c r="O209" s="45" t="s">
        <v>62</v>
      </c>
      <c r="P209" s="2" t="s">
        <v>62</v>
      </c>
      <c r="Q209" s="38" t="s">
        <v>62</v>
      </c>
      <c r="R209" s="36" t="s">
        <v>62</v>
      </c>
      <c r="S209" s="34"/>
      <c r="T209" s="2"/>
      <c r="U209" s="34"/>
      <c r="V209" s="33"/>
      <c r="W209" s="33" t="s">
        <v>718</v>
      </c>
      <c r="X209" s="33"/>
      <c r="Y209" s="33"/>
      <c r="Z209"/>
      <c r="AD209"/>
      <c r="AE209"/>
      <c r="AF209"/>
      <c r="AG209"/>
    </row>
    <row r="210" spans="1:33" ht="16.149999999999999" customHeight="1" x14ac:dyDescent="0.15">
      <c r="A210" s="6">
        <v>204</v>
      </c>
      <c r="B210" s="18" t="s">
        <v>75</v>
      </c>
      <c r="C210" s="34" t="s">
        <v>57</v>
      </c>
      <c r="D210" s="43" t="s">
        <v>719</v>
      </c>
      <c r="E210" s="77" t="s">
        <v>169</v>
      </c>
      <c r="F210" s="19">
        <v>15187</v>
      </c>
      <c r="G210" s="6">
        <v>24</v>
      </c>
      <c r="H210" s="6" t="s">
        <v>720</v>
      </c>
      <c r="I210" s="2"/>
      <c r="J210" s="6" t="s">
        <v>171</v>
      </c>
      <c r="K210" s="6" t="s">
        <v>177</v>
      </c>
      <c r="L210" s="38" t="s">
        <v>173</v>
      </c>
      <c r="M210" s="2"/>
      <c r="N210" s="113"/>
      <c r="O210" s="45" t="s">
        <v>62</v>
      </c>
      <c r="P210" s="2" t="s">
        <v>62</v>
      </c>
      <c r="Q210" s="38" t="s">
        <v>62</v>
      </c>
      <c r="R210" s="36" t="s">
        <v>62</v>
      </c>
      <c r="S210" s="34"/>
      <c r="T210" s="2"/>
      <c r="U210" s="34"/>
      <c r="V210" s="33"/>
      <c r="W210" s="33" t="s">
        <v>721</v>
      </c>
      <c r="X210" s="33"/>
      <c r="Y210" s="33"/>
      <c r="Z210"/>
      <c r="AD210"/>
      <c r="AE210"/>
      <c r="AF210"/>
      <c r="AG210"/>
    </row>
    <row r="211" spans="1:33" ht="16.149999999999999" customHeight="1" x14ac:dyDescent="0.15">
      <c r="A211" s="6">
        <v>205</v>
      </c>
      <c r="B211" s="18" t="s">
        <v>75</v>
      </c>
      <c r="C211" s="34" t="s">
        <v>57</v>
      </c>
      <c r="D211" s="43" t="s">
        <v>722</v>
      </c>
      <c r="E211" s="77" t="s">
        <v>169</v>
      </c>
      <c r="F211" s="19">
        <v>15187</v>
      </c>
      <c r="G211" s="6">
        <v>25</v>
      </c>
      <c r="H211" s="6" t="s">
        <v>723</v>
      </c>
      <c r="I211" s="2"/>
      <c r="J211" s="6" t="s">
        <v>171</v>
      </c>
      <c r="K211" s="6" t="s">
        <v>177</v>
      </c>
      <c r="L211" s="38" t="s">
        <v>173</v>
      </c>
      <c r="M211" s="2"/>
      <c r="N211" s="113"/>
      <c r="O211" s="45" t="s">
        <v>62</v>
      </c>
      <c r="P211" s="2" t="s">
        <v>62</v>
      </c>
      <c r="Q211" s="38" t="s">
        <v>62</v>
      </c>
      <c r="R211" s="36" t="s">
        <v>62</v>
      </c>
      <c r="S211" s="34"/>
      <c r="T211" s="2"/>
      <c r="U211" s="34"/>
      <c r="V211" s="33"/>
      <c r="W211" s="33" t="s">
        <v>724</v>
      </c>
      <c r="X211" s="33"/>
      <c r="Y211" s="33"/>
      <c r="Z211"/>
      <c r="AD211"/>
      <c r="AE211"/>
      <c r="AF211"/>
      <c r="AG211"/>
    </row>
    <row r="212" spans="1:33" ht="16.149999999999999" customHeight="1" x14ac:dyDescent="0.15">
      <c r="A212" s="6">
        <v>206</v>
      </c>
      <c r="B212" s="18" t="s">
        <v>75</v>
      </c>
      <c r="C212" s="34" t="s">
        <v>57</v>
      </c>
      <c r="D212" s="43" t="s">
        <v>725</v>
      </c>
      <c r="E212" s="77" t="s">
        <v>169</v>
      </c>
      <c r="F212" s="19">
        <v>15187</v>
      </c>
      <c r="G212" s="6">
        <v>26</v>
      </c>
      <c r="H212" s="6" t="s">
        <v>726</v>
      </c>
      <c r="I212" s="2"/>
      <c r="J212" s="6" t="s">
        <v>171</v>
      </c>
      <c r="K212" s="6" t="s">
        <v>177</v>
      </c>
      <c r="L212" s="38" t="s">
        <v>173</v>
      </c>
      <c r="M212" s="2"/>
      <c r="N212" s="113"/>
      <c r="O212" s="45" t="s">
        <v>62</v>
      </c>
      <c r="P212" s="2" t="s">
        <v>62</v>
      </c>
      <c r="Q212" s="38" t="s">
        <v>62</v>
      </c>
      <c r="R212" s="36" t="s">
        <v>62</v>
      </c>
      <c r="S212" s="34"/>
      <c r="T212" s="2"/>
      <c r="U212" s="34"/>
      <c r="V212" s="33"/>
      <c r="W212" s="33" t="s">
        <v>727</v>
      </c>
      <c r="X212" s="33"/>
      <c r="Y212" s="33"/>
      <c r="Z212"/>
      <c r="AD212"/>
      <c r="AE212"/>
      <c r="AF212"/>
      <c r="AG212"/>
    </row>
    <row r="213" spans="1:33" ht="16.149999999999999" customHeight="1" x14ac:dyDescent="0.15">
      <c r="A213" s="6">
        <v>207</v>
      </c>
      <c r="B213" s="18" t="s">
        <v>75</v>
      </c>
      <c r="C213" s="34" t="s">
        <v>57</v>
      </c>
      <c r="D213" s="43" t="s">
        <v>728</v>
      </c>
      <c r="E213" s="77" t="s">
        <v>169</v>
      </c>
      <c r="F213" s="19">
        <v>15187</v>
      </c>
      <c r="G213" s="6">
        <v>27</v>
      </c>
      <c r="H213" s="6" t="s">
        <v>729</v>
      </c>
      <c r="I213" s="2"/>
      <c r="J213" s="6" t="s">
        <v>171</v>
      </c>
      <c r="K213" s="6" t="s">
        <v>177</v>
      </c>
      <c r="L213" s="38" t="s">
        <v>173</v>
      </c>
      <c r="M213" s="2"/>
      <c r="N213" s="113"/>
      <c r="O213" s="45" t="s">
        <v>62</v>
      </c>
      <c r="P213" s="2" t="s">
        <v>62</v>
      </c>
      <c r="Q213" s="38" t="s">
        <v>62</v>
      </c>
      <c r="R213" s="36" t="s">
        <v>62</v>
      </c>
      <c r="S213" s="34"/>
      <c r="T213" s="2"/>
      <c r="U213" s="34"/>
      <c r="V213" s="33"/>
      <c r="W213" s="33" t="s">
        <v>730</v>
      </c>
      <c r="X213" s="33"/>
      <c r="Y213" s="33"/>
      <c r="Z213"/>
      <c r="AD213"/>
      <c r="AE213"/>
      <c r="AF213"/>
      <c r="AG213"/>
    </row>
    <row r="214" spans="1:33" ht="16.149999999999999" customHeight="1" x14ac:dyDescent="0.15">
      <c r="A214" s="6">
        <v>208</v>
      </c>
      <c r="B214" s="18" t="s">
        <v>75</v>
      </c>
      <c r="C214" s="34" t="s">
        <v>57</v>
      </c>
      <c r="D214" s="43" t="s">
        <v>7218</v>
      </c>
      <c r="E214" s="77" t="s">
        <v>169</v>
      </c>
      <c r="F214" s="19">
        <v>15187</v>
      </c>
      <c r="G214" s="6">
        <v>28</v>
      </c>
      <c r="H214" s="6" t="s">
        <v>8091</v>
      </c>
      <c r="I214" s="2"/>
      <c r="J214" s="6" t="s">
        <v>171</v>
      </c>
      <c r="K214" s="6" t="s">
        <v>177</v>
      </c>
      <c r="L214" s="38" t="s">
        <v>173</v>
      </c>
      <c r="M214" s="2"/>
      <c r="N214" s="113"/>
      <c r="O214" s="45" t="s">
        <v>62</v>
      </c>
      <c r="P214" s="2" t="s">
        <v>62</v>
      </c>
      <c r="Q214" s="38" t="s">
        <v>62</v>
      </c>
      <c r="R214" s="36" t="s">
        <v>62</v>
      </c>
      <c r="S214" s="34"/>
      <c r="T214" s="2"/>
      <c r="U214" s="34"/>
      <c r="V214" s="33"/>
      <c r="W214" s="33" t="s">
        <v>8246</v>
      </c>
      <c r="X214" s="33"/>
      <c r="Y214" s="33"/>
      <c r="Z214"/>
      <c r="AD214"/>
      <c r="AE214"/>
      <c r="AF214"/>
      <c r="AG214"/>
    </row>
    <row r="215" spans="1:33" ht="16.149999999999999" customHeight="1" x14ac:dyDescent="0.15">
      <c r="A215" s="6">
        <v>209</v>
      </c>
      <c r="B215" s="18" t="s">
        <v>75</v>
      </c>
      <c r="C215" s="34" t="s">
        <v>57</v>
      </c>
      <c r="D215" s="43" t="s">
        <v>731</v>
      </c>
      <c r="E215" s="77" t="s">
        <v>169</v>
      </c>
      <c r="F215" s="19">
        <v>15187</v>
      </c>
      <c r="G215" s="6">
        <v>29</v>
      </c>
      <c r="H215" s="6" t="s">
        <v>732</v>
      </c>
      <c r="I215" s="2"/>
      <c r="J215" s="6" t="s">
        <v>171</v>
      </c>
      <c r="K215" s="6" t="s">
        <v>177</v>
      </c>
      <c r="L215" s="38" t="s">
        <v>173</v>
      </c>
      <c r="M215" s="2"/>
      <c r="N215" s="113"/>
      <c r="O215" s="45" t="s">
        <v>62</v>
      </c>
      <c r="P215" s="2" t="s">
        <v>62</v>
      </c>
      <c r="Q215" s="38" t="s">
        <v>62</v>
      </c>
      <c r="R215" s="36" t="s">
        <v>62</v>
      </c>
      <c r="S215" s="34"/>
      <c r="T215" s="2"/>
      <c r="U215" s="34"/>
      <c r="V215" s="33"/>
      <c r="W215" s="33" t="s">
        <v>733</v>
      </c>
      <c r="X215" s="33"/>
      <c r="Y215" s="33"/>
      <c r="Z215"/>
      <c r="AD215"/>
      <c r="AE215"/>
      <c r="AF215"/>
      <c r="AG215"/>
    </row>
    <row r="216" spans="1:33" ht="16.149999999999999" customHeight="1" x14ac:dyDescent="0.15">
      <c r="A216" s="6">
        <v>210</v>
      </c>
      <c r="B216" s="18" t="s">
        <v>75</v>
      </c>
      <c r="C216" s="34" t="s">
        <v>57</v>
      </c>
      <c r="D216" s="43" t="s">
        <v>734</v>
      </c>
      <c r="E216" s="77" t="s">
        <v>169</v>
      </c>
      <c r="F216" s="19">
        <v>15187</v>
      </c>
      <c r="G216" s="6">
        <v>30</v>
      </c>
      <c r="H216" s="6" t="s">
        <v>735</v>
      </c>
      <c r="I216" s="2"/>
      <c r="J216" s="6" t="s">
        <v>171</v>
      </c>
      <c r="K216" s="6" t="s">
        <v>177</v>
      </c>
      <c r="L216" s="38" t="s">
        <v>173</v>
      </c>
      <c r="M216" s="2"/>
      <c r="N216" s="113"/>
      <c r="O216" s="45" t="s">
        <v>62</v>
      </c>
      <c r="P216" s="2" t="s">
        <v>62</v>
      </c>
      <c r="Q216" s="38" t="s">
        <v>62</v>
      </c>
      <c r="R216" s="36" t="s">
        <v>62</v>
      </c>
      <c r="S216" s="34"/>
      <c r="T216" s="2"/>
      <c r="U216" s="34"/>
      <c r="V216" s="33"/>
      <c r="W216" s="33" t="s">
        <v>736</v>
      </c>
      <c r="X216" s="33"/>
      <c r="Y216" s="33"/>
      <c r="Z216"/>
      <c r="AD216"/>
      <c r="AE216"/>
      <c r="AF216"/>
      <c r="AG216"/>
    </row>
    <row r="217" spans="1:33" ht="16.149999999999999" customHeight="1" x14ac:dyDescent="0.15">
      <c r="A217" s="6">
        <v>211</v>
      </c>
      <c r="B217" s="18" t="s">
        <v>75</v>
      </c>
      <c r="C217" s="34" t="s">
        <v>57</v>
      </c>
      <c r="D217" s="43" t="s">
        <v>737</v>
      </c>
      <c r="E217" s="77" t="s">
        <v>169</v>
      </c>
      <c r="F217" s="19">
        <v>15187</v>
      </c>
      <c r="G217" s="6">
        <v>31</v>
      </c>
      <c r="H217" s="6" t="s">
        <v>738</v>
      </c>
      <c r="I217" s="2"/>
      <c r="J217" s="6" t="s">
        <v>171</v>
      </c>
      <c r="K217" s="6" t="s">
        <v>177</v>
      </c>
      <c r="L217" s="38" t="s">
        <v>173</v>
      </c>
      <c r="M217" s="6"/>
      <c r="N217" s="113"/>
      <c r="O217" s="45" t="s">
        <v>62</v>
      </c>
      <c r="P217" s="2" t="s">
        <v>62</v>
      </c>
      <c r="Q217" s="38" t="s">
        <v>62</v>
      </c>
      <c r="R217" s="36" t="s">
        <v>62</v>
      </c>
      <c r="S217" s="34"/>
      <c r="T217" s="2"/>
      <c r="U217" s="34"/>
      <c r="V217" s="33"/>
      <c r="W217" s="33" t="s">
        <v>739</v>
      </c>
      <c r="X217" s="33"/>
      <c r="Y217" s="33"/>
      <c r="Z217"/>
      <c r="AD217"/>
      <c r="AE217"/>
      <c r="AF217"/>
      <c r="AG217"/>
    </row>
    <row r="218" spans="1:33" ht="16.149999999999999" customHeight="1" x14ac:dyDescent="0.15">
      <c r="A218" s="6">
        <v>212</v>
      </c>
      <c r="B218" s="18" t="s">
        <v>75</v>
      </c>
      <c r="C218" s="34" t="s">
        <v>57</v>
      </c>
      <c r="D218" s="15" t="s">
        <v>752</v>
      </c>
      <c r="E218" s="2" t="s">
        <v>219</v>
      </c>
      <c r="F218" s="19">
        <v>15193</v>
      </c>
      <c r="G218" s="6"/>
      <c r="H218" s="6" t="s">
        <v>753</v>
      </c>
      <c r="I218" s="2"/>
      <c r="J218" s="6"/>
      <c r="K218" s="6"/>
      <c r="L218" s="38"/>
      <c r="M218" s="6" t="s">
        <v>61</v>
      </c>
      <c r="N218" s="114"/>
      <c r="O218" s="38" t="s">
        <v>62</v>
      </c>
      <c r="P218" s="38" t="s">
        <v>62</v>
      </c>
      <c r="Q218" s="38" t="s">
        <v>62</v>
      </c>
      <c r="R218" s="38" t="s">
        <v>62</v>
      </c>
      <c r="S218" s="34"/>
      <c r="T218" s="2"/>
      <c r="U218" s="34"/>
      <c r="V218" s="34"/>
      <c r="W218" s="77" t="s">
        <v>754</v>
      </c>
      <c r="X218" s="34"/>
      <c r="Y218" s="2"/>
      <c r="Z218"/>
      <c r="AD218"/>
      <c r="AE218"/>
      <c r="AF218"/>
      <c r="AG218"/>
    </row>
    <row r="219" spans="1:33" ht="16.149999999999999" customHeight="1" x14ac:dyDescent="0.15">
      <c r="A219" s="6">
        <v>213</v>
      </c>
      <c r="B219" s="18" t="s">
        <v>75</v>
      </c>
      <c r="C219" s="34" t="s">
        <v>57</v>
      </c>
      <c r="D219" s="43" t="s">
        <v>755</v>
      </c>
      <c r="E219" s="77" t="s">
        <v>169</v>
      </c>
      <c r="F219" s="19">
        <v>15193</v>
      </c>
      <c r="G219" s="6">
        <v>0</v>
      </c>
      <c r="H219" s="6" t="s">
        <v>756</v>
      </c>
      <c r="I219" s="2"/>
      <c r="J219" s="6" t="s">
        <v>196</v>
      </c>
      <c r="K219" s="6" t="s">
        <v>197</v>
      </c>
      <c r="L219" s="38" t="s">
        <v>198</v>
      </c>
      <c r="M219" s="6"/>
      <c r="N219" s="113"/>
      <c r="O219" s="45" t="s">
        <v>62</v>
      </c>
      <c r="P219" s="2" t="s">
        <v>62</v>
      </c>
      <c r="Q219" s="38" t="s">
        <v>62</v>
      </c>
      <c r="R219" s="36" t="s">
        <v>62</v>
      </c>
      <c r="S219" s="34"/>
      <c r="T219" s="2"/>
      <c r="U219" s="34"/>
      <c r="V219" s="33"/>
      <c r="W219" s="33" t="s">
        <v>757</v>
      </c>
      <c r="X219" s="33"/>
      <c r="Y219" s="33"/>
      <c r="Z219"/>
      <c r="AD219"/>
      <c r="AE219"/>
      <c r="AF219"/>
      <c r="AG219"/>
    </row>
    <row r="220" spans="1:33" ht="16.149999999999999" customHeight="1" x14ac:dyDescent="0.15">
      <c r="A220" s="6">
        <v>214</v>
      </c>
      <c r="B220" s="18" t="s">
        <v>75</v>
      </c>
      <c r="C220" s="34" t="s">
        <v>57</v>
      </c>
      <c r="D220" s="43" t="s">
        <v>7219</v>
      </c>
      <c r="E220" s="77" t="s">
        <v>169</v>
      </c>
      <c r="F220" s="19">
        <v>15193</v>
      </c>
      <c r="G220" s="6">
        <v>1</v>
      </c>
      <c r="H220" s="6" t="s">
        <v>8092</v>
      </c>
      <c r="I220" s="2"/>
      <c r="J220" s="6" t="s">
        <v>196</v>
      </c>
      <c r="K220" s="6" t="s">
        <v>197</v>
      </c>
      <c r="L220" s="38" t="s">
        <v>198</v>
      </c>
      <c r="M220" s="6"/>
      <c r="N220" s="113"/>
      <c r="O220" s="45" t="s">
        <v>62</v>
      </c>
      <c r="P220" s="2" t="s">
        <v>62</v>
      </c>
      <c r="Q220" s="38" t="s">
        <v>62</v>
      </c>
      <c r="R220" s="36" t="s">
        <v>62</v>
      </c>
      <c r="S220" s="34"/>
      <c r="T220" s="2"/>
      <c r="U220" s="34"/>
      <c r="V220" s="33"/>
      <c r="W220" s="33" t="s">
        <v>8247</v>
      </c>
      <c r="X220" s="33"/>
      <c r="Y220" s="33"/>
      <c r="Z220"/>
      <c r="AD220"/>
      <c r="AE220"/>
      <c r="AF220"/>
      <c r="AG220"/>
    </row>
    <row r="221" spans="1:33" ht="16.149999999999999" customHeight="1" x14ac:dyDescent="0.15">
      <c r="A221" s="6">
        <v>215</v>
      </c>
      <c r="B221" s="18" t="s">
        <v>75</v>
      </c>
      <c r="C221" s="34" t="s">
        <v>57</v>
      </c>
      <c r="D221" s="43" t="s">
        <v>7220</v>
      </c>
      <c r="E221" s="77" t="s">
        <v>169</v>
      </c>
      <c r="F221" s="19">
        <v>15193</v>
      </c>
      <c r="G221" s="6">
        <v>12</v>
      </c>
      <c r="H221" s="6" t="s">
        <v>8093</v>
      </c>
      <c r="I221" s="2"/>
      <c r="J221" s="6" t="s">
        <v>171</v>
      </c>
      <c r="K221" s="6" t="s">
        <v>177</v>
      </c>
      <c r="L221" s="38" t="s">
        <v>173</v>
      </c>
      <c r="M221" s="6"/>
      <c r="N221" s="113"/>
      <c r="O221" s="45" t="s">
        <v>62</v>
      </c>
      <c r="P221" s="2" t="s">
        <v>62</v>
      </c>
      <c r="Q221" s="38" t="s">
        <v>62</v>
      </c>
      <c r="R221" s="36" t="s">
        <v>62</v>
      </c>
      <c r="S221" s="34"/>
      <c r="T221" s="2"/>
      <c r="U221" s="34"/>
      <c r="V221" s="33"/>
      <c r="W221" s="33" t="s">
        <v>8248</v>
      </c>
      <c r="X221" s="33"/>
      <c r="Y221" s="33"/>
      <c r="Z221"/>
      <c r="AD221"/>
      <c r="AE221"/>
      <c r="AF221"/>
      <c r="AG221"/>
    </row>
    <row r="222" spans="1:33" ht="16.149999999999999" customHeight="1" x14ac:dyDescent="0.15">
      <c r="A222" s="6">
        <v>216</v>
      </c>
      <c r="B222" s="18" t="s">
        <v>75</v>
      </c>
      <c r="C222" s="34" t="s">
        <v>57</v>
      </c>
      <c r="D222" s="43" t="s">
        <v>7221</v>
      </c>
      <c r="E222" s="77" t="s">
        <v>169</v>
      </c>
      <c r="F222" s="19">
        <v>15193</v>
      </c>
      <c r="G222" s="6">
        <v>13</v>
      </c>
      <c r="H222" s="6" t="s">
        <v>8094</v>
      </c>
      <c r="I222" s="2"/>
      <c r="J222" s="6" t="s">
        <v>2274</v>
      </c>
      <c r="K222" s="6" t="s">
        <v>286</v>
      </c>
      <c r="L222" s="38" t="s">
        <v>285</v>
      </c>
      <c r="M222" s="6"/>
      <c r="N222" s="113"/>
      <c r="O222" s="45" t="s">
        <v>62</v>
      </c>
      <c r="P222" s="2" t="s">
        <v>62</v>
      </c>
      <c r="Q222" s="38" t="s">
        <v>62</v>
      </c>
      <c r="R222" s="36" t="s">
        <v>62</v>
      </c>
      <c r="S222" s="34"/>
      <c r="T222" s="2"/>
      <c r="U222" s="34"/>
      <c r="V222" s="33"/>
      <c r="W222" s="33" t="s">
        <v>8249</v>
      </c>
      <c r="X222" s="33"/>
      <c r="Y222" s="33"/>
      <c r="Z222"/>
      <c r="AD222"/>
      <c r="AE222"/>
      <c r="AF222"/>
      <c r="AG222"/>
    </row>
    <row r="223" spans="1:33" ht="16.149999999999999" customHeight="1" x14ac:dyDescent="0.15">
      <c r="A223" s="6">
        <v>217</v>
      </c>
      <c r="B223" s="18" t="s">
        <v>75</v>
      </c>
      <c r="C223" s="34" t="s">
        <v>57</v>
      </c>
      <c r="D223" s="15" t="s">
        <v>7222</v>
      </c>
      <c r="E223" s="2" t="s">
        <v>219</v>
      </c>
      <c r="F223" s="19">
        <v>15195</v>
      </c>
      <c r="G223" s="6"/>
      <c r="H223" s="6" t="s">
        <v>8095</v>
      </c>
      <c r="I223" s="2"/>
      <c r="J223" s="6"/>
      <c r="K223" s="6"/>
      <c r="L223" s="38"/>
      <c r="M223" s="6" t="s">
        <v>61</v>
      </c>
      <c r="N223" s="114"/>
      <c r="O223" s="38" t="s">
        <v>62</v>
      </c>
      <c r="P223" s="38" t="s">
        <v>62</v>
      </c>
      <c r="Q223" s="38" t="s">
        <v>62</v>
      </c>
      <c r="R223" s="38" t="s">
        <v>62</v>
      </c>
      <c r="S223" s="34"/>
      <c r="T223" s="2"/>
      <c r="U223" s="34"/>
      <c r="V223" s="34"/>
      <c r="W223" s="77" t="s">
        <v>8250</v>
      </c>
      <c r="X223" s="34"/>
      <c r="Y223" s="2"/>
      <c r="Z223"/>
      <c r="AD223"/>
      <c r="AE223"/>
      <c r="AF223"/>
      <c r="AG223"/>
    </row>
    <row r="224" spans="1:33" ht="16.149999999999999" customHeight="1" x14ac:dyDescent="0.15">
      <c r="A224" s="6">
        <v>218</v>
      </c>
      <c r="B224" s="18" t="s">
        <v>75</v>
      </c>
      <c r="C224" s="34" t="s">
        <v>57</v>
      </c>
      <c r="D224" s="43" t="s">
        <v>7223</v>
      </c>
      <c r="E224" s="77" t="s">
        <v>169</v>
      </c>
      <c r="F224" s="19">
        <v>15195</v>
      </c>
      <c r="G224" s="6">
        <v>12</v>
      </c>
      <c r="H224" s="6" t="s">
        <v>8096</v>
      </c>
      <c r="I224" s="2"/>
      <c r="J224" s="6" t="s">
        <v>196</v>
      </c>
      <c r="K224" s="6" t="s">
        <v>197</v>
      </c>
      <c r="L224" s="38" t="s">
        <v>198</v>
      </c>
      <c r="M224" s="6"/>
      <c r="N224" s="113"/>
      <c r="O224" s="45" t="s">
        <v>62</v>
      </c>
      <c r="P224" s="2" t="s">
        <v>62</v>
      </c>
      <c r="Q224" s="38" t="s">
        <v>62</v>
      </c>
      <c r="R224" s="36" t="s">
        <v>62</v>
      </c>
      <c r="S224" s="34"/>
      <c r="T224" s="2"/>
      <c r="U224" s="34"/>
      <c r="V224" s="33"/>
      <c r="W224" s="33" t="s">
        <v>8251</v>
      </c>
      <c r="X224" s="33"/>
      <c r="Y224" s="33"/>
      <c r="Z224"/>
      <c r="AD224"/>
      <c r="AE224"/>
      <c r="AF224"/>
      <c r="AG224"/>
    </row>
    <row r="225" spans="1:33" ht="16.149999999999999" customHeight="1" x14ac:dyDescent="0.15">
      <c r="A225" s="6">
        <v>219</v>
      </c>
      <c r="B225" s="18" t="s">
        <v>75</v>
      </c>
      <c r="C225" s="34" t="s">
        <v>57</v>
      </c>
      <c r="D225" s="43" t="s">
        <v>758</v>
      </c>
      <c r="E225" s="77" t="s">
        <v>169</v>
      </c>
      <c r="F225" s="19">
        <v>15195</v>
      </c>
      <c r="G225" s="6">
        <v>20</v>
      </c>
      <c r="H225" s="6" t="s">
        <v>8097</v>
      </c>
      <c r="I225" s="2"/>
      <c r="J225" s="6" t="s">
        <v>196</v>
      </c>
      <c r="K225" s="6" t="s">
        <v>197</v>
      </c>
      <c r="L225" s="38" t="s">
        <v>198</v>
      </c>
      <c r="M225" s="6"/>
      <c r="N225" s="113"/>
      <c r="O225" s="45" t="s">
        <v>62</v>
      </c>
      <c r="P225" s="2" t="s">
        <v>62</v>
      </c>
      <c r="Q225" s="38" t="s">
        <v>62</v>
      </c>
      <c r="R225" s="36" t="s">
        <v>62</v>
      </c>
      <c r="S225" s="34"/>
      <c r="T225" s="2"/>
      <c r="U225" s="34"/>
      <c r="V225" s="33"/>
      <c r="W225" s="33" t="s">
        <v>8252</v>
      </c>
      <c r="X225" s="33"/>
      <c r="Y225" s="33"/>
      <c r="Z225"/>
      <c r="AD225"/>
      <c r="AE225"/>
      <c r="AF225"/>
      <c r="AG225"/>
    </row>
    <row r="226" spans="1:33" ht="16.149999999999999" customHeight="1" x14ac:dyDescent="0.15">
      <c r="A226" s="6">
        <v>220</v>
      </c>
      <c r="B226" s="18" t="s">
        <v>75</v>
      </c>
      <c r="C226" s="34" t="s">
        <v>57</v>
      </c>
      <c r="D226" s="43" t="s">
        <v>7224</v>
      </c>
      <c r="E226" s="77" t="s">
        <v>169</v>
      </c>
      <c r="F226" s="19">
        <v>15195</v>
      </c>
      <c r="G226" s="6">
        <v>21</v>
      </c>
      <c r="H226" s="6" t="s">
        <v>8098</v>
      </c>
      <c r="I226" s="2"/>
      <c r="J226" s="6" t="s">
        <v>196</v>
      </c>
      <c r="K226" s="6" t="s">
        <v>197</v>
      </c>
      <c r="L226" s="38" t="s">
        <v>198</v>
      </c>
      <c r="M226" s="6"/>
      <c r="N226" s="113"/>
      <c r="O226" s="45" t="s">
        <v>62</v>
      </c>
      <c r="P226" s="2" t="s">
        <v>62</v>
      </c>
      <c r="Q226" s="38" t="s">
        <v>62</v>
      </c>
      <c r="R226" s="36" t="s">
        <v>62</v>
      </c>
      <c r="S226" s="34"/>
      <c r="T226" s="2"/>
      <c r="U226" s="34"/>
      <c r="V226" s="33"/>
      <c r="W226" s="33" t="s">
        <v>8253</v>
      </c>
      <c r="X226" s="33"/>
      <c r="Y226" s="33"/>
      <c r="Z226"/>
      <c r="AD226"/>
      <c r="AE226"/>
      <c r="AF226"/>
      <c r="AG226"/>
    </row>
    <row r="227" spans="1:33" ht="16.149999999999999" customHeight="1" x14ac:dyDescent="0.15">
      <c r="A227" s="6">
        <v>221</v>
      </c>
      <c r="B227" s="18" t="s">
        <v>75</v>
      </c>
      <c r="C227" s="34" t="s">
        <v>57</v>
      </c>
      <c r="D227" s="43" t="s">
        <v>7225</v>
      </c>
      <c r="E227" s="77" t="s">
        <v>169</v>
      </c>
      <c r="F227" s="19">
        <v>15195</v>
      </c>
      <c r="G227" s="6">
        <v>22</v>
      </c>
      <c r="H227" s="6" t="s">
        <v>8099</v>
      </c>
      <c r="I227" s="2"/>
      <c r="J227" s="6" t="s">
        <v>196</v>
      </c>
      <c r="K227" s="6" t="s">
        <v>197</v>
      </c>
      <c r="L227" s="38" t="s">
        <v>198</v>
      </c>
      <c r="M227" s="6"/>
      <c r="N227" s="113"/>
      <c r="O227" s="45" t="s">
        <v>62</v>
      </c>
      <c r="P227" s="2" t="s">
        <v>62</v>
      </c>
      <c r="Q227" s="38" t="s">
        <v>62</v>
      </c>
      <c r="R227" s="36" t="s">
        <v>62</v>
      </c>
      <c r="S227" s="34"/>
      <c r="T227" s="2"/>
      <c r="U227" s="34"/>
      <c r="V227" s="33"/>
      <c r="W227" s="33" t="s">
        <v>8254</v>
      </c>
      <c r="X227" s="33"/>
      <c r="Y227" s="33"/>
      <c r="Z227"/>
      <c r="AD227"/>
      <c r="AE227"/>
      <c r="AF227"/>
      <c r="AG227"/>
    </row>
    <row r="228" spans="1:33" ht="16.149999999999999" customHeight="1" x14ac:dyDescent="0.15">
      <c r="A228" s="6">
        <v>222</v>
      </c>
      <c r="B228" s="18" t="s">
        <v>75</v>
      </c>
      <c r="C228" s="34" t="s">
        <v>57</v>
      </c>
      <c r="D228" s="43" t="s">
        <v>7226</v>
      </c>
      <c r="E228" s="77" t="s">
        <v>169</v>
      </c>
      <c r="F228" s="19">
        <v>15195</v>
      </c>
      <c r="G228" s="6">
        <v>23</v>
      </c>
      <c r="H228" s="6" t="s">
        <v>8100</v>
      </c>
      <c r="I228" s="2"/>
      <c r="J228" s="6" t="s">
        <v>196</v>
      </c>
      <c r="K228" s="6" t="s">
        <v>197</v>
      </c>
      <c r="L228" s="38" t="s">
        <v>198</v>
      </c>
      <c r="M228" s="6"/>
      <c r="N228" s="113"/>
      <c r="O228" s="45" t="s">
        <v>62</v>
      </c>
      <c r="P228" s="2" t="s">
        <v>62</v>
      </c>
      <c r="Q228" s="38" t="s">
        <v>62</v>
      </c>
      <c r="R228" s="36" t="s">
        <v>62</v>
      </c>
      <c r="S228" s="34"/>
      <c r="T228" s="2"/>
      <c r="U228" s="34"/>
      <c r="V228" s="33"/>
      <c r="W228" s="33" t="s">
        <v>8255</v>
      </c>
      <c r="X228" s="33"/>
      <c r="Y228" s="33"/>
      <c r="Z228"/>
      <c r="AD228"/>
      <c r="AE228"/>
      <c r="AF228"/>
      <c r="AG228"/>
    </row>
    <row r="229" spans="1:33" ht="16.149999999999999" customHeight="1" x14ac:dyDescent="0.15">
      <c r="A229" s="6">
        <v>223</v>
      </c>
      <c r="B229" s="18" t="s">
        <v>75</v>
      </c>
      <c r="C229" s="34" t="s">
        <v>57</v>
      </c>
      <c r="D229" s="15" t="s">
        <v>770</v>
      </c>
      <c r="E229" s="2" t="s">
        <v>143</v>
      </c>
      <c r="F229" s="19">
        <v>15197</v>
      </c>
      <c r="G229" s="6"/>
      <c r="H229" s="6" t="s">
        <v>771</v>
      </c>
      <c r="I229" s="2"/>
      <c r="J229" s="6"/>
      <c r="K229" s="6"/>
      <c r="L229" s="38"/>
      <c r="M229" s="6" t="s">
        <v>266</v>
      </c>
      <c r="N229" s="114">
        <v>10</v>
      </c>
      <c r="O229" s="38">
        <v>-32768</v>
      </c>
      <c r="P229" s="38">
        <v>32767</v>
      </c>
      <c r="Q229" s="38">
        <v>-3276.8</v>
      </c>
      <c r="R229" s="38">
        <v>3276.7</v>
      </c>
      <c r="S229" s="34"/>
      <c r="T229" s="2"/>
      <c r="U229" s="34"/>
      <c r="V229" s="34"/>
      <c r="W229" s="77" t="s">
        <v>772</v>
      </c>
      <c r="X229" s="34"/>
      <c r="Y229" s="2"/>
      <c r="Z229"/>
      <c r="AD229"/>
      <c r="AE229"/>
      <c r="AF229"/>
      <c r="AG229"/>
    </row>
    <row r="230" spans="1:33" ht="16.149999999999999" customHeight="1" x14ac:dyDescent="0.15">
      <c r="A230" s="6">
        <v>224</v>
      </c>
      <c r="B230" s="18" t="s">
        <v>75</v>
      </c>
      <c r="C230" s="34" t="s">
        <v>57</v>
      </c>
      <c r="D230" s="15" t="s">
        <v>7227</v>
      </c>
      <c r="E230" s="2" t="s">
        <v>143</v>
      </c>
      <c r="F230" s="19">
        <v>15198</v>
      </c>
      <c r="G230" s="6"/>
      <c r="H230" s="6" t="s">
        <v>8101</v>
      </c>
      <c r="I230" s="2"/>
      <c r="J230" s="6"/>
      <c r="K230" s="6"/>
      <c r="L230" s="38"/>
      <c r="M230" s="6" t="s">
        <v>266</v>
      </c>
      <c r="N230" s="114">
        <v>10</v>
      </c>
      <c r="O230" s="38">
        <v>-32768</v>
      </c>
      <c r="P230" s="38">
        <v>32767</v>
      </c>
      <c r="Q230" s="38">
        <v>-3276.8</v>
      </c>
      <c r="R230" s="38">
        <v>3276.7</v>
      </c>
      <c r="S230" s="34"/>
      <c r="T230" s="2"/>
      <c r="U230" s="34"/>
      <c r="V230" s="34"/>
      <c r="W230" s="77" t="s">
        <v>8256</v>
      </c>
      <c r="X230" s="34"/>
      <c r="Y230" s="2"/>
      <c r="Z230"/>
      <c r="AD230"/>
      <c r="AE230"/>
      <c r="AF230"/>
      <c r="AG230"/>
    </row>
    <row r="231" spans="1:33" ht="16.149999999999999" customHeight="1" x14ac:dyDescent="0.15">
      <c r="A231" s="6">
        <v>225</v>
      </c>
      <c r="B231" s="18" t="s">
        <v>75</v>
      </c>
      <c r="C231" s="34" t="s">
        <v>57</v>
      </c>
      <c r="D231" s="15" t="s">
        <v>773</v>
      </c>
      <c r="E231" s="2" t="s">
        <v>143</v>
      </c>
      <c r="F231" s="19">
        <v>15199</v>
      </c>
      <c r="G231" s="6"/>
      <c r="H231" s="6" t="s">
        <v>774</v>
      </c>
      <c r="I231" s="2"/>
      <c r="J231" s="6"/>
      <c r="K231" s="6"/>
      <c r="L231" s="38"/>
      <c r="M231" s="6" t="s">
        <v>266</v>
      </c>
      <c r="N231" s="114">
        <v>10</v>
      </c>
      <c r="O231" s="38">
        <v>-32768</v>
      </c>
      <c r="P231" s="38">
        <v>32767</v>
      </c>
      <c r="Q231" s="38">
        <v>-3276.8</v>
      </c>
      <c r="R231" s="38">
        <v>3276.7</v>
      </c>
      <c r="S231" s="34"/>
      <c r="T231" s="2"/>
      <c r="U231" s="34"/>
      <c r="V231" s="34"/>
      <c r="W231" s="77" t="s">
        <v>775</v>
      </c>
      <c r="X231" s="34"/>
      <c r="Y231" s="2"/>
      <c r="Z231"/>
      <c r="AD231"/>
      <c r="AE231"/>
      <c r="AF231"/>
      <c r="AG231"/>
    </row>
    <row r="232" spans="1:33" ht="16.149999999999999" customHeight="1" x14ac:dyDescent="0.15">
      <c r="A232" s="6">
        <v>226</v>
      </c>
      <c r="B232" s="18" t="s">
        <v>75</v>
      </c>
      <c r="C232" s="34" t="s">
        <v>57</v>
      </c>
      <c r="D232" s="15" t="s">
        <v>7228</v>
      </c>
      <c r="E232" s="2" t="s">
        <v>143</v>
      </c>
      <c r="F232" s="19">
        <v>15200</v>
      </c>
      <c r="G232" s="6"/>
      <c r="H232" s="6" t="s">
        <v>8102</v>
      </c>
      <c r="I232" s="2"/>
      <c r="J232" s="6"/>
      <c r="K232" s="6"/>
      <c r="L232" s="38"/>
      <c r="M232" s="6" t="s">
        <v>266</v>
      </c>
      <c r="N232" s="114">
        <v>10</v>
      </c>
      <c r="O232" s="38">
        <v>-32768</v>
      </c>
      <c r="P232" s="38">
        <v>32767</v>
      </c>
      <c r="Q232" s="38">
        <v>-3276.8</v>
      </c>
      <c r="R232" s="38">
        <v>3276.7</v>
      </c>
      <c r="S232" s="34"/>
      <c r="T232" s="2"/>
      <c r="U232" s="34"/>
      <c r="V232" s="34"/>
      <c r="W232" s="77" t="s">
        <v>8257</v>
      </c>
      <c r="X232" s="34"/>
      <c r="Y232" s="2"/>
      <c r="Z232"/>
      <c r="AD232"/>
      <c r="AE232"/>
      <c r="AF232"/>
      <c r="AG232"/>
    </row>
    <row r="233" spans="1:33" ht="16.149999999999999" customHeight="1" x14ac:dyDescent="0.15">
      <c r="A233" s="6">
        <v>227</v>
      </c>
      <c r="B233" s="18" t="s">
        <v>75</v>
      </c>
      <c r="C233" s="34" t="s">
        <v>57</v>
      </c>
      <c r="D233" s="15" t="s">
        <v>776</v>
      </c>
      <c r="E233" s="2" t="s">
        <v>143</v>
      </c>
      <c r="F233" s="19">
        <v>15201</v>
      </c>
      <c r="G233" s="6"/>
      <c r="H233" s="6" t="s">
        <v>777</v>
      </c>
      <c r="I233" s="2"/>
      <c r="J233" s="6"/>
      <c r="K233" s="6"/>
      <c r="L233" s="38"/>
      <c r="M233" s="6" t="s">
        <v>266</v>
      </c>
      <c r="N233" s="114">
        <v>10</v>
      </c>
      <c r="O233" s="38">
        <v>-32768</v>
      </c>
      <c r="P233" s="38">
        <v>32767</v>
      </c>
      <c r="Q233" s="38">
        <v>-3276.8</v>
      </c>
      <c r="R233" s="38">
        <v>3276.7</v>
      </c>
      <c r="S233" s="34"/>
      <c r="T233" s="2"/>
      <c r="U233" s="34"/>
      <c r="V233" s="34"/>
      <c r="W233" s="77" t="s">
        <v>778</v>
      </c>
      <c r="X233" s="34"/>
      <c r="Y233" s="2"/>
      <c r="Z233"/>
      <c r="AD233"/>
      <c r="AE233"/>
      <c r="AF233"/>
      <c r="AG233"/>
    </row>
    <row r="234" spans="1:33" ht="16.149999999999999" customHeight="1" x14ac:dyDescent="0.15">
      <c r="A234" s="6">
        <v>228</v>
      </c>
      <c r="B234" s="18" t="s">
        <v>75</v>
      </c>
      <c r="C234" s="34" t="s">
        <v>57</v>
      </c>
      <c r="D234" s="15" t="s">
        <v>7229</v>
      </c>
      <c r="E234" s="2" t="s">
        <v>143</v>
      </c>
      <c r="F234" s="19">
        <v>15202</v>
      </c>
      <c r="G234" s="6"/>
      <c r="H234" s="6" t="s">
        <v>8103</v>
      </c>
      <c r="I234" s="2"/>
      <c r="J234" s="6"/>
      <c r="K234" s="6"/>
      <c r="L234" s="38"/>
      <c r="M234" s="6" t="s">
        <v>266</v>
      </c>
      <c r="N234" s="114">
        <v>10</v>
      </c>
      <c r="O234" s="38">
        <v>-32768</v>
      </c>
      <c r="P234" s="38">
        <v>32767</v>
      </c>
      <c r="Q234" s="38">
        <v>-3276.8</v>
      </c>
      <c r="R234" s="38">
        <v>3276.7</v>
      </c>
      <c r="S234" s="34"/>
      <c r="T234" s="2"/>
      <c r="U234" s="34"/>
      <c r="V234" s="34"/>
      <c r="W234" s="77" t="s">
        <v>8258</v>
      </c>
      <c r="X234" s="34"/>
      <c r="Y234" s="2"/>
      <c r="Z234"/>
      <c r="AD234"/>
      <c r="AE234"/>
      <c r="AF234"/>
      <c r="AG234"/>
    </row>
    <row r="235" spans="1:33" ht="16.149999999999999" customHeight="1" x14ac:dyDescent="0.15">
      <c r="A235" s="6">
        <v>229</v>
      </c>
      <c r="B235" s="18" t="s">
        <v>75</v>
      </c>
      <c r="C235" s="34" t="s">
        <v>57</v>
      </c>
      <c r="D235" s="15" t="s">
        <v>779</v>
      </c>
      <c r="E235" s="2" t="s">
        <v>59</v>
      </c>
      <c r="F235" s="19">
        <v>15203</v>
      </c>
      <c r="G235" s="6"/>
      <c r="H235" s="6" t="s">
        <v>780</v>
      </c>
      <c r="I235" s="2"/>
      <c r="J235" s="6"/>
      <c r="K235" s="6"/>
      <c r="L235" s="38"/>
      <c r="M235" s="6" t="s">
        <v>781</v>
      </c>
      <c r="N235" s="114">
        <v>100</v>
      </c>
      <c r="O235" s="38">
        <v>0</v>
      </c>
      <c r="P235" s="38">
        <v>4294967295</v>
      </c>
      <c r="Q235" s="38">
        <v>0</v>
      </c>
      <c r="R235" s="38">
        <v>42949672.950000003</v>
      </c>
      <c r="S235" s="34"/>
      <c r="T235" s="2"/>
      <c r="U235" s="34"/>
      <c r="V235" s="34"/>
      <c r="W235" s="77" t="s">
        <v>782</v>
      </c>
      <c r="X235" s="34"/>
      <c r="Y235" s="2"/>
      <c r="Z235"/>
      <c r="AD235"/>
      <c r="AE235"/>
      <c r="AF235"/>
      <c r="AG235"/>
    </row>
    <row r="236" spans="1:33" ht="16.149999999999999" customHeight="1" x14ac:dyDescent="0.15">
      <c r="A236" s="6">
        <v>230</v>
      </c>
      <c r="B236" s="18" t="s">
        <v>75</v>
      </c>
      <c r="C236" s="34" t="s">
        <v>57</v>
      </c>
      <c r="D236" s="15" t="s">
        <v>783</v>
      </c>
      <c r="E236" s="2" t="s">
        <v>59</v>
      </c>
      <c r="F236" s="19">
        <v>15205</v>
      </c>
      <c r="G236" s="6"/>
      <c r="H236" s="6" t="s">
        <v>784</v>
      </c>
      <c r="I236" s="2"/>
      <c r="J236" s="6"/>
      <c r="K236" s="6"/>
      <c r="L236" s="38"/>
      <c r="M236" s="6" t="s">
        <v>781</v>
      </c>
      <c r="N236" s="114">
        <v>100</v>
      </c>
      <c r="O236" s="38">
        <v>0</v>
      </c>
      <c r="P236" s="38">
        <v>4294967295</v>
      </c>
      <c r="Q236" s="38">
        <v>0</v>
      </c>
      <c r="R236" s="38">
        <v>42949672.950000003</v>
      </c>
      <c r="S236" s="34"/>
      <c r="T236" s="2"/>
      <c r="U236" s="34"/>
      <c r="V236" s="34"/>
      <c r="W236" s="77" t="s">
        <v>785</v>
      </c>
      <c r="X236" s="34"/>
      <c r="Y236" s="2"/>
      <c r="Z236"/>
      <c r="AD236"/>
      <c r="AE236"/>
      <c r="AF236"/>
      <c r="AG236"/>
    </row>
    <row r="237" spans="1:33" ht="16.149999999999999" customHeight="1" x14ac:dyDescent="0.15">
      <c r="A237" s="6">
        <v>231</v>
      </c>
      <c r="B237" s="18" t="s">
        <v>75</v>
      </c>
      <c r="C237" s="34" t="s">
        <v>57</v>
      </c>
      <c r="D237" s="15" t="s">
        <v>786</v>
      </c>
      <c r="E237" s="2" t="s">
        <v>219</v>
      </c>
      <c r="F237" s="19">
        <v>15207</v>
      </c>
      <c r="G237" s="6"/>
      <c r="H237" s="6" t="s">
        <v>787</v>
      </c>
      <c r="I237" s="2"/>
      <c r="J237" s="6"/>
      <c r="K237" s="6"/>
      <c r="L237" s="38"/>
      <c r="M237" s="6" t="s">
        <v>61</v>
      </c>
      <c r="N237" s="114"/>
      <c r="O237" s="38" t="s">
        <v>62</v>
      </c>
      <c r="P237" s="38" t="s">
        <v>62</v>
      </c>
      <c r="Q237" s="38" t="s">
        <v>62</v>
      </c>
      <c r="R237" s="38" t="s">
        <v>62</v>
      </c>
      <c r="S237" s="34"/>
      <c r="T237" s="2"/>
      <c r="U237" s="34"/>
      <c r="V237" s="34"/>
      <c r="W237" s="77" t="s">
        <v>788</v>
      </c>
      <c r="X237" s="34"/>
      <c r="Y237" s="2"/>
      <c r="Z237"/>
      <c r="AD237"/>
      <c r="AE237"/>
      <c r="AF237"/>
      <c r="AG237"/>
    </row>
    <row r="238" spans="1:33" ht="16.149999999999999" customHeight="1" x14ac:dyDescent="0.15">
      <c r="A238" s="6">
        <v>232</v>
      </c>
      <c r="B238" s="18" t="s">
        <v>75</v>
      </c>
      <c r="C238" s="34" t="s">
        <v>57</v>
      </c>
      <c r="D238" s="43" t="s">
        <v>789</v>
      </c>
      <c r="E238" s="77" t="s">
        <v>169</v>
      </c>
      <c r="F238" s="19">
        <v>15207</v>
      </c>
      <c r="G238" s="6">
        <v>0</v>
      </c>
      <c r="H238" s="6" t="s">
        <v>790</v>
      </c>
      <c r="I238" s="2"/>
      <c r="J238" s="6" t="s">
        <v>196</v>
      </c>
      <c r="K238" s="6" t="s">
        <v>222</v>
      </c>
      <c r="L238" s="38" t="s">
        <v>224</v>
      </c>
      <c r="M238" s="6"/>
      <c r="N238" s="113"/>
      <c r="O238" s="45" t="s">
        <v>62</v>
      </c>
      <c r="P238" s="2" t="s">
        <v>62</v>
      </c>
      <c r="Q238" s="38" t="s">
        <v>62</v>
      </c>
      <c r="R238" s="36" t="s">
        <v>62</v>
      </c>
      <c r="S238" s="34"/>
      <c r="T238" s="2"/>
      <c r="U238" s="34"/>
      <c r="V238" s="33"/>
      <c r="W238" s="33" t="s">
        <v>791</v>
      </c>
      <c r="X238" s="33"/>
      <c r="Y238" s="33"/>
      <c r="Z238"/>
      <c r="AD238"/>
      <c r="AE238"/>
      <c r="AF238"/>
      <c r="AG238"/>
    </row>
    <row r="239" spans="1:33" ht="16.149999999999999" customHeight="1" x14ac:dyDescent="0.15">
      <c r="A239" s="6">
        <v>233</v>
      </c>
      <c r="B239" s="18" t="s">
        <v>75</v>
      </c>
      <c r="C239" s="34" t="s">
        <v>57</v>
      </c>
      <c r="D239" s="43" t="s">
        <v>792</v>
      </c>
      <c r="E239" s="77" t="s">
        <v>169</v>
      </c>
      <c r="F239" s="19">
        <v>15207</v>
      </c>
      <c r="G239" s="6">
        <v>1</v>
      </c>
      <c r="H239" s="6" t="s">
        <v>793</v>
      </c>
      <c r="I239" s="2"/>
      <c r="J239" s="6" t="s">
        <v>196</v>
      </c>
      <c r="K239" s="6" t="s">
        <v>226</v>
      </c>
      <c r="L239" s="38" t="s">
        <v>228</v>
      </c>
      <c r="M239" s="6"/>
      <c r="N239" s="113"/>
      <c r="O239" s="45" t="s">
        <v>62</v>
      </c>
      <c r="P239" s="2" t="s">
        <v>62</v>
      </c>
      <c r="Q239" s="38" t="s">
        <v>62</v>
      </c>
      <c r="R239" s="36" t="s">
        <v>62</v>
      </c>
      <c r="S239" s="34"/>
      <c r="T239" s="2"/>
      <c r="U239" s="34"/>
      <c r="V239" s="33"/>
      <c r="W239" s="33" t="s">
        <v>794</v>
      </c>
      <c r="X239" s="33"/>
      <c r="Y239" s="33"/>
      <c r="Z239"/>
      <c r="AD239"/>
      <c r="AE239"/>
      <c r="AF239"/>
      <c r="AG239"/>
    </row>
    <row r="240" spans="1:33" ht="16.149999999999999" customHeight="1" x14ac:dyDescent="0.15">
      <c r="A240" s="6">
        <v>234</v>
      </c>
      <c r="B240" s="18" t="s">
        <v>75</v>
      </c>
      <c r="C240" s="34" t="s">
        <v>57</v>
      </c>
      <c r="D240" s="43" t="s">
        <v>795</v>
      </c>
      <c r="E240" s="77" t="s">
        <v>169</v>
      </c>
      <c r="F240" s="19">
        <v>15207</v>
      </c>
      <c r="G240" s="6">
        <v>2</v>
      </c>
      <c r="H240" s="6" t="s">
        <v>796</v>
      </c>
      <c r="I240" s="2"/>
      <c r="J240" s="6" t="s">
        <v>196</v>
      </c>
      <c r="K240" s="6" t="s">
        <v>797</v>
      </c>
      <c r="L240" s="38" t="s">
        <v>798</v>
      </c>
      <c r="M240" s="6"/>
      <c r="N240" s="113"/>
      <c r="O240" s="45" t="s">
        <v>62</v>
      </c>
      <c r="P240" s="2" t="s">
        <v>62</v>
      </c>
      <c r="Q240" s="38" t="s">
        <v>62</v>
      </c>
      <c r="R240" s="36" t="s">
        <v>62</v>
      </c>
      <c r="S240" s="34"/>
      <c r="T240" s="2"/>
      <c r="U240" s="34"/>
      <c r="V240" s="33"/>
      <c r="W240" s="33" t="s">
        <v>799</v>
      </c>
      <c r="X240" s="33"/>
      <c r="Y240" s="33"/>
      <c r="Z240"/>
      <c r="AD240"/>
      <c r="AE240"/>
      <c r="AF240"/>
      <c r="AG240"/>
    </row>
    <row r="241" spans="1:33" ht="16.149999999999999" customHeight="1" x14ac:dyDescent="0.15">
      <c r="A241" s="6">
        <v>235</v>
      </c>
      <c r="B241" s="18" t="s">
        <v>75</v>
      </c>
      <c r="C241" s="34" t="s">
        <v>57</v>
      </c>
      <c r="D241" s="43" t="s">
        <v>7230</v>
      </c>
      <c r="E241" s="77" t="s">
        <v>169</v>
      </c>
      <c r="F241" s="19">
        <v>15207</v>
      </c>
      <c r="G241" s="6">
        <v>3</v>
      </c>
      <c r="H241" s="6" t="s">
        <v>801</v>
      </c>
      <c r="I241" s="2"/>
      <c r="J241" s="6" t="s">
        <v>196</v>
      </c>
      <c r="K241" s="6" t="s">
        <v>226</v>
      </c>
      <c r="L241" s="38" t="s">
        <v>228</v>
      </c>
      <c r="M241" s="6"/>
      <c r="N241" s="113"/>
      <c r="O241" s="45" t="s">
        <v>62</v>
      </c>
      <c r="P241" s="2" t="s">
        <v>62</v>
      </c>
      <c r="Q241" s="38" t="s">
        <v>62</v>
      </c>
      <c r="R241" s="36" t="s">
        <v>62</v>
      </c>
      <c r="S241" s="34"/>
      <c r="T241" s="2"/>
      <c r="U241" s="34"/>
      <c r="V241" s="33"/>
      <c r="W241" s="33" t="s">
        <v>8259</v>
      </c>
      <c r="X241" s="33"/>
      <c r="Y241" s="33"/>
      <c r="Z241"/>
      <c r="AD241"/>
      <c r="AE241"/>
      <c r="AF241"/>
      <c r="AG241"/>
    </row>
    <row r="242" spans="1:33" ht="16.149999999999999" customHeight="1" x14ac:dyDescent="0.15">
      <c r="A242" s="6">
        <v>236</v>
      </c>
      <c r="B242" s="18" t="s">
        <v>75</v>
      </c>
      <c r="C242" s="34" t="s">
        <v>57</v>
      </c>
      <c r="D242" s="43" t="s">
        <v>803</v>
      </c>
      <c r="E242" s="77" t="s">
        <v>169</v>
      </c>
      <c r="F242" s="19">
        <v>15207</v>
      </c>
      <c r="G242" s="6">
        <v>4</v>
      </c>
      <c r="H242" s="6" t="s">
        <v>804</v>
      </c>
      <c r="I242" s="2"/>
      <c r="J242" s="6" t="s">
        <v>196</v>
      </c>
      <c r="K242" s="6" t="s">
        <v>797</v>
      </c>
      <c r="L242" s="38" t="s">
        <v>798</v>
      </c>
      <c r="M242" s="6"/>
      <c r="N242" s="113"/>
      <c r="O242" s="45" t="s">
        <v>62</v>
      </c>
      <c r="P242" s="2" t="s">
        <v>62</v>
      </c>
      <c r="Q242" s="38" t="s">
        <v>62</v>
      </c>
      <c r="R242" s="36" t="s">
        <v>62</v>
      </c>
      <c r="S242" s="34"/>
      <c r="T242" s="2"/>
      <c r="U242" s="34"/>
      <c r="V242" s="33"/>
      <c r="W242" s="33" t="s">
        <v>805</v>
      </c>
      <c r="X242" s="33"/>
      <c r="Y242" s="33"/>
      <c r="Z242"/>
      <c r="AD242"/>
      <c r="AE242"/>
      <c r="AF242"/>
      <c r="AG242"/>
    </row>
    <row r="243" spans="1:33" ht="16.149999999999999" customHeight="1" x14ac:dyDescent="0.15">
      <c r="A243" s="6">
        <v>237</v>
      </c>
      <c r="B243" s="18" t="s">
        <v>75</v>
      </c>
      <c r="C243" s="34" t="s">
        <v>57</v>
      </c>
      <c r="D243" s="43" t="s">
        <v>806</v>
      </c>
      <c r="E243" s="77" t="s">
        <v>169</v>
      </c>
      <c r="F243" s="19">
        <v>15207</v>
      </c>
      <c r="G243" s="6">
        <v>5</v>
      </c>
      <c r="H243" s="6" t="s">
        <v>807</v>
      </c>
      <c r="I243" s="2"/>
      <c r="J243" s="6" t="s">
        <v>171</v>
      </c>
      <c r="K243" s="6" t="s">
        <v>177</v>
      </c>
      <c r="L243" s="38" t="s">
        <v>173</v>
      </c>
      <c r="M243" s="6"/>
      <c r="N243" s="113"/>
      <c r="O243" s="45" t="s">
        <v>62</v>
      </c>
      <c r="P243" s="2" t="s">
        <v>62</v>
      </c>
      <c r="Q243" s="38" t="s">
        <v>62</v>
      </c>
      <c r="R243" s="36" t="s">
        <v>62</v>
      </c>
      <c r="S243" s="34"/>
      <c r="T243" s="2"/>
      <c r="U243" s="34"/>
      <c r="V243" s="33"/>
      <c r="W243" s="33" t="s">
        <v>808</v>
      </c>
      <c r="X243" s="33"/>
      <c r="Y243" s="33"/>
      <c r="Z243"/>
      <c r="AD243"/>
      <c r="AE243"/>
      <c r="AF243"/>
      <c r="AG243"/>
    </row>
    <row r="244" spans="1:33" ht="16.149999999999999" customHeight="1" x14ac:dyDescent="0.15">
      <c r="A244" s="6">
        <v>238</v>
      </c>
      <c r="B244" s="18" t="s">
        <v>75</v>
      </c>
      <c r="C244" s="34" t="s">
        <v>57</v>
      </c>
      <c r="D244" s="43" t="s">
        <v>809</v>
      </c>
      <c r="E244" s="77" t="s">
        <v>169</v>
      </c>
      <c r="F244" s="19">
        <v>15207</v>
      </c>
      <c r="G244" s="6">
        <v>6</v>
      </c>
      <c r="H244" s="6" t="s">
        <v>810</v>
      </c>
      <c r="I244" s="2"/>
      <c r="J244" s="6" t="s">
        <v>196</v>
      </c>
      <c r="K244" s="6" t="s">
        <v>811</v>
      </c>
      <c r="L244" s="38" t="s">
        <v>812</v>
      </c>
      <c r="M244" s="2"/>
      <c r="N244" s="113"/>
      <c r="O244" s="45" t="s">
        <v>62</v>
      </c>
      <c r="P244" s="2" t="s">
        <v>62</v>
      </c>
      <c r="Q244" s="38" t="s">
        <v>62</v>
      </c>
      <c r="R244" s="36" t="s">
        <v>62</v>
      </c>
      <c r="S244" s="34"/>
      <c r="T244" s="2"/>
      <c r="U244" s="34"/>
      <c r="V244" s="33"/>
      <c r="W244" s="33" t="s">
        <v>813</v>
      </c>
      <c r="X244" s="33"/>
      <c r="Y244" s="33"/>
      <c r="Z244"/>
      <c r="AD244"/>
      <c r="AE244"/>
      <c r="AF244"/>
      <c r="AG244"/>
    </row>
    <row r="245" spans="1:33" ht="16.149999999999999" customHeight="1" x14ac:dyDescent="0.15">
      <c r="A245" s="6">
        <v>239</v>
      </c>
      <c r="B245" s="18" t="s">
        <v>75</v>
      </c>
      <c r="C245" s="34" t="s">
        <v>57</v>
      </c>
      <c r="D245" s="43" t="s">
        <v>814</v>
      </c>
      <c r="E245" s="77" t="s">
        <v>169</v>
      </c>
      <c r="F245" s="19">
        <v>15207</v>
      </c>
      <c r="G245" s="6">
        <v>7</v>
      </c>
      <c r="H245" s="6" t="s">
        <v>815</v>
      </c>
      <c r="I245" s="2"/>
      <c r="J245" s="6" t="s">
        <v>196</v>
      </c>
      <c r="K245" s="6" t="s">
        <v>816</v>
      </c>
      <c r="L245" s="38" t="s">
        <v>817</v>
      </c>
      <c r="M245" s="2"/>
      <c r="N245" s="113"/>
      <c r="O245" s="45" t="s">
        <v>62</v>
      </c>
      <c r="P245" s="2" t="s">
        <v>62</v>
      </c>
      <c r="Q245" s="38" t="s">
        <v>62</v>
      </c>
      <c r="R245" s="36" t="s">
        <v>62</v>
      </c>
      <c r="S245" s="34"/>
      <c r="T245" s="2"/>
      <c r="U245" s="34"/>
      <c r="V245" s="33"/>
      <c r="W245" s="33" t="s">
        <v>818</v>
      </c>
      <c r="X245" s="33"/>
      <c r="Y245" s="33"/>
      <c r="Z245"/>
      <c r="AD245"/>
      <c r="AE245"/>
      <c r="AF245"/>
      <c r="AG245"/>
    </row>
    <row r="246" spans="1:33" ht="16.149999999999999" customHeight="1" x14ac:dyDescent="0.15">
      <c r="A246" s="6">
        <v>240</v>
      </c>
      <c r="B246" s="18" t="s">
        <v>75</v>
      </c>
      <c r="C246" s="34" t="s">
        <v>57</v>
      </c>
      <c r="D246" s="43" t="s">
        <v>819</v>
      </c>
      <c r="E246" s="77" t="s">
        <v>169</v>
      </c>
      <c r="F246" s="19">
        <v>15207</v>
      </c>
      <c r="G246" s="6">
        <v>9</v>
      </c>
      <c r="H246" s="6" t="s">
        <v>820</v>
      </c>
      <c r="I246" s="2"/>
      <c r="J246" s="6" t="s">
        <v>171</v>
      </c>
      <c r="K246" s="6" t="s">
        <v>177</v>
      </c>
      <c r="L246" s="38" t="s">
        <v>173</v>
      </c>
      <c r="M246" s="2"/>
      <c r="N246" s="113"/>
      <c r="O246" s="45" t="s">
        <v>62</v>
      </c>
      <c r="P246" s="2" t="s">
        <v>62</v>
      </c>
      <c r="Q246" s="38" t="s">
        <v>62</v>
      </c>
      <c r="R246" s="36" t="s">
        <v>62</v>
      </c>
      <c r="S246" s="34"/>
      <c r="T246" s="2"/>
      <c r="U246" s="34"/>
      <c r="V246" s="33"/>
      <c r="W246" s="33" t="s">
        <v>821</v>
      </c>
      <c r="X246" s="33"/>
      <c r="Y246" s="33"/>
      <c r="Z246"/>
      <c r="AD246"/>
      <c r="AE246"/>
      <c r="AF246"/>
      <c r="AG246"/>
    </row>
    <row r="247" spans="1:33" ht="16.149999999999999" customHeight="1" x14ac:dyDescent="0.15">
      <c r="A247" s="6">
        <v>241</v>
      </c>
      <c r="B247" s="18" t="s">
        <v>75</v>
      </c>
      <c r="C247" s="34" t="s">
        <v>57</v>
      </c>
      <c r="D247" s="43" t="s">
        <v>822</v>
      </c>
      <c r="E247" s="77" t="s">
        <v>169</v>
      </c>
      <c r="F247" s="19">
        <v>15207</v>
      </c>
      <c r="G247" s="6">
        <v>10</v>
      </c>
      <c r="H247" s="6" t="s">
        <v>823</v>
      </c>
      <c r="I247" s="2"/>
      <c r="J247" s="6" t="s">
        <v>171</v>
      </c>
      <c r="K247" s="6" t="s">
        <v>177</v>
      </c>
      <c r="L247" s="38" t="s">
        <v>173</v>
      </c>
      <c r="M247" s="2"/>
      <c r="N247" s="113"/>
      <c r="O247" s="45" t="s">
        <v>62</v>
      </c>
      <c r="P247" s="2" t="s">
        <v>62</v>
      </c>
      <c r="Q247" s="38" t="s">
        <v>62</v>
      </c>
      <c r="R247" s="36" t="s">
        <v>62</v>
      </c>
      <c r="S247" s="34"/>
      <c r="T247" s="2"/>
      <c r="U247" s="34"/>
      <c r="V247" s="33"/>
      <c r="W247" s="33" t="s">
        <v>824</v>
      </c>
      <c r="X247" s="33"/>
      <c r="Y247" s="33"/>
      <c r="Z247"/>
      <c r="AD247"/>
      <c r="AE247"/>
      <c r="AF247"/>
      <c r="AG247"/>
    </row>
    <row r="248" spans="1:33" ht="16.149999999999999" customHeight="1" x14ac:dyDescent="0.15">
      <c r="A248" s="6">
        <v>242</v>
      </c>
      <c r="B248" s="18" t="s">
        <v>75</v>
      </c>
      <c r="C248" s="34" t="s">
        <v>57</v>
      </c>
      <c r="D248" s="43" t="s">
        <v>825</v>
      </c>
      <c r="E248" s="77" t="s">
        <v>169</v>
      </c>
      <c r="F248" s="19">
        <v>15207</v>
      </c>
      <c r="G248" s="6">
        <v>11</v>
      </c>
      <c r="H248" s="6" t="s">
        <v>826</v>
      </c>
      <c r="I248" s="2"/>
      <c r="J248" s="6" t="s">
        <v>171</v>
      </c>
      <c r="K248" s="6" t="s">
        <v>177</v>
      </c>
      <c r="L248" s="38" t="s">
        <v>173</v>
      </c>
      <c r="M248" s="2"/>
      <c r="N248" s="113"/>
      <c r="O248" s="45" t="s">
        <v>62</v>
      </c>
      <c r="P248" s="2" t="s">
        <v>62</v>
      </c>
      <c r="Q248" s="38" t="s">
        <v>62</v>
      </c>
      <c r="R248" s="36" t="s">
        <v>62</v>
      </c>
      <c r="S248" s="34"/>
      <c r="T248" s="2"/>
      <c r="U248" s="34"/>
      <c r="V248" s="33"/>
      <c r="W248" s="33" t="s">
        <v>827</v>
      </c>
      <c r="X248" s="33"/>
      <c r="Y248" s="33"/>
      <c r="Z248"/>
      <c r="AD248"/>
      <c r="AE248"/>
      <c r="AF248"/>
      <c r="AG248"/>
    </row>
    <row r="249" spans="1:33" ht="16.149999999999999" customHeight="1" x14ac:dyDescent="0.15">
      <c r="A249" s="6">
        <v>243</v>
      </c>
      <c r="B249" s="18" t="s">
        <v>75</v>
      </c>
      <c r="C249" s="34" t="s">
        <v>57</v>
      </c>
      <c r="D249" s="43" t="s">
        <v>828</v>
      </c>
      <c r="E249" s="77" t="s">
        <v>169</v>
      </c>
      <c r="F249" s="19">
        <v>15207</v>
      </c>
      <c r="G249" s="6">
        <v>13</v>
      </c>
      <c r="H249" s="6" t="s">
        <v>829</v>
      </c>
      <c r="I249" s="2"/>
      <c r="J249" s="6" t="s">
        <v>171</v>
      </c>
      <c r="K249" s="6" t="s">
        <v>177</v>
      </c>
      <c r="L249" s="38" t="s">
        <v>173</v>
      </c>
      <c r="M249" s="2"/>
      <c r="N249" s="113"/>
      <c r="O249" s="45" t="s">
        <v>62</v>
      </c>
      <c r="P249" s="2" t="s">
        <v>62</v>
      </c>
      <c r="Q249" s="38" t="s">
        <v>62</v>
      </c>
      <c r="R249" s="36" t="s">
        <v>62</v>
      </c>
      <c r="S249" s="34"/>
      <c r="T249" s="2"/>
      <c r="U249" s="34"/>
      <c r="V249" s="33"/>
      <c r="W249" s="33" t="s">
        <v>830</v>
      </c>
      <c r="X249" s="33"/>
      <c r="Y249" s="33"/>
      <c r="Z249"/>
      <c r="AD249"/>
      <c r="AE249"/>
      <c r="AF249"/>
      <c r="AG249"/>
    </row>
    <row r="250" spans="1:33" ht="16.149999999999999" customHeight="1" x14ac:dyDescent="0.15">
      <c r="A250" s="6">
        <v>244</v>
      </c>
      <c r="B250" s="18" t="s">
        <v>75</v>
      </c>
      <c r="C250" s="34" t="s">
        <v>57</v>
      </c>
      <c r="D250" s="43" t="s">
        <v>831</v>
      </c>
      <c r="E250" s="77" t="s">
        <v>169</v>
      </c>
      <c r="F250" s="19">
        <v>15207</v>
      </c>
      <c r="G250" s="6">
        <v>17</v>
      </c>
      <c r="H250" s="6" t="s">
        <v>832</v>
      </c>
      <c r="I250" s="2"/>
      <c r="J250" s="6" t="s">
        <v>196</v>
      </c>
      <c r="K250" s="6" t="s">
        <v>222</v>
      </c>
      <c r="L250" s="38" t="s">
        <v>224</v>
      </c>
      <c r="M250" s="2"/>
      <c r="N250" s="113"/>
      <c r="O250" s="45" t="s">
        <v>62</v>
      </c>
      <c r="P250" s="2" t="s">
        <v>62</v>
      </c>
      <c r="Q250" s="38" t="s">
        <v>62</v>
      </c>
      <c r="R250" s="36" t="s">
        <v>62</v>
      </c>
      <c r="S250" s="34"/>
      <c r="T250" s="2"/>
      <c r="U250" s="34"/>
      <c r="V250" s="33"/>
      <c r="W250" s="33" t="s">
        <v>833</v>
      </c>
      <c r="X250" s="33"/>
      <c r="Y250" s="33"/>
      <c r="Z250"/>
      <c r="AD250"/>
      <c r="AE250"/>
      <c r="AF250"/>
      <c r="AG250"/>
    </row>
    <row r="251" spans="1:33" ht="16.149999999999999" customHeight="1" x14ac:dyDescent="0.15">
      <c r="A251" s="6">
        <v>245</v>
      </c>
      <c r="B251" s="18" t="s">
        <v>75</v>
      </c>
      <c r="C251" s="34" t="s">
        <v>57</v>
      </c>
      <c r="D251" s="43" t="s">
        <v>834</v>
      </c>
      <c r="E251" s="77" t="s">
        <v>169</v>
      </c>
      <c r="F251" s="19">
        <v>15207</v>
      </c>
      <c r="G251" s="6">
        <v>18</v>
      </c>
      <c r="H251" s="6" t="s">
        <v>835</v>
      </c>
      <c r="I251" s="2"/>
      <c r="J251" s="6" t="s">
        <v>196</v>
      </c>
      <c r="K251" s="6" t="s">
        <v>226</v>
      </c>
      <c r="L251" s="38" t="s">
        <v>228</v>
      </c>
      <c r="M251" s="2"/>
      <c r="N251" s="113"/>
      <c r="O251" s="45" t="s">
        <v>62</v>
      </c>
      <c r="P251" s="2" t="s">
        <v>62</v>
      </c>
      <c r="Q251" s="38" t="s">
        <v>62</v>
      </c>
      <c r="R251" s="36" t="s">
        <v>62</v>
      </c>
      <c r="S251" s="34"/>
      <c r="T251" s="2"/>
      <c r="U251" s="34"/>
      <c r="V251" s="33"/>
      <c r="W251" s="33" t="s">
        <v>836</v>
      </c>
      <c r="X251" s="33"/>
      <c r="Y251" s="33"/>
      <c r="Z251"/>
      <c r="AD251"/>
      <c r="AE251"/>
      <c r="AF251"/>
      <c r="AG251"/>
    </row>
    <row r="252" spans="1:33" ht="16.149999999999999" customHeight="1" x14ac:dyDescent="0.15">
      <c r="A252" s="6">
        <v>246</v>
      </c>
      <c r="B252" s="18" t="s">
        <v>75</v>
      </c>
      <c r="C252" s="34" t="s">
        <v>57</v>
      </c>
      <c r="D252" s="43" t="s">
        <v>837</v>
      </c>
      <c r="E252" s="77" t="s">
        <v>169</v>
      </c>
      <c r="F252" s="19">
        <v>15207</v>
      </c>
      <c r="G252" s="6">
        <v>19</v>
      </c>
      <c r="H252" s="6" t="s">
        <v>838</v>
      </c>
      <c r="I252" s="2"/>
      <c r="J252" s="6" t="s">
        <v>171</v>
      </c>
      <c r="K252" s="6" t="s">
        <v>839</v>
      </c>
      <c r="L252" s="38" t="s">
        <v>840</v>
      </c>
      <c r="M252" s="2"/>
      <c r="N252" s="113"/>
      <c r="O252" s="45" t="s">
        <v>62</v>
      </c>
      <c r="P252" s="2" t="s">
        <v>62</v>
      </c>
      <c r="Q252" s="38" t="s">
        <v>62</v>
      </c>
      <c r="R252" s="36" t="s">
        <v>62</v>
      </c>
      <c r="S252" s="34"/>
      <c r="T252" s="2"/>
      <c r="U252" s="34"/>
      <c r="V252" s="33"/>
      <c r="W252" s="33" t="s">
        <v>841</v>
      </c>
      <c r="X252" s="33"/>
      <c r="Y252" s="33"/>
      <c r="Z252"/>
      <c r="AD252"/>
      <c r="AE252"/>
      <c r="AF252"/>
      <c r="AG252"/>
    </row>
    <row r="253" spans="1:33" ht="16.149999999999999" customHeight="1" x14ac:dyDescent="0.15">
      <c r="A253" s="6">
        <v>247</v>
      </c>
      <c r="B253" s="18" t="s">
        <v>75</v>
      </c>
      <c r="C253" s="34" t="s">
        <v>57</v>
      </c>
      <c r="D253" s="43" t="s">
        <v>7231</v>
      </c>
      <c r="E253" s="77" t="s">
        <v>169</v>
      </c>
      <c r="F253" s="19">
        <v>15207</v>
      </c>
      <c r="G253" s="6">
        <v>20</v>
      </c>
      <c r="H253" s="6" t="s">
        <v>8104</v>
      </c>
      <c r="I253" s="2"/>
      <c r="J253" s="6" t="s">
        <v>171</v>
      </c>
      <c r="K253" s="6" t="s">
        <v>177</v>
      </c>
      <c r="L253" s="38" t="s">
        <v>173</v>
      </c>
      <c r="M253" s="6"/>
      <c r="N253" s="113"/>
      <c r="O253" s="45" t="s">
        <v>62</v>
      </c>
      <c r="P253" s="2" t="s">
        <v>62</v>
      </c>
      <c r="Q253" s="38" t="s">
        <v>62</v>
      </c>
      <c r="R253" s="36" t="s">
        <v>62</v>
      </c>
      <c r="S253" s="34"/>
      <c r="T253" s="2"/>
      <c r="U253" s="34"/>
      <c r="V253" s="33"/>
      <c r="W253" s="33" t="s">
        <v>8260</v>
      </c>
      <c r="X253" s="33"/>
      <c r="Y253" s="33"/>
      <c r="Z253"/>
      <c r="AD253"/>
      <c r="AE253"/>
      <c r="AF253"/>
      <c r="AG253"/>
    </row>
    <row r="254" spans="1:33" ht="16.149999999999999" customHeight="1" x14ac:dyDescent="0.15">
      <c r="A254" s="6">
        <v>248</v>
      </c>
      <c r="B254" s="18" t="s">
        <v>75</v>
      </c>
      <c r="C254" s="34" t="s">
        <v>57</v>
      </c>
      <c r="D254" s="15" t="s">
        <v>842</v>
      </c>
      <c r="E254" s="2" t="s">
        <v>219</v>
      </c>
      <c r="F254" s="19">
        <v>15209</v>
      </c>
      <c r="G254" s="6"/>
      <c r="H254" s="6" t="s">
        <v>843</v>
      </c>
      <c r="I254" s="2"/>
      <c r="J254" s="6"/>
      <c r="K254" s="6"/>
      <c r="L254" s="38"/>
      <c r="M254" s="6" t="s">
        <v>61</v>
      </c>
      <c r="N254" s="114"/>
      <c r="O254" s="38" t="s">
        <v>62</v>
      </c>
      <c r="P254" s="38" t="s">
        <v>62</v>
      </c>
      <c r="Q254" s="38" t="s">
        <v>62</v>
      </c>
      <c r="R254" s="38" t="s">
        <v>62</v>
      </c>
      <c r="S254" s="34"/>
      <c r="T254" s="2"/>
      <c r="U254" s="34"/>
      <c r="V254" s="34"/>
      <c r="W254" s="77" t="s">
        <v>844</v>
      </c>
      <c r="X254" s="34"/>
      <c r="Y254" s="2"/>
      <c r="Z254"/>
      <c r="AD254"/>
      <c r="AE254"/>
      <c r="AF254"/>
      <c r="AG254"/>
    </row>
    <row r="255" spans="1:33" ht="16.149999999999999" customHeight="1" x14ac:dyDescent="0.15">
      <c r="A255" s="6">
        <v>249</v>
      </c>
      <c r="B255" s="18" t="s">
        <v>75</v>
      </c>
      <c r="C255" s="34" t="s">
        <v>57</v>
      </c>
      <c r="D255" s="43" t="s">
        <v>845</v>
      </c>
      <c r="E255" s="77" t="s">
        <v>169</v>
      </c>
      <c r="F255" s="19">
        <v>15209</v>
      </c>
      <c r="G255" s="6">
        <v>0</v>
      </c>
      <c r="H255" s="6" t="s">
        <v>846</v>
      </c>
      <c r="I255" s="2"/>
      <c r="J255" s="6" t="s">
        <v>171</v>
      </c>
      <c r="K255" s="6" t="s">
        <v>177</v>
      </c>
      <c r="L255" s="38" t="s">
        <v>173</v>
      </c>
      <c r="M255" s="6"/>
      <c r="N255" s="113"/>
      <c r="O255" s="45" t="s">
        <v>62</v>
      </c>
      <c r="P255" s="2" t="s">
        <v>62</v>
      </c>
      <c r="Q255" s="38" t="s">
        <v>62</v>
      </c>
      <c r="R255" s="36" t="s">
        <v>62</v>
      </c>
      <c r="S255" s="34"/>
      <c r="T255" s="2"/>
      <c r="U255" s="34"/>
      <c r="V255" s="33"/>
      <c r="W255" s="33" t="s">
        <v>847</v>
      </c>
      <c r="X255" s="33"/>
      <c r="Y255" s="33"/>
      <c r="Z255"/>
      <c r="AD255"/>
      <c r="AE255"/>
      <c r="AF255"/>
      <c r="AG255"/>
    </row>
    <row r="256" spans="1:33" ht="16.149999999999999" customHeight="1" x14ac:dyDescent="0.15">
      <c r="A256" s="6">
        <v>250</v>
      </c>
      <c r="B256" s="18" t="s">
        <v>75</v>
      </c>
      <c r="C256" s="34" t="s">
        <v>57</v>
      </c>
      <c r="D256" s="43" t="s">
        <v>848</v>
      </c>
      <c r="E256" s="77" t="s">
        <v>169</v>
      </c>
      <c r="F256" s="19">
        <v>15209</v>
      </c>
      <c r="G256" s="6">
        <v>1</v>
      </c>
      <c r="H256" s="6" t="s">
        <v>849</v>
      </c>
      <c r="I256" s="2"/>
      <c r="J256" s="6" t="s">
        <v>171</v>
      </c>
      <c r="K256" s="6" t="s">
        <v>177</v>
      </c>
      <c r="L256" s="38" t="s">
        <v>173</v>
      </c>
      <c r="M256" s="6"/>
      <c r="N256" s="113"/>
      <c r="O256" s="45" t="s">
        <v>62</v>
      </c>
      <c r="P256" s="2" t="s">
        <v>62</v>
      </c>
      <c r="Q256" s="38" t="s">
        <v>62</v>
      </c>
      <c r="R256" s="36" t="s">
        <v>62</v>
      </c>
      <c r="S256" s="34"/>
      <c r="T256" s="2"/>
      <c r="U256" s="34"/>
      <c r="V256" s="33"/>
      <c r="W256" s="33" t="s">
        <v>850</v>
      </c>
      <c r="X256" s="33"/>
      <c r="Y256" s="33"/>
      <c r="Z256"/>
      <c r="AD256"/>
      <c r="AE256"/>
      <c r="AF256"/>
      <c r="AG256"/>
    </row>
    <row r="257" spans="1:33" ht="16.149999999999999" customHeight="1" x14ac:dyDescent="0.15">
      <c r="A257" s="6">
        <v>251</v>
      </c>
      <c r="B257" s="18" t="s">
        <v>75</v>
      </c>
      <c r="C257" s="34" t="s">
        <v>57</v>
      </c>
      <c r="D257" s="43" t="s">
        <v>851</v>
      </c>
      <c r="E257" s="77" t="s">
        <v>169</v>
      </c>
      <c r="F257" s="19">
        <v>15209</v>
      </c>
      <c r="G257" s="6">
        <v>2</v>
      </c>
      <c r="H257" s="6" t="s">
        <v>852</v>
      </c>
      <c r="I257" s="2"/>
      <c r="J257" s="6" t="s">
        <v>171</v>
      </c>
      <c r="K257" s="6" t="s">
        <v>177</v>
      </c>
      <c r="L257" s="38" t="s">
        <v>173</v>
      </c>
      <c r="M257" s="2"/>
      <c r="N257" s="113"/>
      <c r="O257" s="45" t="s">
        <v>62</v>
      </c>
      <c r="P257" s="2" t="s">
        <v>62</v>
      </c>
      <c r="Q257" s="38" t="s">
        <v>62</v>
      </c>
      <c r="R257" s="36" t="s">
        <v>62</v>
      </c>
      <c r="S257" s="34"/>
      <c r="T257" s="2"/>
      <c r="U257" s="34"/>
      <c r="V257" s="33"/>
      <c r="W257" s="33" t="s">
        <v>853</v>
      </c>
      <c r="X257" s="33"/>
      <c r="Y257" s="33"/>
      <c r="Z257"/>
      <c r="AD257"/>
      <c r="AE257"/>
      <c r="AF257"/>
      <c r="AG257"/>
    </row>
    <row r="258" spans="1:33" ht="16.149999999999999" customHeight="1" x14ac:dyDescent="0.15">
      <c r="A258" s="6">
        <v>252</v>
      </c>
      <c r="B258" s="18" t="s">
        <v>75</v>
      </c>
      <c r="C258" s="34" t="s">
        <v>57</v>
      </c>
      <c r="D258" s="43" t="s">
        <v>854</v>
      </c>
      <c r="E258" s="77" t="s">
        <v>169</v>
      </c>
      <c r="F258" s="19">
        <v>15209</v>
      </c>
      <c r="G258" s="6">
        <v>3</v>
      </c>
      <c r="H258" s="6" t="s">
        <v>855</v>
      </c>
      <c r="I258" s="2"/>
      <c r="J258" s="6" t="s">
        <v>171</v>
      </c>
      <c r="K258" s="6" t="s">
        <v>177</v>
      </c>
      <c r="L258" s="38" t="s">
        <v>173</v>
      </c>
      <c r="M258" s="2"/>
      <c r="N258" s="113"/>
      <c r="O258" s="45" t="s">
        <v>62</v>
      </c>
      <c r="P258" s="2" t="s">
        <v>62</v>
      </c>
      <c r="Q258" s="38" t="s">
        <v>62</v>
      </c>
      <c r="R258" s="36" t="s">
        <v>62</v>
      </c>
      <c r="S258" s="34"/>
      <c r="T258" s="2"/>
      <c r="U258" s="34"/>
      <c r="V258" s="33"/>
      <c r="W258" s="33" t="s">
        <v>856</v>
      </c>
      <c r="X258" s="33"/>
      <c r="Y258" s="33"/>
      <c r="Z258"/>
      <c r="AD258"/>
      <c r="AE258"/>
      <c r="AF258"/>
      <c r="AG258"/>
    </row>
    <row r="259" spans="1:33" ht="16.149999999999999" customHeight="1" x14ac:dyDescent="0.15">
      <c r="A259" s="6">
        <v>253</v>
      </c>
      <c r="B259" s="18" t="s">
        <v>75</v>
      </c>
      <c r="C259" s="34" t="s">
        <v>57</v>
      </c>
      <c r="D259" s="43" t="s">
        <v>7216</v>
      </c>
      <c r="E259" s="77" t="s">
        <v>169</v>
      </c>
      <c r="F259" s="19">
        <v>15209</v>
      </c>
      <c r="G259" s="6">
        <v>4</v>
      </c>
      <c r="H259" s="6" t="s">
        <v>8105</v>
      </c>
      <c r="I259" s="2"/>
      <c r="J259" s="6" t="s">
        <v>171</v>
      </c>
      <c r="K259" s="6" t="s">
        <v>177</v>
      </c>
      <c r="L259" s="38" t="s">
        <v>173</v>
      </c>
      <c r="M259" s="2"/>
      <c r="N259" s="113"/>
      <c r="O259" s="45" t="s">
        <v>62</v>
      </c>
      <c r="P259" s="2" t="s">
        <v>62</v>
      </c>
      <c r="Q259" s="38" t="s">
        <v>62</v>
      </c>
      <c r="R259" s="36" t="s">
        <v>62</v>
      </c>
      <c r="S259" s="34"/>
      <c r="T259" s="2"/>
      <c r="U259" s="34"/>
      <c r="V259" s="33"/>
      <c r="W259" s="33" t="s">
        <v>8261</v>
      </c>
      <c r="X259" s="33"/>
      <c r="Y259" s="33"/>
      <c r="Z259"/>
      <c r="AD259"/>
      <c r="AE259"/>
      <c r="AF259"/>
      <c r="AG259"/>
    </row>
    <row r="260" spans="1:33" ht="16.149999999999999" customHeight="1" x14ac:dyDescent="0.15">
      <c r="A260" s="6">
        <v>254</v>
      </c>
      <c r="B260" s="18" t="s">
        <v>75</v>
      </c>
      <c r="C260" s="34" t="s">
        <v>57</v>
      </c>
      <c r="D260" s="43" t="s">
        <v>7232</v>
      </c>
      <c r="E260" s="77" t="s">
        <v>169</v>
      </c>
      <c r="F260" s="19">
        <v>15209</v>
      </c>
      <c r="G260" s="6">
        <v>5</v>
      </c>
      <c r="H260" s="6" t="s">
        <v>8106</v>
      </c>
      <c r="I260" s="2"/>
      <c r="J260" s="6" t="s">
        <v>171</v>
      </c>
      <c r="K260" s="6" t="s">
        <v>177</v>
      </c>
      <c r="L260" s="38" t="s">
        <v>173</v>
      </c>
      <c r="M260" s="2"/>
      <c r="N260" s="113"/>
      <c r="O260" s="45" t="s">
        <v>62</v>
      </c>
      <c r="P260" s="2" t="s">
        <v>62</v>
      </c>
      <c r="Q260" s="38" t="s">
        <v>62</v>
      </c>
      <c r="R260" s="36" t="s">
        <v>62</v>
      </c>
      <c r="S260" s="34"/>
      <c r="T260" s="2"/>
      <c r="U260" s="34"/>
      <c r="V260" s="33"/>
      <c r="W260" s="33" t="s">
        <v>8262</v>
      </c>
      <c r="X260" s="33"/>
      <c r="Y260" s="33"/>
      <c r="Z260"/>
      <c r="AD260"/>
      <c r="AE260"/>
      <c r="AF260"/>
      <c r="AG260"/>
    </row>
    <row r="261" spans="1:33" ht="16.149999999999999" customHeight="1" x14ac:dyDescent="0.15">
      <c r="A261" s="6">
        <v>255</v>
      </c>
      <c r="B261" s="18" t="s">
        <v>75</v>
      </c>
      <c r="C261" s="34" t="s">
        <v>57</v>
      </c>
      <c r="D261" s="43" t="s">
        <v>857</v>
      </c>
      <c r="E261" s="77" t="s">
        <v>169</v>
      </c>
      <c r="F261" s="19">
        <v>15209</v>
      </c>
      <c r="G261" s="6">
        <v>6</v>
      </c>
      <c r="H261" s="6" t="s">
        <v>858</v>
      </c>
      <c r="I261" s="2"/>
      <c r="J261" s="6" t="s">
        <v>171</v>
      </c>
      <c r="K261" s="6" t="s">
        <v>177</v>
      </c>
      <c r="L261" s="38" t="s">
        <v>173</v>
      </c>
      <c r="M261" s="2"/>
      <c r="N261" s="113"/>
      <c r="O261" s="45" t="s">
        <v>62</v>
      </c>
      <c r="P261" s="2" t="s">
        <v>62</v>
      </c>
      <c r="Q261" s="38" t="s">
        <v>62</v>
      </c>
      <c r="R261" s="36" t="s">
        <v>62</v>
      </c>
      <c r="S261" s="34"/>
      <c r="T261" s="2"/>
      <c r="U261" s="34"/>
      <c r="V261" s="33"/>
      <c r="W261" s="33" t="s">
        <v>859</v>
      </c>
      <c r="X261" s="33"/>
      <c r="Y261" s="33"/>
      <c r="Z261"/>
      <c r="AD261"/>
      <c r="AE261"/>
      <c r="AF261"/>
      <c r="AG261"/>
    </row>
    <row r="262" spans="1:33" ht="16.149999999999999" customHeight="1" x14ac:dyDescent="0.15">
      <c r="A262" s="6">
        <v>256</v>
      </c>
      <c r="B262" s="18" t="s">
        <v>75</v>
      </c>
      <c r="C262" s="34" t="s">
        <v>57</v>
      </c>
      <c r="D262" s="43" t="s">
        <v>674</v>
      </c>
      <c r="E262" s="77" t="s">
        <v>169</v>
      </c>
      <c r="F262" s="19">
        <v>15209</v>
      </c>
      <c r="G262" s="6">
        <v>7</v>
      </c>
      <c r="H262" s="6" t="s">
        <v>860</v>
      </c>
      <c r="I262" s="2"/>
      <c r="J262" s="6" t="s">
        <v>171</v>
      </c>
      <c r="K262" s="6" t="s">
        <v>177</v>
      </c>
      <c r="L262" s="38" t="s">
        <v>173</v>
      </c>
      <c r="M262" s="2"/>
      <c r="N262" s="113"/>
      <c r="O262" s="45" t="s">
        <v>62</v>
      </c>
      <c r="P262" s="2" t="s">
        <v>62</v>
      </c>
      <c r="Q262" s="38" t="s">
        <v>62</v>
      </c>
      <c r="R262" s="36" t="s">
        <v>62</v>
      </c>
      <c r="S262" s="34"/>
      <c r="T262" s="2"/>
      <c r="U262" s="34"/>
      <c r="V262" s="33"/>
      <c r="W262" s="33" t="s">
        <v>861</v>
      </c>
      <c r="X262" s="33"/>
      <c r="Y262" s="33"/>
      <c r="Z262"/>
      <c r="AD262"/>
      <c r="AE262"/>
      <c r="AF262"/>
      <c r="AG262"/>
    </row>
    <row r="263" spans="1:33" ht="16.149999999999999" customHeight="1" x14ac:dyDescent="0.15">
      <c r="A263" s="6">
        <v>257</v>
      </c>
      <c r="B263" s="18" t="s">
        <v>75</v>
      </c>
      <c r="C263" s="34" t="s">
        <v>57</v>
      </c>
      <c r="D263" s="43" t="s">
        <v>653</v>
      </c>
      <c r="E263" s="77" t="s">
        <v>169</v>
      </c>
      <c r="F263" s="19">
        <v>15209</v>
      </c>
      <c r="G263" s="6">
        <v>8</v>
      </c>
      <c r="H263" s="6" t="s">
        <v>862</v>
      </c>
      <c r="I263" s="2"/>
      <c r="J263" s="6" t="s">
        <v>171</v>
      </c>
      <c r="K263" s="6" t="s">
        <v>177</v>
      </c>
      <c r="L263" s="38" t="s">
        <v>173</v>
      </c>
      <c r="M263" s="2"/>
      <c r="N263" s="113"/>
      <c r="O263" s="45" t="s">
        <v>62</v>
      </c>
      <c r="P263" s="2" t="s">
        <v>62</v>
      </c>
      <c r="Q263" s="38" t="s">
        <v>62</v>
      </c>
      <c r="R263" s="36" t="s">
        <v>62</v>
      </c>
      <c r="S263" s="34"/>
      <c r="T263" s="2"/>
      <c r="U263" s="34"/>
      <c r="V263" s="33"/>
      <c r="W263" s="33" t="s">
        <v>863</v>
      </c>
      <c r="X263" s="33"/>
      <c r="Y263" s="33"/>
      <c r="Z263"/>
      <c r="AD263"/>
      <c r="AE263"/>
      <c r="AF263"/>
      <c r="AG263"/>
    </row>
    <row r="264" spans="1:33" ht="16.149999999999999" customHeight="1" x14ac:dyDescent="0.15">
      <c r="A264" s="6">
        <v>258</v>
      </c>
      <c r="B264" s="18" t="s">
        <v>75</v>
      </c>
      <c r="C264" s="34" t="s">
        <v>57</v>
      </c>
      <c r="D264" s="43" t="s">
        <v>7233</v>
      </c>
      <c r="E264" s="77" t="s">
        <v>169</v>
      </c>
      <c r="F264" s="19">
        <v>15209</v>
      </c>
      <c r="G264" s="6">
        <v>9</v>
      </c>
      <c r="H264" s="6" t="s">
        <v>8107</v>
      </c>
      <c r="I264" s="2"/>
      <c r="J264" s="6" t="s">
        <v>171</v>
      </c>
      <c r="K264" s="6" t="s">
        <v>177</v>
      </c>
      <c r="L264" s="38" t="s">
        <v>173</v>
      </c>
      <c r="M264" s="2"/>
      <c r="N264" s="113"/>
      <c r="O264" s="45" t="s">
        <v>62</v>
      </c>
      <c r="P264" s="2" t="s">
        <v>62</v>
      </c>
      <c r="Q264" s="38" t="s">
        <v>62</v>
      </c>
      <c r="R264" s="36" t="s">
        <v>62</v>
      </c>
      <c r="S264" s="34"/>
      <c r="T264" s="2"/>
      <c r="U264" s="34"/>
      <c r="V264" s="33"/>
      <c r="W264" s="33" t="s">
        <v>8263</v>
      </c>
      <c r="X264" s="33"/>
      <c r="Y264" s="33"/>
      <c r="Z264"/>
      <c r="AD264"/>
      <c r="AE264"/>
      <c r="AF264"/>
      <c r="AG264"/>
    </row>
    <row r="265" spans="1:33" ht="16.149999999999999" customHeight="1" x14ac:dyDescent="0.15">
      <c r="A265" s="6">
        <v>259</v>
      </c>
      <c r="B265" s="18" t="s">
        <v>75</v>
      </c>
      <c r="C265" s="34" t="s">
        <v>57</v>
      </c>
      <c r="D265" s="43" t="s">
        <v>7234</v>
      </c>
      <c r="E265" s="77" t="s">
        <v>169</v>
      </c>
      <c r="F265" s="19">
        <v>15209</v>
      </c>
      <c r="G265" s="6">
        <v>10</v>
      </c>
      <c r="H265" s="6" t="s">
        <v>8108</v>
      </c>
      <c r="I265" s="2"/>
      <c r="J265" s="6" t="s">
        <v>171</v>
      </c>
      <c r="K265" s="6" t="s">
        <v>177</v>
      </c>
      <c r="L265" s="38" t="s">
        <v>173</v>
      </c>
      <c r="M265" s="2"/>
      <c r="N265" s="113"/>
      <c r="O265" s="45" t="s">
        <v>62</v>
      </c>
      <c r="P265" s="2" t="s">
        <v>62</v>
      </c>
      <c r="Q265" s="38" t="s">
        <v>62</v>
      </c>
      <c r="R265" s="36" t="s">
        <v>62</v>
      </c>
      <c r="S265" s="34"/>
      <c r="T265" s="2"/>
      <c r="U265" s="34"/>
      <c r="V265" s="33"/>
      <c r="W265" s="33" t="s">
        <v>8264</v>
      </c>
      <c r="X265" s="33"/>
      <c r="Y265" s="33"/>
      <c r="Z265"/>
      <c r="AD265"/>
      <c r="AE265"/>
      <c r="AF265"/>
      <c r="AG265"/>
    </row>
    <row r="266" spans="1:33" ht="16.149999999999999" customHeight="1" x14ac:dyDescent="0.15">
      <c r="A266" s="6">
        <v>260</v>
      </c>
      <c r="B266" s="18" t="s">
        <v>75</v>
      </c>
      <c r="C266" s="34" t="s">
        <v>57</v>
      </c>
      <c r="D266" s="43" t="s">
        <v>7235</v>
      </c>
      <c r="E266" s="77" t="s">
        <v>169</v>
      </c>
      <c r="F266" s="19">
        <v>15209</v>
      </c>
      <c r="G266" s="6">
        <v>11</v>
      </c>
      <c r="H266" s="6" t="s">
        <v>8109</v>
      </c>
      <c r="I266" s="2"/>
      <c r="J266" s="6" t="s">
        <v>171</v>
      </c>
      <c r="K266" s="6" t="s">
        <v>177</v>
      </c>
      <c r="L266" s="38" t="s">
        <v>173</v>
      </c>
      <c r="M266" s="2"/>
      <c r="N266" s="113"/>
      <c r="O266" s="45" t="s">
        <v>62</v>
      </c>
      <c r="P266" s="2" t="s">
        <v>62</v>
      </c>
      <c r="Q266" s="38" t="s">
        <v>62</v>
      </c>
      <c r="R266" s="36" t="s">
        <v>62</v>
      </c>
      <c r="S266" s="34"/>
      <c r="T266" s="2"/>
      <c r="U266" s="34"/>
      <c r="V266" s="33"/>
      <c r="W266" s="33" t="s">
        <v>8265</v>
      </c>
      <c r="X266" s="33"/>
      <c r="Y266" s="33"/>
      <c r="Z266"/>
      <c r="AD266"/>
      <c r="AE266"/>
      <c r="AF266"/>
      <c r="AG266"/>
    </row>
    <row r="267" spans="1:33" ht="16.149999999999999" customHeight="1" x14ac:dyDescent="0.15">
      <c r="A267" s="6">
        <v>261</v>
      </c>
      <c r="B267" s="18" t="s">
        <v>75</v>
      </c>
      <c r="C267" s="34" t="s">
        <v>57</v>
      </c>
      <c r="D267" s="43" t="s">
        <v>683</v>
      </c>
      <c r="E267" s="77" t="s">
        <v>169</v>
      </c>
      <c r="F267" s="19">
        <v>15209</v>
      </c>
      <c r="G267" s="6">
        <v>12</v>
      </c>
      <c r="H267" s="6" t="s">
        <v>864</v>
      </c>
      <c r="I267" s="2"/>
      <c r="J267" s="6" t="s">
        <v>171</v>
      </c>
      <c r="K267" s="6" t="s">
        <v>177</v>
      </c>
      <c r="L267" s="38" t="s">
        <v>173</v>
      </c>
      <c r="M267" s="2"/>
      <c r="N267" s="113"/>
      <c r="O267" s="45" t="s">
        <v>62</v>
      </c>
      <c r="P267" s="2" t="s">
        <v>62</v>
      </c>
      <c r="Q267" s="38" t="s">
        <v>62</v>
      </c>
      <c r="R267" s="36" t="s">
        <v>62</v>
      </c>
      <c r="S267" s="34"/>
      <c r="T267" s="2"/>
      <c r="U267" s="34"/>
      <c r="V267" s="33"/>
      <c r="W267" s="33" t="s">
        <v>865</v>
      </c>
      <c r="X267" s="33"/>
      <c r="Y267" s="33"/>
      <c r="Z267"/>
      <c r="AD267"/>
      <c r="AE267"/>
      <c r="AF267"/>
      <c r="AG267"/>
    </row>
    <row r="268" spans="1:33" ht="16.149999999999999" customHeight="1" x14ac:dyDescent="0.15">
      <c r="A268" s="6">
        <v>262</v>
      </c>
      <c r="B268" s="18" t="s">
        <v>75</v>
      </c>
      <c r="C268" s="34" t="s">
        <v>57</v>
      </c>
      <c r="D268" s="43" t="s">
        <v>866</v>
      </c>
      <c r="E268" s="77" t="s">
        <v>169</v>
      </c>
      <c r="F268" s="19">
        <v>15209</v>
      </c>
      <c r="G268" s="6">
        <v>13</v>
      </c>
      <c r="H268" s="6" t="s">
        <v>867</v>
      </c>
      <c r="I268" s="2"/>
      <c r="J268" s="6" t="s">
        <v>171</v>
      </c>
      <c r="K268" s="6" t="s">
        <v>177</v>
      </c>
      <c r="L268" s="38" t="s">
        <v>173</v>
      </c>
      <c r="M268" s="2"/>
      <c r="N268" s="113"/>
      <c r="O268" s="45" t="s">
        <v>62</v>
      </c>
      <c r="P268" s="2" t="s">
        <v>62</v>
      </c>
      <c r="Q268" s="38" t="s">
        <v>62</v>
      </c>
      <c r="R268" s="36" t="s">
        <v>62</v>
      </c>
      <c r="S268" s="34"/>
      <c r="T268" s="2"/>
      <c r="U268" s="34"/>
      <c r="V268" s="33"/>
      <c r="W268" s="33" t="s">
        <v>868</v>
      </c>
      <c r="X268" s="33"/>
      <c r="Y268" s="33"/>
      <c r="Z268"/>
      <c r="AD268"/>
      <c r="AE268"/>
      <c r="AF268"/>
      <c r="AG268"/>
    </row>
    <row r="269" spans="1:33" ht="16.149999999999999" customHeight="1" x14ac:dyDescent="0.15">
      <c r="A269" s="6">
        <v>263</v>
      </c>
      <c r="B269" s="18" t="s">
        <v>75</v>
      </c>
      <c r="C269" s="34" t="s">
        <v>57</v>
      </c>
      <c r="D269" s="43" t="s">
        <v>617</v>
      </c>
      <c r="E269" s="77" t="s">
        <v>169</v>
      </c>
      <c r="F269" s="19">
        <v>15209</v>
      </c>
      <c r="G269" s="6">
        <v>14</v>
      </c>
      <c r="H269" s="6" t="s">
        <v>869</v>
      </c>
      <c r="I269" s="2"/>
      <c r="J269" s="6" t="s">
        <v>171</v>
      </c>
      <c r="K269" s="6" t="s">
        <v>177</v>
      </c>
      <c r="L269" s="38" t="s">
        <v>173</v>
      </c>
      <c r="M269" s="2"/>
      <c r="N269" s="113"/>
      <c r="O269" s="45" t="s">
        <v>62</v>
      </c>
      <c r="P269" s="2" t="s">
        <v>62</v>
      </c>
      <c r="Q269" s="38" t="s">
        <v>62</v>
      </c>
      <c r="R269" s="36" t="s">
        <v>62</v>
      </c>
      <c r="S269" s="34"/>
      <c r="T269" s="2"/>
      <c r="U269" s="34"/>
      <c r="V269" s="33"/>
      <c r="W269" s="33" t="s">
        <v>870</v>
      </c>
      <c r="X269" s="33"/>
      <c r="Y269" s="33"/>
      <c r="Z269"/>
      <c r="AD269"/>
      <c r="AE269"/>
      <c r="AF269"/>
      <c r="AG269"/>
    </row>
    <row r="270" spans="1:33" ht="16.149999999999999" customHeight="1" x14ac:dyDescent="0.15">
      <c r="A270" s="6">
        <v>264</v>
      </c>
      <c r="B270" s="18" t="s">
        <v>75</v>
      </c>
      <c r="C270" s="34" t="s">
        <v>57</v>
      </c>
      <c r="D270" s="43" t="s">
        <v>7236</v>
      </c>
      <c r="E270" s="77" t="s">
        <v>169</v>
      </c>
      <c r="F270" s="19">
        <v>15209</v>
      </c>
      <c r="G270" s="6">
        <v>15</v>
      </c>
      <c r="H270" s="6" t="s">
        <v>8110</v>
      </c>
      <c r="I270" s="2"/>
      <c r="J270" s="6" t="s">
        <v>171</v>
      </c>
      <c r="K270" s="6" t="s">
        <v>177</v>
      </c>
      <c r="L270" s="38" t="s">
        <v>173</v>
      </c>
      <c r="M270" s="2"/>
      <c r="N270" s="113"/>
      <c r="O270" s="45" t="s">
        <v>62</v>
      </c>
      <c r="P270" s="2" t="s">
        <v>62</v>
      </c>
      <c r="Q270" s="38" t="s">
        <v>62</v>
      </c>
      <c r="R270" s="36" t="s">
        <v>62</v>
      </c>
      <c r="S270" s="34"/>
      <c r="T270" s="2"/>
      <c r="U270" s="34"/>
      <c r="V270" s="33"/>
      <c r="W270" s="33" t="s">
        <v>8266</v>
      </c>
      <c r="X270" s="33"/>
      <c r="Y270" s="33"/>
      <c r="Z270"/>
      <c r="AD270"/>
      <c r="AE270"/>
      <c r="AF270"/>
      <c r="AG270"/>
    </row>
    <row r="271" spans="1:33" ht="16.149999999999999" customHeight="1" x14ac:dyDescent="0.15">
      <c r="A271" s="6">
        <v>265</v>
      </c>
      <c r="B271" s="18" t="s">
        <v>75</v>
      </c>
      <c r="C271" s="34" t="s">
        <v>57</v>
      </c>
      <c r="D271" s="43" t="s">
        <v>871</v>
      </c>
      <c r="E271" s="77" t="s">
        <v>169</v>
      </c>
      <c r="F271" s="19">
        <v>15209</v>
      </c>
      <c r="G271" s="6">
        <v>16</v>
      </c>
      <c r="H271" s="6" t="s">
        <v>872</v>
      </c>
      <c r="I271" s="2"/>
      <c r="J271" s="6" t="s">
        <v>171</v>
      </c>
      <c r="K271" s="6" t="s">
        <v>177</v>
      </c>
      <c r="L271" s="38" t="s">
        <v>173</v>
      </c>
      <c r="M271" s="2"/>
      <c r="N271" s="113"/>
      <c r="O271" s="45" t="s">
        <v>62</v>
      </c>
      <c r="P271" s="2" t="s">
        <v>62</v>
      </c>
      <c r="Q271" s="38" t="s">
        <v>62</v>
      </c>
      <c r="R271" s="36" t="s">
        <v>62</v>
      </c>
      <c r="S271" s="34"/>
      <c r="T271" s="2"/>
      <c r="U271" s="34"/>
      <c r="V271" s="33"/>
      <c r="W271" s="33" t="s">
        <v>873</v>
      </c>
      <c r="X271" s="33"/>
      <c r="Y271" s="33"/>
      <c r="Z271"/>
      <c r="AD271"/>
      <c r="AE271"/>
      <c r="AF271"/>
      <c r="AG271"/>
    </row>
    <row r="272" spans="1:33" ht="16.149999999999999" customHeight="1" x14ac:dyDescent="0.15">
      <c r="A272" s="6">
        <v>266</v>
      </c>
      <c r="B272" s="18" t="s">
        <v>75</v>
      </c>
      <c r="C272" s="34" t="s">
        <v>57</v>
      </c>
      <c r="D272" s="43" t="s">
        <v>874</v>
      </c>
      <c r="E272" s="77" t="s">
        <v>169</v>
      </c>
      <c r="F272" s="19">
        <v>15209</v>
      </c>
      <c r="G272" s="6">
        <v>17</v>
      </c>
      <c r="H272" s="6" t="s">
        <v>875</v>
      </c>
      <c r="I272" s="2"/>
      <c r="J272" s="6" t="s">
        <v>171</v>
      </c>
      <c r="K272" s="6" t="s">
        <v>177</v>
      </c>
      <c r="L272" s="38" t="s">
        <v>173</v>
      </c>
      <c r="M272" s="2"/>
      <c r="N272" s="113"/>
      <c r="O272" s="45" t="s">
        <v>62</v>
      </c>
      <c r="P272" s="2" t="s">
        <v>62</v>
      </c>
      <c r="Q272" s="38" t="s">
        <v>62</v>
      </c>
      <c r="R272" s="36" t="s">
        <v>62</v>
      </c>
      <c r="S272" s="34"/>
      <c r="T272" s="2"/>
      <c r="U272" s="34"/>
      <c r="V272" s="33"/>
      <c r="W272" s="33" t="s">
        <v>876</v>
      </c>
      <c r="X272" s="33"/>
      <c r="Y272" s="33"/>
      <c r="Z272"/>
      <c r="AD272"/>
      <c r="AE272"/>
      <c r="AF272"/>
      <c r="AG272"/>
    </row>
    <row r="273" spans="1:33" ht="16.149999999999999" customHeight="1" x14ac:dyDescent="0.15">
      <c r="A273" s="6">
        <v>267</v>
      </c>
      <c r="B273" s="18" t="s">
        <v>75</v>
      </c>
      <c r="C273" s="34" t="s">
        <v>57</v>
      </c>
      <c r="D273" s="43" t="s">
        <v>7237</v>
      </c>
      <c r="E273" s="77" t="s">
        <v>169</v>
      </c>
      <c r="F273" s="19">
        <v>15209</v>
      </c>
      <c r="G273" s="6">
        <v>18</v>
      </c>
      <c r="H273" s="6" t="s">
        <v>8111</v>
      </c>
      <c r="I273" s="2"/>
      <c r="J273" s="6" t="s">
        <v>171</v>
      </c>
      <c r="K273" s="6" t="s">
        <v>177</v>
      </c>
      <c r="L273" s="38" t="s">
        <v>173</v>
      </c>
      <c r="M273" s="2"/>
      <c r="N273" s="113"/>
      <c r="O273" s="45" t="s">
        <v>62</v>
      </c>
      <c r="P273" s="2" t="s">
        <v>62</v>
      </c>
      <c r="Q273" s="38" t="s">
        <v>62</v>
      </c>
      <c r="R273" s="36" t="s">
        <v>62</v>
      </c>
      <c r="S273" s="34"/>
      <c r="T273" s="2"/>
      <c r="U273" s="34"/>
      <c r="V273" s="33"/>
      <c r="W273" s="33" t="s">
        <v>8267</v>
      </c>
      <c r="X273" s="33"/>
      <c r="Y273" s="33"/>
      <c r="Z273"/>
      <c r="AD273"/>
      <c r="AE273"/>
      <c r="AF273"/>
      <c r="AG273"/>
    </row>
    <row r="274" spans="1:33" ht="16.149999999999999" customHeight="1" x14ac:dyDescent="0.15">
      <c r="A274" s="6">
        <v>268</v>
      </c>
      <c r="B274" s="18" t="s">
        <v>75</v>
      </c>
      <c r="C274" s="34" t="s">
        <v>57</v>
      </c>
      <c r="D274" s="43" t="s">
        <v>877</v>
      </c>
      <c r="E274" s="77" t="s">
        <v>169</v>
      </c>
      <c r="F274" s="19">
        <v>15209</v>
      </c>
      <c r="G274" s="6">
        <v>19</v>
      </c>
      <c r="H274" s="6" t="s">
        <v>878</v>
      </c>
      <c r="I274" s="2"/>
      <c r="J274" s="6" t="s">
        <v>171</v>
      </c>
      <c r="K274" s="6" t="s">
        <v>177</v>
      </c>
      <c r="L274" s="38" t="s">
        <v>173</v>
      </c>
      <c r="M274" s="2"/>
      <c r="N274" s="113"/>
      <c r="O274" s="45" t="s">
        <v>62</v>
      </c>
      <c r="P274" s="2" t="s">
        <v>62</v>
      </c>
      <c r="Q274" s="38" t="s">
        <v>62</v>
      </c>
      <c r="R274" s="36" t="s">
        <v>62</v>
      </c>
      <c r="S274" s="34"/>
      <c r="T274" s="2"/>
      <c r="U274" s="34"/>
      <c r="V274" s="33"/>
      <c r="W274" s="33" t="s">
        <v>879</v>
      </c>
      <c r="X274" s="33"/>
      <c r="Y274" s="33"/>
      <c r="Z274"/>
      <c r="AD274"/>
      <c r="AE274"/>
      <c r="AF274"/>
      <c r="AG274"/>
    </row>
    <row r="275" spans="1:33" ht="16.149999999999999" customHeight="1" x14ac:dyDescent="0.15">
      <c r="A275" s="6">
        <v>269</v>
      </c>
      <c r="B275" s="18" t="s">
        <v>75</v>
      </c>
      <c r="C275" s="34" t="s">
        <v>57</v>
      </c>
      <c r="D275" s="43" t="s">
        <v>880</v>
      </c>
      <c r="E275" s="77" t="s">
        <v>169</v>
      </c>
      <c r="F275" s="19">
        <v>15209</v>
      </c>
      <c r="G275" s="6">
        <v>20</v>
      </c>
      <c r="H275" s="6" t="s">
        <v>881</v>
      </c>
      <c r="I275" s="2"/>
      <c r="J275" s="6" t="s">
        <v>171</v>
      </c>
      <c r="K275" s="6" t="s">
        <v>177</v>
      </c>
      <c r="L275" s="38" t="s">
        <v>173</v>
      </c>
      <c r="M275" s="2"/>
      <c r="N275" s="113"/>
      <c r="O275" s="45" t="s">
        <v>62</v>
      </c>
      <c r="P275" s="2" t="s">
        <v>62</v>
      </c>
      <c r="Q275" s="38" t="s">
        <v>62</v>
      </c>
      <c r="R275" s="36" t="s">
        <v>62</v>
      </c>
      <c r="S275" s="34"/>
      <c r="T275" s="2"/>
      <c r="U275" s="34"/>
      <c r="V275" s="33"/>
      <c r="W275" s="33" t="s">
        <v>882</v>
      </c>
      <c r="X275" s="33"/>
      <c r="Y275" s="33"/>
      <c r="Z275"/>
      <c r="AD275"/>
      <c r="AE275"/>
      <c r="AF275"/>
      <c r="AG275"/>
    </row>
    <row r="276" spans="1:33" ht="16.149999999999999" customHeight="1" x14ac:dyDescent="0.15">
      <c r="A276" s="6">
        <v>270</v>
      </c>
      <c r="B276" s="18" t="s">
        <v>75</v>
      </c>
      <c r="C276" s="34" t="s">
        <v>57</v>
      </c>
      <c r="D276" s="43" t="s">
        <v>722</v>
      </c>
      <c r="E276" s="77" t="s">
        <v>169</v>
      </c>
      <c r="F276" s="19">
        <v>15209</v>
      </c>
      <c r="G276" s="6">
        <v>21</v>
      </c>
      <c r="H276" s="6" t="s">
        <v>883</v>
      </c>
      <c r="I276" s="2"/>
      <c r="J276" s="6" t="s">
        <v>171</v>
      </c>
      <c r="K276" s="6" t="s">
        <v>177</v>
      </c>
      <c r="L276" s="38" t="s">
        <v>173</v>
      </c>
      <c r="M276" s="2"/>
      <c r="N276" s="113"/>
      <c r="O276" s="45" t="s">
        <v>62</v>
      </c>
      <c r="P276" s="2" t="s">
        <v>62</v>
      </c>
      <c r="Q276" s="38" t="s">
        <v>62</v>
      </c>
      <c r="R276" s="36" t="s">
        <v>62</v>
      </c>
      <c r="S276" s="34"/>
      <c r="T276" s="2"/>
      <c r="U276" s="34"/>
      <c r="V276" s="33"/>
      <c r="W276" s="33" t="s">
        <v>884</v>
      </c>
      <c r="X276" s="33"/>
      <c r="Y276" s="33"/>
      <c r="Z276"/>
      <c r="AD276"/>
      <c r="AE276"/>
      <c r="AF276"/>
      <c r="AG276"/>
    </row>
    <row r="277" spans="1:33" ht="16.149999999999999" customHeight="1" x14ac:dyDescent="0.15">
      <c r="A277" s="6">
        <v>271</v>
      </c>
      <c r="B277" s="18" t="s">
        <v>75</v>
      </c>
      <c r="C277" s="34" t="s">
        <v>57</v>
      </c>
      <c r="D277" s="43" t="s">
        <v>7238</v>
      </c>
      <c r="E277" s="77" t="s">
        <v>169</v>
      </c>
      <c r="F277" s="19">
        <v>15209</v>
      </c>
      <c r="G277" s="6">
        <v>22</v>
      </c>
      <c r="H277" s="6" t="s">
        <v>8112</v>
      </c>
      <c r="I277" s="2"/>
      <c r="J277" s="6" t="s">
        <v>171</v>
      </c>
      <c r="K277" s="6" t="s">
        <v>177</v>
      </c>
      <c r="L277" s="38" t="s">
        <v>173</v>
      </c>
      <c r="M277" s="2"/>
      <c r="N277" s="113"/>
      <c r="O277" s="45" t="s">
        <v>62</v>
      </c>
      <c r="P277" s="2" t="s">
        <v>62</v>
      </c>
      <c r="Q277" s="38" t="s">
        <v>62</v>
      </c>
      <c r="R277" s="36" t="s">
        <v>62</v>
      </c>
      <c r="S277" s="34"/>
      <c r="T277" s="2"/>
      <c r="U277" s="34"/>
      <c r="V277" s="33"/>
      <c r="W277" s="33" t="s">
        <v>8268</v>
      </c>
      <c r="X277" s="33"/>
      <c r="Y277" s="33"/>
      <c r="Z277"/>
      <c r="AD277"/>
      <c r="AE277"/>
      <c r="AF277"/>
      <c r="AG277"/>
    </row>
    <row r="278" spans="1:33" ht="16.149999999999999" customHeight="1" x14ac:dyDescent="0.15">
      <c r="A278" s="6">
        <v>272</v>
      </c>
      <c r="B278" s="18" t="s">
        <v>75</v>
      </c>
      <c r="C278" s="34" t="s">
        <v>57</v>
      </c>
      <c r="D278" s="43" t="s">
        <v>885</v>
      </c>
      <c r="E278" s="77" t="s">
        <v>169</v>
      </c>
      <c r="F278" s="19">
        <v>15209</v>
      </c>
      <c r="G278" s="6">
        <v>23</v>
      </c>
      <c r="H278" s="6" t="s">
        <v>886</v>
      </c>
      <c r="I278" s="2"/>
      <c r="J278" s="6" t="s">
        <v>171</v>
      </c>
      <c r="K278" s="6" t="s">
        <v>177</v>
      </c>
      <c r="L278" s="38" t="s">
        <v>173</v>
      </c>
      <c r="M278" s="2"/>
      <c r="N278" s="113"/>
      <c r="O278" s="45" t="s">
        <v>62</v>
      </c>
      <c r="P278" s="2" t="s">
        <v>62</v>
      </c>
      <c r="Q278" s="38" t="s">
        <v>62</v>
      </c>
      <c r="R278" s="36" t="s">
        <v>62</v>
      </c>
      <c r="S278" s="34"/>
      <c r="T278" s="2"/>
      <c r="U278" s="34"/>
      <c r="V278" s="33"/>
      <c r="W278" s="33" t="s">
        <v>887</v>
      </c>
      <c r="X278" s="33"/>
      <c r="Y278" s="33"/>
      <c r="Z278"/>
      <c r="AD278"/>
      <c r="AE278"/>
      <c r="AF278"/>
      <c r="AG278"/>
    </row>
    <row r="279" spans="1:33" ht="16.149999999999999" customHeight="1" x14ac:dyDescent="0.15">
      <c r="A279" s="6">
        <v>273</v>
      </c>
      <c r="B279" s="18" t="s">
        <v>75</v>
      </c>
      <c r="C279" s="34" t="s">
        <v>57</v>
      </c>
      <c r="D279" s="43" t="s">
        <v>888</v>
      </c>
      <c r="E279" s="77" t="s">
        <v>169</v>
      </c>
      <c r="F279" s="19">
        <v>15209</v>
      </c>
      <c r="G279" s="6">
        <v>24</v>
      </c>
      <c r="H279" s="6" t="s">
        <v>889</v>
      </c>
      <c r="I279" s="2"/>
      <c r="J279" s="6" t="s">
        <v>171</v>
      </c>
      <c r="K279" s="6" t="s">
        <v>177</v>
      </c>
      <c r="L279" s="38" t="s">
        <v>173</v>
      </c>
      <c r="M279" s="2"/>
      <c r="N279" s="113"/>
      <c r="O279" s="45" t="s">
        <v>62</v>
      </c>
      <c r="P279" s="2" t="s">
        <v>62</v>
      </c>
      <c r="Q279" s="38" t="s">
        <v>62</v>
      </c>
      <c r="R279" s="36" t="s">
        <v>62</v>
      </c>
      <c r="S279" s="34"/>
      <c r="T279" s="2"/>
      <c r="U279" s="34"/>
      <c r="V279" s="33"/>
      <c r="W279" s="33" t="s">
        <v>890</v>
      </c>
      <c r="X279" s="33"/>
      <c r="Y279" s="33"/>
      <c r="Z279"/>
      <c r="AD279"/>
      <c r="AE279"/>
      <c r="AF279"/>
      <c r="AG279"/>
    </row>
    <row r="280" spans="1:33" ht="16.149999999999999" customHeight="1" x14ac:dyDescent="0.15">
      <c r="A280" s="6">
        <v>274</v>
      </c>
      <c r="B280" s="18" t="s">
        <v>75</v>
      </c>
      <c r="C280" s="34" t="s">
        <v>57</v>
      </c>
      <c r="D280" s="43" t="s">
        <v>891</v>
      </c>
      <c r="E280" s="77" t="s">
        <v>169</v>
      </c>
      <c r="F280" s="19">
        <v>15209</v>
      </c>
      <c r="G280" s="6">
        <v>25</v>
      </c>
      <c r="H280" s="6" t="s">
        <v>892</v>
      </c>
      <c r="I280" s="2"/>
      <c r="J280" s="6" t="s">
        <v>171</v>
      </c>
      <c r="K280" s="6" t="s">
        <v>177</v>
      </c>
      <c r="L280" s="38" t="s">
        <v>173</v>
      </c>
      <c r="M280" s="2"/>
      <c r="N280" s="113"/>
      <c r="O280" s="45" t="s">
        <v>62</v>
      </c>
      <c r="P280" s="2" t="s">
        <v>62</v>
      </c>
      <c r="Q280" s="38" t="s">
        <v>62</v>
      </c>
      <c r="R280" s="36" t="s">
        <v>62</v>
      </c>
      <c r="S280" s="34"/>
      <c r="T280" s="2"/>
      <c r="U280" s="34"/>
      <c r="V280" s="33"/>
      <c r="W280" s="33" t="s">
        <v>893</v>
      </c>
      <c r="X280" s="33"/>
      <c r="Y280" s="33"/>
      <c r="Z280"/>
      <c r="AD280"/>
      <c r="AE280"/>
      <c r="AF280"/>
      <c r="AG280"/>
    </row>
    <row r="281" spans="1:33" ht="16.149999999999999" customHeight="1" x14ac:dyDescent="0.15">
      <c r="A281" s="6">
        <v>275</v>
      </c>
      <c r="B281" s="18" t="s">
        <v>75</v>
      </c>
      <c r="C281" s="34" t="s">
        <v>57</v>
      </c>
      <c r="D281" s="43" t="s">
        <v>7239</v>
      </c>
      <c r="E281" s="77" t="s">
        <v>169</v>
      </c>
      <c r="F281" s="19">
        <v>15209</v>
      </c>
      <c r="G281" s="6">
        <v>26</v>
      </c>
      <c r="H281" s="6" t="s">
        <v>8113</v>
      </c>
      <c r="I281" s="2"/>
      <c r="J281" s="6" t="s">
        <v>171</v>
      </c>
      <c r="K281" s="6" t="s">
        <v>177</v>
      </c>
      <c r="L281" s="38" t="s">
        <v>173</v>
      </c>
      <c r="M281" s="2"/>
      <c r="N281" s="113"/>
      <c r="O281" s="45" t="s">
        <v>62</v>
      </c>
      <c r="P281" s="2" t="s">
        <v>62</v>
      </c>
      <c r="Q281" s="38" t="s">
        <v>62</v>
      </c>
      <c r="R281" s="36" t="s">
        <v>62</v>
      </c>
      <c r="S281" s="34"/>
      <c r="T281" s="2"/>
      <c r="U281" s="34"/>
      <c r="V281" s="33"/>
      <c r="W281" s="33" t="s">
        <v>8269</v>
      </c>
      <c r="X281" s="33"/>
      <c r="Y281" s="33"/>
      <c r="Z281"/>
      <c r="AD281"/>
      <c r="AE281"/>
      <c r="AF281"/>
      <c r="AG281"/>
    </row>
    <row r="282" spans="1:33" ht="16.149999999999999" customHeight="1" x14ac:dyDescent="0.15">
      <c r="A282" s="6">
        <v>276</v>
      </c>
      <c r="B282" s="18" t="s">
        <v>75</v>
      </c>
      <c r="C282" s="34" t="s">
        <v>57</v>
      </c>
      <c r="D282" s="43" t="s">
        <v>894</v>
      </c>
      <c r="E282" s="77" t="s">
        <v>169</v>
      </c>
      <c r="F282" s="19">
        <v>15209</v>
      </c>
      <c r="G282" s="6">
        <v>27</v>
      </c>
      <c r="H282" s="6" t="s">
        <v>895</v>
      </c>
      <c r="I282" s="2"/>
      <c r="J282" s="6" t="s">
        <v>171</v>
      </c>
      <c r="K282" s="6" t="s">
        <v>177</v>
      </c>
      <c r="L282" s="38" t="s">
        <v>173</v>
      </c>
      <c r="M282" s="2"/>
      <c r="N282" s="113"/>
      <c r="O282" s="45" t="s">
        <v>62</v>
      </c>
      <c r="P282" s="2" t="s">
        <v>62</v>
      </c>
      <c r="Q282" s="38" t="s">
        <v>62</v>
      </c>
      <c r="R282" s="36" t="s">
        <v>62</v>
      </c>
      <c r="S282" s="34"/>
      <c r="T282" s="2"/>
      <c r="U282" s="34"/>
      <c r="V282" s="33"/>
      <c r="W282" s="33" t="s">
        <v>896</v>
      </c>
      <c r="X282" s="33"/>
      <c r="Y282" s="33"/>
      <c r="Z282"/>
      <c r="AD282"/>
      <c r="AE282"/>
      <c r="AF282"/>
      <c r="AG282"/>
    </row>
    <row r="283" spans="1:33" ht="16.149999999999999" customHeight="1" x14ac:dyDescent="0.15">
      <c r="A283" s="6">
        <v>277</v>
      </c>
      <c r="B283" s="18" t="s">
        <v>75</v>
      </c>
      <c r="C283" s="34" t="s">
        <v>57</v>
      </c>
      <c r="D283" s="43" t="s">
        <v>897</v>
      </c>
      <c r="E283" s="77" t="s">
        <v>169</v>
      </c>
      <c r="F283" s="19">
        <v>15209</v>
      </c>
      <c r="G283" s="6">
        <v>28</v>
      </c>
      <c r="H283" s="6" t="s">
        <v>898</v>
      </c>
      <c r="I283" s="2"/>
      <c r="J283" s="6" t="s">
        <v>171</v>
      </c>
      <c r="K283" s="6" t="s">
        <v>177</v>
      </c>
      <c r="L283" s="38" t="s">
        <v>173</v>
      </c>
      <c r="M283" s="2"/>
      <c r="N283" s="113"/>
      <c r="O283" s="45" t="s">
        <v>62</v>
      </c>
      <c r="P283" s="2" t="s">
        <v>62</v>
      </c>
      <c r="Q283" s="38" t="s">
        <v>62</v>
      </c>
      <c r="R283" s="36" t="s">
        <v>62</v>
      </c>
      <c r="S283" s="34"/>
      <c r="T283" s="2"/>
      <c r="U283" s="34"/>
      <c r="V283" s="33"/>
      <c r="W283" s="33" t="s">
        <v>899</v>
      </c>
      <c r="X283" s="33"/>
      <c r="Y283" s="33"/>
      <c r="Z283"/>
      <c r="AD283"/>
      <c r="AE283"/>
      <c r="AF283"/>
      <c r="AG283"/>
    </row>
    <row r="284" spans="1:33" ht="16.149999999999999" customHeight="1" x14ac:dyDescent="0.15">
      <c r="A284" s="6">
        <v>278</v>
      </c>
      <c r="B284" s="18" t="s">
        <v>75</v>
      </c>
      <c r="C284" s="34" t="s">
        <v>57</v>
      </c>
      <c r="D284" s="43" t="s">
        <v>626</v>
      </c>
      <c r="E284" s="77" t="s">
        <v>169</v>
      </c>
      <c r="F284" s="19">
        <v>15209</v>
      </c>
      <c r="G284" s="6">
        <v>30</v>
      </c>
      <c r="H284" s="6" t="s">
        <v>900</v>
      </c>
      <c r="I284" s="2"/>
      <c r="J284" s="6" t="s">
        <v>171</v>
      </c>
      <c r="K284" s="6" t="s">
        <v>177</v>
      </c>
      <c r="L284" s="38" t="s">
        <v>173</v>
      </c>
      <c r="M284" s="2"/>
      <c r="N284" s="113"/>
      <c r="O284" s="45" t="s">
        <v>62</v>
      </c>
      <c r="P284" s="2" t="s">
        <v>62</v>
      </c>
      <c r="Q284" s="38" t="s">
        <v>62</v>
      </c>
      <c r="R284" s="36" t="s">
        <v>62</v>
      </c>
      <c r="S284" s="34"/>
      <c r="T284" s="2"/>
      <c r="U284" s="34"/>
      <c r="V284" s="33"/>
      <c r="W284" s="33" t="s">
        <v>901</v>
      </c>
      <c r="X284" s="33"/>
      <c r="Y284" s="33"/>
      <c r="Z284"/>
      <c r="AD284"/>
      <c r="AE284"/>
      <c r="AF284"/>
      <c r="AG284"/>
    </row>
    <row r="285" spans="1:33" ht="16.149999999999999" customHeight="1" x14ac:dyDescent="0.15">
      <c r="A285" s="6">
        <v>279</v>
      </c>
      <c r="B285" s="18" t="s">
        <v>75</v>
      </c>
      <c r="C285" s="34" t="s">
        <v>57</v>
      </c>
      <c r="D285" s="15" t="s">
        <v>902</v>
      </c>
      <c r="E285" s="2" t="s">
        <v>143</v>
      </c>
      <c r="F285" s="19">
        <v>15211</v>
      </c>
      <c r="G285" s="6"/>
      <c r="H285" s="6" t="s">
        <v>903</v>
      </c>
      <c r="I285" s="2"/>
      <c r="J285" s="6"/>
      <c r="K285" s="6"/>
      <c r="L285" s="38"/>
      <c r="M285" s="6" t="s">
        <v>113</v>
      </c>
      <c r="N285" s="38">
        <v>10</v>
      </c>
      <c r="O285" s="38">
        <v>-32768</v>
      </c>
      <c r="P285" s="38">
        <v>32767</v>
      </c>
      <c r="Q285" s="38">
        <v>-3276.8</v>
      </c>
      <c r="R285" s="38">
        <v>3276.7</v>
      </c>
      <c r="S285" s="34"/>
      <c r="T285" s="2"/>
      <c r="U285" s="34"/>
      <c r="V285" s="34"/>
      <c r="W285" s="77" t="s">
        <v>904</v>
      </c>
      <c r="X285" s="34"/>
      <c r="Y285" s="2"/>
      <c r="Z285"/>
      <c r="AD285"/>
      <c r="AE285"/>
      <c r="AF285"/>
      <c r="AG285"/>
    </row>
    <row r="286" spans="1:33" ht="16.149999999999999" customHeight="1" x14ac:dyDescent="0.15">
      <c r="A286" s="6">
        <v>280</v>
      </c>
      <c r="B286" s="18" t="s">
        <v>75</v>
      </c>
      <c r="C286" s="34" t="s">
        <v>57</v>
      </c>
      <c r="D286" s="15" t="s">
        <v>905</v>
      </c>
      <c r="E286" s="2" t="s">
        <v>59</v>
      </c>
      <c r="F286" s="19">
        <v>15212</v>
      </c>
      <c r="G286" s="6"/>
      <c r="H286" s="6" t="s">
        <v>906</v>
      </c>
      <c r="I286" s="2"/>
      <c r="J286" s="6"/>
      <c r="K286" s="6"/>
      <c r="L286" s="38"/>
      <c r="M286" s="6" t="s">
        <v>86</v>
      </c>
      <c r="N286" s="38">
        <v>1</v>
      </c>
      <c r="O286" s="38">
        <v>0</v>
      </c>
      <c r="P286" s="38">
        <v>4294967295</v>
      </c>
      <c r="Q286" s="38">
        <v>0</v>
      </c>
      <c r="R286" s="38">
        <v>4294967295</v>
      </c>
      <c r="S286" s="34"/>
      <c r="T286" s="2"/>
      <c r="U286" s="34"/>
      <c r="V286" s="34"/>
      <c r="W286" s="77" t="s">
        <v>907</v>
      </c>
      <c r="X286" s="34"/>
      <c r="Y286" s="34" t="s">
        <v>64</v>
      </c>
      <c r="Z286"/>
      <c r="AD286"/>
      <c r="AE286"/>
      <c r="AF286"/>
      <c r="AG286"/>
    </row>
    <row r="287" spans="1:33" ht="16.149999999999999" customHeight="1" x14ac:dyDescent="0.15">
      <c r="A287" s="6">
        <v>281</v>
      </c>
      <c r="B287" s="18" t="s">
        <v>75</v>
      </c>
      <c r="C287" s="34" t="s">
        <v>57</v>
      </c>
      <c r="D287" s="15" t="s">
        <v>908</v>
      </c>
      <c r="E287" s="2" t="s">
        <v>59</v>
      </c>
      <c r="F287" s="19">
        <v>15214</v>
      </c>
      <c r="G287" s="6"/>
      <c r="H287" s="6" t="s">
        <v>909</v>
      </c>
      <c r="I287" s="2"/>
      <c r="J287" s="6"/>
      <c r="K287" s="6"/>
      <c r="L287" s="38"/>
      <c r="M287" s="6" t="s">
        <v>96</v>
      </c>
      <c r="N287" s="38">
        <v>1</v>
      </c>
      <c r="O287" s="38">
        <v>0</v>
      </c>
      <c r="P287" s="38">
        <v>4294967295</v>
      </c>
      <c r="Q287" s="38">
        <v>0</v>
      </c>
      <c r="R287" s="38">
        <v>4294967295</v>
      </c>
      <c r="S287" s="34"/>
      <c r="T287" s="2"/>
      <c r="U287" s="34"/>
      <c r="V287" s="34"/>
      <c r="W287" s="77" t="s">
        <v>910</v>
      </c>
      <c r="X287" s="34"/>
      <c r="Y287" s="34" t="s">
        <v>64</v>
      </c>
      <c r="Z287"/>
      <c r="AD287"/>
      <c r="AE287"/>
      <c r="AF287"/>
      <c r="AG287"/>
    </row>
    <row r="288" spans="1:33" ht="16.149999999999999" customHeight="1" x14ac:dyDescent="0.15">
      <c r="A288" s="6">
        <v>282</v>
      </c>
      <c r="B288" s="18" t="s">
        <v>75</v>
      </c>
      <c r="C288" s="34" t="s">
        <v>57</v>
      </c>
      <c r="D288" s="15" t="s">
        <v>946</v>
      </c>
      <c r="E288" s="2" t="s">
        <v>59</v>
      </c>
      <c r="F288" s="19">
        <v>15269</v>
      </c>
      <c r="G288" s="6"/>
      <c r="H288" s="6" t="s">
        <v>947</v>
      </c>
      <c r="I288" s="2"/>
      <c r="J288" s="6"/>
      <c r="K288" s="6"/>
      <c r="L288" s="38"/>
      <c r="M288" s="6" t="s">
        <v>86</v>
      </c>
      <c r="N288" s="38">
        <v>10</v>
      </c>
      <c r="O288" s="38">
        <v>0</v>
      </c>
      <c r="P288" s="38">
        <v>4294967295</v>
      </c>
      <c r="Q288" s="38">
        <v>0</v>
      </c>
      <c r="R288" s="38">
        <v>429496729.5</v>
      </c>
      <c r="S288" s="34"/>
      <c r="T288" s="2"/>
      <c r="U288" s="34"/>
      <c r="V288" s="34"/>
      <c r="W288" s="77" t="s">
        <v>948</v>
      </c>
      <c r="X288" s="34"/>
      <c r="Y288" s="2"/>
      <c r="Z288"/>
      <c r="AD288"/>
      <c r="AE288"/>
      <c r="AF288"/>
      <c r="AG288"/>
    </row>
    <row r="289" spans="1:33" ht="16.149999999999999" customHeight="1" x14ac:dyDescent="0.15">
      <c r="A289" s="6">
        <v>283</v>
      </c>
      <c r="B289" s="18" t="s">
        <v>75</v>
      </c>
      <c r="C289" s="34" t="s">
        <v>57</v>
      </c>
      <c r="D289" s="15" t="s">
        <v>949</v>
      </c>
      <c r="E289" s="2" t="s">
        <v>59</v>
      </c>
      <c r="F289" s="19">
        <v>15271</v>
      </c>
      <c r="G289" s="6"/>
      <c r="H289" s="6" t="s">
        <v>950</v>
      </c>
      <c r="I289" s="2"/>
      <c r="J289" s="6"/>
      <c r="K289" s="6"/>
      <c r="L289" s="38"/>
      <c r="M289" s="6" t="s">
        <v>86</v>
      </c>
      <c r="N289" s="38">
        <v>1</v>
      </c>
      <c r="O289" s="38">
        <v>0</v>
      </c>
      <c r="P289" s="38">
        <v>4294967295</v>
      </c>
      <c r="Q289" s="38">
        <v>0</v>
      </c>
      <c r="R289" s="38">
        <v>4294967295</v>
      </c>
      <c r="S289" s="34"/>
      <c r="T289" s="2"/>
      <c r="U289" s="34"/>
      <c r="V289" s="34"/>
      <c r="W289" s="77" t="s">
        <v>951</v>
      </c>
      <c r="X289" s="34"/>
      <c r="Y289" s="34" t="s">
        <v>64</v>
      </c>
      <c r="Z289"/>
      <c r="AD289"/>
      <c r="AE289"/>
      <c r="AF289"/>
      <c r="AG289"/>
    </row>
    <row r="290" spans="1:33" ht="16.149999999999999" customHeight="1" x14ac:dyDescent="0.15">
      <c r="A290" s="6">
        <v>284</v>
      </c>
      <c r="B290" s="18" t="s">
        <v>75</v>
      </c>
      <c r="C290" s="34" t="s">
        <v>57</v>
      </c>
      <c r="D290" s="15" t="s">
        <v>952</v>
      </c>
      <c r="E290" s="2" t="s">
        <v>59</v>
      </c>
      <c r="F290" s="19">
        <v>15273</v>
      </c>
      <c r="G290" s="6"/>
      <c r="H290" s="6" t="s">
        <v>953</v>
      </c>
      <c r="I290" s="2"/>
      <c r="J290" s="6"/>
      <c r="K290" s="6"/>
      <c r="L290" s="38"/>
      <c r="M290" s="6" t="s">
        <v>86</v>
      </c>
      <c r="N290" s="38">
        <v>1</v>
      </c>
      <c r="O290" s="38">
        <v>0</v>
      </c>
      <c r="P290" s="38">
        <v>4294967295</v>
      </c>
      <c r="Q290" s="38">
        <v>0</v>
      </c>
      <c r="R290" s="38">
        <v>4294967295</v>
      </c>
      <c r="S290" s="34"/>
      <c r="T290" s="2"/>
      <c r="U290" s="34"/>
      <c r="V290" s="34"/>
      <c r="W290" s="77" t="s">
        <v>954</v>
      </c>
      <c r="X290" s="34"/>
      <c r="Y290" s="2"/>
      <c r="Z290"/>
      <c r="AD290"/>
      <c r="AE290"/>
      <c r="AF290"/>
      <c r="AG290"/>
    </row>
    <row r="291" spans="1:33" ht="16.149999999999999" customHeight="1" x14ac:dyDescent="0.15">
      <c r="A291" s="6">
        <v>285</v>
      </c>
      <c r="B291" s="18" t="s">
        <v>75</v>
      </c>
      <c r="C291" s="34" t="s">
        <v>57</v>
      </c>
      <c r="D291" s="15" t="s">
        <v>955</v>
      </c>
      <c r="E291" s="2" t="s">
        <v>77</v>
      </c>
      <c r="F291" s="19">
        <v>15275</v>
      </c>
      <c r="G291" s="6"/>
      <c r="H291" s="6" t="s">
        <v>956</v>
      </c>
      <c r="I291" s="2"/>
      <c r="J291" s="6"/>
      <c r="K291" s="6"/>
      <c r="L291" s="38"/>
      <c r="M291" s="6" t="s">
        <v>100</v>
      </c>
      <c r="N291" s="38">
        <v>1</v>
      </c>
      <c r="O291" s="38">
        <v>0</v>
      </c>
      <c r="P291" s="38">
        <v>65535</v>
      </c>
      <c r="Q291" s="38">
        <v>0</v>
      </c>
      <c r="R291" s="38">
        <v>65535</v>
      </c>
      <c r="S291" s="34"/>
      <c r="T291" s="2"/>
      <c r="U291" s="34"/>
      <c r="V291" s="34"/>
      <c r="W291" s="77" t="s">
        <v>957</v>
      </c>
      <c r="X291" s="34"/>
      <c r="Y291" s="2"/>
      <c r="Z291"/>
      <c r="AD291"/>
      <c r="AE291"/>
      <c r="AF291"/>
      <c r="AG291"/>
    </row>
    <row r="292" spans="1:33" ht="16.149999999999999" customHeight="1" x14ac:dyDescent="0.15">
      <c r="A292" s="6">
        <v>286</v>
      </c>
      <c r="B292" s="18" t="s">
        <v>75</v>
      </c>
      <c r="C292" s="34" t="s">
        <v>57</v>
      </c>
      <c r="D292" s="15" t="s">
        <v>7240</v>
      </c>
      <c r="E292" s="2" t="s">
        <v>59</v>
      </c>
      <c r="F292" s="19">
        <v>15276</v>
      </c>
      <c r="G292" s="6"/>
      <c r="H292" s="6" t="s">
        <v>959</v>
      </c>
      <c r="I292" s="2"/>
      <c r="J292" s="6"/>
      <c r="K292" s="6"/>
      <c r="L292" s="38"/>
      <c r="M292" s="6" t="s">
        <v>104</v>
      </c>
      <c r="N292" s="38">
        <v>1</v>
      </c>
      <c r="O292" s="38">
        <v>0</v>
      </c>
      <c r="P292" s="38">
        <v>4294967295</v>
      </c>
      <c r="Q292" s="38">
        <v>0</v>
      </c>
      <c r="R292" s="38">
        <v>4294967295</v>
      </c>
      <c r="S292" s="34"/>
      <c r="T292" s="2"/>
      <c r="U292" s="34"/>
      <c r="V292" s="34"/>
      <c r="W292" s="77" t="s">
        <v>8270</v>
      </c>
      <c r="X292" s="34"/>
      <c r="Y292" s="2"/>
      <c r="Z292"/>
      <c r="AD292"/>
      <c r="AE292"/>
      <c r="AF292"/>
      <c r="AG292"/>
    </row>
    <row r="293" spans="1:33" ht="16.149999999999999" customHeight="1" x14ac:dyDescent="0.15">
      <c r="A293" s="6">
        <v>287</v>
      </c>
      <c r="B293" s="18" t="s">
        <v>75</v>
      </c>
      <c r="C293" s="34" t="s">
        <v>57</v>
      </c>
      <c r="D293" s="15" t="s">
        <v>961</v>
      </c>
      <c r="E293" s="2" t="s">
        <v>143</v>
      </c>
      <c r="F293" s="19">
        <v>15278</v>
      </c>
      <c r="G293" s="6"/>
      <c r="H293" s="6" t="s">
        <v>962</v>
      </c>
      <c r="I293" s="2"/>
      <c r="J293" s="6"/>
      <c r="K293" s="6"/>
      <c r="L293" s="38"/>
      <c r="M293" s="6" t="s">
        <v>266</v>
      </c>
      <c r="N293" s="38">
        <v>10</v>
      </c>
      <c r="O293" s="38">
        <v>-32768</v>
      </c>
      <c r="P293" s="38">
        <v>32767</v>
      </c>
      <c r="Q293" s="38">
        <v>-3276.8</v>
      </c>
      <c r="R293" s="38">
        <v>3276.7</v>
      </c>
      <c r="S293" s="34"/>
      <c r="T293" s="2"/>
      <c r="U293" s="34"/>
      <c r="V293" s="34"/>
      <c r="W293" s="77" t="s">
        <v>963</v>
      </c>
      <c r="X293" s="34"/>
      <c r="Y293" s="2"/>
      <c r="Z293"/>
      <c r="AD293"/>
      <c r="AE293"/>
      <c r="AF293"/>
      <c r="AG293"/>
    </row>
    <row r="294" spans="1:33" ht="16.149999999999999" customHeight="1" x14ac:dyDescent="0.15">
      <c r="A294" s="6">
        <v>288</v>
      </c>
      <c r="B294" s="18" t="s">
        <v>75</v>
      </c>
      <c r="C294" s="34" t="s">
        <v>57</v>
      </c>
      <c r="D294" s="15" t="s">
        <v>964</v>
      </c>
      <c r="E294" s="2" t="s">
        <v>77</v>
      </c>
      <c r="F294" s="19">
        <v>15279</v>
      </c>
      <c r="G294" s="6"/>
      <c r="H294" s="6" t="s">
        <v>965</v>
      </c>
      <c r="I294" s="2"/>
      <c r="J294" s="6"/>
      <c r="K294" s="6"/>
      <c r="L294" s="38"/>
      <c r="M294" s="38" t="s">
        <v>113</v>
      </c>
      <c r="N294" s="38">
        <v>10</v>
      </c>
      <c r="O294" s="38">
        <v>0</v>
      </c>
      <c r="P294" s="38">
        <v>65535</v>
      </c>
      <c r="Q294" s="38">
        <v>0</v>
      </c>
      <c r="R294" s="38">
        <v>6553.5</v>
      </c>
      <c r="S294" s="34"/>
      <c r="T294" s="2"/>
      <c r="U294" s="34"/>
      <c r="V294" s="34"/>
      <c r="W294" s="77" t="s">
        <v>966</v>
      </c>
      <c r="X294" s="34"/>
      <c r="Y294" s="2"/>
      <c r="Z294"/>
      <c r="AD294"/>
      <c r="AE294"/>
      <c r="AF294"/>
      <c r="AG294"/>
    </row>
    <row r="295" spans="1:33" ht="16.149999999999999" customHeight="1" x14ac:dyDescent="0.15">
      <c r="A295" s="6">
        <v>289</v>
      </c>
      <c r="B295" s="18" t="s">
        <v>75</v>
      </c>
      <c r="C295" s="34" t="s">
        <v>57</v>
      </c>
      <c r="D295" s="15" t="s">
        <v>967</v>
      </c>
      <c r="E295" s="2" t="s">
        <v>77</v>
      </c>
      <c r="F295" s="19">
        <v>15280</v>
      </c>
      <c r="G295" s="6"/>
      <c r="H295" s="6" t="s">
        <v>968</v>
      </c>
      <c r="I295" s="2"/>
      <c r="J295" s="6"/>
      <c r="K295" s="6"/>
      <c r="L295" s="38"/>
      <c r="M295" s="38" t="s">
        <v>123</v>
      </c>
      <c r="N295" s="38">
        <v>10</v>
      </c>
      <c r="O295" s="38">
        <v>0</v>
      </c>
      <c r="P295" s="38">
        <v>65535</v>
      </c>
      <c r="Q295" s="38">
        <v>0</v>
      </c>
      <c r="R295" s="38">
        <v>6553.5</v>
      </c>
      <c r="S295" s="34"/>
      <c r="T295" s="2"/>
      <c r="U295" s="34"/>
      <c r="V295" s="34"/>
      <c r="W295" s="77" t="s">
        <v>969</v>
      </c>
      <c r="X295" s="34"/>
      <c r="Y295" s="2"/>
      <c r="Z295"/>
      <c r="AD295"/>
      <c r="AE295"/>
      <c r="AF295"/>
      <c r="AG295"/>
    </row>
    <row r="296" spans="1:33" ht="16.149999999999999" customHeight="1" x14ac:dyDescent="0.15">
      <c r="A296" s="6">
        <v>290</v>
      </c>
      <c r="B296" s="18" t="s">
        <v>75</v>
      </c>
      <c r="C296" s="34" t="s">
        <v>57</v>
      </c>
      <c r="D296" s="15" t="s">
        <v>970</v>
      </c>
      <c r="E296" s="2" t="s">
        <v>59</v>
      </c>
      <c r="F296" s="19">
        <v>15281</v>
      </c>
      <c r="G296" s="103"/>
      <c r="H296" s="6" t="s">
        <v>971</v>
      </c>
      <c r="I296" s="104"/>
      <c r="J296" s="103"/>
      <c r="K296" s="103"/>
      <c r="L296" s="38"/>
      <c r="M296" s="38" t="s">
        <v>109</v>
      </c>
      <c r="N296" s="38">
        <v>1</v>
      </c>
      <c r="O296" s="38">
        <v>0</v>
      </c>
      <c r="P296" s="38">
        <v>4294967295</v>
      </c>
      <c r="Q296" s="38">
        <v>0</v>
      </c>
      <c r="R296" s="38">
        <v>4294967295</v>
      </c>
      <c r="S296" s="34"/>
      <c r="T296" s="104"/>
      <c r="U296" s="34"/>
      <c r="V296" s="34"/>
      <c r="W296" s="111" t="s">
        <v>972</v>
      </c>
      <c r="X296" s="34"/>
      <c r="Y296" s="104"/>
      <c r="Z296"/>
      <c r="AD296"/>
      <c r="AE296"/>
      <c r="AF296"/>
      <c r="AG296"/>
    </row>
    <row r="297" spans="1:33" ht="16.149999999999999" customHeight="1" x14ac:dyDescent="0.15">
      <c r="A297" s="6">
        <v>291</v>
      </c>
      <c r="B297" s="18" t="s">
        <v>75</v>
      </c>
      <c r="C297" s="34" t="s">
        <v>57</v>
      </c>
      <c r="D297" s="15" t="s">
        <v>973</v>
      </c>
      <c r="E297" s="2" t="s">
        <v>77</v>
      </c>
      <c r="F297" s="19">
        <v>15283</v>
      </c>
      <c r="G297" s="6"/>
      <c r="H297" s="6" t="s">
        <v>974</v>
      </c>
      <c r="I297" s="2"/>
      <c r="J297" s="6"/>
      <c r="K297" s="6"/>
      <c r="L297" s="38"/>
      <c r="M297" s="38" t="s">
        <v>113</v>
      </c>
      <c r="N297" s="38">
        <v>10</v>
      </c>
      <c r="O297" s="38">
        <v>0</v>
      </c>
      <c r="P297" s="38">
        <v>65535</v>
      </c>
      <c r="Q297" s="38">
        <v>0</v>
      </c>
      <c r="R297" s="38">
        <v>6553.5</v>
      </c>
      <c r="S297" s="34"/>
      <c r="T297" s="2"/>
      <c r="U297" s="34"/>
      <c r="V297" s="34"/>
      <c r="W297" s="77" t="s">
        <v>975</v>
      </c>
      <c r="X297" s="34"/>
      <c r="Y297" s="2"/>
      <c r="Z297"/>
      <c r="AD297"/>
      <c r="AE297"/>
      <c r="AF297"/>
      <c r="AG297"/>
    </row>
    <row r="298" spans="1:33" ht="16.149999999999999" customHeight="1" x14ac:dyDescent="0.15">
      <c r="A298" s="6">
        <v>292</v>
      </c>
      <c r="B298" s="18" t="s">
        <v>75</v>
      </c>
      <c r="C298" s="34" t="s">
        <v>57</v>
      </c>
      <c r="D298" s="15" t="s">
        <v>976</v>
      </c>
      <c r="E298" s="2" t="s">
        <v>77</v>
      </c>
      <c r="F298" s="19">
        <v>15284</v>
      </c>
      <c r="G298" s="6"/>
      <c r="H298" s="6" t="s">
        <v>977</v>
      </c>
      <c r="I298" s="2"/>
      <c r="J298" s="6"/>
      <c r="K298" s="6"/>
      <c r="L298" s="38"/>
      <c r="M298" s="38" t="s">
        <v>113</v>
      </c>
      <c r="N298" s="38">
        <v>10</v>
      </c>
      <c r="O298" s="38">
        <v>0</v>
      </c>
      <c r="P298" s="38">
        <v>65535</v>
      </c>
      <c r="Q298" s="38">
        <v>0</v>
      </c>
      <c r="R298" s="38">
        <v>6553.5</v>
      </c>
      <c r="S298" s="34"/>
      <c r="T298" s="2"/>
      <c r="U298" s="34"/>
      <c r="V298" s="34"/>
      <c r="W298" s="77" t="s">
        <v>978</v>
      </c>
      <c r="X298" s="34"/>
      <c r="Y298" s="2"/>
      <c r="Z298"/>
      <c r="AD298"/>
      <c r="AE298"/>
      <c r="AF298"/>
      <c r="AG298"/>
    </row>
    <row r="299" spans="1:33" ht="16.149999999999999" customHeight="1" x14ac:dyDescent="0.15">
      <c r="A299" s="6">
        <v>293</v>
      </c>
      <c r="B299" s="18" t="s">
        <v>75</v>
      </c>
      <c r="C299" s="34" t="s">
        <v>57</v>
      </c>
      <c r="D299" s="15" t="s">
        <v>979</v>
      </c>
      <c r="E299" s="2" t="s">
        <v>77</v>
      </c>
      <c r="F299" s="19">
        <v>15285</v>
      </c>
      <c r="G299" s="6"/>
      <c r="H299" s="6" t="s">
        <v>980</v>
      </c>
      <c r="I299" s="2"/>
      <c r="J299" s="6"/>
      <c r="K299" s="6"/>
      <c r="L299" s="38"/>
      <c r="M299" s="38" t="s">
        <v>113</v>
      </c>
      <c r="N299" s="38">
        <v>10</v>
      </c>
      <c r="O299" s="38">
        <v>0</v>
      </c>
      <c r="P299" s="38">
        <v>65535</v>
      </c>
      <c r="Q299" s="38">
        <v>0</v>
      </c>
      <c r="R299" s="38">
        <v>6553.5</v>
      </c>
      <c r="S299" s="34"/>
      <c r="T299" s="2"/>
      <c r="U299" s="34"/>
      <c r="V299" s="34"/>
      <c r="W299" s="77" t="s">
        <v>981</v>
      </c>
      <c r="X299" s="34"/>
      <c r="Y299" s="2"/>
      <c r="Z299"/>
      <c r="AD299"/>
      <c r="AE299"/>
      <c r="AF299"/>
      <c r="AG299"/>
    </row>
    <row r="300" spans="1:33" ht="16.149999999999999" customHeight="1" x14ac:dyDescent="0.15">
      <c r="A300" s="6">
        <v>294</v>
      </c>
      <c r="B300" s="18" t="s">
        <v>75</v>
      </c>
      <c r="C300" s="34" t="s">
        <v>57</v>
      </c>
      <c r="D300" s="15" t="s">
        <v>982</v>
      </c>
      <c r="E300" s="2" t="s">
        <v>77</v>
      </c>
      <c r="F300" s="19">
        <v>15286</v>
      </c>
      <c r="G300" s="6"/>
      <c r="H300" s="6" t="s">
        <v>983</v>
      </c>
      <c r="I300" s="2"/>
      <c r="J300" s="6"/>
      <c r="K300" s="6"/>
      <c r="L300" s="38"/>
      <c r="M300" s="38" t="s">
        <v>123</v>
      </c>
      <c r="N300" s="38">
        <v>10</v>
      </c>
      <c r="O300" s="38">
        <v>0</v>
      </c>
      <c r="P300" s="38">
        <v>65535</v>
      </c>
      <c r="Q300" s="38">
        <v>0</v>
      </c>
      <c r="R300" s="38">
        <v>6553.5</v>
      </c>
      <c r="S300" s="34"/>
      <c r="T300" s="2"/>
      <c r="U300" s="34"/>
      <c r="V300" s="34"/>
      <c r="W300" s="77" t="s">
        <v>984</v>
      </c>
      <c r="X300" s="34"/>
      <c r="Y300" s="2"/>
      <c r="Z300"/>
      <c r="AD300"/>
      <c r="AE300"/>
      <c r="AF300"/>
      <c r="AG300"/>
    </row>
    <row r="301" spans="1:33" ht="16.149999999999999" customHeight="1" x14ac:dyDescent="0.15">
      <c r="A301" s="6">
        <v>295</v>
      </c>
      <c r="B301" s="18" t="s">
        <v>75</v>
      </c>
      <c r="C301" s="34" t="s">
        <v>57</v>
      </c>
      <c r="D301" s="15" t="s">
        <v>985</v>
      </c>
      <c r="E301" s="2" t="s">
        <v>77</v>
      </c>
      <c r="F301" s="19">
        <v>15287</v>
      </c>
      <c r="G301" s="6"/>
      <c r="H301" s="6" t="s">
        <v>986</v>
      </c>
      <c r="I301" s="2"/>
      <c r="J301" s="6"/>
      <c r="K301" s="6"/>
      <c r="L301" s="38"/>
      <c r="M301" s="38" t="s">
        <v>123</v>
      </c>
      <c r="N301" s="38">
        <v>10</v>
      </c>
      <c r="O301" s="38">
        <v>0</v>
      </c>
      <c r="P301" s="38">
        <v>65535</v>
      </c>
      <c r="Q301" s="38">
        <v>0</v>
      </c>
      <c r="R301" s="38">
        <v>6553.5</v>
      </c>
      <c r="S301" s="34"/>
      <c r="T301" s="2"/>
      <c r="U301" s="34"/>
      <c r="V301" s="34"/>
      <c r="W301" s="77" t="s">
        <v>987</v>
      </c>
      <c r="X301" s="34"/>
      <c r="Y301" s="2"/>
      <c r="Z301"/>
      <c r="AD301"/>
      <c r="AE301"/>
      <c r="AF301"/>
      <c r="AG301"/>
    </row>
    <row r="302" spans="1:33" ht="16.149999999999999" customHeight="1" x14ac:dyDescent="0.15">
      <c r="A302" s="6">
        <v>296</v>
      </c>
      <c r="B302" s="18" t="s">
        <v>75</v>
      </c>
      <c r="C302" s="34" t="s">
        <v>57</v>
      </c>
      <c r="D302" s="15" t="s">
        <v>988</v>
      </c>
      <c r="E302" s="2" t="s">
        <v>77</v>
      </c>
      <c r="F302" s="19">
        <v>15288</v>
      </c>
      <c r="G302" s="6"/>
      <c r="H302" s="6" t="s">
        <v>989</v>
      </c>
      <c r="I302" s="2"/>
      <c r="J302" s="6"/>
      <c r="K302" s="6"/>
      <c r="L302" s="38"/>
      <c r="M302" s="38" t="s">
        <v>123</v>
      </c>
      <c r="N302" s="38">
        <v>10</v>
      </c>
      <c r="O302" s="38">
        <v>0</v>
      </c>
      <c r="P302" s="38">
        <v>65535</v>
      </c>
      <c r="Q302" s="38">
        <v>0</v>
      </c>
      <c r="R302" s="38">
        <v>6553.5</v>
      </c>
      <c r="S302" s="34"/>
      <c r="T302" s="2"/>
      <c r="U302" s="34"/>
      <c r="V302" s="34"/>
      <c r="W302" s="77" t="s">
        <v>990</v>
      </c>
      <c r="X302" s="34"/>
      <c r="Y302" s="2"/>
      <c r="Z302"/>
      <c r="AD302"/>
      <c r="AE302"/>
      <c r="AF302"/>
      <c r="AG302"/>
    </row>
    <row r="303" spans="1:33" ht="16.149999999999999" customHeight="1" x14ac:dyDescent="0.15">
      <c r="A303" s="6">
        <v>297</v>
      </c>
      <c r="B303" s="18" t="s">
        <v>75</v>
      </c>
      <c r="C303" s="34" t="s">
        <v>57</v>
      </c>
      <c r="D303" s="15" t="s">
        <v>991</v>
      </c>
      <c r="E303" s="2" t="s">
        <v>59</v>
      </c>
      <c r="F303" s="19">
        <v>15289</v>
      </c>
      <c r="G303" s="6"/>
      <c r="H303" s="6" t="s">
        <v>992</v>
      </c>
      <c r="I303" s="2"/>
      <c r="J303" s="6"/>
      <c r="K303" s="6"/>
      <c r="L303" s="38"/>
      <c r="M303" s="38" t="s">
        <v>109</v>
      </c>
      <c r="N303" s="38">
        <v>1</v>
      </c>
      <c r="O303" s="38">
        <v>0</v>
      </c>
      <c r="P303" s="38">
        <v>4294967295</v>
      </c>
      <c r="Q303" s="38">
        <v>0</v>
      </c>
      <c r="R303" s="38">
        <v>4294967295</v>
      </c>
      <c r="S303" s="34"/>
      <c r="T303" s="2"/>
      <c r="U303" s="34"/>
      <c r="V303" s="34"/>
      <c r="W303" s="77" t="s">
        <v>993</v>
      </c>
      <c r="X303" s="34"/>
      <c r="Y303" s="2"/>
      <c r="Z303"/>
      <c r="AD303"/>
      <c r="AE303"/>
      <c r="AF303"/>
      <c r="AG303"/>
    </row>
    <row r="304" spans="1:33" ht="16.149999999999999" customHeight="1" x14ac:dyDescent="0.15">
      <c r="A304" s="6">
        <v>298</v>
      </c>
      <c r="B304" s="18" t="s">
        <v>75</v>
      </c>
      <c r="C304" s="34" t="s">
        <v>57</v>
      </c>
      <c r="D304" s="15" t="s">
        <v>994</v>
      </c>
      <c r="E304" s="2" t="s">
        <v>107</v>
      </c>
      <c r="F304" s="19">
        <v>15291</v>
      </c>
      <c r="G304" s="6"/>
      <c r="H304" s="6" t="s">
        <v>995</v>
      </c>
      <c r="I304" s="2"/>
      <c r="J304" s="115"/>
      <c r="K304" s="38"/>
      <c r="L304" s="38"/>
      <c r="M304" s="38" t="s">
        <v>136</v>
      </c>
      <c r="N304" s="38">
        <v>1</v>
      </c>
      <c r="O304" s="38">
        <v>-2147483648</v>
      </c>
      <c r="P304" s="38">
        <v>2147483647</v>
      </c>
      <c r="Q304" s="38">
        <v>-2147483648</v>
      </c>
      <c r="R304" s="38">
        <v>2147483647</v>
      </c>
      <c r="S304" s="34"/>
      <c r="T304" s="34"/>
      <c r="U304" s="34"/>
      <c r="V304" s="34"/>
      <c r="W304" s="36" t="s">
        <v>996</v>
      </c>
      <c r="X304" s="34"/>
      <c r="Y304" s="34"/>
      <c r="Z304"/>
      <c r="AD304"/>
      <c r="AE304"/>
      <c r="AF304"/>
      <c r="AG304"/>
    </row>
    <row r="305" spans="1:33" ht="16.149999999999999" customHeight="1" x14ac:dyDescent="0.15">
      <c r="A305" s="6">
        <v>299</v>
      </c>
      <c r="B305" s="18" t="s">
        <v>75</v>
      </c>
      <c r="C305" s="34" t="s">
        <v>57</v>
      </c>
      <c r="D305" s="15" t="s">
        <v>997</v>
      </c>
      <c r="E305" s="2" t="s">
        <v>143</v>
      </c>
      <c r="F305" s="19">
        <v>15293</v>
      </c>
      <c r="G305" s="103"/>
      <c r="H305" s="6" t="s">
        <v>998</v>
      </c>
      <c r="I305" s="104"/>
      <c r="J305" s="105"/>
      <c r="K305" s="105"/>
      <c r="L305" s="38"/>
      <c r="M305" s="38" t="s">
        <v>145</v>
      </c>
      <c r="N305" s="38">
        <v>1000</v>
      </c>
      <c r="O305" s="38">
        <v>-32768</v>
      </c>
      <c r="P305" s="38">
        <v>32767</v>
      </c>
      <c r="Q305" s="38">
        <v>-32.768000000000001</v>
      </c>
      <c r="R305" s="38">
        <v>32.767000000000003</v>
      </c>
      <c r="S305" s="34"/>
      <c r="T305" s="108"/>
      <c r="U305" s="34"/>
      <c r="V305" s="34"/>
      <c r="W305" s="36" t="s">
        <v>999</v>
      </c>
      <c r="X305" s="34"/>
      <c r="Y305" s="34"/>
      <c r="Z305"/>
      <c r="AD305"/>
      <c r="AE305"/>
      <c r="AF305"/>
      <c r="AG305"/>
    </row>
    <row r="306" spans="1:33" ht="16.149999999999999" customHeight="1" x14ac:dyDescent="0.15">
      <c r="A306" s="6">
        <v>300</v>
      </c>
      <c r="B306" s="18" t="s">
        <v>75</v>
      </c>
      <c r="C306" s="34" t="s">
        <v>57</v>
      </c>
      <c r="D306" s="15" t="s">
        <v>1000</v>
      </c>
      <c r="E306" s="2" t="s">
        <v>77</v>
      </c>
      <c r="F306" s="19">
        <v>15294</v>
      </c>
      <c r="G306" s="6"/>
      <c r="H306" s="6" t="s">
        <v>1001</v>
      </c>
      <c r="I306" s="2"/>
      <c r="J306" s="38"/>
      <c r="K306" s="105"/>
      <c r="L306" s="38"/>
      <c r="M306" s="38" t="s">
        <v>149</v>
      </c>
      <c r="N306" s="38">
        <v>10</v>
      </c>
      <c r="O306" s="38">
        <v>0</v>
      </c>
      <c r="P306" s="38">
        <v>65535</v>
      </c>
      <c r="Q306" s="38">
        <v>0</v>
      </c>
      <c r="R306" s="38">
        <v>6553.5</v>
      </c>
      <c r="S306" s="34"/>
      <c r="T306" s="34"/>
      <c r="U306" s="34"/>
      <c r="V306" s="34"/>
      <c r="W306" s="36" t="s">
        <v>1002</v>
      </c>
      <c r="X306" s="34"/>
      <c r="Y306" s="34"/>
      <c r="Z306"/>
      <c r="AD306"/>
      <c r="AE306"/>
      <c r="AF306"/>
      <c r="AG306"/>
    </row>
    <row r="307" spans="1:33" ht="16.149999999999999" customHeight="1" x14ac:dyDescent="0.15">
      <c r="A307" s="6">
        <v>301</v>
      </c>
      <c r="B307" s="18" t="s">
        <v>75</v>
      </c>
      <c r="C307" s="34" t="s">
        <v>57</v>
      </c>
      <c r="D307" s="15" t="s">
        <v>1003</v>
      </c>
      <c r="E307" s="2" t="s">
        <v>77</v>
      </c>
      <c r="F307" s="19">
        <v>15295</v>
      </c>
      <c r="G307" s="6"/>
      <c r="H307" s="6" t="s">
        <v>1004</v>
      </c>
      <c r="I307" s="2"/>
      <c r="J307" s="38"/>
      <c r="K307" s="105"/>
      <c r="L307" s="38"/>
      <c r="M307" s="38" t="s">
        <v>560</v>
      </c>
      <c r="N307" s="38">
        <v>10</v>
      </c>
      <c r="O307" s="38">
        <v>0</v>
      </c>
      <c r="P307" s="38">
        <v>65535</v>
      </c>
      <c r="Q307" s="38">
        <v>0</v>
      </c>
      <c r="R307" s="38">
        <v>6553.5</v>
      </c>
      <c r="S307" s="34"/>
      <c r="T307" s="34"/>
      <c r="U307" s="34"/>
      <c r="V307" s="34"/>
      <c r="W307" s="36" t="s">
        <v>1005</v>
      </c>
      <c r="X307" s="34"/>
      <c r="Y307" s="34"/>
      <c r="Z307"/>
      <c r="AD307"/>
      <c r="AE307"/>
      <c r="AF307"/>
      <c r="AG307"/>
    </row>
    <row r="308" spans="1:33" ht="16.149999999999999" customHeight="1" x14ac:dyDescent="0.15">
      <c r="A308" s="6">
        <v>302</v>
      </c>
      <c r="B308" s="18" t="s">
        <v>75</v>
      </c>
      <c r="C308" s="34" t="s">
        <v>57</v>
      </c>
      <c r="D308" s="15" t="s">
        <v>1006</v>
      </c>
      <c r="E308" s="2" t="s">
        <v>77</v>
      </c>
      <c r="F308" s="19">
        <v>15297</v>
      </c>
      <c r="G308" s="6"/>
      <c r="H308" s="6" t="s">
        <v>1007</v>
      </c>
      <c r="I308" s="2"/>
      <c r="J308" s="38"/>
      <c r="K308" s="105"/>
      <c r="L308" s="38"/>
      <c r="M308" s="38" t="s">
        <v>564</v>
      </c>
      <c r="N308" s="38">
        <v>1</v>
      </c>
      <c r="O308" s="38">
        <v>0</v>
      </c>
      <c r="P308" s="38">
        <v>65535</v>
      </c>
      <c r="Q308" s="38">
        <v>0</v>
      </c>
      <c r="R308" s="38">
        <v>65535</v>
      </c>
      <c r="S308" s="34"/>
      <c r="T308" s="34"/>
      <c r="U308" s="34"/>
      <c r="V308" s="34"/>
      <c r="W308" s="36" t="s">
        <v>1008</v>
      </c>
      <c r="X308" s="34"/>
      <c r="Y308" s="34" t="s">
        <v>64</v>
      </c>
      <c r="Z308"/>
      <c r="AD308"/>
      <c r="AE308"/>
      <c r="AF308"/>
      <c r="AG308"/>
    </row>
    <row r="309" spans="1:33" ht="16.149999999999999" customHeight="1" x14ac:dyDescent="0.15">
      <c r="A309" s="6">
        <v>303</v>
      </c>
      <c r="B309" s="18" t="s">
        <v>75</v>
      </c>
      <c r="C309" s="34" t="s">
        <v>57</v>
      </c>
      <c r="D309" s="15" t="s">
        <v>1009</v>
      </c>
      <c r="E309" s="2" t="s">
        <v>77</v>
      </c>
      <c r="F309" s="19">
        <v>15298</v>
      </c>
      <c r="G309" s="6"/>
      <c r="H309" s="6" t="s">
        <v>1010</v>
      </c>
      <c r="I309" s="2"/>
      <c r="J309" s="38"/>
      <c r="K309" s="105"/>
      <c r="L309" s="38"/>
      <c r="M309" s="6" t="s">
        <v>568</v>
      </c>
      <c r="N309" s="38">
        <v>1</v>
      </c>
      <c r="O309" s="38">
        <v>0</v>
      </c>
      <c r="P309" s="38">
        <v>65535</v>
      </c>
      <c r="Q309" s="38">
        <v>0</v>
      </c>
      <c r="R309" s="38">
        <v>65535</v>
      </c>
      <c r="S309" s="34"/>
      <c r="T309" s="34"/>
      <c r="U309" s="34"/>
      <c r="V309" s="34"/>
      <c r="W309" s="36" t="s">
        <v>1011</v>
      </c>
      <c r="X309" s="34"/>
      <c r="Y309" s="34" t="s">
        <v>64</v>
      </c>
      <c r="Z309"/>
      <c r="AD309"/>
      <c r="AE309"/>
      <c r="AF309"/>
      <c r="AG309"/>
    </row>
    <row r="310" spans="1:33" ht="16.149999999999999" customHeight="1" x14ac:dyDescent="0.15">
      <c r="A310" s="6">
        <v>304</v>
      </c>
      <c r="B310" s="18" t="s">
        <v>75</v>
      </c>
      <c r="C310" s="34" t="s">
        <v>57</v>
      </c>
      <c r="D310" s="15" t="s">
        <v>1012</v>
      </c>
      <c r="E310" s="2" t="s">
        <v>77</v>
      </c>
      <c r="F310" s="19">
        <v>15299</v>
      </c>
      <c r="G310" s="6"/>
      <c r="H310" s="6" t="s">
        <v>1013</v>
      </c>
      <c r="I310" s="2"/>
      <c r="J310" s="38"/>
      <c r="K310" s="105"/>
      <c r="L310" s="38"/>
      <c r="M310" s="6" t="s">
        <v>572</v>
      </c>
      <c r="N310" s="38">
        <v>1</v>
      </c>
      <c r="O310" s="38">
        <v>0</v>
      </c>
      <c r="P310" s="38">
        <v>65535</v>
      </c>
      <c r="Q310" s="38">
        <v>0</v>
      </c>
      <c r="R310" s="38">
        <v>65535</v>
      </c>
      <c r="S310" s="34"/>
      <c r="T310" s="34"/>
      <c r="U310" s="34"/>
      <c r="V310" s="34"/>
      <c r="W310" s="36" t="s">
        <v>1014</v>
      </c>
      <c r="X310" s="34"/>
      <c r="Y310" s="34" t="s">
        <v>64</v>
      </c>
      <c r="Z310"/>
      <c r="AD310"/>
      <c r="AE310"/>
      <c r="AF310"/>
      <c r="AG310"/>
    </row>
    <row r="311" spans="1:33" ht="16.149999999999999" customHeight="1" x14ac:dyDescent="0.15">
      <c r="A311" s="6">
        <v>305</v>
      </c>
      <c r="B311" s="18" t="s">
        <v>75</v>
      </c>
      <c r="C311" s="34" t="s">
        <v>57</v>
      </c>
      <c r="D311" s="15" t="s">
        <v>1015</v>
      </c>
      <c r="E311" s="2" t="s">
        <v>77</v>
      </c>
      <c r="F311" s="19">
        <v>15300</v>
      </c>
      <c r="G311" s="6"/>
      <c r="H311" s="6" t="s">
        <v>1016</v>
      </c>
      <c r="I311" s="2"/>
      <c r="J311" s="38"/>
      <c r="K311" s="105"/>
      <c r="L311" s="38"/>
      <c r="M311" s="6" t="s">
        <v>104</v>
      </c>
      <c r="N311" s="38">
        <v>1</v>
      </c>
      <c r="O311" s="38">
        <v>0</v>
      </c>
      <c r="P311" s="38">
        <v>65535</v>
      </c>
      <c r="Q311" s="38">
        <v>0</v>
      </c>
      <c r="R311" s="38">
        <v>65535</v>
      </c>
      <c r="S311" s="34"/>
      <c r="T311" s="34"/>
      <c r="U311" s="34"/>
      <c r="V311" s="34"/>
      <c r="W311" s="36" t="s">
        <v>1017</v>
      </c>
      <c r="X311" s="34"/>
      <c r="Y311" s="34" t="s">
        <v>64</v>
      </c>
      <c r="Z311"/>
      <c r="AD311"/>
      <c r="AE311"/>
      <c r="AF311"/>
      <c r="AG311"/>
    </row>
    <row r="312" spans="1:33" ht="16.149999999999999" customHeight="1" x14ac:dyDescent="0.15">
      <c r="A312" s="6">
        <v>306</v>
      </c>
      <c r="B312" s="18" t="s">
        <v>75</v>
      </c>
      <c r="C312" s="34" t="s">
        <v>57</v>
      </c>
      <c r="D312" s="15" t="s">
        <v>1018</v>
      </c>
      <c r="E312" s="2" t="s">
        <v>77</v>
      </c>
      <c r="F312" s="19">
        <v>15301</v>
      </c>
      <c r="G312" s="6"/>
      <c r="H312" s="6" t="s">
        <v>1019</v>
      </c>
      <c r="I312" s="2"/>
      <c r="J312" s="38"/>
      <c r="K312" s="105"/>
      <c r="L312" s="38"/>
      <c r="M312" s="6" t="s">
        <v>100</v>
      </c>
      <c r="N312" s="38">
        <v>1</v>
      </c>
      <c r="O312" s="38">
        <v>0</v>
      </c>
      <c r="P312" s="38">
        <v>65535</v>
      </c>
      <c r="Q312" s="38">
        <v>0</v>
      </c>
      <c r="R312" s="38">
        <v>65535</v>
      </c>
      <c r="S312" s="34"/>
      <c r="T312" s="34"/>
      <c r="U312" s="34"/>
      <c r="V312" s="34"/>
      <c r="W312" s="36" t="s">
        <v>1020</v>
      </c>
      <c r="X312" s="34"/>
      <c r="Y312" s="34" t="s">
        <v>64</v>
      </c>
      <c r="Z312"/>
      <c r="AD312"/>
      <c r="AE312"/>
      <c r="AF312"/>
      <c r="AG312"/>
    </row>
    <row r="313" spans="1:33" ht="16.149999999999999" customHeight="1" x14ac:dyDescent="0.15">
      <c r="A313" s="6">
        <v>307</v>
      </c>
      <c r="B313" s="18" t="s">
        <v>75</v>
      </c>
      <c r="C313" s="34" t="s">
        <v>57</v>
      </c>
      <c r="D313" s="15" t="s">
        <v>1021</v>
      </c>
      <c r="E313" s="2" t="s">
        <v>77</v>
      </c>
      <c r="F313" s="19">
        <v>15302</v>
      </c>
      <c r="G313" s="6"/>
      <c r="H313" s="6" t="s">
        <v>1022</v>
      </c>
      <c r="I313" s="2"/>
      <c r="J313" s="38"/>
      <c r="K313" s="105"/>
      <c r="L313" s="38"/>
      <c r="M313" s="6" t="s">
        <v>582</v>
      </c>
      <c r="N313" s="38">
        <v>1</v>
      </c>
      <c r="O313" s="38">
        <v>0</v>
      </c>
      <c r="P313" s="38">
        <v>65535</v>
      </c>
      <c r="Q313" s="38">
        <v>0</v>
      </c>
      <c r="R313" s="38">
        <v>65535</v>
      </c>
      <c r="S313" s="34"/>
      <c r="T313" s="34"/>
      <c r="U313" s="34"/>
      <c r="V313" s="34"/>
      <c r="W313" s="36" t="s">
        <v>1023</v>
      </c>
      <c r="X313" s="34"/>
      <c r="Y313" s="34" t="s">
        <v>64</v>
      </c>
      <c r="Z313"/>
      <c r="AD313"/>
      <c r="AE313"/>
      <c r="AF313"/>
      <c r="AG313"/>
    </row>
    <row r="314" spans="1:33" ht="16.149999999999999" customHeight="1" x14ac:dyDescent="0.15">
      <c r="A314" s="6">
        <v>308</v>
      </c>
      <c r="B314" s="18" t="s">
        <v>75</v>
      </c>
      <c r="C314" s="34" t="s">
        <v>57</v>
      </c>
      <c r="D314" s="15" t="s">
        <v>1024</v>
      </c>
      <c r="E314" s="2" t="s">
        <v>219</v>
      </c>
      <c r="F314" s="19">
        <v>15305</v>
      </c>
      <c r="G314" s="103"/>
      <c r="H314" s="6" t="s">
        <v>1025</v>
      </c>
      <c r="I314" s="104"/>
      <c r="J314" s="105"/>
      <c r="K314" s="105"/>
      <c r="L314" s="38"/>
      <c r="M314" s="6" t="s">
        <v>61</v>
      </c>
      <c r="N314" s="38"/>
      <c r="O314" s="38" t="s">
        <v>62</v>
      </c>
      <c r="P314" s="38" t="s">
        <v>62</v>
      </c>
      <c r="Q314" s="38" t="s">
        <v>62</v>
      </c>
      <c r="R314" s="38" t="s">
        <v>62</v>
      </c>
      <c r="S314" s="34"/>
      <c r="T314" s="108"/>
      <c r="U314" s="34"/>
      <c r="V314" s="34"/>
      <c r="W314" s="36" t="s">
        <v>1026</v>
      </c>
      <c r="X314" s="34"/>
      <c r="Y314" s="34"/>
      <c r="Z314"/>
      <c r="AD314"/>
      <c r="AE314"/>
      <c r="AF314"/>
      <c r="AG314"/>
    </row>
    <row r="315" spans="1:33" ht="16.149999999999999" customHeight="1" x14ac:dyDescent="0.15">
      <c r="A315" s="6">
        <v>309</v>
      </c>
      <c r="B315" s="18" t="s">
        <v>75</v>
      </c>
      <c r="C315" s="34" t="s">
        <v>57</v>
      </c>
      <c r="D315" s="113" t="s">
        <v>1027</v>
      </c>
      <c r="E315" s="77" t="s">
        <v>169</v>
      </c>
      <c r="F315" s="19">
        <v>15305</v>
      </c>
      <c r="G315" s="6">
        <v>0</v>
      </c>
      <c r="H315" s="6" t="s">
        <v>1028</v>
      </c>
      <c r="I315" s="116"/>
      <c r="J315" s="6" t="s">
        <v>171</v>
      </c>
      <c r="K315" s="6" t="s">
        <v>177</v>
      </c>
      <c r="L315" s="38" t="s">
        <v>173</v>
      </c>
      <c r="M315" s="6"/>
      <c r="N315" s="113"/>
      <c r="O315" s="45" t="s">
        <v>62</v>
      </c>
      <c r="P315" s="2" t="s">
        <v>62</v>
      </c>
      <c r="Q315" s="38" t="s">
        <v>62</v>
      </c>
      <c r="R315" s="36" t="s">
        <v>62</v>
      </c>
      <c r="S315" s="34"/>
      <c r="T315" s="117"/>
      <c r="U315" s="34"/>
      <c r="V315" s="33"/>
      <c r="W315" s="33" t="s">
        <v>1029</v>
      </c>
      <c r="X315" s="33"/>
      <c r="Y315" s="33"/>
      <c r="Z315"/>
      <c r="AD315"/>
      <c r="AE315"/>
      <c r="AF315"/>
      <c r="AG315"/>
    </row>
    <row r="316" spans="1:33" ht="16.149999999999999" customHeight="1" x14ac:dyDescent="0.15">
      <c r="A316" s="6">
        <v>310</v>
      </c>
      <c r="B316" s="18" t="s">
        <v>75</v>
      </c>
      <c r="C316" s="34" t="s">
        <v>57</v>
      </c>
      <c r="D316" s="113" t="s">
        <v>1030</v>
      </c>
      <c r="E316" s="77" t="s">
        <v>169</v>
      </c>
      <c r="F316" s="19">
        <v>15305</v>
      </c>
      <c r="G316" s="6">
        <v>1</v>
      </c>
      <c r="H316" s="6" t="s">
        <v>1031</v>
      </c>
      <c r="I316" s="116"/>
      <c r="J316" s="6" t="s">
        <v>171</v>
      </c>
      <c r="K316" s="6" t="s">
        <v>177</v>
      </c>
      <c r="L316" s="38" t="s">
        <v>173</v>
      </c>
      <c r="M316" s="2"/>
      <c r="N316" s="113"/>
      <c r="O316" s="45" t="s">
        <v>62</v>
      </c>
      <c r="P316" s="2" t="s">
        <v>62</v>
      </c>
      <c r="Q316" s="38" t="s">
        <v>62</v>
      </c>
      <c r="R316" s="36" t="s">
        <v>62</v>
      </c>
      <c r="S316" s="34"/>
      <c r="T316" s="117"/>
      <c r="U316" s="34"/>
      <c r="V316" s="33"/>
      <c r="W316" s="33" t="s">
        <v>1032</v>
      </c>
      <c r="X316" s="33"/>
      <c r="Y316" s="33"/>
      <c r="Z316"/>
      <c r="AD316"/>
      <c r="AE316"/>
      <c r="AF316"/>
      <c r="AG316"/>
    </row>
    <row r="317" spans="1:33" ht="16.149999999999999" customHeight="1" x14ac:dyDescent="0.15">
      <c r="A317" s="6">
        <v>311</v>
      </c>
      <c r="B317" s="18" t="s">
        <v>75</v>
      </c>
      <c r="C317" s="34" t="s">
        <v>57</v>
      </c>
      <c r="D317" s="113" t="s">
        <v>1033</v>
      </c>
      <c r="E317" s="77" t="s">
        <v>169</v>
      </c>
      <c r="F317" s="19">
        <v>15305</v>
      </c>
      <c r="G317" s="6">
        <v>2</v>
      </c>
      <c r="H317" s="6" t="s">
        <v>1034</v>
      </c>
      <c r="I317" s="116"/>
      <c r="J317" s="6" t="s">
        <v>171</v>
      </c>
      <c r="K317" s="6" t="s">
        <v>177</v>
      </c>
      <c r="L317" s="38" t="s">
        <v>173</v>
      </c>
      <c r="M317" s="2"/>
      <c r="N317" s="113"/>
      <c r="O317" s="45" t="s">
        <v>62</v>
      </c>
      <c r="P317" s="2" t="s">
        <v>62</v>
      </c>
      <c r="Q317" s="38" t="s">
        <v>62</v>
      </c>
      <c r="R317" s="36" t="s">
        <v>62</v>
      </c>
      <c r="S317" s="34"/>
      <c r="T317" s="117"/>
      <c r="U317" s="34"/>
      <c r="V317" s="33"/>
      <c r="W317" s="33" t="s">
        <v>1035</v>
      </c>
      <c r="X317" s="33"/>
      <c r="Y317" s="33"/>
      <c r="Z317"/>
      <c r="AD317"/>
      <c r="AE317"/>
      <c r="AF317"/>
      <c r="AG317"/>
    </row>
    <row r="318" spans="1:33" ht="16.149999999999999" customHeight="1" x14ac:dyDescent="0.15">
      <c r="A318" s="6">
        <v>312</v>
      </c>
      <c r="B318" s="18" t="s">
        <v>75</v>
      </c>
      <c r="C318" s="34" t="s">
        <v>57</v>
      </c>
      <c r="D318" s="113" t="s">
        <v>1036</v>
      </c>
      <c r="E318" s="77" t="s">
        <v>169</v>
      </c>
      <c r="F318" s="19">
        <v>15305</v>
      </c>
      <c r="G318" s="6">
        <v>3</v>
      </c>
      <c r="H318" s="6" t="s">
        <v>1037</v>
      </c>
      <c r="I318" s="116"/>
      <c r="J318" s="6" t="s">
        <v>171</v>
      </c>
      <c r="K318" s="6" t="s">
        <v>177</v>
      </c>
      <c r="L318" s="38" t="s">
        <v>173</v>
      </c>
      <c r="M318" s="2"/>
      <c r="N318" s="113"/>
      <c r="O318" s="45" t="s">
        <v>62</v>
      </c>
      <c r="P318" s="2" t="s">
        <v>62</v>
      </c>
      <c r="Q318" s="38" t="s">
        <v>62</v>
      </c>
      <c r="R318" s="36" t="s">
        <v>62</v>
      </c>
      <c r="S318" s="34"/>
      <c r="T318" s="117"/>
      <c r="U318" s="34"/>
      <c r="V318" s="33"/>
      <c r="W318" s="33" t="s">
        <v>1038</v>
      </c>
      <c r="X318" s="33"/>
      <c r="Y318" s="33"/>
      <c r="Z318"/>
      <c r="AD318"/>
      <c r="AE318"/>
      <c r="AF318"/>
      <c r="AG318"/>
    </row>
    <row r="319" spans="1:33" ht="16.149999999999999" customHeight="1" x14ac:dyDescent="0.15">
      <c r="A319" s="6">
        <v>313</v>
      </c>
      <c r="B319" s="18" t="s">
        <v>75</v>
      </c>
      <c r="C319" s="34" t="s">
        <v>57</v>
      </c>
      <c r="D319" s="113" t="s">
        <v>7241</v>
      </c>
      <c r="E319" s="77" t="s">
        <v>169</v>
      </c>
      <c r="F319" s="19">
        <v>15305</v>
      </c>
      <c r="G319" s="6">
        <v>4</v>
      </c>
      <c r="H319" s="6" t="s">
        <v>8114</v>
      </c>
      <c r="I319" s="116"/>
      <c r="J319" s="6" t="s">
        <v>171</v>
      </c>
      <c r="K319" s="6" t="s">
        <v>177</v>
      </c>
      <c r="L319" s="38" t="s">
        <v>173</v>
      </c>
      <c r="M319" s="2"/>
      <c r="N319" s="113"/>
      <c r="O319" s="45" t="s">
        <v>62</v>
      </c>
      <c r="P319" s="2" t="s">
        <v>62</v>
      </c>
      <c r="Q319" s="38" t="s">
        <v>62</v>
      </c>
      <c r="R319" s="36" t="s">
        <v>62</v>
      </c>
      <c r="S319" s="34"/>
      <c r="T319" s="117"/>
      <c r="U319" s="34"/>
      <c r="V319" s="33"/>
      <c r="W319" s="33" t="s">
        <v>8271</v>
      </c>
      <c r="X319" s="33"/>
      <c r="Y319" s="33"/>
      <c r="Z319"/>
      <c r="AD319"/>
      <c r="AE319"/>
      <c r="AF319"/>
      <c r="AG319"/>
    </row>
    <row r="320" spans="1:33" ht="16.149999999999999" customHeight="1" x14ac:dyDescent="0.15">
      <c r="A320" s="6">
        <v>314</v>
      </c>
      <c r="B320" s="18" t="s">
        <v>75</v>
      </c>
      <c r="C320" s="34" t="s">
        <v>57</v>
      </c>
      <c r="D320" s="113" t="s">
        <v>7242</v>
      </c>
      <c r="E320" s="77" t="s">
        <v>169</v>
      </c>
      <c r="F320" s="19">
        <v>15305</v>
      </c>
      <c r="G320" s="6">
        <v>5</v>
      </c>
      <c r="H320" s="6" t="s">
        <v>8115</v>
      </c>
      <c r="I320" s="116"/>
      <c r="J320" s="6" t="s">
        <v>171</v>
      </c>
      <c r="K320" s="6" t="s">
        <v>177</v>
      </c>
      <c r="L320" s="38" t="s">
        <v>173</v>
      </c>
      <c r="M320" s="2"/>
      <c r="N320" s="113"/>
      <c r="O320" s="45" t="s">
        <v>62</v>
      </c>
      <c r="P320" s="2" t="s">
        <v>62</v>
      </c>
      <c r="Q320" s="38" t="s">
        <v>62</v>
      </c>
      <c r="R320" s="36" t="s">
        <v>62</v>
      </c>
      <c r="S320" s="34"/>
      <c r="T320" s="117"/>
      <c r="U320" s="34"/>
      <c r="V320" s="33"/>
      <c r="W320" s="33" t="s">
        <v>8272</v>
      </c>
      <c r="X320" s="33"/>
      <c r="Y320" s="33"/>
      <c r="Z320"/>
      <c r="AD320"/>
      <c r="AE320"/>
      <c r="AF320"/>
      <c r="AG320"/>
    </row>
    <row r="321" spans="1:33" ht="16.149999999999999" customHeight="1" x14ac:dyDescent="0.15">
      <c r="A321" s="6">
        <v>315</v>
      </c>
      <c r="B321" s="18" t="s">
        <v>75</v>
      </c>
      <c r="C321" s="34" t="s">
        <v>57</v>
      </c>
      <c r="D321" s="113" t="s">
        <v>7243</v>
      </c>
      <c r="E321" s="77" t="s">
        <v>169</v>
      </c>
      <c r="F321" s="19">
        <v>15305</v>
      </c>
      <c r="G321" s="6">
        <v>6</v>
      </c>
      <c r="H321" s="6" t="s">
        <v>8116</v>
      </c>
      <c r="I321" s="116"/>
      <c r="J321" s="6" t="s">
        <v>171</v>
      </c>
      <c r="K321" s="6" t="s">
        <v>177</v>
      </c>
      <c r="L321" s="38" t="s">
        <v>173</v>
      </c>
      <c r="M321" s="2"/>
      <c r="N321" s="113"/>
      <c r="O321" s="45" t="s">
        <v>62</v>
      </c>
      <c r="P321" s="2" t="s">
        <v>62</v>
      </c>
      <c r="Q321" s="38" t="s">
        <v>62</v>
      </c>
      <c r="R321" s="36" t="s">
        <v>62</v>
      </c>
      <c r="S321" s="34"/>
      <c r="T321" s="117"/>
      <c r="U321" s="34"/>
      <c r="V321" s="33"/>
      <c r="W321" s="33" t="s">
        <v>8273</v>
      </c>
      <c r="X321" s="33"/>
      <c r="Y321" s="33"/>
      <c r="Z321"/>
      <c r="AD321"/>
      <c r="AE321"/>
      <c r="AF321"/>
      <c r="AG321"/>
    </row>
    <row r="322" spans="1:33" ht="16.149999999999999" customHeight="1" x14ac:dyDescent="0.15">
      <c r="A322" s="6">
        <v>316</v>
      </c>
      <c r="B322" s="18" t="s">
        <v>75</v>
      </c>
      <c r="C322" s="34" t="s">
        <v>57</v>
      </c>
      <c r="D322" s="113" t="s">
        <v>1039</v>
      </c>
      <c r="E322" s="77" t="s">
        <v>169</v>
      </c>
      <c r="F322" s="19">
        <v>15305</v>
      </c>
      <c r="G322" s="6">
        <v>7</v>
      </c>
      <c r="H322" s="6" t="s">
        <v>1040</v>
      </c>
      <c r="I322" s="116"/>
      <c r="J322" s="6" t="s">
        <v>171</v>
      </c>
      <c r="K322" s="6" t="s">
        <v>177</v>
      </c>
      <c r="L322" s="38" t="s">
        <v>173</v>
      </c>
      <c r="M322" s="2"/>
      <c r="N322" s="113"/>
      <c r="O322" s="45" t="s">
        <v>62</v>
      </c>
      <c r="P322" s="2" t="s">
        <v>62</v>
      </c>
      <c r="Q322" s="38" t="s">
        <v>62</v>
      </c>
      <c r="R322" s="36" t="s">
        <v>62</v>
      </c>
      <c r="S322" s="34"/>
      <c r="T322" s="117"/>
      <c r="U322" s="34"/>
      <c r="V322" s="33"/>
      <c r="W322" s="33" t="s">
        <v>1041</v>
      </c>
      <c r="X322" s="33"/>
      <c r="Y322" s="33"/>
      <c r="Z322"/>
      <c r="AD322"/>
      <c r="AE322"/>
      <c r="AF322"/>
      <c r="AG322"/>
    </row>
    <row r="323" spans="1:33" ht="16.149999999999999" customHeight="1" x14ac:dyDescent="0.15">
      <c r="A323" s="6">
        <v>317</v>
      </c>
      <c r="B323" s="18" t="s">
        <v>75</v>
      </c>
      <c r="C323" s="34" t="s">
        <v>57</v>
      </c>
      <c r="D323" s="113" t="s">
        <v>7244</v>
      </c>
      <c r="E323" s="77" t="s">
        <v>169</v>
      </c>
      <c r="F323" s="19">
        <v>15305</v>
      </c>
      <c r="G323" s="6">
        <v>8</v>
      </c>
      <c r="H323" s="6" t="s">
        <v>8117</v>
      </c>
      <c r="I323" s="116"/>
      <c r="J323" s="6" t="s">
        <v>171</v>
      </c>
      <c r="K323" s="6" t="s">
        <v>177</v>
      </c>
      <c r="L323" s="38" t="s">
        <v>173</v>
      </c>
      <c r="M323" s="2"/>
      <c r="N323" s="113"/>
      <c r="O323" s="45" t="s">
        <v>62</v>
      </c>
      <c r="P323" s="2" t="s">
        <v>62</v>
      </c>
      <c r="Q323" s="38" t="s">
        <v>62</v>
      </c>
      <c r="R323" s="36" t="s">
        <v>62</v>
      </c>
      <c r="S323" s="34"/>
      <c r="T323" s="117"/>
      <c r="U323" s="34"/>
      <c r="V323" s="33"/>
      <c r="W323" s="33" t="s">
        <v>8274</v>
      </c>
      <c r="X323" s="33"/>
      <c r="Y323" s="33"/>
      <c r="Z323"/>
      <c r="AD323"/>
      <c r="AE323"/>
      <c r="AF323"/>
      <c r="AG323"/>
    </row>
    <row r="324" spans="1:33" ht="16.149999999999999" customHeight="1" x14ac:dyDescent="0.15">
      <c r="A324" s="6">
        <v>318</v>
      </c>
      <c r="B324" s="18" t="s">
        <v>75</v>
      </c>
      <c r="C324" s="34" t="s">
        <v>57</v>
      </c>
      <c r="D324" s="113" t="s">
        <v>1042</v>
      </c>
      <c r="E324" s="77" t="s">
        <v>169</v>
      </c>
      <c r="F324" s="19">
        <v>15305</v>
      </c>
      <c r="G324" s="6">
        <v>9</v>
      </c>
      <c r="H324" s="6" t="s">
        <v>1043</v>
      </c>
      <c r="I324" s="116"/>
      <c r="J324" s="6" t="s">
        <v>171</v>
      </c>
      <c r="K324" s="6" t="s">
        <v>177</v>
      </c>
      <c r="L324" s="38" t="s">
        <v>173</v>
      </c>
      <c r="M324" s="2"/>
      <c r="N324" s="113"/>
      <c r="O324" s="45" t="s">
        <v>62</v>
      </c>
      <c r="P324" s="2" t="s">
        <v>62</v>
      </c>
      <c r="Q324" s="38" t="s">
        <v>62</v>
      </c>
      <c r="R324" s="36" t="s">
        <v>62</v>
      </c>
      <c r="S324" s="34"/>
      <c r="T324" s="117"/>
      <c r="U324" s="34"/>
      <c r="V324" s="33"/>
      <c r="W324" s="33" t="s">
        <v>1044</v>
      </c>
      <c r="X324" s="33"/>
      <c r="Y324" s="33"/>
      <c r="Z324"/>
      <c r="AD324"/>
      <c r="AE324"/>
      <c r="AF324"/>
      <c r="AG324"/>
    </row>
    <row r="325" spans="1:33" ht="16.149999999999999" customHeight="1" x14ac:dyDescent="0.15">
      <c r="A325" s="6">
        <v>319</v>
      </c>
      <c r="B325" s="18" t="s">
        <v>75</v>
      </c>
      <c r="C325" s="34" t="s">
        <v>57</v>
      </c>
      <c r="D325" s="113" t="s">
        <v>1045</v>
      </c>
      <c r="E325" s="77" t="s">
        <v>169</v>
      </c>
      <c r="F325" s="19">
        <v>15305</v>
      </c>
      <c r="G325" s="6">
        <v>10</v>
      </c>
      <c r="H325" s="6" t="s">
        <v>1046</v>
      </c>
      <c r="I325" s="116"/>
      <c r="J325" s="6" t="s">
        <v>171</v>
      </c>
      <c r="K325" s="6" t="s">
        <v>177</v>
      </c>
      <c r="L325" s="38" t="s">
        <v>173</v>
      </c>
      <c r="M325" s="2"/>
      <c r="N325" s="113"/>
      <c r="O325" s="45" t="s">
        <v>62</v>
      </c>
      <c r="P325" s="2" t="s">
        <v>62</v>
      </c>
      <c r="Q325" s="38" t="s">
        <v>62</v>
      </c>
      <c r="R325" s="36" t="s">
        <v>62</v>
      </c>
      <c r="S325" s="34"/>
      <c r="T325" s="117"/>
      <c r="U325" s="34"/>
      <c r="V325" s="33"/>
      <c r="W325" s="33" t="s">
        <v>1047</v>
      </c>
      <c r="X325" s="33"/>
      <c r="Y325" s="33"/>
      <c r="Z325"/>
      <c r="AD325"/>
      <c r="AE325"/>
      <c r="AF325"/>
      <c r="AG325"/>
    </row>
    <row r="326" spans="1:33" ht="16.149999999999999" customHeight="1" x14ac:dyDescent="0.15">
      <c r="A326" s="6">
        <v>320</v>
      </c>
      <c r="B326" s="18" t="s">
        <v>75</v>
      </c>
      <c r="C326" s="34" t="s">
        <v>57</v>
      </c>
      <c r="D326" s="113" t="s">
        <v>1048</v>
      </c>
      <c r="E326" s="77" t="s">
        <v>169</v>
      </c>
      <c r="F326" s="19">
        <v>15305</v>
      </c>
      <c r="G326" s="6">
        <v>11</v>
      </c>
      <c r="H326" s="6" t="s">
        <v>1049</v>
      </c>
      <c r="I326" s="116"/>
      <c r="J326" s="6" t="s">
        <v>171</v>
      </c>
      <c r="K326" s="6" t="s">
        <v>177</v>
      </c>
      <c r="L326" s="38" t="s">
        <v>173</v>
      </c>
      <c r="M326" s="2"/>
      <c r="N326" s="113"/>
      <c r="O326" s="45" t="s">
        <v>62</v>
      </c>
      <c r="P326" s="2" t="s">
        <v>62</v>
      </c>
      <c r="Q326" s="38" t="s">
        <v>62</v>
      </c>
      <c r="R326" s="36" t="s">
        <v>62</v>
      </c>
      <c r="S326" s="34"/>
      <c r="T326" s="117"/>
      <c r="U326" s="34"/>
      <c r="V326" s="33"/>
      <c r="W326" s="33" t="s">
        <v>1050</v>
      </c>
      <c r="X326" s="33"/>
      <c r="Y326" s="33"/>
      <c r="Z326"/>
      <c r="AD326"/>
      <c r="AE326"/>
      <c r="AF326"/>
      <c r="AG326"/>
    </row>
    <row r="327" spans="1:33" ht="16.149999999999999" customHeight="1" x14ac:dyDescent="0.15">
      <c r="A327" s="6">
        <v>321</v>
      </c>
      <c r="B327" s="18" t="s">
        <v>75</v>
      </c>
      <c r="C327" s="34" t="s">
        <v>57</v>
      </c>
      <c r="D327" s="113" t="s">
        <v>7245</v>
      </c>
      <c r="E327" s="77" t="s">
        <v>169</v>
      </c>
      <c r="F327" s="19">
        <v>15305</v>
      </c>
      <c r="G327" s="6">
        <v>12</v>
      </c>
      <c r="H327" s="6" t="s">
        <v>8118</v>
      </c>
      <c r="I327" s="116"/>
      <c r="J327" s="6" t="s">
        <v>171</v>
      </c>
      <c r="K327" s="6" t="s">
        <v>177</v>
      </c>
      <c r="L327" s="38" t="s">
        <v>173</v>
      </c>
      <c r="M327" s="2"/>
      <c r="N327" s="113"/>
      <c r="O327" s="45" t="s">
        <v>62</v>
      </c>
      <c r="P327" s="2" t="s">
        <v>62</v>
      </c>
      <c r="Q327" s="38" t="s">
        <v>62</v>
      </c>
      <c r="R327" s="36" t="s">
        <v>62</v>
      </c>
      <c r="S327" s="34"/>
      <c r="T327" s="117"/>
      <c r="U327" s="34"/>
      <c r="V327" s="33"/>
      <c r="W327" s="33" t="s">
        <v>8275</v>
      </c>
      <c r="X327" s="33"/>
      <c r="Y327" s="33"/>
      <c r="Z327"/>
      <c r="AD327"/>
      <c r="AE327"/>
      <c r="AF327"/>
      <c r="AG327"/>
    </row>
    <row r="328" spans="1:33" ht="16.149999999999999" customHeight="1" x14ac:dyDescent="0.15">
      <c r="A328" s="6">
        <v>322</v>
      </c>
      <c r="B328" s="18" t="s">
        <v>75</v>
      </c>
      <c r="C328" s="34" t="s">
        <v>57</v>
      </c>
      <c r="D328" s="113" t="s">
        <v>7246</v>
      </c>
      <c r="E328" s="77" t="s">
        <v>169</v>
      </c>
      <c r="F328" s="19">
        <v>15305</v>
      </c>
      <c r="G328" s="6">
        <v>13</v>
      </c>
      <c r="H328" s="6" t="s">
        <v>8119</v>
      </c>
      <c r="I328" s="116"/>
      <c r="J328" s="6" t="s">
        <v>171</v>
      </c>
      <c r="K328" s="6" t="s">
        <v>177</v>
      </c>
      <c r="L328" s="38" t="s">
        <v>173</v>
      </c>
      <c r="M328" s="2"/>
      <c r="N328" s="113"/>
      <c r="O328" s="45" t="s">
        <v>62</v>
      </c>
      <c r="P328" s="2" t="s">
        <v>62</v>
      </c>
      <c r="Q328" s="38" t="s">
        <v>62</v>
      </c>
      <c r="R328" s="36" t="s">
        <v>62</v>
      </c>
      <c r="S328" s="34"/>
      <c r="T328" s="117"/>
      <c r="U328" s="34"/>
      <c r="V328" s="33"/>
      <c r="W328" s="33" t="s">
        <v>8276</v>
      </c>
      <c r="X328" s="33"/>
      <c r="Y328" s="33"/>
      <c r="Z328"/>
      <c r="AD328"/>
      <c r="AE328"/>
      <c r="AF328"/>
      <c r="AG328"/>
    </row>
    <row r="329" spans="1:33" ht="16.149999999999999" customHeight="1" x14ac:dyDescent="0.15">
      <c r="A329" s="6">
        <v>323</v>
      </c>
      <c r="B329" s="18" t="s">
        <v>75</v>
      </c>
      <c r="C329" s="34" t="s">
        <v>57</v>
      </c>
      <c r="D329" s="113" t="s">
        <v>1051</v>
      </c>
      <c r="E329" s="77" t="s">
        <v>169</v>
      </c>
      <c r="F329" s="19">
        <v>15305</v>
      </c>
      <c r="G329" s="6">
        <v>14</v>
      </c>
      <c r="H329" s="6" t="s">
        <v>1052</v>
      </c>
      <c r="I329" s="116"/>
      <c r="J329" s="6" t="s">
        <v>171</v>
      </c>
      <c r="K329" s="6" t="s">
        <v>177</v>
      </c>
      <c r="L329" s="38" t="s">
        <v>173</v>
      </c>
      <c r="M329" s="2"/>
      <c r="N329" s="113"/>
      <c r="O329" s="45" t="s">
        <v>62</v>
      </c>
      <c r="P329" s="2" t="s">
        <v>62</v>
      </c>
      <c r="Q329" s="38" t="s">
        <v>62</v>
      </c>
      <c r="R329" s="36" t="s">
        <v>62</v>
      </c>
      <c r="S329" s="34"/>
      <c r="T329" s="117"/>
      <c r="U329" s="34"/>
      <c r="V329" s="33"/>
      <c r="W329" s="33" t="s">
        <v>1053</v>
      </c>
      <c r="X329" s="33"/>
      <c r="Y329" s="33"/>
      <c r="Z329"/>
      <c r="AD329"/>
      <c r="AE329"/>
      <c r="AF329"/>
      <c r="AG329"/>
    </row>
    <row r="330" spans="1:33" ht="16.149999999999999" customHeight="1" x14ac:dyDescent="0.15">
      <c r="A330" s="6">
        <v>324</v>
      </c>
      <c r="B330" s="18" t="s">
        <v>75</v>
      </c>
      <c r="C330" s="34" t="s">
        <v>57</v>
      </c>
      <c r="D330" s="113" t="s">
        <v>7247</v>
      </c>
      <c r="E330" s="77" t="s">
        <v>169</v>
      </c>
      <c r="F330" s="19">
        <v>15305</v>
      </c>
      <c r="G330" s="6">
        <v>15</v>
      </c>
      <c r="H330" s="6" t="s">
        <v>8120</v>
      </c>
      <c r="I330" s="116"/>
      <c r="J330" s="6" t="s">
        <v>171</v>
      </c>
      <c r="K330" s="6" t="s">
        <v>177</v>
      </c>
      <c r="L330" s="38" t="s">
        <v>173</v>
      </c>
      <c r="M330" s="2"/>
      <c r="N330" s="113"/>
      <c r="O330" s="45" t="s">
        <v>62</v>
      </c>
      <c r="P330" s="2" t="s">
        <v>62</v>
      </c>
      <c r="Q330" s="38" t="s">
        <v>62</v>
      </c>
      <c r="R330" s="36" t="s">
        <v>62</v>
      </c>
      <c r="S330" s="34"/>
      <c r="T330" s="117"/>
      <c r="U330" s="34"/>
      <c r="V330" s="33"/>
      <c r="W330" s="33" t="s">
        <v>8277</v>
      </c>
      <c r="X330" s="33"/>
      <c r="Y330" s="33"/>
      <c r="Z330"/>
      <c r="AD330"/>
      <c r="AE330"/>
      <c r="AF330"/>
      <c r="AG330"/>
    </row>
    <row r="331" spans="1:33" ht="16.149999999999999" customHeight="1" x14ac:dyDescent="0.15">
      <c r="A331" s="6">
        <v>325</v>
      </c>
      <c r="B331" s="18" t="s">
        <v>75</v>
      </c>
      <c r="C331" s="34" t="s">
        <v>57</v>
      </c>
      <c r="D331" s="113" t="s">
        <v>1054</v>
      </c>
      <c r="E331" s="77" t="s">
        <v>169</v>
      </c>
      <c r="F331" s="19">
        <v>15305</v>
      </c>
      <c r="G331" s="6">
        <v>17</v>
      </c>
      <c r="H331" s="6" t="s">
        <v>1055</v>
      </c>
      <c r="I331" s="116"/>
      <c r="J331" s="6" t="s">
        <v>171</v>
      </c>
      <c r="K331" s="6" t="s">
        <v>177</v>
      </c>
      <c r="L331" s="38" t="s">
        <v>173</v>
      </c>
      <c r="M331" s="2"/>
      <c r="N331" s="113"/>
      <c r="O331" s="45" t="s">
        <v>62</v>
      </c>
      <c r="P331" s="2" t="s">
        <v>62</v>
      </c>
      <c r="Q331" s="38" t="s">
        <v>62</v>
      </c>
      <c r="R331" s="36" t="s">
        <v>62</v>
      </c>
      <c r="S331" s="34"/>
      <c r="T331" s="117"/>
      <c r="U331" s="34"/>
      <c r="V331" s="33"/>
      <c r="W331" s="33" t="s">
        <v>1056</v>
      </c>
      <c r="X331" s="33"/>
      <c r="Y331" s="33"/>
      <c r="Z331"/>
      <c r="AD331"/>
      <c r="AE331"/>
      <c r="AF331"/>
      <c r="AG331"/>
    </row>
    <row r="332" spans="1:33" ht="16.149999999999999" customHeight="1" x14ac:dyDescent="0.15">
      <c r="A332" s="6">
        <v>326</v>
      </c>
      <c r="B332" s="18" t="s">
        <v>75</v>
      </c>
      <c r="C332" s="34" t="s">
        <v>57</v>
      </c>
      <c r="D332" s="113" t="s">
        <v>1057</v>
      </c>
      <c r="E332" s="77" t="s">
        <v>169</v>
      </c>
      <c r="F332" s="19">
        <v>15305</v>
      </c>
      <c r="G332" s="6">
        <v>18</v>
      </c>
      <c r="H332" s="6" t="s">
        <v>1058</v>
      </c>
      <c r="I332" s="116"/>
      <c r="J332" s="6" t="s">
        <v>171</v>
      </c>
      <c r="K332" s="6" t="s">
        <v>177</v>
      </c>
      <c r="L332" s="38" t="s">
        <v>173</v>
      </c>
      <c r="M332" s="2"/>
      <c r="N332" s="113"/>
      <c r="O332" s="45" t="s">
        <v>62</v>
      </c>
      <c r="P332" s="2" t="s">
        <v>62</v>
      </c>
      <c r="Q332" s="38" t="s">
        <v>62</v>
      </c>
      <c r="R332" s="36" t="s">
        <v>62</v>
      </c>
      <c r="S332" s="34"/>
      <c r="T332" s="117"/>
      <c r="U332" s="34"/>
      <c r="V332" s="33"/>
      <c r="W332" s="33" t="s">
        <v>1059</v>
      </c>
      <c r="X332" s="33"/>
      <c r="Y332" s="33"/>
      <c r="Z332"/>
      <c r="AD332"/>
      <c r="AE332"/>
      <c r="AF332"/>
      <c r="AG332"/>
    </row>
    <row r="333" spans="1:33" ht="16.149999999999999" customHeight="1" x14ac:dyDescent="0.15">
      <c r="A333" s="6">
        <v>327</v>
      </c>
      <c r="B333" s="18" t="s">
        <v>75</v>
      </c>
      <c r="C333" s="34" t="s">
        <v>57</v>
      </c>
      <c r="D333" s="113" t="s">
        <v>7248</v>
      </c>
      <c r="E333" s="77" t="s">
        <v>169</v>
      </c>
      <c r="F333" s="19">
        <v>15305</v>
      </c>
      <c r="G333" s="6">
        <v>19</v>
      </c>
      <c r="H333" s="6" t="s">
        <v>8121</v>
      </c>
      <c r="I333" s="116"/>
      <c r="J333" s="6" t="s">
        <v>171</v>
      </c>
      <c r="K333" s="6" t="s">
        <v>177</v>
      </c>
      <c r="L333" s="38" t="s">
        <v>173</v>
      </c>
      <c r="M333" s="2"/>
      <c r="N333" s="113"/>
      <c r="O333" s="45" t="s">
        <v>62</v>
      </c>
      <c r="P333" s="2" t="s">
        <v>62</v>
      </c>
      <c r="Q333" s="38" t="s">
        <v>62</v>
      </c>
      <c r="R333" s="36" t="s">
        <v>62</v>
      </c>
      <c r="S333" s="34"/>
      <c r="T333" s="117"/>
      <c r="U333" s="34"/>
      <c r="V333" s="33"/>
      <c r="W333" s="33" t="s">
        <v>8278</v>
      </c>
      <c r="X333" s="33"/>
      <c r="Y333" s="33"/>
      <c r="Z333"/>
      <c r="AD333"/>
      <c r="AE333"/>
      <c r="AF333"/>
      <c r="AG333"/>
    </row>
    <row r="334" spans="1:33" ht="16.149999999999999" customHeight="1" x14ac:dyDescent="0.15">
      <c r="A334" s="6">
        <v>328</v>
      </c>
      <c r="B334" s="18" t="s">
        <v>75</v>
      </c>
      <c r="C334" s="34" t="s">
        <v>57</v>
      </c>
      <c r="D334" s="113" t="s">
        <v>7249</v>
      </c>
      <c r="E334" s="77" t="s">
        <v>169</v>
      </c>
      <c r="F334" s="19">
        <v>15305</v>
      </c>
      <c r="G334" s="6">
        <v>20</v>
      </c>
      <c r="H334" s="6" t="s">
        <v>8122</v>
      </c>
      <c r="I334" s="116"/>
      <c r="J334" s="6" t="s">
        <v>171</v>
      </c>
      <c r="K334" s="6" t="s">
        <v>177</v>
      </c>
      <c r="L334" s="38" t="s">
        <v>173</v>
      </c>
      <c r="M334" s="2"/>
      <c r="N334" s="113"/>
      <c r="O334" s="45" t="s">
        <v>62</v>
      </c>
      <c r="P334" s="2" t="s">
        <v>62</v>
      </c>
      <c r="Q334" s="38" t="s">
        <v>62</v>
      </c>
      <c r="R334" s="36" t="s">
        <v>62</v>
      </c>
      <c r="S334" s="34"/>
      <c r="T334" s="117"/>
      <c r="U334" s="34"/>
      <c r="V334" s="33"/>
      <c r="W334" s="33" t="s">
        <v>8279</v>
      </c>
      <c r="X334" s="33"/>
      <c r="Y334" s="33"/>
      <c r="Z334"/>
      <c r="AD334"/>
      <c r="AE334"/>
      <c r="AF334"/>
      <c r="AG334"/>
    </row>
    <row r="335" spans="1:33" ht="16.149999999999999" customHeight="1" x14ac:dyDescent="0.15">
      <c r="A335" s="6">
        <v>329</v>
      </c>
      <c r="B335" s="18" t="s">
        <v>75</v>
      </c>
      <c r="C335" s="34" t="s">
        <v>57</v>
      </c>
      <c r="D335" s="113" t="s">
        <v>1060</v>
      </c>
      <c r="E335" s="77" t="s">
        <v>169</v>
      </c>
      <c r="F335" s="19">
        <v>15305</v>
      </c>
      <c r="G335" s="6">
        <v>21</v>
      </c>
      <c r="H335" s="6" t="s">
        <v>1061</v>
      </c>
      <c r="I335" s="116"/>
      <c r="J335" s="6" t="s">
        <v>171</v>
      </c>
      <c r="K335" s="6" t="s">
        <v>177</v>
      </c>
      <c r="L335" s="38" t="s">
        <v>173</v>
      </c>
      <c r="M335" s="2"/>
      <c r="N335" s="113"/>
      <c r="O335" s="45" t="s">
        <v>62</v>
      </c>
      <c r="P335" s="2" t="s">
        <v>62</v>
      </c>
      <c r="Q335" s="38" t="s">
        <v>62</v>
      </c>
      <c r="R335" s="36" t="s">
        <v>62</v>
      </c>
      <c r="S335" s="34"/>
      <c r="T335" s="117"/>
      <c r="U335" s="34"/>
      <c r="V335" s="33"/>
      <c r="W335" s="33" t="s">
        <v>1062</v>
      </c>
      <c r="X335" s="33"/>
      <c r="Y335" s="33"/>
      <c r="Z335"/>
      <c r="AD335"/>
      <c r="AE335"/>
      <c r="AF335"/>
      <c r="AG335"/>
    </row>
    <row r="336" spans="1:33" ht="16.149999999999999" customHeight="1" x14ac:dyDescent="0.15">
      <c r="A336" s="6">
        <v>330</v>
      </c>
      <c r="B336" s="18" t="s">
        <v>75</v>
      </c>
      <c r="C336" s="34" t="s">
        <v>57</v>
      </c>
      <c r="D336" s="113" t="s">
        <v>1063</v>
      </c>
      <c r="E336" s="77" t="s">
        <v>169</v>
      </c>
      <c r="F336" s="19">
        <v>15305</v>
      </c>
      <c r="G336" s="6">
        <v>22</v>
      </c>
      <c r="H336" s="6" t="s">
        <v>1064</v>
      </c>
      <c r="I336" s="116"/>
      <c r="J336" s="6" t="s">
        <v>171</v>
      </c>
      <c r="K336" s="6" t="s">
        <v>177</v>
      </c>
      <c r="L336" s="38" t="s">
        <v>173</v>
      </c>
      <c r="M336" s="2"/>
      <c r="N336" s="113"/>
      <c r="O336" s="45" t="s">
        <v>62</v>
      </c>
      <c r="P336" s="2" t="s">
        <v>62</v>
      </c>
      <c r="Q336" s="38" t="s">
        <v>62</v>
      </c>
      <c r="R336" s="36" t="s">
        <v>62</v>
      </c>
      <c r="S336" s="34"/>
      <c r="T336" s="117"/>
      <c r="U336" s="34"/>
      <c r="V336" s="33"/>
      <c r="W336" s="33" t="s">
        <v>1065</v>
      </c>
      <c r="X336" s="33"/>
      <c r="Y336" s="33"/>
      <c r="Z336"/>
      <c r="AD336"/>
      <c r="AE336"/>
      <c r="AF336"/>
      <c r="AG336"/>
    </row>
    <row r="337" spans="1:33" ht="16.149999999999999" customHeight="1" x14ac:dyDescent="0.15">
      <c r="A337" s="6">
        <v>331</v>
      </c>
      <c r="B337" s="18" t="s">
        <v>75</v>
      </c>
      <c r="C337" s="34" t="s">
        <v>57</v>
      </c>
      <c r="D337" s="113" t="s">
        <v>1066</v>
      </c>
      <c r="E337" s="77" t="s">
        <v>169</v>
      </c>
      <c r="F337" s="19">
        <v>15305</v>
      </c>
      <c r="G337" s="6">
        <v>23</v>
      </c>
      <c r="H337" s="6" t="s">
        <v>1067</v>
      </c>
      <c r="I337" s="116"/>
      <c r="J337" s="6" t="s">
        <v>171</v>
      </c>
      <c r="K337" s="6" t="s">
        <v>177</v>
      </c>
      <c r="L337" s="38" t="s">
        <v>173</v>
      </c>
      <c r="M337" s="2"/>
      <c r="N337" s="113"/>
      <c r="O337" s="45" t="s">
        <v>62</v>
      </c>
      <c r="P337" s="2" t="s">
        <v>62</v>
      </c>
      <c r="Q337" s="38" t="s">
        <v>62</v>
      </c>
      <c r="R337" s="36" t="s">
        <v>62</v>
      </c>
      <c r="S337" s="34"/>
      <c r="T337" s="117"/>
      <c r="U337" s="34"/>
      <c r="V337" s="33"/>
      <c r="W337" s="33" t="s">
        <v>1068</v>
      </c>
      <c r="X337" s="33"/>
      <c r="Y337" s="33"/>
      <c r="Z337"/>
      <c r="AD337"/>
      <c r="AE337"/>
      <c r="AF337"/>
      <c r="AG337"/>
    </row>
    <row r="338" spans="1:33" ht="16.149999999999999" customHeight="1" x14ac:dyDescent="0.15">
      <c r="A338" s="6">
        <v>332</v>
      </c>
      <c r="B338" s="18" t="s">
        <v>75</v>
      </c>
      <c r="C338" s="34" t="s">
        <v>57</v>
      </c>
      <c r="D338" s="113" t="s">
        <v>1069</v>
      </c>
      <c r="E338" s="77" t="s">
        <v>169</v>
      </c>
      <c r="F338" s="19">
        <v>15305</v>
      </c>
      <c r="G338" s="6">
        <v>24</v>
      </c>
      <c r="H338" s="6" t="s">
        <v>1070</v>
      </c>
      <c r="I338" s="116"/>
      <c r="J338" s="6" t="s">
        <v>171</v>
      </c>
      <c r="K338" s="6" t="s">
        <v>177</v>
      </c>
      <c r="L338" s="38" t="s">
        <v>173</v>
      </c>
      <c r="M338" s="2"/>
      <c r="N338" s="113"/>
      <c r="O338" s="45" t="s">
        <v>62</v>
      </c>
      <c r="P338" s="2" t="s">
        <v>62</v>
      </c>
      <c r="Q338" s="38" t="s">
        <v>62</v>
      </c>
      <c r="R338" s="36" t="s">
        <v>62</v>
      </c>
      <c r="S338" s="34"/>
      <c r="T338" s="117"/>
      <c r="U338" s="34"/>
      <c r="V338" s="33"/>
      <c r="W338" s="33" t="s">
        <v>1071</v>
      </c>
      <c r="X338" s="33"/>
      <c r="Y338" s="33"/>
      <c r="Z338"/>
      <c r="AD338"/>
      <c r="AE338"/>
      <c r="AF338"/>
      <c r="AG338"/>
    </row>
    <row r="339" spans="1:33" ht="16.149999999999999" customHeight="1" x14ac:dyDescent="0.15">
      <c r="A339" s="6">
        <v>333</v>
      </c>
      <c r="B339" s="18" t="s">
        <v>75</v>
      </c>
      <c r="C339" s="34" t="s">
        <v>57</v>
      </c>
      <c r="D339" s="113" t="s">
        <v>1072</v>
      </c>
      <c r="E339" s="77" t="s">
        <v>169</v>
      </c>
      <c r="F339" s="19">
        <v>15305</v>
      </c>
      <c r="G339" s="6">
        <v>25</v>
      </c>
      <c r="H339" s="6" t="s">
        <v>1073</v>
      </c>
      <c r="I339" s="116"/>
      <c r="J339" s="6" t="s">
        <v>171</v>
      </c>
      <c r="K339" s="6" t="s">
        <v>177</v>
      </c>
      <c r="L339" s="38" t="s">
        <v>173</v>
      </c>
      <c r="M339" s="2"/>
      <c r="N339" s="113"/>
      <c r="O339" s="45" t="s">
        <v>62</v>
      </c>
      <c r="P339" s="2" t="s">
        <v>62</v>
      </c>
      <c r="Q339" s="38" t="s">
        <v>62</v>
      </c>
      <c r="R339" s="36" t="s">
        <v>62</v>
      </c>
      <c r="S339" s="34"/>
      <c r="T339" s="117"/>
      <c r="U339" s="34"/>
      <c r="V339" s="33"/>
      <c r="W339" s="33" t="s">
        <v>1074</v>
      </c>
      <c r="X339" s="33"/>
      <c r="Y339" s="33"/>
      <c r="Z339"/>
      <c r="AD339"/>
      <c r="AE339"/>
      <c r="AF339"/>
      <c r="AG339"/>
    </row>
    <row r="340" spans="1:33" ht="16.149999999999999" customHeight="1" x14ac:dyDescent="0.15">
      <c r="A340" s="6">
        <v>334</v>
      </c>
      <c r="B340" s="18" t="s">
        <v>75</v>
      </c>
      <c r="C340" s="34" t="s">
        <v>57</v>
      </c>
      <c r="D340" s="113" t="s">
        <v>1075</v>
      </c>
      <c r="E340" s="77" t="s">
        <v>169</v>
      </c>
      <c r="F340" s="19">
        <v>15305</v>
      </c>
      <c r="G340" s="6">
        <v>26</v>
      </c>
      <c r="H340" s="6" t="s">
        <v>1076</v>
      </c>
      <c r="I340" s="116"/>
      <c r="J340" s="6" t="s">
        <v>171</v>
      </c>
      <c r="K340" s="6" t="s">
        <v>177</v>
      </c>
      <c r="L340" s="38" t="s">
        <v>173</v>
      </c>
      <c r="M340" s="2"/>
      <c r="N340" s="113"/>
      <c r="O340" s="45" t="s">
        <v>62</v>
      </c>
      <c r="P340" s="2" t="s">
        <v>62</v>
      </c>
      <c r="Q340" s="38" t="s">
        <v>62</v>
      </c>
      <c r="R340" s="36" t="s">
        <v>62</v>
      </c>
      <c r="S340" s="34"/>
      <c r="T340" s="117"/>
      <c r="U340" s="34"/>
      <c r="V340" s="33"/>
      <c r="W340" s="33" t="s">
        <v>1077</v>
      </c>
      <c r="X340" s="33"/>
      <c r="Y340" s="33"/>
      <c r="Z340"/>
      <c r="AD340"/>
      <c r="AE340"/>
      <c r="AF340"/>
      <c r="AG340"/>
    </row>
    <row r="341" spans="1:33" ht="16.149999999999999" customHeight="1" x14ac:dyDescent="0.15">
      <c r="A341" s="6">
        <v>335</v>
      </c>
      <c r="B341" s="18" t="s">
        <v>75</v>
      </c>
      <c r="C341" s="34" t="s">
        <v>57</v>
      </c>
      <c r="D341" s="113" t="s">
        <v>1078</v>
      </c>
      <c r="E341" s="77" t="s">
        <v>169</v>
      </c>
      <c r="F341" s="19">
        <v>15305</v>
      </c>
      <c r="G341" s="6">
        <v>27</v>
      </c>
      <c r="H341" s="6" t="s">
        <v>1079</v>
      </c>
      <c r="I341" s="116"/>
      <c r="J341" s="6" t="s">
        <v>171</v>
      </c>
      <c r="K341" s="6" t="s">
        <v>177</v>
      </c>
      <c r="L341" s="38" t="s">
        <v>173</v>
      </c>
      <c r="M341" s="2"/>
      <c r="N341" s="113"/>
      <c r="O341" s="45" t="s">
        <v>62</v>
      </c>
      <c r="P341" s="2" t="s">
        <v>62</v>
      </c>
      <c r="Q341" s="38" t="s">
        <v>62</v>
      </c>
      <c r="R341" s="36" t="s">
        <v>62</v>
      </c>
      <c r="S341" s="34"/>
      <c r="T341" s="117"/>
      <c r="U341" s="34"/>
      <c r="V341" s="33"/>
      <c r="W341" s="33" t="s">
        <v>1080</v>
      </c>
      <c r="X341" s="33"/>
      <c r="Y341" s="33"/>
      <c r="Z341"/>
      <c r="AD341"/>
      <c r="AE341"/>
      <c r="AF341"/>
      <c r="AG341"/>
    </row>
    <row r="342" spans="1:33" ht="16.149999999999999" customHeight="1" x14ac:dyDescent="0.15">
      <c r="A342" s="6">
        <v>336</v>
      </c>
      <c r="B342" s="18" t="s">
        <v>75</v>
      </c>
      <c r="C342" s="34" t="s">
        <v>57</v>
      </c>
      <c r="D342" s="113" t="s">
        <v>1081</v>
      </c>
      <c r="E342" s="77" t="s">
        <v>169</v>
      </c>
      <c r="F342" s="19">
        <v>15305</v>
      </c>
      <c r="G342" s="6">
        <v>28</v>
      </c>
      <c r="H342" s="6" t="s">
        <v>1082</v>
      </c>
      <c r="I342" s="116"/>
      <c r="J342" s="6" t="s">
        <v>171</v>
      </c>
      <c r="K342" s="6" t="s">
        <v>177</v>
      </c>
      <c r="L342" s="38" t="s">
        <v>173</v>
      </c>
      <c r="M342" s="2"/>
      <c r="N342" s="113"/>
      <c r="O342" s="45" t="s">
        <v>62</v>
      </c>
      <c r="P342" s="2" t="s">
        <v>62</v>
      </c>
      <c r="Q342" s="38" t="s">
        <v>62</v>
      </c>
      <c r="R342" s="36" t="s">
        <v>62</v>
      </c>
      <c r="S342" s="34"/>
      <c r="T342" s="117"/>
      <c r="U342" s="34"/>
      <c r="V342" s="33"/>
      <c r="W342" s="33" t="s">
        <v>1083</v>
      </c>
      <c r="X342" s="33"/>
      <c r="Y342" s="33"/>
      <c r="Z342"/>
      <c r="AD342"/>
      <c r="AE342"/>
      <c r="AF342"/>
      <c r="AG342"/>
    </row>
    <row r="343" spans="1:33" ht="16.149999999999999" customHeight="1" x14ac:dyDescent="0.15">
      <c r="A343" s="6">
        <v>337</v>
      </c>
      <c r="B343" s="18" t="s">
        <v>75</v>
      </c>
      <c r="C343" s="34" t="s">
        <v>57</v>
      </c>
      <c r="D343" s="113" t="s">
        <v>1084</v>
      </c>
      <c r="E343" s="77" t="s">
        <v>169</v>
      </c>
      <c r="F343" s="19">
        <v>15305</v>
      </c>
      <c r="G343" s="6">
        <v>29</v>
      </c>
      <c r="H343" s="6" t="s">
        <v>1085</v>
      </c>
      <c r="I343" s="116"/>
      <c r="J343" s="6" t="s">
        <v>171</v>
      </c>
      <c r="K343" s="6" t="s">
        <v>177</v>
      </c>
      <c r="L343" s="38" t="s">
        <v>173</v>
      </c>
      <c r="M343" s="6"/>
      <c r="N343" s="113"/>
      <c r="O343" s="45" t="s">
        <v>62</v>
      </c>
      <c r="P343" s="2" t="s">
        <v>62</v>
      </c>
      <c r="Q343" s="38" t="s">
        <v>62</v>
      </c>
      <c r="R343" s="36" t="s">
        <v>62</v>
      </c>
      <c r="S343" s="34"/>
      <c r="T343" s="117"/>
      <c r="U343" s="34"/>
      <c r="V343" s="33"/>
      <c r="W343" s="33" t="s">
        <v>1086</v>
      </c>
      <c r="X343" s="33"/>
      <c r="Y343" s="33"/>
      <c r="Z343"/>
      <c r="AD343"/>
      <c r="AE343"/>
      <c r="AF343"/>
      <c r="AG343"/>
    </row>
    <row r="344" spans="1:33" ht="16.149999999999999" customHeight="1" x14ac:dyDescent="0.15">
      <c r="A344" s="6">
        <v>338</v>
      </c>
      <c r="B344" s="18" t="s">
        <v>75</v>
      </c>
      <c r="C344" s="34" t="s">
        <v>57</v>
      </c>
      <c r="D344" s="15" t="s">
        <v>1087</v>
      </c>
      <c r="E344" s="2" t="s">
        <v>219</v>
      </c>
      <c r="F344" s="19">
        <v>15307</v>
      </c>
      <c r="G344" s="6"/>
      <c r="H344" s="6" t="s">
        <v>1088</v>
      </c>
      <c r="I344" s="2"/>
      <c r="J344" s="38"/>
      <c r="K344" s="105"/>
      <c r="L344" s="38"/>
      <c r="M344" s="6" t="s">
        <v>61</v>
      </c>
      <c r="N344" s="38"/>
      <c r="O344" s="38" t="s">
        <v>62</v>
      </c>
      <c r="P344" s="38" t="s">
        <v>62</v>
      </c>
      <c r="Q344" s="38" t="s">
        <v>62</v>
      </c>
      <c r="R344" s="38" t="s">
        <v>62</v>
      </c>
      <c r="S344" s="34"/>
      <c r="T344" s="34"/>
      <c r="U344" s="34"/>
      <c r="V344" s="34"/>
      <c r="W344" s="36" t="s">
        <v>1089</v>
      </c>
      <c r="X344" s="34"/>
      <c r="Y344" s="34"/>
      <c r="Z344"/>
      <c r="AD344"/>
      <c r="AE344"/>
      <c r="AF344"/>
      <c r="AG344"/>
    </row>
    <row r="345" spans="1:33" ht="16.149999999999999" customHeight="1" x14ac:dyDescent="0.15">
      <c r="A345" s="6">
        <v>339</v>
      </c>
      <c r="B345" s="18" t="s">
        <v>75</v>
      </c>
      <c r="C345" s="34" t="s">
        <v>57</v>
      </c>
      <c r="D345" s="43" t="s">
        <v>1090</v>
      </c>
      <c r="E345" s="77" t="s">
        <v>169</v>
      </c>
      <c r="F345" s="19">
        <v>15307</v>
      </c>
      <c r="G345" s="6">
        <v>0</v>
      </c>
      <c r="H345" s="6" t="s">
        <v>1091</v>
      </c>
      <c r="I345" s="2"/>
      <c r="J345" s="6" t="s">
        <v>171</v>
      </c>
      <c r="K345" s="6" t="s">
        <v>177</v>
      </c>
      <c r="L345" s="38" t="s">
        <v>173</v>
      </c>
      <c r="M345" s="6"/>
      <c r="N345" s="113"/>
      <c r="O345" s="45" t="s">
        <v>62</v>
      </c>
      <c r="P345" s="2" t="s">
        <v>62</v>
      </c>
      <c r="Q345" s="38" t="s">
        <v>62</v>
      </c>
      <c r="R345" s="36" t="s">
        <v>62</v>
      </c>
      <c r="S345" s="34"/>
      <c r="T345" s="34"/>
      <c r="U345" s="34"/>
      <c r="V345" s="33"/>
      <c r="W345" s="33" t="s">
        <v>1092</v>
      </c>
      <c r="X345" s="33"/>
      <c r="Y345" s="33"/>
      <c r="Z345"/>
      <c r="AD345"/>
      <c r="AE345"/>
      <c r="AF345"/>
      <c r="AG345"/>
    </row>
    <row r="346" spans="1:33" ht="16.149999999999999" customHeight="1" x14ac:dyDescent="0.15">
      <c r="A346" s="6">
        <v>340</v>
      </c>
      <c r="B346" s="18" t="s">
        <v>75</v>
      </c>
      <c r="C346" s="34" t="s">
        <v>57</v>
      </c>
      <c r="D346" s="43" t="s">
        <v>1093</v>
      </c>
      <c r="E346" s="77" t="s">
        <v>169</v>
      </c>
      <c r="F346" s="19">
        <v>15307</v>
      </c>
      <c r="G346" s="6">
        <v>1</v>
      </c>
      <c r="H346" s="6" t="s">
        <v>1094</v>
      </c>
      <c r="I346" s="2"/>
      <c r="J346" s="6" t="s">
        <v>171</v>
      </c>
      <c r="K346" s="6" t="s">
        <v>177</v>
      </c>
      <c r="L346" s="38" t="s">
        <v>173</v>
      </c>
      <c r="M346" s="6"/>
      <c r="N346" s="113"/>
      <c r="O346" s="45" t="s">
        <v>62</v>
      </c>
      <c r="P346" s="2" t="s">
        <v>62</v>
      </c>
      <c r="Q346" s="38" t="s">
        <v>62</v>
      </c>
      <c r="R346" s="36" t="s">
        <v>62</v>
      </c>
      <c r="S346" s="34"/>
      <c r="T346" s="34"/>
      <c r="U346" s="34"/>
      <c r="V346" s="33"/>
      <c r="W346" s="33" t="s">
        <v>1095</v>
      </c>
      <c r="X346" s="33"/>
      <c r="Y346" s="33"/>
      <c r="Z346"/>
      <c r="AD346"/>
      <c r="AE346"/>
      <c r="AF346"/>
      <c r="AG346"/>
    </row>
    <row r="347" spans="1:33" ht="16.149999999999999" customHeight="1" x14ac:dyDescent="0.15">
      <c r="A347" s="6">
        <v>341</v>
      </c>
      <c r="B347" s="18" t="s">
        <v>75</v>
      </c>
      <c r="C347" s="34" t="s">
        <v>57</v>
      </c>
      <c r="D347" s="43" t="s">
        <v>1096</v>
      </c>
      <c r="E347" s="77" t="s">
        <v>169</v>
      </c>
      <c r="F347" s="19">
        <v>15307</v>
      </c>
      <c r="G347" s="6">
        <v>2</v>
      </c>
      <c r="H347" s="6" t="s">
        <v>1097</v>
      </c>
      <c r="I347" s="2"/>
      <c r="J347" s="6" t="s">
        <v>171</v>
      </c>
      <c r="K347" s="6" t="s">
        <v>177</v>
      </c>
      <c r="L347" s="38" t="s">
        <v>173</v>
      </c>
      <c r="M347" s="6"/>
      <c r="N347" s="113"/>
      <c r="O347" s="45" t="s">
        <v>62</v>
      </c>
      <c r="P347" s="2" t="s">
        <v>62</v>
      </c>
      <c r="Q347" s="38" t="s">
        <v>62</v>
      </c>
      <c r="R347" s="36" t="s">
        <v>62</v>
      </c>
      <c r="S347" s="34"/>
      <c r="T347" s="34"/>
      <c r="U347" s="34"/>
      <c r="V347" s="33"/>
      <c r="W347" s="33" t="s">
        <v>1098</v>
      </c>
      <c r="X347" s="33"/>
      <c r="Y347" s="33"/>
      <c r="Z347"/>
      <c r="AD347"/>
      <c r="AE347"/>
      <c r="AF347"/>
      <c r="AG347"/>
    </row>
    <row r="348" spans="1:33" ht="16.149999999999999" customHeight="1" x14ac:dyDescent="0.15">
      <c r="A348" s="6">
        <v>342</v>
      </c>
      <c r="B348" s="18" t="s">
        <v>75</v>
      </c>
      <c r="C348" s="34" t="s">
        <v>57</v>
      </c>
      <c r="D348" s="43" t="s">
        <v>1099</v>
      </c>
      <c r="E348" s="77" t="s">
        <v>169</v>
      </c>
      <c r="F348" s="19">
        <v>15307</v>
      </c>
      <c r="G348" s="6">
        <v>3</v>
      </c>
      <c r="H348" s="6" t="s">
        <v>1100</v>
      </c>
      <c r="I348" s="2"/>
      <c r="J348" s="6" t="s">
        <v>171</v>
      </c>
      <c r="K348" s="6" t="s">
        <v>177</v>
      </c>
      <c r="L348" s="38" t="s">
        <v>173</v>
      </c>
      <c r="M348" s="6"/>
      <c r="N348" s="113"/>
      <c r="O348" s="45" t="s">
        <v>62</v>
      </c>
      <c r="P348" s="2" t="s">
        <v>62</v>
      </c>
      <c r="Q348" s="38" t="s">
        <v>62</v>
      </c>
      <c r="R348" s="36" t="s">
        <v>62</v>
      </c>
      <c r="S348" s="34"/>
      <c r="T348" s="34"/>
      <c r="U348" s="34"/>
      <c r="V348" s="33"/>
      <c r="W348" s="33" t="s">
        <v>1101</v>
      </c>
      <c r="X348" s="33"/>
      <c r="Y348" s="33"/>
      <c r="Z348"/>
      <c r="AD348"/>
      <c r="AE348"/>
      <c r="AF348"/>
      <c r="AG348"/>
    </row>
    <row r="349" spans="1:33" ht="16.149999999999999" customHeight="1" x14ac:dyDescent="0.15">
      <c r="A349" s="6">
        <v>343</v>
      </c>
      <c r="B349" s="18" t="s">
        <v>75</v>
      </c>
      <c r="C349" s="34" t="s">
        <v>57</v>
      </c>
      <c r="D349" s="43" t="s">
        <v>1102</v>
      </c>
      <c r="E349" s="77" t="s">
        <v>169</v>
      </c>
      <c r="F349" s="19">
        <v>15307</v>
      </c>
      <c r="G349" s="6">
        <v>4</v>
      </c>
      <c r="H349" s="6" t="s">
        <v>1103</v>
      </c>
      <c r="I349" s="2"/>
      <c r="J349" s="6" t="s">
        <v>171</v>
      </c>
      <c r="K349" s="6" t="s">
        <v>177</v>
      </c>
      <c r="L349" s="38" t="s">
        <v>173</v>
      </c>
      <c r="M349" s="2"/>
      <c r="N349" s="113"/>
      <c r="O349" s="45" t="s">
        <v>62</v>
      </c>
      <c r="P349" s="2" t="s">
        <v>62</v>
      </c>
      <c r="Q349" s="38" t="s">
        <v>62</v>
      </c>
      <c r="R349" s="36" t="s">
        <v>62</v>
      </c>
      <c r="S349" s="34"/>
      <c r="T349" s="34"/>
      <c r="U349" s="34"/>
      <c r="V349" s="33"/>
      <c r="W349" s="33" t="s">
        <v>1104</v>
      </c>
      <c r="X349" s="33"/>
      <c r="Y349" s="33"/>
      <c r="Z349"/>
      <c r="AD349"/>
      <c r="AE349"/>
      <c r="AF349"/>
      <c r="AG349"/>
    </row>
    <row r="350" spans="1:33" ht="16.149999999999999" customHeight="1" x14ac:dyDescent="0.15">
      <c r="A350" s="6">
        <v>344</v>
      </c>
      <c r="B350" s="18" t="s">
        <v>75</v>
      </c>
      <c r="C350" s="34" t="s">
        <v>57</v>
      </c>
      <c r="D350" s="43" t="s">
        <v>1105</v>
      </c>
      <c r="E350" s="77" t="s">
        <v>169</v>
      </c>
      <c r="F350" s="19">
        <v>15307</v>
      </c>
      <c r="G350" s="6">
        <v>5</v>
      </c>
      <c r="H350" s="6" t="s">
        <v>1106</v>
      </c>
      <c r="I350" s="2"/>
      <c r="J350" s="6" t="s">
        <v>171</v>
      </c>
      <c r="K350" s="6" t="s">
        <v>177</v>
      </c>
      <c r="L350" s="38" t="s">
        <v>173</v>
      </c>
      <c r="M350" s="2"/>
      <c r="N350" s="113"/>
      <c r="O350" s="45" t="s">
        <v>62</v>
      </c>
      <c r="P350" s="2" t="s">
        <v>62</v>
      </c>
      <c r="Q350" s="38" t="s">
        <v>62</v>
      </c>
      <c r="R350" s="36" t="s">
        <v>62</v>
      </c>
      <c r="S350" s="34"/>
      <c r="T350" s="34"/>
      <c r="U350" s="34"/>
      <c r="V350" s="33"/>
      <c r="W350" s="33" t="s">
        <v>1107</v>
      </c>
      <c r="X350" s="33"/>
      <c r="Y350" s="33"/>
      <c r="Z350"/>
      <c r="AD350"/>
      <c r="AE350"/>
      <c r="AF350"/>
      <c r="AG350"/>
    </row>
    <row r="351" spans="1:33" ht="16.149999999999999" customHeight="1" x14ac:dyDescent="0.15">
      <c r="A351" s="6">
        <v>345</v>
      </c>
      <c r="B351" s="18" t="s">
        <v>75</v>
      </c>
      <c r="C351" s="34" t="s">
        <v>57</v>
      </c>
      <c r="D351" s="43" t="s">
        <v>1108</v>
      </c>
      <c r="E351" s="77" t="s">
        <v>169</v>
      </c>
      <c r="F351" s="19">
        <v>15307</v>
      </c>
      <c r="G351" s="6">
        <v>6</v>
      </c>
      <c r="H351" s="6" t="s">
        <v>1109</v>
      </c>
      <c r="I351" s="2"/>
      <c r="J351" s="6" t="s">
        <v>171</v>
      </c>
      <c r="K351" s="6" t="s">
        <v>177</v>
      </c>
      <c r="L351" s="38" t="s">
        <v>173</v>
      </c>
      <c r="M351" s="2"/>
      <c r="N351" s="113"/>
      <c r="O351" s="45" t="s">
        <v>62</v>
      </c>
      <c r="P351" s="2" t="s">
        <v>62</v>
      </c>
      <c r="Q351" s="38" t="s">
        <v>62</v>
      </c>
      <c r="R351" s="36" t="s">
        <v>62</v>
      </c>
      <c r="S351" s="34"/>
      <c r="T351" s="34"/>
      <c r="U351" s="34"/>
      <c r="V351" s="33"/>
      <c r="W351" s="33" t="s">
        <v>1110</v>
      </c>
      <c r="X351" s="33"/>
      <c r="Y351" s="33"/>
      <c r="Z351"/>
      <c r="AD351"/>
      <c r="AE351"/>
      <c r="AF351"/>
      <c r="AG351"/>
    </row>
    <row r="352" spans="1:33" ht="16.149999999999999" customHeight="1" x14ac:dyDescent="0.15">
      <c r="A352" s="6">
        <v>346</v>
      </c>
      <c r="B352" s="18" t="s">
        <v>75</v>
      </c>
      <c r="C352" s="34" t="s">
        <v>57</v>
      </c>
      <c r="D352" s="43" t="s">
        <v>1111</v>
      </c>
      <c r="E352" s="77" t="s">
        <v>169</v>
      </c>
      <c r="F352" s="19">
        <v>15307</v>
      </c>
      <c r="G352" s="6">
        <v>7</v>
      </c>
      <c r="H352" s="6" t="s">
        <v>1112</v>
      </c>
      <c r="I352" s="2"/>
      <c r="J352" s="6" t="s">
        <v>171</v>
      </c>
      <c r="K352" s="6" t="s">
        <v>177</v>
      </c>
      <c r="L352" s="38" t="s">
        <v>173</v>
      </c>
      <c r="M352" s="2"/>
      <c r="N352" s="113"/>
      <c r="O352" s="45" t="s">
        <v>62</v>
      </c>
      <c r="P352" s="2" t="s">
        <v>62</v>
      </c>
      <c r="Q352" s="38" t="s">
        <v>62</v>
      </c>
      <c r="R352" s="36" t="s">
        <v>62</v>
      </c>
      <c r="S352" s="34"/>
      <c r="T352" s="34"/>
      <c r="U352" s="34"/>
      <c r="V352" s="33"/>
      <c r="W352" s="33" t="s">
        <v>1113</v>
      </c>
      <c r="X352" s="33"/>
      <c r="Y352" s="33"/>
      <c r="Z352"/>
      <c r="AD352"/>
      <c r="AE352"/>
      <c r="AF352"/>
      <c r="AG352"/>
    </row>
    <row r="353" spans="1:33" ht="16.149999999999999" customHeight="1" x14ac:dyDescent="0.15">
      <c r="A353" s="6">
        <v>347</v>
      </c>
      <c r="B353" s="18" t="s">
        <v>75</v>
      </c>
      <c r="C353" s="34" t="s">
        <v>57</v>
      </c>
      <c r="D353" s="43" t="s">
        <v>1114</v>
      </c>
      <c r="E353" s="77" t="s">
        <v>169</v>
      </c>
      <c r="F353" s="19">
        <v>15307</v>
      </c>
      <c r="G353" s="6">
        <v>8</v>
      </c>
      <c r="H353" s="6" t="s">
        <v>1115</v>
      </c>
      <c r="I353" s="2"/>
      <c r="J353" s="6" t="s">
        <v>171</v>
      </c>
      <c r="K353" s="6" t="s">
        <v>177</v>
      </c>
      <c r="L353" s="38" t="s">
        <v>173</v>
      </c>
      <c r="M353" s="2"/>
      <c r="N353" s="113"/>
      <c r="O353" s="45" t="s">
        <v>62</v>
      </c>
      <c r="P353" s="2" t="s">
        <v>62</v>
      </c>
      <c r="Q353" s="38" t="s">
        <v>62</v>
      </c>
      <c r="R353" s="36" t="s">
        <v>62</v>
      </c>
      <c r="S353" s="34"/>
      <c r="T353" s="34"/>
      <c r="U353" s="34"/>
      <c r="V353" s="33"/>
      <c r="W353" s="33" t="s">
        <v>1116</v>
      </c>
      <c r="X353" s="33"/>
      <c r="Y353" s="33"/>
      <c r="Z353"/>
      <c r="AD353"/>
      <c r="AE353"/>
      <c r="AF353"/>
      <c r="AG353"/>
    </row>
    <row r="354" spans="1:33" ht="16.149999999999999" customHeight="1" x14ac:dyDescent="0.15">
      <c r="A354" s="6">
        <v>348</v>
      </c>
      <c r="B354" s="18" t="s">
        <v>75</v>
      </c>
      <c r="C354" s="34" t="s">
        <v>57</v>
      </c>
      <c r="D354" s="43" t="s">
        <v>1117</v>
      </c>
      <c r="E354" s="77" t="s">
        <v>169</v>
      </c>
      <c r="F354" s="19">
        <v>15307</v>
      </c>
      <c r="G354" s="6">
        <v>9</v>
      </c>
      <c r="H354" s="6" t="s">
        <v>1118</v>
      </c>
      <c r="I354" s="2"/>
      <c r="J354" s="6" t="s">
        <v>171</v>
      </c>
      <c r="K354" s="6" t="s">
        <v>177</v>
      </c>
      <c r="L354" s="38" t="s">
        <v>173</v>
      </c>
      <c r="M354" s="2"/>
      <c r="N354" s="113"/>
      <c r="O354" s="45" t="s">
        <v>62</v>
      </c>
      <c r="P354" s="2" t="s">
        <v>62</v>
      </c>
      <c r="Q354" s="38" t="s">
        <v>62</v>
      </c>
      <c r="R354" s="36" t="s">
        <v>62</v>
      </c>
      <c r="S354" s="34"/>
      <c r="T354" s="34"/>
      <c r="U354" s="34"/>
      <c r="V354" s="33"/>
      <c r="W354" s="33" t="s">
        <v>1119</v>
      </c>
      <c r="X354" s="33"/>
      <c r="Y354" s="33"/>
      <c r="Z354"/>
      <c r="AD354"/>
      <c r="AE354"/>
      <c r="AF354"/>
      <c r="AG354"/>
    </row>
    <row r="355" spans="1:33" ht="16.149999999999999" customHeight="1" x14ac:dyDescent="0.15">
      <c r="A355" s="6">
        <v>349</v>
      </c>
      <c r="B355" s="18" t="s">
        <v>75</v>
      </c>
      <c r="C355" s="34" t="s">
        <v>57</v>
      </c>
      <c r="D355" s="43" t="s">
        <v>1120</v>
      </c>
      <c r="E355" s="77" t="s">
        <v>169</v>
      </c>
      <c r="F355" s="19">
        <v>15307</v>
      </c>
      <c r="G355" s="6">
        <v>10</v>
      </c>
      <c r="H355" s="6" t="s">
        <v>1121</v>
      </c>
      <c r="I355" s="2"/>
      <c r="J355" s="6" t="s">
        <v>171</v>
      </c>
      <c r="K355" s="6" t="s">
        <v>177</v>
      </c>
      <c r="L355" s="38" t="s">
        <v>173</v>
      </c>
      <c r="M355" s="2"/>
      <c r="N355" s="113"/>
      <c r="O355" s="45" t="s">
        <v>62</v>
      </c>
      <c r="P355" s="2" t="s">
        <v>62</v>
      </c>
      <c r="Q355" s="38" t="s">
        <v>62</v>
      </c>
      <c r="R355" s="36" t="s">
        <v>62</v>
      </c>
      <c r="S355" s="34"/>
      <c r="T355" s="34"/>
      <c r="U355" s="34"/>
      <c r="V355" s="33"/>
      <c r="W355" s="33" t="s">
        <v>1122</v>
      </c>
      <c r="X355" s="33"/>
      <c r="Y355" s="33"/>
      <c r="Z355"/>
      <c r="AD355"/>
      <c r="AE355"/>
      <c r="AF355"/>
      <c r="AG355"/>
    </row>
    <row r="356" spans="1:33" ht="16.149999999999999" customHeight="1" x14ac:dyDescent="0.15">
      <c r="A356" s="6">
        <v>350</v>
      </c>
      <c r="B356" s="18" t="s">
        <v>75</v>
      </c>
      <c r="C356" s="34" t="s">
        <v>57</v>
      </c>
      <c r="D356" s="43" t="s">
        <v>1123</v>
      </c>
      <c r="E356" s="77" t="s">
        <v>169</v>
      </c>
      <c r="F356" s="19">
        <v>15307</v>
      </c>
      <c r="G356" s="6">
        <v>11</v>
      </c>
      <c r="H356" s="6" t="s">
        <v>1124</v>
      </c>
      <c r="I356" s="2"/>
      <c r="J356" s="6" t="s">
        <v>171</v>
      </c>
      <c r="K356" s="6" t="s">
        <v>177</v>
      </c>
      <c r="L356" s="38" t="s">
        <v>173</v>
      </c>
      <c r="M356" s="2"/>
      <c r="N356" s="113"/>
      <c r="O356" s="45" t="s">
        <v>62</v>
      </c>
      <c r="P356" s="2" t="s">
        <v>62</v>
      </c>
      <c r="Q356" s="38" t="s">
        <v>62</v>
      </c>
      <c r="R356" s="36" t="s">
        <v>62</v>
      </c>
      <c r="S356" s="34"/>
      <c r="T356" s="34"/>
      <c r="U356" s="34"/>
      <c r="V356" s="33"/>
      <c r="W356" s="33" t="s">
        <v>1125</v>
      </c>
      <c r="X356" s="33"/>
      <c r="Y356" s="33"/>
      <c r="Z356"/>
      <c r="AD356"/>
      <c r="AE356"/>
      <c r="AF356"/>
      <c r="AG356"/>
    </row>
    <row r="357" spans="1:33" ht="16.149999999999999" customHeight="1" x14ac:dyDescent="0.15">
      <c r="A357" s="6">
        <v>351</v>
      </c>
      <c r="B357" s="18" t="s">
        <v>75</v>
      </c>
      <c r="C357" s="34" t="s">
        <v>57</v>
      </c>
      <c r="D357" s="43" t="s">
        <v>1126</v>
      </c>
      <c r="E357" s="77" t="s">
        <v>169</v>
      </c>
      <c r="F357" s="19">
        <v>15307</v>
      </c>
      <c r="G357" s="6">
        <v>12</v>
      </c>
      <c r="H357" s="6" t="s">
        <v>1127</v>
      </c>
      <c r="I357" s="2"/>
      <c r="J357" s="6" t="s">
        <v>171</v>
      </c>
      <c r="K357" s="6" t="s">
        <v>177</v>
      </c>
      <c r="L357" s="38" t="s">
        <v>173</v>
      </c>
      <c r="M357" s="2"/>
      <c r="N357" s="113"/>
      <c r="O357" s="45" t="s">
        <v>62</v>
      </c>
      <c r="P357" s="2" t="s">
        <v>62</v>
      </c>
      <c r="Q357" s="38" t="s">
        <v>62</v>
      </c>
      <c r="R357" s="36" t="s">
        <v>62</v>
      </c>
      <c r="S357" s="34"/>
      <c r="T357" s="34"/>
      <c r="U357" s="34"/>
      <c r="V357" s="33"/>
      <c r="W357" s="33" t="s">
        <v>1128</v>
      </c>
      <c r="X357" s="33"/>
      <c r="Y357" s="33"/>
      <c r="Z357"/>
      <c r="AD357"/>
      <c r="AE357"/>
      <c r="AF357"/>
      <c r="AG357"/>
    </row>
    <row r="358" spans="1:33" ht="16.149999999999999" customHeight="1" x14ac:dyDescent="0.15">
      <c r="A358" s="6">
        <v>352</v>
      </c>
      <c r="B358" s="18" t="s">
        <v>75</v>
      </c>
      <c r="C358" s="34" t="s">
        <v>57</v>
      </c>
      <c r="D358" s="43" t="s">
        <v>1129</v>
      </c>
      <c r="E358" s="77" t="s">
        <v>169</v>
      </c>
      <c r="F358" s="19">
        <v>15307</v>
      </c>
      <c r="G358" s="6">
        <v>13</v>
      </c>
      <c r="H358" s="6" t="s">
        <v>1130</v>
      </c>
      <c r="I358" s="2"/>
      <c r="J358" s="6" t="s">
        <v>171</v>
      </c>
      <c r="K358" s="6" t="s">
        <v>177</v>
      </c>
      <c r="L358" s="38" t="s">
        <v>173</v>
      </c>
      <c r="M358" s="2"/>
      <c r="N358" s="113"/>
      <c r="O358" s="45" t="s">
        <v>62</v>
      </c>
      <c r="P358" s="2" t="s">
        <v>62</v>
      </c>
      <c r="Q358" s="38" t="s">
        <v>62</v>
      </c>
      <c r="R358" s="36" t="s">
        <v>62</v>
      </c>
      <c r="S358" s="34"/>
      <c r="T358" s="34"/>
      <c r="U358" s="34"/>
      <c r="V358" s="33"/>
      <c r="W358" s="33" t="s">
        <v>1131</v>
      </c>
      <c r="X358" s="33"/>
      <c r="Y358" s="33"/>
      <c r="Z358"/>
      <c r="AD358"/>
      <c r="AE358"/>
      <c r="AF358"/>
      <c r="AG358"/>
    </row>
    <row r="359" spans="1:33" ht="16.149999999999999" customHeight="1" x14ac:dyDescent="0.15">
      <c r="A359" s="6">
        <v>353</v>
      </c>
      <c r="B359" s="18" t="s">
        <v>75</v>
      </c>
      <c r="C359" s="34" t="s">
        <v>57</v>
      </c>
      <c r="D359" s="43" t="s">
        <v>1132</v>
      </c>
      <c r="E359" s="77" t="s">
        <v>169</v>
      </c>
      <c r="F359" s="19">
        <v>15307</v>
      </c>
      <c r="G359" s="6">
        <v>14</v>
      </c>
      <c r="H359" s="6" t="s">
        <v>1133</v>
      </c>
      <c r="I359" s="2"/>
      <c r="J359" s="6" t="s">
        <v>171</v>
      </c>
      <c r="K359" s="6" t="s">
        <v>177</v>
      </c>
      <c r="L359" s="38" t="s">
        <v>173</v>
      </c>
      <c r="M359" s="2"/>
      <c r="N359" s="113"/>
      <c r="O359" s="45" t="s">
        <v>62</v>
      </c>
      <c r="P359" s="2" t="s">
        <v>62</v>
      </c>
      <c r="Q359" s="38" t="s">
        <v>62</v>
      </c>
      <c r="R359" s="36" t="s">
        <v>62</v>
      </c>
      <c r="S359" s="34"/>
      <c r="T359" s="34"/>
      <c r="U359" s="34"/>
      <c r="V359" s="33"/>
      <c r="W359" s="33" t="s">
        <v>1134</v>
      </c>
      <c r="X359" s="33"/>
      <c r="Y359" s="33"/>
      <c r="Z359"/>
      <c r="AD359"/>
      <c r="AE359"/>
      <c r="AF359"/>
      <c r="AG359"/>
    </row>
    <row r="360" spans="1:33" ht="16.149999999999999" customHeight="1" x14ac:dyDescent="0.15">
      <c r="A360" s="6">
        <v>354</v>
      </c>
      <c r="B360" s="18" t="s">
        <v>75</v>
      </c>
      <c r="C360" s="34" t="s">
        <v>57</v>
      </c>
      <c r="D360" s="43" t="s">
        <v>1135</v>
      </c>
      <c r="E360" s="77" t="s">
        <v>169</v>
      </c>
      <c r="F360" s="19">
        <v>15307</v>
      </c>
      <c r="G360" s="6">
        <v>15</v>
      </c>
      <c r="H360" s="6" t="s">
        <v>1136</v>
      </c>
      <c r="I360" s="2"/>
      <c r="J360" s="6" t="s">
        <v>171</v>
      </c>
      <c r="K360" s="6" t="s">
        <v>177</v>
      </c>
      <c r="L360" s="38" t="s">
        <v>173</v>
      </c>
      <c r="M360" s="2"/>
      <c r="N360" s="113"/>
      <c r="O360" s="45" t="s">
        <v>62</v>
      </c>
      <c r="P360" s="2" t="s">
        <v>62</v>
      </c>
      <c r="Q360" s="38" t="s">
        <v>62</v>
      </c>
      <c r="R360" s="36" t="s">
        <v>62</v>
      </c>
      <c r="S360" s="34"/>
      <c r="T360" s="34"/>
      <c r="U360" s="34"/>
      <c r="V360" s="33"/>
      <c r="W360" s="33" t="s">
        <v>1137</v>
      </c>
      <c r="X360" s="33"/>
      <c r="Y360" s="33"/>
      <c r="Z360"/>
      <c r="AD360"/>
      <c r="AE360"/>
      <c r="AF360"/>
      <c r="AG360"/>
    </row>
    <row r="361" spans="1:33" ht="16.149999999999999" customHeight="1" x14ac:dyDescent="0.15">
      <c r="A361" s="6">
        <v>355</v>
      </c>
      <c r="B361" s="18" t="s">
        <v>75</v>
      </c>
      <c r="C361" s="34" t="s">
        <v>57</v>
      </c>
      <c r="D361" s="43" t="s">
        <v>1138</v>
      </c>
      <c r="E361" s="77" t="s">
        <v>169</v>
      </c>
      <c r="F361" s="19">
        <v>15307</v>
      </c>
      <c r="G361" s="6">
        <v>16</v>
      </c>
      <c r="H361" s="6" t="s">
        <v>1139</v>
      </c>
      <c r="I361" s="2"/>
      <c r="J361" s="6" t="s">
        <v>171</v>
      </c>
      <c r="K361" s="6" t="s">
        <v>177</v>
      </c>
      <c r="L361" s="38" t="s">
        <v>173</v>
      </c>
      <c r="M361" s="2"/>
      <c r="N361" s="113"/>
      <c r="O361" s="45" t="s">
        <v>62</v>
      </c>
      <c r="P361" s="2" t="s">
        <v>62</v>
      </c>
      <c r="Q361" s="38" t="s">
        <v>62</v>
      </c>
      <c r="R361" s="36" t="s">
        <v>62</v>
      </c>
      <c r="S361" s="34"/>
      <c r="T361" s="34"/>
      <c r="U361" s="34"/>
      <c r="V361" s="33"/>
      <c r="W361" s="33" t="s">
        <v>1140</v>
      </c>
      <c r="X361" s="33"/>
      <c r="Y361" s="33"/>
      <c r="Z361"/>
      <c r="AD361"/>
      <c r="AE361"/>
      <c r="AF361"/>
      <c r="AG361"/>
    </row>
    <row r="362" spans="1:33" ht="16.149999999999999" customHeight="1" x14ac:dyDescent="0.15">
      <c r="A362" s="6">
        <v>356</v>
      </c>
      <c r="B362" s="18" t="s">
        <v>75</v>
      </c>
      <c r="C362" s="34" t="s">
        <v>57</v>
      </c>
      <c r="D362" s="43" t="s">
        <v>1141</v>
      </c>
      <c r="E362" s="77" t="s">
        <v>169</v>
      </c>
      <c r="F362" s="19">
        <v>15307</v>
      </c>
      <c r="G362" s="6">
        <v>17</v>
      </c>
      <c r="H362" s="6" t="s">
        <v>1142</v>
      </c>
      <c r="I362" s="2"/>
      <c r="J362" s="6" t="s">
        <v>171</v>
      </c>
      <c r="K362" s="6" t="s">
        <v>177</v>
      </c>
      <c r="L362" s="38" t="s">
        <v>173</v>
      </c>
      <c r="M362" s="2"/>
      <c r="N362" s="113"/>
      <c r="O362" s="45" t="s">
        <v>62</v>
      </c>
      <c r="P362" s="2" t="s">
        <v>62</v>
      </c>
      <c r="Q362" s="38" t="s">
        <v>62</v>
      </c>
      <c r="R362" s="36" t="s">
        <v>62</v>
      </c>
      <c r="S362" s="34"/>
      <c r="T362" s="34"/>
      <c r="U362" s="34"/>
      <c r="V362" s="33"/>
      <c r="W362" s="33" t="s">
        <v>1143</v>
      </c>
      <c r="X362" s="33"/>
      <c r="Y362" s="33"/>
      <c r="Z362"/>
      <c r="AD362"/>
      <c r="AE362"/>
      <c r="AF362"/>
      <c r="AG362"/>
    </row>
    <row r="363" spans="1:33" ht="16.149999999999999" customHeight="1" x14ac:dyDescent="0.15">
      <c r="A363" s="6">
        <v>357</v>
      </c>
      <c r="B363" s="18" t="s">
        <v>75</v>
      </c>
      <c r="C363" s="34" t="s">
        <v>57</v>
      </c>
      <c r="D363" s="43" t="s">
        <v>1147</v>
      </c>
      <c r="E363" s="77" t="s">
        <v>169</v>
      </c>
      <c r="F363" s="19">
        <v>15307</v>
      </c>
      <c r="G363" s="6">
        <v>20</v>
      </c>
      <c r="H363" s="6" t="s">
        <v>1148</v>
      </c>
      <c r="I363" s="2"/>
      <c r="J363" s="6" t="s">
        <v>171</v>
      </c>
      <c r="K363" s="6" t="s">
        <v>177</v>
      </c>
      <c r="L363" s="38" t="s">
        <v>173</v>
      </c>
      <c r="M363" s="2"/>
      <c r="N363" s="113"/>
      <c r="O363" s="45" t="s">
        <v>62</v>
      </c>
      <c r="P363" s="2" t="s">
        <v>62</v>
      </c>
      <c r="Q363" s="38" t="s">
        <v>62</v>
      </c>
      <c r="R363" s="36" t="s">
        <v>62</v>
      </c>
      <c r="S363" s="34"/>
      <c r="T363" s="34"/>
      <c r="U363" s="34"/>
      <c r="V363" s="33"/>
      <c r="W363" s="33" t="s">
        <v>1149</v>
      </c>
      <c r="X363" s="33"/>
      <c r="Y363" s="33"/>
      <c r="Z363"/>
      <c r="AD363"/>
      <c r="AE363"/>
      <c r="AF363"/>
      <c r="AG363"/>
    </row>
    <row r="364" spans="1:33" ht="16.149999999999999" customHeight="1" x14ac:dyDescent="0.15">
      <c r="A364" s="6">
        <v>358</v>
      </c>
      <c r="B364" s="18" t="s">
        <v>75</v>
      </c>
      <c r="C364" s="34" t="s">
        <v>57</v>
      </c>
      <c r="D364" s="43" t="s">
        <v>1150</v>
      </c>
      <c r="E364" s="77" t="s">
        <v>169</v>
      </c>
      <c r="F364" s="19">
        <v>15307</v>
      </c>
      <c r="G364" s="6">
        <v>21</v>
      </c>
      <c r="H364" s="6" t="s">
        <v>1151</v>
      </c>
      <c r="I364" s="2"/>
      <c r="J364" s="6" t="s">
        <v>171</v>
      </c>
      <c r="K364" s="6" t="s">
        <v>177</v>
      </c>
      <c r="L364" s="38" t="s">
        <v>173</v>
      </c>
      <c r="M364" s="2"/>
      <c r="N364" s="113"/>
      <c r="O364" s="45" t="s">
        <v>62</v>
      </c>
      <c r="P364" s="2" t="s">
        <v>62</v>
      </c>
      <c r="Q364" s="38" t="s">
        <v>62</v>
      </c>
      <c r="R364" s="36" t="s">
        <v>62</v>
      </c>
      <c r="S364" s="34"/>
      <c r="T364" s="34"/>
      <c r="U364" s="34"/>
      <c r="V364" s="33"/>
      <c r="W364" s="33" t="s">
        <v>1152</v>
      </c>
      <c r="X364" s="33"/>
      <c r="Y364" s="33"/>
      <c r="Z364"/>
      <c r="AD364"/>
      <c r="AE364"/>
      <c r="AF364"/>
      <c r="AG364"/>
    </row>
    <row r="365" spans="1:33" ht="16.149999999999999" customHeight="1" x14ac:dyDescent="0.15">
      <c r="A365" s="6">
        <v>359</v>
      </c>
      <c r="B365" s="18" t="s">
        <v>75</v>
      </c>
      <c r="C365" s="34" t="s">
        <v>57</v>
      </c>
      <c r="D365" s="43" t="s">
        <v>1153</v>
      </c>
      <c r="E365" s="77" t="s">
        <v>169</v>
      </c>
      <c r="F365" s="19">
        <v>15307</v>
      </c>
      <c r="G365" s="6">
        <v>22</v>
      </c>
      <c r="H365" s="6" t="s">
        <v>1154</v>
      </c>
      <c r="I365" s="2"/>
      <c r="J365" s="6" t="s">
        <v>171</v>
      </c>
      <c r="K365" s="6" t="s">
        <v>177</v>
      </c>
      <c r="L365" s="38" t="s">
        <v>173</v>
      </c>
      <c r="M365" s="2"/>
      <c r="N365" s="113"/>
      <c r="O365" s="45" t="s">
        <v>62</v>
      </c>
      <c r="P365" s="2" t="s">
        <v>62</v>
      </c>
      <c r="Q365" s="38" t="s">
        <v>62</v>
      </c>
      <c r="R365" s="36" t="s">
        <v>62</v>
      </c>
      <c r="S365" s="34"/>
      <c r="T365" s="34"/>
      <c r="U365" s="34"/>
      <c r="V365" s="33"/>
      <c r="W365" s="33" t="s">
        <v>1155</v>
      </c>
      <c r="X365" s="33"/>
      <c r="Y365" s="33"/>
      <c r="Z365"/>
      <c r="AD365"/>
      <c r="AE365"/>
      <c r="AF365"/>
      <c r="AG365"/>
    </row>
    <row r="366" spans="1:33" ht="16.149999999999999" customHeight="1" x14ac:dyDescent="0.15">
      <c r="A366" s="6">
        <v>360</v>
      </c>
      <c r="B366" s="18" t="s">
        <v>75</v>
      </c>
      <c r="C366" s="34" t="s">
        <v>57</v>
      </c>
      <c r="D366" s="43" t="s">
        <v>1156</v>
      </c>
      <c r="E366" s="77" t="s">
        <v>169</v>
      </c>
      <c r="F366" s="19">
        <v>15307</v>
      </c>
      <c r="G366" s="6">
        <v>23</v>
      </c>
      <c r="H366" s="6" t="s">
        <v>1157</v>
      </c>
      <c r="I366" s="2"/>
      <c r="J366" s="6" t="s">
        <v>171</v>
      </c>
      <c r="K366" s="6" t="s">
        <v>177</v>
      </c>
      <c r="L366" s="38" t="s">
        <v>173</v>
      </c>
      <c r="M366" s="2"/>
      <c r="N366" s="113"/>
      <c r="O366" s="45" t="s">
        <v>62</v>
      </c>
      <c r="P366" s="2" t="s">
        <v>62</v>
      </c>
      <c r="Q366" s="38" t="s">
        <v>62</v>
      </c>
      <c r="R366" s="36" t="s">
        <v>62</v>
      </c>
      <c r="S366" s="34"/>
      <c r="T366" s="34"/>
      <c r="U366" s="34"/>
      <c r="V366" s="33"/>
      <c r="W366" s="33" t="s">
        <v>1158</v>
      </c>
      <c r="X366" s="33"/>
      <c r="Y366" s="33"/>
      <c r="Z366"/>
      <c r="AD366"/>
      <c r="AE366"/>
      <c r="AF366"/>
      <c r="AG366"/>
    </row>
    <row r="367" spans="1:33" ht="16.149999999999999" customHeight="1" x14ac:dyDescent="0.15">
      <c r="A367" s="6">
        <v>361</v>
      </c>
      <c r="B367" s="18" t="s">
        <v>75</v>
      </c>
      <c r="C367" s="34" t="s">
        <v>57</v>
      </c>
      <c r="D367" s="43" t="s">
        <v>1159</v>
      </c>
      <c r="E367" s="77" t="s">
        <v>169</v>
      </c>
      <c r="F367" s="19">
        <v>15307</v>
      </c>
      <c r="G367" s="6">
        <v>24</v>
      </c>
      <c r="H367" s="6" t="s">
        <v>1160</v>
      </c>
      <c r="I367" s="2"/>
      <c r="J367" s="6" t="s">
        <v>171</v>
      </c>
      <c r="K367" s="6" t="s">
        <v>177</v>
      </c>
      <c r="L367" s="38" t="s">
        <v>173</v>
      </c>
      <c r="M367" s="2"/>
      <c r="N367" s="113"/>
      <c r="O367" s="45" t="s">
        <v>62</v>
      </c>
      <c r="P367" s="2" t="s">
        <v>62</v>
      </c>
      <c r="Q367" s="38" t="s">
        <v>62</v>
      </c>
      <c r="R367" s="36" t="s">
        <v>62</v>
      </c>
      <c r="S367" s="34"/>
      <c r="T367" s="34"/>
      <c r="U367" s="34"/>
      <c r="V367" s="33"/>
      <c r="W367" s="33" t="s">
        <v>1161</v>
      </c>
      <c r="X367" s="33"/>
      <c r="Y367" s="33"/>
      <c r="Z367"/>
      <c r="AD367"/>
      <c r="AE367"/>
      <c r="AF367"/>
      <c r="AG367"/>
    </row>
    <row r="368" spans="1:33" ht="16.149999999999999" customHeight="1" x14ac:dyDescent="0.15">
      <c r="A368" s="6">
        <v>362</v>
      </c>
      <c r="B368" s="18" t="s">
        <v>75</v>
      </c>
      <c r="C368" s="34" t="s">
        <v>57</v>
      </c>
      <c r="D368" s="43" t="s">
        <v>1162</v>
      </c>
      <c r="E368" s="77" t="s">
        <v>169</v>
      </c>
      <c r="F368" s="19">
        <v>15307</v>
      </c>
      <c r="G368" s="6">
        <v>25</v>
      </c>
      <c r="H368" s="6" t="s">
        <v>1163</v>
      </c>
      <c r="I368" s="2"/>
      <c r="J368" s="6" t="s">
        <v>171</v>
      </c>
      <c r="K368" s="6" t="s">
        <v>177</v>
      </c>
      <c r="L368" s="38" t="s">
        <v>173</v>
      </c>
      <c r="M368" s="2"/>
      <c r="N368" s="113"/>
      <c r="O368" s="45" t="s">
        <v>62</v>
      </c>
      <c r="P368" s="2" t="s">
        <v>62</v>
      </c>
      <c r="Q368" s="38" t="s">
        <v>62</v>
      </c>
      <c r="R368" s="36" t="s">
        <v>62</v>
      </c>
      <c r="S368" s="34"/>
      <c r="T368" s="34"/>
      <c r="U368" s="34"/>
      <c r="V368" s="33"/>
      <c r="W368" s="33" t="s">
        <v>1164</v>
      </c>
      <c r="X368" s="33"/>
      <c r="Y368" s="33"/>
      <c r="Z368"/>
      <c r="AD368"/>
      <c r="AE368"/>
      <c r="AF368"/>
      <c r="AG368"/>
    </row>
    <row r="369" spans="1:33" ht="16.149999999999999" customHeight="1" x14ac:dyDescent="0.15">
      <c r="A369" s="6">
        <v>363</v>
      </c>
      <c r="B369" s="18" t="s">
        <v>75</v>
      </c>
      <c r="C369" s="34" t="s">
        <v>57</v>
      </c>
      <c r="D369" s="43" t="s">
        <v>1165</v>
      </c>
      <c r="E369" s="77" t="s">
        <v>169</v>
      </c>
      <c r="F369" s="19">
        <v>15307</v>
      </c>
      <c r="G369" s="6">
        <v>26</v>
      </c>
      <c r="H369" s="6" t="s">
        <v>1166</v>
      </c>
      <c r="I369" s="2"/>
      <c r="J369" s="6" t="s">
        <v>171</v>
      </c>
      <c r="K369" s="6" t="s">
        <v>177</v>
      </c>
      <c r="L369" s="38" t="s">
        <v>173</v>
      </c>
      <c r="M369" s="2"/>
      <c r="N369" s="113"/>
      <c r="O369" s="45" t="s">
        <v>62</v>
      </c>
      <c r="P369" s="2" t="s">
        <v>62</v>
      </c>
      <c r="Q369" s="38" t="s">
        <v>62</v>
      </c>
      <c r="R369" s="36" t="s">
        <v>62</v>
      </c>
      <c r="S369" s="34"/>
      <c r="T369" s="34"/>
      <c r="U369" s="34"/>
      <c r="V369" s="33"/>
      <c r="W369" s="33" t="s">
        <v>1167</v>
      </c>
      <c r="X369" s="33"/>
      <c r="Y369" s="33"/>
      <c r="Z369"/>
      <c r="AD369"/>
      <c r="AE369"/>
      <c r="AF369"/>
      <c r="AG369"/>
    </row>
    <row r="370" spans="1:33" ht="16.149999999999999" customHeight="1" x14ac:dyDescent="0.15">
      <c r="A370" s="6">
        <v>364</v>
      </c>
      <c r="B370" s="18" t="s">
        <v>75</v>
      </c>
      <c r="C370" s="34" t="s">
        <v>57</v>
      </c>
      <c r="D370" s="43" t="s">
        <v>1168</v>
      </c>
      <c r="E370" s="77" t="s">
        <v>169</v>
      </c>
      <c r="F370" s="19">
        <v>15307</v>
      </c>
      <c r="G370" s="6">
        <v>27</v>
      </c>
      <c r="H370" s="6" t="s">
        <v>1169</v>
      </c>
      <c r="I370" s="2"/>
      <c r="J370" s="6" t="s">
        <v>171</v>
      </c>
      <c r="K370" s="6" t="s">
        <v>177</v>
      </c>
      <c r="L370" s="38" t="s">
        <v>173</v>
      </c>
      <c r="M370" s="2"/>
      <c r="N370" s="113"/>
      <c r="O370" s="45" t="s">
        <v>62</v>
      </c>
      <c r="P370" s="2" t="s">
        <v>62</v>
      </c>
      <c r="Q370" s="38" t="s">
        <v>62</v>
      </c>
      <c r="R370" s="36" t="s">
        <v>62</v>
      </c>
      <c r="S370" s="34"/>
      <c r="T370" s="34"/>
      <c r="U370" s="34"/>
      <c r="V370" s="33"/>
      <c r="W370" s="33" t="s">
        <v>1170</v>
      </c>
      <c r="X370" s="33"/>
      <c r="Y370" s="33"/>
      <c r="Z370"/>
      <c r="AD370"/>
      <c r="AE370"/>
      <c r="AF370"/>
      <c r="AG370"/>
    </row>
    <row r="371" spans="1:33" ht="16.149999999999999" customHeight="1" x14ac:dyDescent="0.15">
      <c r="A371" s="6">
        <v>365</v>
      </c>
      <c r="B371" s="18" t="s">
        <v>75</v>
      </c>
      <c r="C371" s="34" t="s">
        <v>57</v>
      </c>
      <c r="D371" s="43" t="s">
        <v>7250</v>
      </c>
      <c r="E371" s="77" t="s">
        <v>169</v>
      </c>
      <c r="F371" s="19">
        <v>15307</v>
      </c>
      <c r="G371" s="6">
        <v>28</v>
      </c>
      <c r="H371" s="6" t="s">
        <v>8123</v>
      </c>
      <c r="I371" s="2"/>
      <c r="J371" s="6" t="s">
        <v>171</v>
      </c>
      <c r="K371" s="6" t="s">
        <v>177</v>
      </c>
      <c r="L371" s="38" t="s">
        <v>173</v>
      </c>
      <c r="M371" s="2"/>
      <c r="N371" s="113"/>
      <c r="O371" s="45" t="s">
        <v>62</v>
      </c>
      <c r="P371" s="2" t="s">
        <v>62</v>
      </c>
      <c r="Q371" s="38" t="s">
        <v>62</v>
      </c>
      <c r="R371" s="36" t="s">
        <v>62</v>
      </c>
      <c r="S371" s="34"/>
      <c r="T371" s="34"/>
      <c r="U371" s="34"/>
      <c r="V371" s="33"/>
      <c r="W371" s="33" t="s">
        <v>8280</v>
      </c>
      <c r="X371" s="33"/>
      <c r="Y371" s="33"/>
      <c r="Z371"/>
      <c r="AD371"/>
      <c r="AE371"/>
      <c r="AF371"/>
      <c r="AG371"/>
    </row>
    <row r="372" spans="1:33" ht="16.149999999999999" customHeight="1" x14ac:dyDescent="0.15">
      <c r="A372" s="6">
        <v>366</v>
      </c>
      <c r="B372" s="18" t="s">
        <v>75</v>
      </c>
      <c r="C372" s="34" t="s">
        <v>57</v>
      </c>
      <c r="D372" s="43" t="s">
        <v>1171</v>
      </c>
      <c r="E372" s="77" t="s">
        <v>169</v>
      </c>
      <c r="F372" s="19">
        <v>15307</v>
      </c>
      <c r="G372" s="6">
        <v>29</v>
      </c>
      <c r="H372" s="6" t="s">
        <v>1172</v>
      </c>
      <c r="I372" s="2"/>
      <c r="J372" s="6" t="s">
        <v>171</v>
      </c>
      <c r="K372" s="6" t="s">
        <v>177</v>
      </c>
      <c r="L372" s="38" t="s">
        <v>173</v>
      </c>
      <c r="M372" s="2"/>
      <c r="N372" s="113"/>
      <c r="O372" s="45" t="s">
        <v>62</v>
      </c>
      <c r="P372" s="2" t="s">
        <v>62</v>
      </c>
      <c r="Q372" s="38" t="s">
        <v>62</v>
      </c>
      <c r="R372" s="36" t="s">
        <v>62</v>
      </c>
      <c r="S372" s="34"/>
      <c r="T372" s="34"/>
      <c r="U372" s="34"/>
      <c r="V372" s="33"/>
      <c r="W372" s="33" t="s">
        <v>1173</v>
      </c>
      <c r="X372" s="33"/>
      <c r="Y372" s="33"/>
      <c r="Z372"/>
      <c r="AD372"/>
      <c r="AE372"/>
      <c r="AF372"/>
      <c r="AG372"/>
    </row>
    <row r="373" spans="1:33" ht="16.149999999999999" customHeight="1" x14ac:dyDescent="0.15">
      <c r="A373" s="6">
        <v>367</v>
      </c>
      <c r="B373" s="18" t="s">
        <v>75</v>
      </c>
      <c r="C373" s="34" t="s">
        <v>57</v>
      </c>
      <c r="D373" s="43" t="s">
        <v>1174</v>
      </c>
      <c r="E373" s="77" t="s">
        <v>169</v>
      </c>
      <c r="F373" s="19">
        <v>15307</v>
      </c>
      <c r="G373" s="6">
        <v>30</v>
      </c>
      <c r="H373" s="6" t="s">
        <v>1175</v>
      </c>
      <c r="I373" s="2"/>
      <c r="J373" s="6" t="s">
        <v>171</v>
      </c>
      <c r="K373" s="6" t="s">
        <v>177</v>
      </c>
      <c r="L373" s="38" t="s">
        <v>173</v>
      </c>
      <c r="M373" s="6"/>
      <c r="N373" s="113"/>
      <c r="O373" s="45" t="s">
        <v>62</v>
      </c>
      <c r="P373" s="2" t="s">
        <v>62</v>
      </c>
      <c r="Q373" s="38" t="s">
        <v>62</v>
      </c>
      <c r="R373" s="36" t="s">
        <v>62</v>
      </c>
      <c r="S373" s="34"/>
      <c r="T373" s="34"/>
      <c r="U373" s="34"/>
      <c r="V373" s="33"/>
      <c r="W373" s="33" t="s">
        <v>1176</v>
      </c>
      <c r="X373" s="33"/>
      <c r="Y373" s="33"/>
      <c r="Z373"/>
      <c r="AD373"/>
      <c r="AE373"/>
      <c r="AF373"/>
      <c r="AG373"/>
    </row>
    <row r="374" spans="1:33" ht="16.149999999999999" customHeight="1" x14ac:dyDescent="0.15">
      <c r="A374" s="6">
        <v>368</v>
      </c>
      <c r="B374" s="18" t="s">
        <v>75</v>
      </c>
      <c r="C374" s="34" t="s">
        <v>57</v>
      </c>
      <c r="D374" s="43" t="s">
        <v>1177</v>
      </c>
      <c r="E374" s="77" t="s">
        <v>169</v>
      </c>
      <c r="F374" s="19">
        <v>15307</v>
      </c>
      <c r="G374" s="6">
        <v>31</v>
      </c>
      <c r="H374" s="6" t="s">
        <v>1178</v>
      </c>
      <c r="I374" s="2"/>
      <c r="J374" s="6" t="s">
        <v>171</v>
      </c>
      <c r="K374" s="6" t="s">
        <v>177</v>
      </c>
      <c r="L374" s="38" t="s">
        <v>173</v>
      </c>
      <c r="M374" s="6"/>
      <c r="N374" s="113"/>
      <c r="O374" s="45" t="s">
        <v>62</v>
      </c>
      <c r="P374" s="2" t="s">
        <v>62</v>
      </c>
      <c r="Q374" s="38" t="s">
        <v>62</v>
      </c>
      <c r="R374" s="36" t="s">
        <v>62</v>
      </c>
      <c r="S374" s="34"/>
      <c r="T374" s="34"/>
      <c r="U374" s="34"/>
      <c r="V374" s="33"/>
      <c r="W374" s="33" t="s">
        <v>1179</v>
      </c>
      <c r="X374" s="33"/>
      <c r="Y374" s="33"/>
      <c r="Z374"/>
      <c r="AD374"/>
      <c r="AE374"/>
      <c r="AF374"/>
      <c r="AG374"/>
    </row>
    <row r="375" spans="1:33" ht="16.149999999999999" customHeight="1" x14ac:dyDescent="0.15">
      <c r="A375" s="6">
        <v>369</v>
      </c>
      <c r="B375" s="18" t="s">
        <v>75</v>
      </c>
      <c r="C375" s="34" t="s">
        <v>57</v>
      </c>
      <c r="D375" s="15" t="s">
        <v>1192</v>
      </c>
      <c r="E375" s="2" t="s">
        <v>219</v>
      </c>
      <c r="F375" s="19">
        <v>15313</v>
      </c>
      <c r="G375" s="6"/>
      <c r="H375" s="6" t="s">
        <v>1193</v>
      </c>
      <c r="I375" s="2"/>
      <c r="J375" s="38"/>
      <c r="K375" s="105"/>
      <c r="L375" s="38"/>
      <c r="M375" s="6" t="s">
        <v>61</v>
      </c>
      <c r="N375" s="38"/>
      <c r="O375" s="38" t="s">
        <v>62</v>
      </c>
      <c r="P375" s="38" t="s">
        <v>62</v>
      </c>
      <c r="Q375" s="38" t="s">
        <v>62</v>
      </c>
      <c r="R375" s="38" t="s">
        <v>62</v>
      </c>
      <c r="S375" s="34"/>
      <c r="T375" s="34"/>
      <c r="U375" s="34"/>
      <c r="V375" s="34"/>
      <c r="W375" s="36" t="s">
        <v>1194</v>
      </c>
      <c r="X375" s="34"/>
      <c r="Y375" s="34"/>
      <c r="Z375"/>
      <c r="AD375"/>
      <c r="AE375"/>
      <c r="AF375"/>
      <c r="AG375"/>
    </row>
    <row r="376" spans="1:33" ht="16.149999999999999" customHeight="1" x14ac:dyDescent="0.15">
      <c r="A376" s="6">
        <v>370</v>
      </c>
      <c r="B376" s="18" t="s">
        <v>75</v>
      </c>
      <c r="C376" s="34" t="s">
        <v>57</v>
      </c>
      <c r="D376" s="43" t="s">
        <v>1195</v>
      </c>
      <c r="E376" s="77" t="s">
        <v>169</v>
      </c>
      <c r="F376" s="19">
        <v>15313</v>
      </c>
      <c r="G376" s="6">
        <v>0</v>
      </c>
      <c r="H376" s="6" t="s">
        <v>1196</v>
      </c>
      <c r="I376" s="2"/>
      <c r="J376" s="6" t="s">
        <v>196</v>
      </c>
      <c r="K376" s="6" t="s">
        <v>197</v>
      </c>
      <c r="L376" s="38" t="s">
        <v>198</v>
      </c>
      <c r="M376" s="6"/>
      <c r="N376" s="113"/>
      <c r="O376" s="45" t="s">
        <v>62</v>
      </c>
      <c r="P376" s="2" t="s">
        <v>62</v>
      </c>
      <c r="Q376" s="38" t="s">
        <v>62</v>
      </c>
      <c r="R376" s="36" t="s">
        <v>62</v>
      </c>
      <c r="S376" s="34"/>
      <c r="T376" s="34"/>
      <c r="U376" s="34"/>
      <c r="V376" s="33"/>
      <c r="W376" s="33" t="s">
        <v>1197</v>
      </c>
      <c r="X376" s="33"/>
      <c r="Y376" s="33"/>
      <c r="Z376"/>
      <c r="AD376"/>
      <c r="AE376"/>
      <c r="AF376"/>
      <c r="AG376"/>
    </row>
    <row r="377" spans="1:33" ht="16.149999999999999" customHeight="1" x14ac:dyDescent="0.15">
      <c r="A377" s="6">
        <v>371</v>
      </c>
      <c r="B377" s="18" t="s">
        <v>75</v>
      </c>
      <c r="C377" s="34" t="s">
        <v>57</v>
      </c>
      <c r="D377" s="43" t="s">
        <v>7251</v>
      </c>
      <c r="E377" s="77" t="s">
        <v>169</v>
      </c>
      <c r="F377" s="19">
        <v>15313</v>
      </c>
      <c r="G377" s="6">
        <v>1</v>
      </c>
      <c r="H377" s="6" t="s">
        <v>8124</v>
      </c>
      <c r="I377" s="2"/>
      <c r="J377" s="6" t="s">
        <v>196</v>
      </c>
      <c r="K377" s="6" t="s">
        <v>197</v>
      </c>
      <c r="L377" s="38" t="s">
        <v>198</v>
      </c>
      <c r="M377" s="6"/>
      <c r="N377" s="113"/>
      <c r="O377" s="45" t="s">
        <v>62</v>
      </c>
      <c r="P377" s="2" t="s">
        <v>62</v>
      </c>
      <c r="Q377" s="38" t="s">
        <v>62</v>
      </c>
      <c r="R377" s="36" t="s">
        <v>62</v>
      </c>
      <c r="S377" s="34"/>
      <c r="T377" s="34"/>
      <c r="U377" s="34"/>
      <c r="V377" s="33"/>
      <c r="W377" s="33" t="s">
        <v>8281</v>
      </c>
      <c r="X377" s="33"/>
      <c r="Y377" s="33"/>
      <c r="Z377"/>
      <c r="AD377"/>
      <c r="AE377"/>
      <c r="AF377"/>
      <c r="AG377"/>
    </row>
    <row r="378" spans="1:33" ht="16.149999999999999" customHeight="1" x14ac:dyDescent="0.15">
      <c r="A378" s="6">
        <v>372</v>
      </c>
      <c r="B378" s="18" t="s">
        <v>75</v>
      </c>
      <c r="C378" s="34" t="s">
        <v>57</v>
      </c>
      <c r="D378" s="43" t="s">
        <v>7252</v>
      </c>
      <c r="E378" s="77" t="s">
        <v>169</v>
      </c>
      <c r="F378" s="19">
        <v>15313</v>
      </c>
      <c r="G378" s="6">
        <v>12</v>
      </c>
      <c r="H378" s="6" t="s">
        <v>8125</v>
      </c>
      <c r="I378" s="2"/>
      <c r="J378" s="6" t="s">
        <v>171</v>
      </c>
      <c r="K378" s="6" t="s">
        <v>177</v>
      </c>
      <c r="L378" s="38" t="s">
        <v>173</v>
      </c>
      <c r="M378" s="6"/>
      <c r="N378" s="113"/>
      <c r="O378" s="45" t="s">
        <v>62</v>
      </c>
      <c r="P378" s="2" t="s">
        <v>62</v>
      </c>
      <c r="Q378" s="38" t="s">
        <v>62</v>
      </c>
      <c r="R378" s="36" t="s">
        <v>62</v>
      </c>
      <c r="S378" s="34"/>
      <c r="T378" s="34"/>
      <c r="U378" s="34"/>
      <c r="V378" s="33"/>
      <c r="W378" s="33" t="s">
        <v>8282</v>
      </c>
      <c r="X378" s="33"/>
      <c r="Y378" s="33"/>
      <c r="Z378"/>
      <c r="AD378"/>
      <c r="AE378"/>
      <c r="AF378"/>
      <c r="AG378"/>
    </row>
    <row r="379" spans="1:33" ht="16.149999999999999" customHeight="1" x14ac:dyDescent="0.15">
      <c r="A379" s="6">
        <v>373</v>
      </c>
      <c r="B379" s="18" t="s">
        <v>75</v>
      </c>
      <c r="C379" s="34" t="s">
        <v>57</v>
      </c>
      <c r="D379" s="43" t="s">
        <v>7253</v>
      </c>
      <c r="E379" s="77" t="s">
        <v>169</v>
      </c>
      <c r="F379" s="19">
        <v>15313</v>
      </c>
      <c r="G379" s="6">
        <v>13</v>
      </c>
      <c r="H379" s="6" t="s">
        <v>8126</v>
      </c>
      <c r="I379" s="2"/>
      <c r="J379" s="6" t="s">
        <v>2274</v>
      </c>
      <c r="K379" s="6" t="s">
        <v>286</v>
      </c>
      <c r="L379" s="38" t="s">
        <v>285</v>
      </c>
      <c r="M379" s="6"/>
      <c r="N379" s="113"/>
      <c r="O379" s="45" t="s">
        <v>62</v>
      </c>
      <c r="P379" s="2" t="s">
        <v>62</v>
      </c>
      <c r="Q379" s="38" t="s">
        <v>62</v>
      </c>
      <c r="R379" s="36" t="s">
        <v>62</v>
      </c>
      <c r="S379" s="34"/>
      <c r="T379" s="34"/>
      <c r="U379" s="34"/>
      <c r="V379" s="33"/>
      <c r="W379" s="33" t="s">
        <v>8283</v>
      </c>
      <c r="X379" s="33"/>
      <c r="Y379" s="33"/>
      <c r="Z379"/>
      <c r="AD379"/>
      <c r="AE379"/>
      <c r="AF379"/>
      <c r="AG379"/>
    </row>
    <row r="380" spans="1:33" ht="16.149999999999999" customHeight="1" x14ac:dyDescent="0.15">
      <c r="A380" s="6">
        <v>374</v>
      </c>
      <c r="B380" s="18" t="s">
        <v>75</v>
      </c>
      <c r="C380" s="34" t="s">
        <v>57</v>
      </c>
      <c r="D380" s="15" t="s">
        <v>7254</v>
      </c>
      <c r="E380" s="2" t="s">
        <v>219</v>
      </c>
      <c r="F380" s="19">
        <v>15315</v>
      </c>
      <c r="G380" s="6"/>
      <c r="H380" s="6" t="s">
        <v>8127</v>
      </c>
      <c r="I380" s="2"/>
      <c r="J380" s="38"/>
      <c r="K380" s="105"/>
      <c r="L380" s="38"/>
      <c r="M380" s="6" t="s">
        <v>61</v>
      </c>
      <c r="N380" s="38"/>
      <c r="O380" s="38" t="s">
        <v>62</v>
      </c>
      <c r="P380" s="38" t="s">
        <v>62</v>
      </c>
      <c r="Q380" s="38" t="s">
        <v>62</v>
      </c>
      <c r="R380" s="38" t="s">
        <v>62</v>
      </c>
      <c r="S380" s="34"/>
      <c r="T380" s="34"/>
      <c r="U380" s="34"/>
      <c r="V380" s="34"/>
      <c r="W380" s="36" t="s">
        <v>8284</v>
      </c>
      <c r="X380" s="34"/>
      <c r="Y380" s="34"/>
      <c r="Z380"/>
      <c r="AD380"/>
      <c r="AE380"/>
      <c r="AF380"/>
      <c r="AG380"/>
    </row>
    <row r="381" spans="1:33" ht="16.149999999999999" customHeight="1" x14ac:dyDescent="0.15">
      <c r="A381" s="6">
        <v>375</v>
      </c>
      <c r="B381" s="18" t="s">
        <v>75</v>
      </c>
      <c r="C381" s="34" t="s">
        <v>57</v>
      </c>
      <c r="D381" s="43" t="s">
        <v>7255</v>
      </c>
      <c r="E381" s="77" t="s">
        <v>169</v>
      </c>
      <c r="F381" s="19">
        <v>15315</v>
      </c>
      <c r="G381" s="6">
        <v>12</v>
      </c>
      <c r="H381" s="6" t="s">
        <v>8128</v>
      </c>
      <c r="I381" s="2"/>
      <c r="J381" s="6" t="s">
        <v>196</v>
      </c>
      <c r="K381" s="6" t="s">
        <v>197</v>
      </c>
      <c r="L381" s="38" t="s">
        <v>198</v>
      </c>
      <c r="M381" s="2"/>
      <c r="N381" s="113"/>
      <c r="O381" s="45" t="s">
        <v>62</v>
      </c>
      <c r="P381" s="2" t="s">
        <v>62</v>
      </c>
      <c r="Q381" s="38" t="s">
        <v>62</v>
      </c>
      <c r="R381" s="36" t="s">
        <v>62</v>
      </c>
      <c r="S381" s="34"/>
      <c r="T381" s="34"/>
      <c r="U381" s="34"/>
      <c r="V381" s="33"/>
      <c r="W381" s="33" t="s">
        <v>8285</v>
      </c>
      <c r="X381" s="33"/>
      <c r="Y381" s="33"/>
      <c r="Z381"/>
      <c r="AD381"/>
      <c r="AE381"/>
      <c r="AF381"/>
      <c r="AG381"/>
    </row>
    <row r="382" spans="1:33" ht="16.149999999999999" customHeight="1" x14ac:dyDescent="0.15">
      <c r="A382" s="6">
        <v>376</v>
      </c>
      <c r="B382" s="18" t="s">
        <v>75</v>
      </c>
      <c r="C382" s="34" t="s">
        <v>57</v>
      </c>
      <c r="D382" s="43" t="s">
        <v>1198</v>
      </c>
      <c r="E382" s="77" t="s">
        <v>169</v>
      </c>
      <c r="F382" s="19">
        <v>15315</v>
      </c>
      <c r="G382" s="6">
        <v>20</v>
      </c>
      <c r="H382" s="6" t="s">
        <v>8129</v>
      </c>
      <c r="I382" s="2"/>
      <c r="J382" s="6" t="s">
        <v>196</v>
      </c>
      <c r="K382" s="6" t="s">
        <v>197</v>
      </c>
      <c r="L382" s="38" t="s">
        <v>198</v>
      </c>
      <c r="M382" s="2"/>
      <c r="N382" s="113"/>
      <c r="O382" s="45" t="s">
        <v>62</v>
      </c>
      <c r="P382" s="2" t="s">
        <v>62</v>
      </c>
      <c r="Q382" s="38" t="s">
        <v>62</v>
      </c>
      <c r="R382" s="36" t="s">
        <v>62</v>
      </c>
      <c r="S382" s="34"/>
      <c r="T382" s="34"/>
      <c r="U382" s="34"/>
      <c r="V382" s="33"/>
      <c r="W382" s="33" t="s">
        <v>8286</v>
      </c>
      <c r="X382" s="33"/>
      <c r="Y382" s="33"/>
      <c r="Z382"/>
      <c r="AD382"/>
      <c r="AE382"/>
      <c r="AF382"/>
      <c r="AG382"/>
    </row>
    <row r="383" spans="1:33" ht="16.149999999999999" customHeight="1" x14ac:dyDescent="0.15">
      <c r="A383" s="6">
        <v>377</v>
      </c>
      <c r="B383" s="18" t="s">
        <v>75</v>
      </c>
      <c r="C383" s="34" t="s">
        <v>57</v>
      </c>
      <c r="D383" s="43" t="s">
        <v>7256</v>
      </c>
      <c r="E383" s="77" t="s">
        <v>169</v>
      </c>
      <c r="F383" s="19">
        <v>15315</v>
      </c>
      <c r="G383" s="6">
        <v>21</v>
      </c>
      <c r="H383" s="6" t="s">
        <v>8130</v>
      </c>
      <c r="I383" s="2"/>
      <c r="J383" s="6" t="s">
        <v>196</v>
      </c>
      <c r="K383" s="6" t="s">
        <v>197</v>
      </c>
      <c r="L383" s="38" t="s">
        <v>198</v>
      </c>
      <c r="M383" s="2"/>
      <c r="N383" s="113"/>
      <c r="O383" s="45" t="s">
        <v>62</v>
      </c>
      <c r="P383" s="2" t="s">
        <v>62</v>
      </c>
      <c r="Q383" s="38" t="s">
        <v>62</v>
      </c>
      <c r="R383" s="36" t="s">
        <v>62</v>
      </c>
      <c r="S383" s="34"/>
      <c r="T383" s="34"/>
      <c r="U383" s="34"/>
      <c r="V383" s="33"/>
      <c r="W383" s="33" t="s">
        <v>8287</v>
      </c>
      <c r="X383" s="33"/>
      <c r="Y383" s="33"/>
      <c r="Z383"/>
      <c r="AD383"/>
      <c r="AE383"/>
      <c r="AF383"/>
      <c r="AG383"/>
    </row>
    <row r="384" spans="1:33" ht="16.149999999999999" customHeight="1" x14ac:dyDescent="0.15">
      <c r="A384" s="6">
        <v>378</v>
      </c>
      <c r="B384" s="18" t="s">
        <v>75</v>
      </c>
      <c r="C384" s="34" t="s">
        <v>57</v>
      </c>
      <c r="D384" s="43" t="s">
        <v>7257</v>
      </c>
      <c r="E384" s="77" t="s">
        <v>169</v>
      </c>
      <c r="F384" s="19">
        <v>15315</v>
      </c>
      <c r="G384" s="6">
        <v>22</v>
      </c>
      <c r="H384" s="6" t="s">
        <v>8131</v>
      </c>
      <c r="I384" s="2"/>
      <c r="J384" s="6" t="s">
        <v>196</v>
      </c>
      <c r="K384" s="6" t="s">
        <v>197</v>
      </c>
      <c r="L384" s="38" t="s">
        <v>198</v>
      </c>
      <c r="M384" s="2"/>
      <c r="N384" s="113"/>
      <c r="O384" s="45" t="s">
        <v>62</v>
      </c>
      <c r="P384" s="2" t="s">
        <v>62</v>
      </c>
      <c r="Q384" s="38" t="s">
        <v>62</v>
      </c>
      <c r="R384" s="36" t="s">
        <v>62</v>
      </c>
      <c r="S384" s="34"/>
      <c r="T384" s="34"/>
      <c r="U384" s="34"/>
      <c r="V384" s="33"/>
      <c r="W384" s="33" t="s">
        <v>8288</v>
      </c>
      <c r="X384" s="33"/>
      <c r="Y384" s="33"/>
      <c r="Z384"/>
      <c r="AD384"/>
      <c r="AE384"/>
      <c r="AF384"/>
      <c r="AG384"/>
    </row>
    <row r="385" spans="1:33" ht="16.149999999999999" customHeight="1" x14ac:dyDescent="0.15">
      <c r="A385" s="6">
        <v>379</v>
      </c>
      <c r="B385" s="18" t="s">
        <v>75</v>
      </c>
      <c r="C385" s="34" t="s">
        <v>57</v>
      </c>
      <c r="D385" s="43" t="s">
        <v>7258</v>
      </c>
      <c r="E385" s="77" t="s">
        <v>169</v>
      </c>
      <c r="F385" s="19">
        <v>15315</v>
      </c>
      <c r="G385" s="6">
        <v>23</v>
      </c>
      <c r="H385" s="6" t="s">
        <v>8132</v>
      </c>
      <c r="I385" s="2"/>
      <c r="J385" s="6" t="s">
        <v>196</v>
      </c>
      <c r="K385" s="6" t="s">
        <v>197</v>
      </c>
      <c r="L385" s="38" t="s">
        <v>198</v>
      </c>
      <c r="M385" s="2"/>
      <c r="N385" s="113"/>
      <c r="O385" s="45" t="s">
        <v>62</v>
      </c>
      <c r="P385" s="2" t="s">
        <v>62</v>
      </c>
      <c r="Q385" s="38" t="s">
        <v>62</v>
      </c>
      <c r="R385" s="36" t="s">
        <v>62</v>
      </c>
      <c r="S385" s="34"/>
      <c r="T385" s="34"/>
      <c r="U385" s="34"/>
      <c r="V385" s="33"/>
      <c r="W385" s="33" t="s">
        <v>8289</v>
      </c>
      <c r="X385" s="33"/>
      <c r="Y385" s="33"/>
      <c r="Z385"/>
      <c r="AD385"/>
      <c r="AE385"/>
      <c r="AF385"/>
      <c r="AG385"/>
    </row>
    <row r="386" spans="1:33" ht="16.149999999999999" customHeight="1" x14ac:dyDescent="0.15">
      <c r="A386" s="6">
        <v>380</v>
      </c>
      <c r="B386" s="18" t="s">
        <v>75</v>
      </c>
      <c r="C386" s="34" t="s">
        <v>57</v>
      </c>
      <c r="D386" s="15" t="s">
        <v>1210</v>
      </c>
      <c r="E386" s="2" t="s">
        <v>143</v>
      </c>
      <c r="F386" s="19">
        <v>15317</v>
      </c>
      <c r="G386" s="6"/>
      <c r="H386" s="6" t="s">
        <v>1211</v>
      </c>
      <c r="I386" s="2"/>
      <c r="J386" s="38"/>
      <c r="K386" s="105"/>
      <c r="L386" s="38"/>
      <c r="M386" s="6" t="s">
        <v>266</v>
      </c>
      <c r="N386" s="114">
        <v>10</v>
      </c>
      <c r="O386" s="38">
        <v>-32768</v>
      </c>
      <c r="P386" s="38">
        <v>32767</v>
      </c>
      <c r="Q386" s="38">
        <v>-3276.8</v>
      </c>
      <c r="R386" s="38">
        <v>3276.7</v>
      </c>
      <c r="S386" s="34"/>
      <c r="T386" s="34"/>
      <c r="U386" s="34"/>
      <c r="V386" s="34"/>
      <c r="W386" s="36" t="s">
        <v>1212</v>
      </c>
      <c r="X386" s="34"/>
      <c r="Y386" s="34"/>
      <c r="Z386"/>
      <c r="AD386"/>
      <c r="AE386"/>
      <c r="AF386"/>
      <c r="AG386"/>
    </row>
    <row r="387" spans="1:33" ht="16.149999999999999" customHeight="1" x14ac:dyDescent="0.15">
      <c r="A387" s="6">
        <v>381</v>
      </c>
      <c r="B387" s="18" t="s">
        <v>75</v>
      </c>
      <c r="C387" s="34" t="s">
        <v>57</v>
      </c>
      <c r="D387" s="15" t="s">
        <v>7259</v>
      </c>
      <c r="E387" s="2" t="s">
        <v>143</v>
      </c>
      <c r="F387" s="19">
        <v>15318</v>
      </c>
      <c r="G387" s="6"/>
      <c r="H387" s="6" t="s">
        <v>8133</v>
      </c>
      <c r="I387" s="2"/>
      <c r="J387" s="38"/>
      <c r="K387" s="105"/>
      <c r="L387" s="38"/>
      <c r="M387" s="6" t="s">
        <v>266</v>
      </c>
      <c r="N387" s="114">
        <v>10</v>
      </c>
      <c r="O387" s="38">
        <v>-32768</v>
      </c>
      <c r="P387" s="38">
        <v>32767</v>
      </c>
      <c r="Q387" s="38">
        <v>-3276.8</v>
      </c>
      <c r="R387" s="38">
        <v>3276.7</v>
      </c>
      <c r="S387" s="34"/>
      <c r="T387" s="34"/>
      <c r="U387" s="34"/>
      <c r="V387" s="34"/>
      <c r="W387" s="36" t="s">
        <v>8290</v>
      </c>
      <c r="X387" s="34"/>
      <c r="Y387" s="34"/>
      <c r="Z387"/>
      <c r="AD387"/>
      <c r="AE387"/>
      <c r="AF387"/>
      <c r="AG387"/>
    </row>
    <row r="388" spans="1:33" ht="16.149999999999999" customHeight="1" x14ac:dyDescent="0.15">
      <c r="A388" s="6">
        <v>382</v>
      </c>
      <c r="B388" s="18" t="s">
        <v>75</v>
      </c>
      <c r="C388" s="34" t="s">
        <v>57</v>
      </c>
      <c r="D388" s="15" t="s">
        <v>1213</v>
      </c>
      <c r="E388" s="2" t="s">
        <v>143</v>
      </c>
      <c r="F388" s="19">
        <v>15319</v>
      </c>
      <c r="G388" s="6"/>
      <c r="H388" s="6" t="s">
        <v>1214</v>
      </c>
      <c r="I388" s="2"/>
      <c r="J388" s="38"/>
      <c r="K388" s="105"/>
      <c r="L388" s="38"/>
      <c r="M388" s="6" t="s">
        <v>266</v>
      </c>
      <c r="N388" s="114">
        <v>10</v>
      </c>
      <c r="O388" s="38">
        <v>-32768</v>
      </c>
      <c r="P388" s="38">
        <v>32767</v>
      </c>
      <c r="Q388" s="38">
        <v>-3276.8</v>
      </c>
      <c r="R388" s="38">
        <v>3276.7</v>
      </c>
      <c r="S388" s="34"/>
      <c r="T388" s="34"/>
      <c r="U388" s="34"/>
      <c r="V388" s="34"/>
      <c r="W388" s="36" t="s">
        <v>1215</v>
      </c>
      <c r="X388" s="34"/>
      <c r="Y388" s="34"/>
      <c r="Z388"/>
      <c r="AD388"/>
      <c r="AE388"/>
      <c r="AF388"/>
      <c r="AG388"/>
    </row>
    <row r="389" spans="1:33" ht="16.149999999999999" customHeight="1" x14ac:dyDescent="0.15">
      <c r="A389" s="6">
        <v>383</v>
      </c>
      <c r="B389" s="18" t="s">
        <v>75</v>
      </c>
      <c r="C389" s="34" t="s">
        <v>57</v>
      </c>
      <c r="D389" s="15" t="s">
        <v>7260</v>
      </c>
      <c r="E389" s="2" t="s">
        <v>143</v>
      </c>
      <c r="F389" s="19">
        <v>15320</v>
      </c>
      <c r="G389" s="6"/>
      <c r="H389" s="6" t="s">
        <v>8134</v>
      </c>
      <c r="I389" s="2"/>
      <c r="J389" s="38"/>
      <c r="K389" s="105"/>
      <c r="L389" s="38"/>
      <c r="M389" s="6" t="s">
        <v>266</v>
      </c>
      <c r="N389" s="114">
        <v>10</v>
      </c>
      <c r="O389" s="38">
        <v>-32768</v>
      </c>
      <c r="P389" s="38">
        <v>32767</v>
      </c>
      <c r="Q389" s="38">
        <v>-3276.8</v>
      </c>
      <c r="R389" s="38">
        <v>3276.7</v>
      </c>
      <c r="S389" s="34"/>
      <c r="T389" s="34"/>
      <c r="U389" s="34"/>
      <c r="V389" s="34"/>
      <c r="W389" s="36" t="s">
        <v>8291</v>
      </c>
      <c r="X389" s="34"/>
      <c r="Y389" s="34"/>
      <c r="Z389"/>
      <c r="AD389"/>
      <c r="AE389"/>
      <c r="AF389"/>
      <c r="AG389"/>
    </row>
    <row r="390" spans="1:33" ht="16.149999999999999" customHeight="1" x14ac:dyDescent="0.15">
      <c r="A390" s="6">
        <v>384</v>
      </c>
      <c r="B390" s="18" t="s">
        <v>75</v>
      </c>
      <c r="C390" s="34" t="s">
        <v>57</v>
      </c>
      <c r="D390" s="15" t="s">
        <v>1216</v>
      </c>
      <c r="E390" s="2" t="s">
        <v>143</v>
      </c>
      <c r="F390" s="19">
        <v>15321</v>
      </c>
      <c r="G390" s="6"/>
      <c r="H390" s="6" t="s">
        <v>1217</v>
      </c>
      <c r="I390" s="2"/>
      <c r="J390" s="38"/>
      <c r="K390" s="105"/>
      <c r="L390" s="38"/>
      <c r="M390" s="6" t="s">
        <v>266</v>
      </c>
      <c r="N390" s="114">
        <v>10</v>
      </c>
      <c r="O390" s="38">
        <v>-32768</v>
      </c>
      <c r="P390" s="38">
        <v>32767</v>
      </c>
      <c r="Q390" s="38">
        <v>-3276.8</v>
      </c>
      <c r="R390" s="38">
        <v>3276.7</v>
      </c>
      <c r="S390" s="34"/>
      <c r="T390" s="34"/>
      <c r="U390" s="34"/>
      <c r="V390" s="34"/>
      <c r="W390" s="36" t="s">
        <v>1218</v>
      </c>
      <c r="X390" s="34"/>
      <c r="Y390" s="34"/>
      <c r="Z390"/>
      <c r="AD390"/>
      <c r="AE390"/>
      <c r="AF390"/>
      <c r="AG390"/>
    </row>
    <row r="391" spans="1:33" ht="16.149999999999999" customHeight="1" x14ac:dyDescent="0.15">
      <c r="A391" s="6">
        <v>385</v>
      </c>
      <c r="B391" s="18" t="s">
        <v>75</v>
      </c>
      <c r="C391" s="34" t="s">
        <v>57</v>
      </c>
      <c r="D391" s="15" t="s">
        <v>7261</v>
      </c>
      <c r="E391" s="2" t="s">
        <v>143</v>
      </c>
      <c r="F391" s="19">
        <v>15322</v>
      </c>
      <c r="G391" s="6"/>
      <c r="H391" s="6" t="s">
        <v>8135</v>
      </c>
      <c r="I391" s="2"/>
      <c r="J391" s="38"/>
      <c r="K391" s="105"/>
      <c r="L391" s="38"/>
      <c r="M391" s="6" t="s">
        <v>266</v>
      </c>
      <c r="N391" s="114">
        <v>10</v>
      </c>
      <c r="O391" s="38">
        <v>-32768</v>
      </c>
      <c r="P391" s="38">
        <v>32767</v>
      </c>
      <c r="Q391" s="38">
        <v>-3276.8</v>
      </c>
      <c r="R391" s="38">
        <v>3276.7</v>
      </c>
      <c r="S391" s="34"/>
      <c r="T391" s="34"/>
      <c r="U391" s="34"/>
      <c r="V391" s="34"/>
      <c r="W391" s="36" t="s">
        <v>8292</v>
      </c>
      <c r="X391" s="34"/>
      <c r="Y391" s="34"/>
      <c r="Z391"/>
      <c r="AD391"/>
      <c r="AE391"/>
      <c r="AF391"/>
      <c r="AG391"/>
    </row>
    <row r="392" spans="1:33" ht="16.149999999999999" customHeight="1" x14ac:dyDescent="0.15">
      <c r="A392" s="6">
        <v>386</v>
      </c>
      <c r="B392" s="18" t="s">
        <v>75</v>
      </c>
      <c r="C392" s="34" t="s">
        <v>57</v>
      </c>
      <c r="D392" s="15" t="s">
        <v>1219</v>
      </c>
      <c r="E392" s="2" t="s">
        <v>59</v>
      </c>
      <c r="F392" s="19">
        <v>15323</v>
      </c>
      <c r="G392" s="6"/>
      <c r="H392" s="6" t="s">
        <v>1220</v>
      </c>
      <c r="I392" s="2"/>
      <c r="J392" s="38"/>
      <c r="K392" s="105"/>
      <c r="L392" s="38"/>
      <c r="M392" s="6" t="s">
        <v>781</v>
      </c>
      <c r="N392" s="114">
        <v>100</v>
      </c>
      <c r="O392" s="38">
        <v>0</v>
      </c>
      <c r="P392" s="38">
        <v>4294967295</v>
      </c>
      <c r="Q392" s="38">
        <v>0</v>
      </c>
      <c r="R392" s="38">
        <v>42949672.950000003</v>
      </c>
      <c r="S392" s="34"/>
      <c r="T392" s="34"/>
      <c r="U392" s="34"/>
      <c r="V392" s="34"/>
      <c r="W392" s="36" t="s">
        <v>1221</v>
      </c>
      <c r="X392" s="34"/>
      <c r="Y392" s="34"/>
      <c r="Z392"/>
      <c r="AD392"/>
      <c r="AE392"/>
      <c r="AF392"/>
      <c r="AG392"/>
    </row>
    <row r="393" spans="1:33" ht="16.149999999999999" customHeight="1" x14ac:dyDescent="0.15">
      <c r="A393" s="6">
        <v>387</v>
      </c>
      <c r="B393" s="18" t="s">
        <v>75</v>
      </c>
      <c r="C393" s="34" t="s">
        <v>57</v>
      </c>
      <c r="D393" s="15" t="s">
        <v>1222</v>
      </c>
      <c r="E393" s="2" t="s">
        <v>59</v>
      </c>
      <c r="F393" s="19">
        <v>15325</v>
      </c>
      <c r="G393" s="6"/>
      <c r="H393" s="6" t="s">
        <v>1223</v>
      </c>
      <c r="I393" s="2"/>
      <c r="J393" s="38"/>
      <c r="K393" s="105"/>
      <c r="L393" s="38"/>
      <c r="M393" s="6" t="s">
        <v>781</v>
      </c>
      <c r="N393" s="114">
        <v>100</v>
      </c>
      <c r="O393" s="38">
        <v>0</v>
      </c>
      <c r="P393" s="38">
        <v>4294967295</v>
      </c>
      <c r="Q393" s="38">
        <v>0</v>
      </c>
      <c r="R393" s="38">
        <v>42949672.950000003</v>
      </c>
      <c r="S393" s="34"/>
      <c r="T393" s="34"/>
      <c r="U393" s="34"/>
      <c r="V393" s="34"/>
      <c r="W393" s="36" t="s">
        <v>1224</v>
      </c>
      <c r="X393" s="34"/>
      <c r="Y393" s="34"/>
      <c r="Z393"/>
      <c r="AD393"/>
      <c r="AE393"/>
      <c r="AF393"/>
      <c r="AG393"/>
    </row>
    <row r="394" spans="1:33" ht="16.149999999999999" customHeight="1" x14ac:dyDescent="0.15">
      <c r="A394" s="6">
        <v>388</v>
      </c>
      <c r="B394" s="18" t="s">
        <v>75</v>
      </c>
      <c r="C394" s="34" t="s">
        <v>57</v>
      </c>
      <c r="D394" s="15" t="s">
        <v>1225</v>
      </c>
      <c r="E394" s="2" t="s">
        <v>219</v>
      </c>
      <c r="F394" s="19">
        <v>15327</v>
      </c>
      <c r="G394" s="6"/>
      <c r="H394" s="6" t="s">
        <v>1226</v>
      </c>
      <c r="I394" s="2"/>
      <c r="J394" s="38"/>
      <c r="K394" s="105"/>
      <c r="L394" s="38"/>
      <c r="M394" s="6" t="s">
        <v>61</v>
      </c>
      <c r="N394" s="38"/>
      <c r="O394" s="38" t="s">
        <v>62</v>
      </c>
      <c r="P394" s="38" t="s">
        <v>62</v>
      </c>
      <c r="Q394" s="38" t="s">
        <v>62</v>
      </c>
      <c r="R394" s="38" t="s">
        <v>62</v>
      </c>
      <c r="S394" s="34"/>
      <c r="T394" s="34"/>
      <c r="U394" s="34"/>
      <c r="V394" s="34"/>
      <c r="W394" s="36" t="s">
        <v>1227</v>
      </c>
      <c r="X394" s="34"/>
      <c r="Y394" s="34"/>
      <c r="Z394"/>
      <c r="AD394"/>
      <c r="AE394"/>
      <c r="AF394"/>
      <c r="AG394"/>
    </row>
    <row r="395" spans="1:33" ht="16.149999999999999" customHeight="1" x14ac:dyDescent="0.15">
      <c r="A395" s="6">
        <v>389</v>
      </c>
      <c r="B395" s="18" t="s">
        <v>75</v>
      </c>
      <c r="C395" s="34" t="s">
        <v>57</v>
      </c>
      <c r="D395" s="43" t="s">
        <v>1228</v>
      </c>
      <c r="E395" s="77" t="s">
        <v>169</v>
      </c>
      <c r="F395" s="19">
        <v>15327</v>
      </c>
      <c r="G395" s="6">
        <v>0</v>
      </c>
      <c r="H395" s="6" t="s">
        <v>1229</v>
      </c>
      <c r="I395" s="2"/>
      <c r="J395" s="6" t="s">
        <v>196</v>
      </c>
      <c r="K395" s="6" t="s">
        <v>222</v>
      </c>
      <c r="L395" s="38" t="s">
        <v>224</v>
      </c>
      <c r="M395" s="6"/>
      <c r="N395" s="113"/>
      <c r="O395" s="45" t="s">
        <v>62</v>
      </c>
      <c r="P395" s="2" t="s">
        <v>62</v>
      </c>
      <c r="Q395" s="38" t="s">
        <v>62</v>
      </c>
      <c r="R395" s="36" t="s">
        <v>62</v>
      </c>
      <c r="S395" s="34"/>
      <c r="T395" s="34"/>
      <c r="U395" s="34"/>
      <c r="V395" s="33"/>
      <c r="W395" s="33" t="s">
        <v>1230</v>
      </c>
      <c r="X395" s="33"/>
      <c r="Y395" s="33"/>
      <c r="Z395"/>
      <c r="AD395"/>
      <c r="AE395"/>
      <c r="AF395"/>
      <c r="AG395"/>
    </row>
    <row r="396" spans="1:33" ht="16.149999999999999" customHeight="1" x14ac:dyDescent="0.15">
      <c r="A396" s="6">
        <v>390</v>
      </c>
      <c r="B396" s="18" t="s">
        <v>75</v>
      </c>
      <c r="C396" s="34" t="s">
        <v>57</v>
      </c>
      <c r="D396" s="43" t="s">
        <v>1231</v>
      </c>
      <c r="E396" s="77" t="s">
        <v>169</v>
      </c>
      <c r="F396" s="19">
        <v>15327</v>
      </c>
      <c r="G396" s="6">
        <v>1</v>
      </c>
      <c r="H396" s="6" t="s">
        <v>1232</v>
      </c>
      <c r="I396" s="2"/>
      <c r="J396" s="6" t="s">
        <v>196</v>
      </c>
      <c r="K396" s="6" t="s">
        <v>226</v>
      </c>
      <c r="L396" s="38" t="s">
        <v>228</v>
      </c>
      <c r="M396" s="6"/>
      <c r="N396" s="113"/>
      <c r="O396" s="45" t="s">
        <v>62</v>
      </c>
      <c r="P396" s="2" t="s">
        <v>62</v>
      </c>
      <c r="Q396" s="38" t="s">
        <v>62</v>
      </c>
      <c r="R396" s="36" t="s">
        <v>62</v>
      </c>
      <c r="S396" s="34"/>
      <c r="T396" s="34"/>
      <c r="U396" s="34"/>
      <c r="V396" s="33"/>
      <c r="W396" s="33" t="s">
        <v>1233</v>
      </c>
      <c r="X396" s="33"/>
      <c r="Y396" s="33"/>
      <c r="Z396"/>
      <c r="AD396"/>
      <c r="AE396"/>
      <c r="AF396"/>
      <c r="AG396"/>
    </row>
    <row r="397" spans="1:33" ht="16.149999999999999" customHeight="1" x14ac:dyDescent="0.15">
      <c r="A397" s="6">
        <v>391</v>
      </c>
      <c r="B397" s="18" t="s">
        <v>75</v>
      </c>
      <c r="C397" s="34" t="s">
        <v>57</v>
      </c>
      <c r="D397" s="43" t="s">
        <v>1234</v>
      </c>
      <c r="E397" s="77" t="s">
        <v>169</v>
      </c>
      <c r="F397" s="19">
        <v>15327</v>
      </c>
      <c r="G397" s="6">
        <v>2</v>
      </c>
      <c r="H397" s="6" t="s">
        <v>1235</v>
      </c>
      <c r="I397" s="2"/>
      <c r="J397" s="6" t="s">
        <v>196</v>
      </c>
      <c r="K397" s="6" t="s">
        <v>797</v>
      </c>
      <c r="L397" s="38" t="s">
        <v>798</v>
      </c>
      <c r="M397" s="6"/>
      <c r="N397" s="113"/>
      <c r="O397" s="45" t="s">
        <v>62</v>
      </c>
      <c r="P397" s="2" t="s">
        <v>62</v>
      </c>
      <c r="Q397" s="38" t="s">
        <v>62</v>
      </c>
      <c r="R397" s="36" t="s">
        <v>62</v>
      </c>
      <c r="S397" s="34"/>
      <c r="T397" s="34"/>
      <c r="U397" s="34"/>
      <c r="V397" s="33"/>
      <c r="W397" s="33" t="s">
        <v>1236</v>
      </c>
      <c r="X397" s="33"/>
      <c r="Y397" s="33"/>
      <c r="Z397"/>
      <c r="AD397"/>
      <c r="AE397"/>
      <c r="AF397"/>
      <c r="AG397"/>
    </row>
    <row r="398" spans="1:33" ht="16.149999999999999" customHeight="1" x14ac:dyDescent="0.15">
      <c r="A398" s="6">
        <v>392</v>
      </c>
      <c r="B398" s="18" t="s">
        <v>75</v>
      </c>
      <c r="C398" s="34" t="s">
        <v>57</v>
      </c>
      <c r="D398" s="43" t="s">
        <v>7262</v>
      </c>
      <c r="E398" s="77" t="s">
        <v>169</v>
      </c>
      <c r="F398" s="19">
        <v>15327</v>
      </c>
      <c r="G398" s="6">
        <v>3</v>
      </c>
      <c r="H398" s="6" t="s">
        <v>1238</v>
      </c>
      <c r="I398" s="2"/>
      <c r="J398" s="6" t="s">
        <v>196</v>
      </c>
      <c r="K398" s="6" t="s">
        <v>226</v>
      </c>
      <c r="L398" s="38" t="s">
        <v>228</v>
      </c>
      <c r="M398" s="6"/>
      <c r="N398" s="113"/>
      <c r="O398" s="45" t="s">
        <v>62</v>
      </c>
      <c r="P398" s="2" t="s">
        <v>62</v>
      </c>
      <c r="Q398" s="38" t="s">
        <v>62</v>
      </c>
      <c r="R398" s="36" t="s">
        <v>62</v>
      </c>
      <c r="S398" s="34"/>
      <c r="T398" s="34"/>
      <c r="U398" s="34"/>
      <c r="V398" s="33"/>
      <c r="W398" s="33" t="s">
        <v>8293</v>
      </c>
      <c r="X398" s="33"/>
      <c r="Y398" s="33"/>
      <c r="Z398"/>
      <c r="AD398"/>
      <c r="AE398"/>
      <c r="AF398"/>
      <c r="AG398"/>
    </row>
    <row r="399" spans="1:33" ht="16.149999999999999" customHeight="1" x14ac:dyDescent="0.15">
      <c r="A399" s="6">
        <v>393</v>
      </c>
      <c r="B399" s="18" t="s">
        <v>75</v>
      </c>
      <c r="C399" s="34" t="s">
        <v>57</v>
      </c>
      <c r="D399" s="43" t="s">
        <v>1240</v>
      </c>
      <c r="E399" s="77" t="s">
        <v>169</v>
      </c>
      <c r="F399" s="19">
        <v>15327</v>
      </c>
      <c r="G399" s="6">
        <v>4</v>
      </c>
      <c r="H399" s="6" t="s">
        <v>1241</v>
      </c>
      <c r="I399" s="2"/>
      <c r="J399" s="6" t="s">
        <v>196</v>
      </c>
      <c r="K399" s="6" t="s">
        <v>797</v>
      </c>
      <c r="L399" s="38" t="s">
        <v>798</v>
      </c>
      <c r="M399" s="6"/>
      <c r="N399" s="113"/>
      <c r="O399" s="45" t="s">
        <v>62</v>
      </c>
      <c r="P399" s="2" t="s">
        <v>62</v>
      </c>
      <c r="Q399" s="38" t="s">
        <v>62</v>
      </c>
      <c r="R399" s="36" t="s">
        <v>62</v>
      </c>
      <c r="S399" s="34"/>
      <c r="T399" s="34"/>
      <c r="U399" s="34"/>
      <c r="V399" s="33"/>
      <c r="W399" s="33" t="s">
        <v>1242</v>
      </c>
      <c r="X399" s="33"/>
      <c r="Y399" s="33"/>
      <c r="Z399"/>
      <c r="AD399"/>
      <c r="AE399"/>
      <c r="AF399"/>
      <c r="AG399"/>
    </row>
    <row r="400" spans="1:33" ht="16.149999999999999" customHeight="1" x14ac:dyDescent="0.15">
      <c r="A400" s="6">
        <v>394</v>
      </c>
      <c r="B400" s="18" t="s">
        <v>75</v>
      </c>
      <c r="C400" s="34" t="s">
        <v>57</v>
      </c>
      <c r="D400" s="43" t="s">
        <v>1243</v>
      </c>
      <c r="E400" s="77" t="s">
        <v>169</v>
      </c>
      <c r="F400" s="19">
        <v>15327</v>
      </c>
      <c r="G400" s="6">
        <v>5</v>
      </c>
      <c r="H400" s="6" t="s">
        <v>1244</v>
      </c>
      <c r="I400" s="2"/>
      <c r="J400" s="6" t="s">
        <v>171</v>
      </c>
      <c r="K400" s="6" t="s">
        <v>177</v>
      </c>
      <c r="L400" s="38" t="s">
        <v>173</v>
      </c>
      <c r="M400" s="6"/>
      <c r="N400" s="113"/>
      <c r="O400" s="45" t="s">
        <v>62</v>
      </c>
      <c r="P400" s="2" t="s">
        <v>62</v>
      </c>
      <c r="Q400" s="38" t="s">
        <v>62</v>
      </c>
      <c r="R400" s="36" t="s">
        <v>62</v>
      </c>
      <c r="S400" s="34"/>
      <c r="T400" s="34"/>
      <c r="U400" s="34"/>
      <c r="V400" s="33"/>
      <c r="W400" s="33" t="s">
        <v>1245</v>
      </c>
      <c r="X400" s="33"/>
      <c r="Y400" s="33"/>
      <c r="Z400"/>
      <c r="AD400"/>
      <c r="AE400"/>
      <c r="AF400"/>
      <c r="AG400"/>
    </row>
    <row r="401" spans="1:33" ht="16.149999999999999" customHeight="1" x14ac:dyDescent="0.15">
      <c r="A401" s="6">
        <v>395</v>
      </c>
      <c r="B401" s="18" t="s">
        <v>75</v>
      </c>
      <c r="C401" s="34" t="s">
        <v>57</v>
      </c>
      <c r="D401" s="43" t="s">
        <v>1246</v>
      </c>
      <c r="E401" s="77" t="s">
        <v>169</v>
      </c>
      <c r="F401" s="19">
        <v>15327</v>
      </c>
      <c r="G401" s="6">
        <v>6</v>
      </c>
      <c r="H401" s="6" t="s">
        <v>1247</v>
      </c>
      <c r="I401" s="2"/>
      <c r="J401" s="6" t="s">
        <v>196</v>
      </c>
      <c r="K401" s="6" t="s">
        <v>811</v>
      </c>
      <c r="L401" s="38" t="s">
        <v>812</v>
      </c>
      <c r="M401" s="6"/>
      <c r="N401" s="113"/>
      <c r="O401" s="45" t="s">
        <v>62</v>
      </c>
      <c r="P401" s="2" t="s">
        <v>62</v>
      </c>
      <c r="Q401" s="38" t="s">
        <v>62</v>
      </c>
      <c r="R401" s="36" t="s">
        <v>62</v>
      </c>
      <c r="S401" s="34"/>
      <c r="T401" s="34"/>
      <c r="U401" s="34"/>
      <c r="V401" s="33"/>
      <c r="W401" s="33" t="s">
        <v>1248</v>
      </c>
      <c r="X401" s="33"/>
      <c r="Y401" s="33"/>
      <c r="Z401"/>
      <c r="AD401"/>
      <c r="AE401"/>
      <c r="AF401"/>
      <c r="AG401"/>
    </row>
    <row r="402" spans="1:33" ht="16.149999999999999" customHeight="1" x14ac:dyDescent="0.15">
      <c r="A402" s="6">
        <v>396</v>
      </c>
      <c r="B402" s="18" t="s">
        <v>75</v>
      </c>
      <c r="C402" s="34" t="s">
        <v>57</v>
      </c>
      <c r="D402" s="43" t="s">
        <v>1249</v>
      </c>
      <c r="E402" s="77" t="s">
        <v>169</v>
      </c>
      <c r="F402" s="19">
        <v>15327</v>
      </c>
      <c r="G402" s="6">
        <v>7</v>
      </c>
      <c r="H402" s="6" t="s">
        <v>1250</v>
      </c>
      <c r="I402" s="2"/>
      <c r="J402" s="6" t="s">
        <v>196</v>
      </c>
      <c r="K402" s="6" t="s">
        <v>816</v>
      </c>
      <c r="L402" s="38" t="s">
        <v>817</v>
      </c>
      <c r="M402" s="6"/>
      <c r="N402" s="113"/>
      <c r="O402" s="45" t="s">
        <v>62</v>
      </c>
      <c r="P402" s="2" t="s">
        <v>62</v>
      </c>
      <c r="Q402" s="38" t="s">
        <v>62</v>
      </c>
      <c r="R402" s="36" t="s">
        <v>62</v>
      </c>
      <c r="S402" s="34"/>
      <c r="T402" s="34"/>
      <c r="U402" s="34"/>
      <c r="V402" s="33"/>
      <c r="W402" s="33" t="s">
        <v>1251</v>
      </c>
      <c r="X402" s="33"/>
      <c r="Y402" s="33"/>
      <c r="Z402"/>
      <c r="AD402"/>
      <c r="AE402"/>
      <c r="AF402"/>
      <c r="AG402"/>
    </row>
    <row r="403" spans="1:33" ht="16.149999999999999" customHeight="1" x14ac:dyDescent="0.15">
      <c r="A403" s="6">
        <v>397</v>
      </c>
      <c r="B403" s="18" t="s">
        <v>75</v>
      </c>
      <c r="C403" s="34" t="s">
        <v>57</v>
      </c>
      <c r="D403" s="43" t="s">
        <v>1252</v>
      </c>
      <c r="E403" s="77" t="s">
        <v>169</v>
      </c>
      <c r="F403" s="19">
        <v>15327</v>
      </c>
      <c r="G403" s="6">
        <v>9</v>
      </c>
      <c r="H403" s="6" t="s">
        <v>1253</v>
      </c>
      <c r="I403" s="2"/>
      <c r="J403" s="6" t="s">
        <v>171</v>
      </c>
      <c r="K403" s="6" t="s">
        <v>177</v>
      </c>
      <c r="L403" s="38" t="s">
        <v>173</v>
      </c>
      <c r="M403" s="6"/>
      <c r="N403" s="113"/>
      <c r="O403" s="45" t="s">
        <v>62</v>
      </c>
      <c r="P403" s="2" t="s">
        <v>62</v>
      </c>
      <c r="Q403" s="38" t="s">
        <v>62</v>
      </c>
      <c r="R403" s="36" t="s">
        <v>62</v>
      </c>
      <c r="S403" s="34"/>
      <c r="T403" s="34"/>
      <c r="U403" s="34"/>
      <c r="V403" s="33"/>
      <c r="W403" s="33" t="s">
        <v>1254</v>
      </c>
      <c r="X403" s="33"/>
      <c r="Y403" s="33"/>
      <c r="Z403"/>
      <c r="AD403"/>
      <c r="AE403"/>
      <c r="AF403"/>
      <c r="AG403"/>
    </row>
    <row r="404" spans="1:33" ht="16.149999999999999" customHeight="1" x14ac:dyDescent="0.15">
      <c r="A404" s="6">
        <v>398</v>
      </c>
      <c r="B404" s="18" t="s">
        <v>75</v>
      </c>
      <c r="C404" s="34" t="s">
        <v>57</v>
      </c>
      <c r="D404" s="43" t="s">
        <v>1255</v>
      </c>
      <c r="E404" s="77" t="s">
        <v>169</v>
      </c>
      <c r="F404" s="19">
        <v>15327</v>
      </c>
      <c r="G404" s="6">
        <v>10</v>
      </c>
      <c r="H404" s="6" t="s">
        <v>1256</v>
      </c>
      <c r="I404" s="2"/>
      <c r="J404" s="6" t="s">
        <v>171</v>
      </c>
      <c r="K404" s="6" t="s">
        <v>177</v>
      </c>
      <c r="L404" s="38" t="s">
        <v>173</v>
      </c>
      <c r="M404" s="6"/>
      <c r="N404" s="113"/>
      <c r="O404" s="45" t="s">
        <v>62</v>
      </c>
      <c r="P404" s="2" t="s">
        <v>62</v>
      </c>
      <c r="Q404" s="38" t="s">
        <v>62</v>
      </c>
      <c r="R404" s="36" t="s">
        <v>62</v>
      </c>
      <c r="S404" s="34"/>
      <c r="T404" s="34"/>
      <c r="U404" s="34"/>
      <c r="V404" s="33"/>
      <c r="W404" s="33" t="s">
        <v>1257</v>
      </c>
      <c r="X404" s="33"/>
      <c r="Y404" s="33"/>
      <c r="Z404"/>
      <c r="AD404"/>
      <c r="AE404"/>
      <c r="AF404"/>
      <c r="AG404"/>
    </row>
    <row r="405" spans="1:33" ht="16.149999999999999" customHeight="1" x14ac:dyDescent="0.15">
      <c r="A405" s="6">
        <v>399</v>
      </c>
      <c r="B405" s="18" t="s">
        <v>75</v>
      </c>
      <c r="C405" s="34" t="s">
        <v>57</v>
      </c>
      <c r="D405" s="43" t="s">
        <v>1258</v>
      </c>
      <c r="E405" s="77" t="s">
        <v>169</v>
      </c>
      <c r="F405" s="19">
        <v>15327</v>
      </c>
      <c r="G405" s="6">
        <v>11</v>
      </c>
      <c r="H405" s="6" t="s">
        <v>1259</v>
      </c>
      <c r="I405" s="2"/>
      <c r="J405" s="6" t="s">
        <v>171</v>
      </c>
      <c r="K405" s="6" t="s">
        <v>177</v>
      </c>
      <c r="L405" s="38" t="s">
        <v>173</v>
      </c>
      <c r="M405" s="6"/>
      <c r="N405" s="113"/>
      <c r="O405" s="45" t="s">
        <v>62</v>
      </c>
      <c r="P405" s="2" t="s">
        <v>62</v>
      </c>
      <c r="Q405" s="38" t="s">
        <v>62</v>
      </c>
      <c r="R405" s="36" t="s">
        <v>62</v>
      </c>
      <c r="S405" s="34"/>
      <c r="T405" s="34"/>
      <c r="U405" s="34"/>
      <c r="V405" s="33"/>
      <c r="W405" s="33" t="s">
        <v>1260</v>
      </c>
      <c r="X405" s="33"/>
      <c r="Y405" s="33"/>
      <c r="Z405"/>
      <c r="AD405"/>
      <c r="AE405"/>
      <c r="AF405"/>
      <c r="AG405"/>
    </row>
    <row r="406" spans="1:33" ht="16.149999999999999" customHeight="1" x14ac:dyDescent="0.15">
      <c r="A406" s="6">
        <v>400</v>
      </c>
      <c r="B406" s="18" t="s">
        <v>75</v>
      </c>
      <c r="C406" s="34" t="s">
        <v>57</v>
      </c>
      <c r="D406" s="43" t="s">
        <v>1261</v>
      </c>
      <c r="E406" s="77" t="s">
        <v>169</v>
      </c>
      <c r="F406" s="19">
        <v>15327</v>
      </c>
      <c r="G406" s="6">
        <v>13</v>
      </c>
      <c r="H406" s="6" t="s">
        <v>1262</v>
      </c>
      <c r="I406" s="2"/>
      <c r="J406" s="6" t="s">
        <v>171</v>
      </c>
      <c r="K406" s="6" t="s">
        <v>177</v>
      </c>
      <c r="L406" s="38" t="s">
        <v>173</v>
      </c>
      <c r="M406" s="6"/>
      <c r="N406" s="113"/>
      <c r="O406" s="45" t="s">
        <v>62</v>
      </c>
      <c r="P406" s="2" t="s">
        <v>62</v>
      </c>
      <c r="Q406" s="38" t="s">
        <v>62</v>
      </c>
      <c r="R406" s="36" t="s">
        <v>62</v>
      </c>
      <c r="S406" s="34"/>
      <c r="T406" s="34"/>
      <c r="U406" s="34"/>
      <c r="V406" s="33"/>
      <c r="W406" s="33" t="s">
        <v>1263</v>
      </c>
      <c r="X406" s="33"/>
      <c r="Y406" s="33"/>
      <c r="Z406"/>
      <c r="AD406"/>
      <c r="AE406"/>
      <c r="AF406"/>
      <c r="AG406"/>
    </row>
    <row r="407" spans="1:33" ht="16.149999999999999" customHeight="1" x14ac:dyDescent="0.15">
      <c r="A407" s="6">
        <v>401</v>
      </c>
      <c r="B407" s="18" t="s">
        <v>75</v>
      </c>
      <c r="C407" s="34" t="s">
        <v>57</v>
      </c>
      <c r="D407" s="43" t="s">
        <v>1264</v>
      </c>
      <c r="E407" s="77" t="s">
        <v>169</v>
      </c>
      <c r="F407" s="19">
        <v>15327</v>
      </c>
      <c r="G407" s="6">
        <v>17</v>
      </c>
      <c r="H407" s="6" t="s">
        <v>1265</v>
      </c>
      <c r="I407" s="2"/>
      <c r="J407" s="6" t="s">
        <v>196</v>
      </c>
      <c r="K407" s="6" t="s">
        <v>222</v>
      </c>
      <c r="L407" s="38" t="s">
        <v>224</v>
      </c>
      <c r="M407" s="6"/>
      <c r="N407" s="113"/>
      <c r="O407" s="45" t="s">
        <v>62</v>
      </c>
      <c r="P407" s="2" t="s">
        <v>62</v>
      </c>
      <c r="Q407" s="38" t="s">
        <v>62</v>
      </c>
      <c r="R407" s="36" t="s">
        <v>62</v>
      </c>
      <c r="S407" s="34"/>
      <c r="T407" s="34"/>
      <c r="U407" s="34"/>
      <c r="V407" s="33"/>
      <c r="W407" s="33" t="s">
        <v>1266</v>
      </c>
      <c r="X407" s="33"/>
      <c r="Y407" s="33"/>
      <c r="Z407"/>
      <c r="AD407"/>
      <c r="AE407"/>
      <c r="AF407"/>
      <c r="AG407"/>
    </row>
    <row r="408" spans="1:33" ht="16.149999999999999" customHeight="1" x14ac:dyDescent="0.15">
      <c r="A408" s="6">
        <v>402</v>
      </c>
      <c r="B408" s="18" t="s">
        <v>75</v>
      </c>
      <c r="C408" s="34" t="s">
        <v>57</v>
      </c>
      <c r="D408" s="43" t="s">
        <v>1267</v>
      </c>
      <c r="E408" s="77" t="s">
        <v>169</v>
      </c>
      <c r="F408" s="19">
        <v>15327</v>
      </c>
      <c r="G408" s="6">
        <v>18</v>
      </c>
      <c r="H408" s="6" t="s">
        <v>1268</v>
      </c>
      <c r="I408" s="2"/>
      <c r="J408" s="6" t="s">
        <v>196</v>
      </c>
      <c r="K408" s="6" t="s">
        <v>226</v>
      </c>
      <c r="L408" s="38" t="s">
        <v>228</v>
      </c>
      <c r="M408" s="6"/>
      <c r="N408" s="113"/>
      <c r="O408" s="45" t="s">
        <v>62</v>
      </c>
      <c r="P408" s="2" t="s">
        <v>62</v>
      </c>
      <c r="Q408" s="38" t="s">
        <v>62</v>
      </c>
      <c r="R408" s="36" t="s">
        <v>62</v>
      </c>
      <c r="S408" s="34"/>
      <c r="T408" s="34"/>
      <c r="U408" s="34"/>
      <c r="V408" s="33"/>
      <c r="W408" s="33" t="s">
        <v>1269</v>
      </c>
      <c r="X408" s="33"/>
      <c r="Y408" s="33"/>
      <c r="Z408"/>
      <c r="AD408"/>
      <c r="AE408"/>
      <c r="AF408"/>
      <c r="AG408"/>
    </row>
    <row r="409" spans="1:33" ht="16.149999999999999" customHeight="1" x14ac:dyDescent="0.15">
      <c r="A409" s="6">
        <v>403</v>
      </c>
      <c r="B409" s="18" t="s">
        <v>75</v>
      </c>
      <c r="C409" s="34" t="s">
        <v>57</v>
      </c>
      <c r="D409" s="43" t="s">
        <v>1270</v>
      </c>
      <c r="E409" s="77" t="s">
        <v>169</v>
      </c>
      <c r="F409" s="19">
        <v>15327</v>
      </c>
      <c r="G409" s="6">
        <v>19</v>
      </c>
      <c r="H409" s="6" t="s">
        <v>1271</v>
      </c>
      <c r="I409" s="2"/>
      <c r="J409" s="6" t="s">
        <v>171</v>
      </c>
      <c r="K409" s="6" t="s">
        <v>177</v>
      </c>
      <c r="L409" s="38" t="s">
        <v>173</v>
      </c>
      <c r="M409" s="6"/>
      <c r="N409" s="113"/>
      <c r="O409" s="45" t="s">
        <v>62</v>
      </c>
      <c r="P409" s="2" t="s">
        <v>62</v>
      </c>
      <c r="Q409" s="38" t="s">
        <v>62</v>
      </c>
      <c r="R409" s="36" t="s">
        <v>62</v>
      </c>
      <c r="S409" s="34"/>
      <c r="T409" s="34"/>
      <c r="U409" s="34"/>
      <c r="V409" s="33"/>
      <c r="W409" s="33" t="s">
        <v>1272</v>
      </c>
      <c r="X409" s="33"/>
      <c r="Y409" s="33"/>
      <c r="Z409"/>
      <c r="AD409"/>
      <c r="AE409"/>
      <c r="AF409"/>
      <c r="AG409"/>
    </row>
    <row r="410" spans="1:33" ht="16.149999999999999" customHeight="1" x14ac:dyDescent="0.15">
      <c r="A410" s="6">
        <v>404</v>
      </c>
      <c r="B410" s="18" t="s">
        <v>75</v>
      </c>
      <c r="C410" s="34" t="s">
        <v>57</v>
      </c>
      <c r="D410" s="43" t="s">
        <v>7263</v>
      </c>
      <c r="E410" s="77" t="s">
        <v>169</v>
      </c>
      <c r="F410" s="19">
        <v>15327</v>
      </c>
      <c r="G410" s="6">
        <v>20</v>
      </c>
      <c r="H410" s="6" t="s">
        <v>8136</v>
      </c>
      <c r="I410" s="2"/>
      <c r="J410" s="6" t="s">
        <v>171</v>
      </c>
      <c r="K410" s="6" t="s">
        <v>177</v>
      </c>
      <c r="L410" s="38" t="s">
        <v>173</v>
      </c>
      <c r="M410" s="6"/>
      <c r="N410" s="113"/>
      <c r="O410" s="45" t="s">
        <v>62</v>
      </c>
      <c r="P410" s="2" t="s">
        <v>62</v>
      </c>
      <c r="Q410" s="38" t="s">
        <v>62</v>
      </c>
      <c r="R410" s="36" t="s">
        <v>62</v>
      </c>
      <c r="S410" s="34"/>
      <c r="T410" s="34"/>
      <c r="U410" s="34"/>
      <c r="V410" s="33"/>
      <c r="W410" s="33" t="s">
        <v>8294</v>
      </c>
      <c r="X410" s="33"/>
      <c r="Y410" s="33"/>
      <c r="Z410"/>
      <c r="AD410"/>
      <c r="AE410"/>
      <c r="AF410"/>
      <c r="AG410"/>
    </row>
    <row r="411" spans="1:33" ht="16.149999999999999" customHeight="1" x14ac:dyDescent="0.15">
      <c r="A411" s="6">
        <v>405</v>
      </c>
      <c r="B411" s="18" t="s">
        <v>75</v>
      </c>
      <c r="C411" s="34" t="s">
        <v>57</v>
      </c>
      <c r="D411" s="15" t="s">
        <v>1273</v>
      </c>
      <c r="E411" s="2" t="s">
        <v>219</v>
      </c>
      <c r="F411" s="19">
        <v>15329</v>
      </c>
      <c r="G411" s="6"/>
      <c r="H411" s="6" t="s">
        <v>1274</v>
      </c>
      <c r="I411" s="2"/>
      <c r="J411" s="38"/>
      <c r="K411" s="105"/>
      <c r="L411" s="38"/>
      <c r="M411" s="6" t="s">
        <v>61</v>
      </c>
      <c r="N411" s="38"/>
      <c r="O411" s="38" t="s">
        <v>62</v>
      </c>
      <c r="P411" s="38" t="s">
        <v>62</v>
      </c>
      <c r="Q411" s="38" t="s">
        <v>62</v>
      </c>
      <c r="R411" s="38" t="s">
        <v>62</v>
      </c>
      <c r="S411" s="34"/>
      <c r="T411" s="34"/>
      <c r="U411" s="34"/>
      <c r="V411" s="34"/>
      <c r="W411" s="36" t="s">
        <v>1275</v>
      </c>
      <c r="X411" s="34"/>
      <c r="Y411" s="34"/>
      <c r="Z411"/>
      <c r="AD411"/>
      <c r="AE411"/>
      <c r="AF411"/>
      <c r="AG411"/>
    </row>
    <row r="412" spans="1:33" ht="16.149999999999999" customHeight="1" x14ac:dyDescent="0.15">
      <c r="A412" s="6">
        <v>406</v>
      </c>
      <c r="B412" s="18" t="s">
        <v>75</v>
      </c>
      <c r="C412" s="34" t="s">
        <v>57</v>
      </c>
      <c r="D412" s="43" t="s">
        <v>1276</v>
      </c>
      <c r="E412" s="77" t="s">
        <v>169</v>
      </c>
      <c r="F412" s="19">
        <v>15329</v>
      </c>
      <c r="G412" s="6">
        <v>0</v>
      </c>
      <c r="H412" s="6" t="s">
        <v>1277</v>
      </c>
      <c r="I412" s="2"/>
      <c r="J412" s="6" t="s">
        <v>171</v>
      </c>
      <c r="K412" s="6" t="s">
        <v>177</v>
      </c>
      <c r="L412" s="38" t="s">
        <v>173</v>
      </c>
      <c r="M412" s="6"/>
      <c r="N412" s="113"/>
      <c r="O412" s="45" t="s">
        <v>62</v>
      </c>
      <c r="P412" s="2" t="s">
        <v>62</v>
      </c>
      <c r="Q412" s="38" t="s">
        <v>62</v>
      </c>
      <c r="R412" s="36" t="s">
        <v>62</v>
      </c>
      <c r="S412" s="34"/>
      <c r="T412" s="34"/>
      <c r="U412" s="34"/>
      <c r="V412" s="33"/>
      <c r="W412" s="33" t="s">
        <v>1278</v>
      </c>
      <c r="X412" s="33"/>
      <c r="Y412" s="33"/>
      <c r="Z412"/>
      <c r="AD412"/>
      <c r="AE412"/>
      <c r="AF412"/>
      <c r="AG412"/>
    </row>
    <row r="413" spans="1:33" ht="16.149999999999999" customHeight="1" x14ac:dyDescent="0.15">
      <c r="A413" s="6">
        <v>407</v>
      </c>
      <c r="B413" s="18" t="s">
        <v>75</v>
      </c>
      <c r="C413" s="34" t="s">
        <v>57</v>
      </c>
      <c r="D413" s="43" t="s">
        <v>1279</v>
      </c>
      <c r="E413" s="77" t="s">
        <v>169</v>
      </c>
      <c r="F413" s="19">
        <v>15329</v>
      </c>
      <c r="G413" s="6">
        <v>1</v>
      </c>
      <c r="H413" s="6" t="s">
        <v>1280</v>
      </c>
      <c r="I413" s="2"/>
      <c r="J413" s="6" t="s">
        <v>171</v>
      </c>
      <c r="K413" s="6" t="s">
        <v>177</v>
      </c>
      <c r="L413" s="38" t="s">
        <v>173</v>
      </c>
      <c r="M413" s="6"/>
      <c r="N413" s="113"/>
      <c r="O413" s="45" t="s">
        <v>62</v>
      </c>
      <c r="P413" s="2" t="s">
        <v>62</v>
      </c>
      <c r="Q413" s="38" t="s">
        <v>62</v>
      </c>
      <c r="R413" s="36" t="s">
        <v>62</v>
      </c>
      <c r="S413" s="34"/>
      <c r="T413" s="34"/>
      <c r="U413" s="34"/>
      <c r="V413" s="33"/>
      <c r="W413" s="33" t="s">
        <v>1281</v>
      </c>
      <c r="X413" s="33"/>
      <c r="Y413" s="33"/>
      <c r="Z413"/>
      <c r="AD413"/>
      <c r="AE413"/>
      <c r="AF413"/>
      <c r="AG413"/>
    </row>
    <row r="414" spans="1:33" ht="16.149999999999999" customHeight="1" x14ac:dyDescent="0.15">
      <c r="A414" s="6">
        <v>408</v>
      </c>
      <c r="B414" s="18" t="s">
        <v>75</v>
      </c>
      <c r="C414" s="34" t="s">
        <v>57</v>
      </c>
      <c r="D414" s="43" t="s">
        <v>1282</v>
      </c>
      <c r="E414" s="77" t="s">
        <v>169</v>
      </c>
      <c r="F414" s="19">
        <v>15329</v>
      </c>
      <c r="G414" s="6">
        <v>2</v>
      </c>
      <c r="H414" s="6" t="s">
        <v>1283</v>
      </c>
      <c r="I414" s="2"/>
      <c r="J414" s="6" t="s">
        <v>171</v>
      </c>
      <c r="K414" s="6" t="s">
        <v>177</v>
      </c>
      <c r="L414" s="38" t="s">
        <v>173</v>
      </c>
      <c r="M414" s="6"/>
      <c r="N414" s="113"/>
      <c r="O414" s="45" t="s">
        <v>62</v>
      </c>
      <c r="P414" s="2" t="s">
        <v>62</v>
      </c>
      <c r="Q414" s="38" t="s">
        <v>62</v>
      </c>
      <c r="R414" s="36" t="s">
        <v>62</v>
      </c>
      <c r="S414" s="34"/>
      <c r="T414" s="34"/>
      <c r="U414" s="34"/>
      <c r="V414" s="33"/>
      <c r="W414" s="33" t="s">
        <v>1284</v>
      </c>
      <c r="X414" s="33"/>
      <c r="Y414" s="33"/>
      <c r="Z414"/>
      <c r="AD414"/>
      <c r="AE414"/>
      <c r="AF414"/>
      <c r="AG414"/>
    </row>
    <row r="415" spans="1:33" ht="16.149999999999999" customHeight="1" x14ac:dyDescent="0.15">
      <c r="A415" s="6">
        <v>409</v>
      </c>
      <c r="B415" s="18" t="s">
        <v>75</v>
      </c>
      <c r="C415" s="34" t="s">
        <v>57</v>
      </c>
      <c r="D415" s="43" t="s">
        <v>1285</v>
      </c>
      <c r="E415" s="77" t="s">
        <v>169</v>
      </c>
      <c r="F415" s="19">
        <v>15329</v>
      </c>
      <c r="G415" s="6">
        <v>3</v>
      </c>
      <c r="H415" s="6" t="s">
        <v>1286</v>
      </c>
      <c r="I415" s="2"/>
      <c r="J415" s="6" t="s">
        <v>171</v>
      </c>
      <c r="K415" s="6" t="s">
        <v>177</v>
      </c>
      <c r="L415" s="38" t="s">
        <v>173</v>
      </c>
      <c r="M415" s="6"/>
      <c r="N415" s="113"/>
      <c r="O415" s="45" t="s">
        <v>62</v>
      </c>
      <c r="P415" s="2" t="s">
        <v>62</v>
      </c>
      <c r="Q415" s="38" t="s">
        <v>62</v>
      </c>
      <c r="R415" s="36" t="s">
        <v>62</v>
      </c>
      <c r="S415" s="34"/>
      <c r="T415" s="34"/>
      <c r="U415" s="34"/>
      <c r="V415" s="33"/>
      <c r="W415" s="33" t="s">
        <v>1287</v>
      </c>
      <c r="X415" s="33"/>
      <c r="Y415" s="33"/>
      <c r="Z415"/>
      <c r="AD415"/>
      <c r="AE415"/>
      <c r="AF415"/>
      <c r="AG415"/>
    </row>
    <row r="416" spans="1:33" ht="16.149999999999999" customHeight="1" x14ac:dyDescent="0.15">
      <c r="A416" s="6">
        <v>410</v>
      </c>
      <c r="B416" s="18" t="s">
        <v>75</v>
      </c>
      <c r="C416" s="34" t="s">
        <v>57</v>
      </c>
      <c r="D416" s="43" t="s">
        <v>7248</v>
      </c>
      <c r="E416" s="77" t="s">
        <v>169</v>
      </c>
      <c r="F416" s="19">
        <v>15329</v>
      </c>
      <c r="G416" s="6">
        <v>4</v>
      </c>
      <c r="H416" s="6" t="s">
        <v>8137</v>
      </c>
      <c r="I416" s="2"/>
      <c r="J416" s="6" t="s">
        <v>171</v>
      </c>
      <c r="K416" s="6" t="s">
        <v>177</v>
      </c>
      <c r="L416" s="38" t="s">
        <v>173</v>
      </c>
      <c r="M416" s="2"/>
      <c r="N416" s="113"/>
      <c r="O416" s="45" t="s">
        <v>62</v>
      </c>
      <c r="P416" s="2" t="s">
        <v>62</v>
      </c>
      <c r="Q416" s="38" t="s">
        <v>62</v>
      </c>
      <c r="R416" s="36" t="s">
        <v>62</v>
      </c>
      <c r="S416" s="34"/>
      <c r="T416" s="34"/>
      <c r="U416" s="34"/>
      <c r="V416" s="33"/>
      <c r="W416" s="33" t="s">
        <v>8295</v>
      </c>
      <c r="X416" s="33"/>
      <c r="Y416" s="33"/>
      <c r="Z416"/>
      <c r="AD416"/>
      <c r="AE416"/>
      <c r="AF416"/>
      <c r="AG416"/>
    </row>
    <row r="417" spans="1:33" ht="16.149999999999999" customHeight="1" x14ac:dyDescent="0.15">
      <c r="A417" s="6">
        <v>411</v>
      </c>
      <c r="B417" s="18" t="s">
        <v>75</v>
      </c>
      <c r="C417" s="34" t="s">
        <v>57</v>
      </c>
      <c r="D417" s="43" t="s">
        <v>7264</v>
      </c>
      <c r="E417" s="77" t="s">
        <v>169</v>
      </c>
      <c r="F417" s="19">
        <v>15329</v>
      </c>
      <c r="G417" s="6">
        <v>5</v>
      </c>
      <c r="H417" s="6" t="s">
        <v>8138</v>
      </c>
      <c r="I417" s="2"/>
      <c r="J417" s="6" t="s">
        <v>171</v>
      </c>
      <c r="K417" s="6" t="s">
        <v>177</v>
      </c>
      <c r="L417" s="38" t="s">
        <v>173</v>
      </c>
      <c r="M417" s="2"/>
      <c r="N417" s="113"/>
      <c r="O417" s="45" t="s">
        <v>62</v>
      </c>
      <c r="P417" s="2" t="s">
        <v>62</v>
      </c>
      <c r="Q417" s="38" t="s">
        <v>62</v>
      </c>
      <c r="R417" s="36" t="s">
        <v>62</v>
      </c>
      <c r="S417" s="34"/>
      <c r="T417" s="34"/>
      <c r="U417" s="34"/>
      <c r="V417" s="33"/>
      <c r="W417" s="33" t="s">
        <v>8296</v>
      </c>
      <c r="X417" s="33"/>
      <c r="Y417" s="33"/>
      <c r="Z417"/>
      <c r="AD417"/>
      <c r="AE417"/>
      <c r="AF417"/>
      <c r="AG417"/>
    </row>
    <row r="418" spans="1:33" ht="16.149999999999999" customHeight="1" x14ac:dyDescent="0.15">
      <c r="A418" s="6">
        <v>412</v>
      </c>
      <c r="B418" s="18" t="s">
        <v>75</v>
      </c>
      <c r="C418" s="34" t="s">
        <v>57</v>
      </c>
      <c r="D418" s="43" t="s">
        <v>1288</v>
      </c>
      <c r="E418" s="77" t="s">
        <v>169</v>
      </c>
      <c r="F418" s="19">
        <v>15329</v>
      </c>
      <c r="G418" s="6">
        <v>6</v>
      </c>
      <c r="H418" s="6" t="s">
        <v>1289</v>
      </c>
      <c r="I418" s="2"/>
      <c r="J418" s="6" t="s">
        <v>171</v>
      </c>
      <c r="K418" s="6" t="s">
        <v>177</v>
      </c>
      <c r="L418" s="38" t="s">
        <v>173</v>
      </c>
      <c r="M418" s="2"/>
      <c r="N418" s="113"/>
      <c r="O418" s="45" t="s">
        <v>62</v>
      </c>
      <c r="P418" s="2" t="s">
        <v>62</v>
      </c>
      <c r="Q418" s="38" t="s">
        <v>62</v>
      </c>
      <c r="R418" s="36" t="s">
        <v>62</v>
      </c>
      <c r="S418" s="34"/>
      <c r="T418" s="34"/>
      <c r="U418" s="34"/>
      <c r="V418" s="33"/>
      <c r="W418" s="33" t="s">
        <v>1290</v>
      </c>
      <c r="X418" s="33"/>
      <c r="Y418" s="33"/>
      <c r="Z418"/>
      <c r="AD418"/>
      <c r="AE418"/>
      <c r="AF418"/>
      <c r="AG418"/>
    </row>
    <row r="419" spans="1:33" ht="16.149999999999999" customHeight="1" x14ac:dyDescent="0.15">
      <c r="A419" s="6">
        <v>413</v>
      </c>
      <c r="B419" s="18" t="s">
        <v>75</v>
      </c>
      <c r="C419" s="34" t="s">
        <v>57</v>
      </c>
      <c r="D419" s="43" t="s">
        <v>1114</v>
      </c>
      <c r="E419" s="77" t="s">
        <v>169</v>
      </c>
      <c r="F419" s="19">
        <v>15329</v>
      </c>
      <c r="G419" s="6">
        <v>7</v>
      </c>
      <c r="H419" s="6" t="s">
        <v>1291</v>
      </c>
      <c r="I419" s="2"/>
      <c r="J419" s="6" t="s">
        <v>171</v>
      </c>
      <c r="K419" s="6" t="s">
        <v>177</v>
      </c>
      <c r="L419" s="38" t="s">
        <v>173</v>
      </c>
      <c r="M419" s="2"/>
      <c r="N419" s="113"/>
      <c r="O419" s="45" t="s">
        <v>62</v>
      </c>
      <c r="P419" s="2" t="s">
        <v>62</v>
      </c>
      <c r="Q419" s="38" t="s">
        <v>62</v>
      </c>
      <c r="R419" s="36" t="s">
        <v>62</v>
      </c>
      <c r="S419" s="34"/>
      <c r="T419" s="34"/>
      <c r="U419" s="34"/>
      <c r="V419" s="33"/>
      <c r="W419" s="33" t="s">
        <v>1292</v>
      </c>
      <c r="X419" s="33"/>
      <c r="Y419" s="33"/>
      <c r="Z419"/>
      <c r="AD419"/>
      <c r="AE419"/>
      <c r="AF419"/>
      <c r="AG419"/>
    </row>
    <row r="420" spans="1:33" ht="16.149999999999999" customHeight="1" x14ac:dyDescent="0.15">
      <c r="A420" s="6">
        <v>414</v>
      </c>
      <c r="B420" s="18" t="s">
        <v>75</v>
      </c>
      <c r="C420" s="34" t="s">
        <v>57</v>
      </c>
      <c r="D420" s="43" t="s">
        <v>1093</v>
      </c>
      <c r="E420" s="77" t="s">
        <v>169</v>
      </c>
      <c r="F420" s="19">
        <v>15329</v>
      </c>
      <c r="G420" s="6">
        <v>8</v>
      </c>
      <c r="H420" s="6" t="s">
        <v>1293</v>
      </c>
      <c r="I420" s="2"/>
      <c r="J420" s="6" t="s">
        <v>171</v>
      </c>
      <c r="K420" s="6" t="s">
        <v>177</v>
      </c>
      <c r="L420" s="38" t="s">
        <v>173</v>
      </c>
      <c r="M420" s="2"/>
      <c r="N420" s="113"/>
      <c r="O420" s="45" t="s">
        <v>62</v>
      </c>
      <c r="P420" s="2" t="s">
        <v>62</v>
      </c>
      <c r="Q420" s="38" t="s">
        <v>62</v>
      </c>
      <c r="R420" s="36" t="s">
        <v>62</v>
      </c>
      <c r="S420" s="34"/>
      <c r="T420" s="34"/>
      <c r="U420" s="34"/>
      <c r="V420" s="33"/>
      <c r="W420" s="33" t="s">
        <v>1294</v>
      </c>
      <c r="X420" s="33"/>
      <c r="Y420" s="33"/>
      <c r="Z420"/>
      <c r="AD420"/>
      <c r="AE420"/>
      <c r="AF420"/>
      <c r="AG420"/>
    </row>
    <row r="421" spans="1:33" ht="16.149999999999999" customHeight="1" x14ac:dyDescent="0.15">
      <c r="A421" s="6">
        <v>415</v>
      </c>
      <c r="B421" s="18" t="s">
        <v>75</v>
      </c>
      <c r="C421" s="34" t="s">
        <v>57</v>
      </c>
      <c r="D421" s="43" t="s">
        <v>7265</v>
      </c>
      <c r="E421" s="77" t="s">
        <v>169</v>
      </c>
      <c r="F421" s="19">
        <v>15329</v>
      </c>
      <c r="G421" s="6">
        <v>9</v>
      </c>
      <c r="H421" s="6" t="s">
        <v>8139</v>
      </c>
      <c r="I421" s="2"/>
      <c r="J421" s="6" t="s">
        <v>171</v>
      </c>
      <c r="K421" s="6" t="s">
        <v>177</v>
      </c>
      <c r="L421" s="38" t="s">
        <v>173</v>
      </c>
      <c r="M421" s="2"/>
      <c r="N421" s="113"/>
      <c r="O421" s="45" t="s">
        <v>62</v>
      </c>
      <c r="P421" s="2" t="s">
        <v>62</v>
      </c>
      <c r="Q421" s="38" t="s">
        <v>62</v>
      </c>
      <c r="R421" s="36" t="s">
        <v>62</v>
      </c>
      <c r="S421" s="34"/>
      <c r="T421" s="34"/>
      <c r="U421" s="34"/>
      <c r="V421" s="33"/>
      <c r="W421" s="33" t="s">
        <v>8297</v>
      </c>
      <c r="X421" s="33"/>
      <c r="Y421" s="33"/>
      <c r="Z421"/>
      <c r="AD421"/>
      <c r="AE421"/>
      <c r="AF421"/>
      <c r="AG421"/>
    </row>
    <row r="422" spans="1:33" ht="16.149999999999999" customHeight="1" x14ac:dyDescent="0.15">
      <c r="A422" s="6">
        <v>416</v>
      </c>
      <c r="B422" s="18" t="s">
        <v>75</v>
      </c>
      <c r="C422" s="34" t="s">
        <v>57</v>
      </c>
      <c r="D422" s="43" t="s">
        <v>7266</v>
      </c>
      <c r="E422" s="77" t="s">
        <v>169</v>
      </c>
      <c r="F422" s="19">
        <v>15329</v>
      </c>
      <c r="G422" s="6">
        <v>10</v>
      </c>
      <c r="H422" s="6" t="s">
        <v>8140</v>
      </c>
      <c r="I422" s="2"/>
      <c r="J422" s="6" t="s">
        <v>171</v>
      </c>
      <c r="K422" s="6" t="s">
        <v>177</v>
      </c>
      <c r="L422" s="38" t="s">
        <v>173</v>
      </c>
      <c r="M422" s="2"/>
      <c r="N422" s="113"/>
      <c r="O422" s="45" t="s">
        <v>62</v>
      </c>
      <c r="P422" s="2" t="s">
        <v>62</v>
      </c>
      <c r="Q422" s="38" t="s">
        <v>62</v>
      </c>
      <c r="R422" s="36" t="s">
        <v>62</v>
      </c>
      <c r="S422" s="34"/>
      <c r="T422" s="34"/>
      <c r="U422" s="34"/>
      <c r="V422" s="33"/>
      <c r="W422" s="33" t="s">
        <v>8298</v>
      </c>
      <c r="X422" s="33"/>
      <c r="Y422" s="33"/>
      <c r="Z422"/>
      <c r="AD422"/>
      <c r="AE422"/>
      <c r="AF422"/>
      <c r="AG422"/>
    </row>
    <row r="423" spans="1:33" ht="16.149999999999999" customHeight="1" x14ac:dyDescent="0.15">
      <c r="A423" s="6">
        <v>417</v>
      </c>
      <c r="B423" s="18" t="s">
        <v>75</v>
      </c>
      <c r="C423" s="34" t="s">
        <v>57</v>
      </c>
      <c r="D423" s="43" t="s">
        <v>7267</v>
      </c>
      <c r="E423" s="77" t="s">
        <v>169</v>
      </c>
      <c r="F423" s="19">
        <v>15329</v>
      </c>
      <c r="G423" s="6">
        <v>11</v>
      </c>
      <c r="H423" s="6" t="s">
        <v>8141</v>
      </c>
      <c r="I423" s="2"/>
      <c r="J423" s="6" t="s">
        <v>171</v>
      </c>
      <c r="K423" s="6" t="s">
        <v>177</v>
      </c>
      <c r="L423" s="38" t="s">
        <v>173</v>
      </c>
      <c r="M423" s="2"/>
      <c r="N423" s="113"/>
      <c r="O423" s="45" t="s">
        <v>62</v>
      </c>
      <c r="P423" s="2" t="s">
        <v>62</v>
      </c>
      <c r="Q423" s="38" t="s">
        <v>62</v>
      </c>
      <c r="R423" s="36" t="s">
        <v>62</v>
      </c>
      <c r="S423" s="34"/>
      <c r="T423" s="34"/>
      <c r="U423" s="34"/>
      <c r="V423" s="33"/>
      <c r="W423" s="33" t="s">
        <v>8299</v>
      </c>
      <c r="X423" s="33"/>
      <c r="Y423" s="33"/>
      <c r="Z423"/>
      <c r="AD423"/>
      <c r="AE423"/>
      <c r="AF423"/>
      <c r="AG423"/>
    </row>
    <row r="424" spans="1:33" ht="16.149999999999999" customHeight="1" x14ac:dyDescent="0.15">
      <c r="A424" s="6">
        <v>418</v>
      </c>
      <c r="B424" s="18" t="s">
        <v>75</v>
      </c>
      <c r="C424" s="34" t="s">
        <v>57</v>
      </c>
      <c r="D424" s="43" t="s">
        <v>1123</v>
      </c>
      <c r="E424" s="77" t="s">
        <v>169</v>
      </c>
      <c r="F424" s="19">
        <v>15329</v>
      </c>
      <c r="G424" s="6">
        <v>12</v>
      </c>
      <c r="H424" s="6" t="s">
        <v>1295</v>
      </c>
      <c r="I424" s="2"/>
      <c r="J424" s="6" t="s">
        <v>171</v>
      </c>
      <c r="K424" s="6" t="s">
        <v>177</v>
      </c>
      <c r="L424" s="38" t="s">
        <v>173</v>
      </c>
      <c r="M424" s="2"/>
      <c r="N424" s="113"/>
      <c r="O424" s="45" t="s">
        <v>62</v>
      </c>
      <c r="P424" s="2" t="s">
        <v>62</v>
      </c>
      <c r="Q424" s="38" t="s">
        <v>62</v>
      </c>
      <c r="R424" s="36" t="s">
        <v>62</v>
      </c>
      <c r="S424" s="34"/>
      <c r="T424" s="34"/>
      <c r="U424" s="34"/>
      <c r="V424" s="33"/>
      <c r="W424" s="33" t="s">
        <v>1296</v>
      </c>
      <c r="X424" s="33"/>
      <c r="Y424" s="33"/>
      <c r="Z424"/>
      <c r="AD424"/>
      <c r="AE424"/>
      <c r="AF424"/>
      <c r="AG424"/>
    </row>
    <row r="425" spans="1:33" ht="16.149999999999999" customHeight="1" x14ac:dyDescent="0.15">
      <c r="A425" s="6">
        <v>419</v>
      </c>
      <c r="B425" s="18" t="s">
        <v>75</v>
      </c>
      <c r="C425" s="34" t="s">
        <v>57</v>
      </c>
      <c r="D425" s="43" t="s">
        <v>1297</v>
      </c>
      <c r="E425" s="77" t="s">
        <v>169</v>
      </c>
      <c r="F425" s="19">
        <v>15329</v>
      </c>
      <c r="G425" s="6">
        <v>13</v>
      </c>
      <c r="H425" s="6" t="s">
        <v>1298</v>
      </c>
      <c r="I425" s="2"/>
      <c r="J425" s="6" t="s">
        <v>171</v>
      </c>
      <c r="K425" s="6" t="s">
        <v>177</v>
      </c>
      <c r="L425" s="38" t="s">
        <v>173</v>
      </c>
      <c r="M425" s="2"/>
      <c r="N425" s="113"/>
      <c r="O425" s="45" t="s">
        <v>62</v>
      </c>
      <c r="P425" s="2" t="s">
        <v>62</v>
      </c>
      <c r="Q425" s="38" t="s">
        <v>62</v>
      </c>
      <c r="R425" s="36" t="s">
        <v>62</v>
      </c>
      <c r="S425" s="34"/>
      <c r="T425" s="34"/>
      <c r="U425" s="34"/>
      <c r="V425" s="33"/>
      <c r="W425" s="33" t="s">
        <v>1299</v>
      </c>
      <c r="X425" s="33"/>
      <c r="Y425" s="33"/>
      <c r="Z425"/>
      <c r="AD425"/>
      <c r="AE425"/>
      <c r="AF425"/>
      <c r="AG425"/>
    </row>
    <row r="426" spans="1:33" ht="16.149999999999999" customHeight="1" x14ac:dyDescent="0.15">
      <c r="A426" s="6">
        <v>420</v>
      </c>
      <c r="B426" s="18" t="s">
        <v>75</v>
      </c>
      <c r="C426" s="34" t="s">
        <v>57</v>
      </c>
      <c r="D426" s="43" t="s">
        <v>1057</v>
      </c>
      <c r="E426" s="77" t="s">
        <v>169</v>
      </c>
      <c r="F426" s="19">
        <v>15329</v>
      </c>
      <c r="G426" s="6">
        <v>14</v>
      </c>
      <c r="H426" s="6" t="s">
        <v>1300</v>
      </c>
      <c r="I426" s="2"/>
      <c r="J426" s="6" t="s">
        <v>171</v>
      </c>
      <c r="K426" s="6" t="s">
        <v>177</v>
      </c>
      <c r="L426" s="38" t="s">
        <v>173</v>
      </c>
      <c r="M426" s="2"/>
      <c r="N426" s="113"/>
      <c r="O426" s="45" t="s">
        <v>62</v>
      </c>
      <c r="P426" s="2" t="s">
        <v>62</v>
      </c>
      <c r="Q426" s="38" t="s">
        <v>62</v>
      </c>
      <c r="R426" s="36" t="s">
        <v>62</v>
      </c>
      <c r="S426" s="34"/>
      <c r="T426" s="34"/>
      <c r="U426" s="34"/>
      <c r="V426" s="33"/>
      <c r="W426" s="33" t="s">
        <v>1301</v>
      </c>
      <c r="X426" s="33"/>
      <c r="Y426" s="33"/>
      <c r="Z426"/>
      <c r="AD426"/>
      <c r="AE426"/>
      <c r="AF426"/>
      <c r="AG426"/>
    </row>
    <row r="427" spans="1:33" ht="16.149999999999999" customHeight="1" x14ac:dyDescent="0.15">
      <c r="A427" s="6">
        <v>421</v>
      </c>
      <c r="B427" s="18" t="s">
        <v>75</v>
      </c>
      <c r="C427" s="34" t="s">
        <v>57</v>
      </c>
      <c r="D427" s="43" t="s">
        <v>7268</v>
      </c>
      <c r="E427" s="77" t="s">
        <v>169</v>
      </c>
      <c r="F427" s="19">
        <v>15329</v>
      </c>
      <c r="G427" s="6">
        <v>15</v>
      </c>
      <c r="H427" s="6" t="s">
        <v>8142</v>
      </c>
      <c r="I427" s="2"/>
      <c r="J427" s="6" t="s">
        <v>171</v>
      </c>
      <c r="K427" s="6" t="s">
        <v>177</v>
      </c>
      <c r="L427" s="38" t="s">
        <v>173</v>
      </c>
      <c r="M427" s="2"/>
      <c r="N427" s="113"/>
      <c r="O427" s="45" t="s">
        <v>62</v>
      </c>
      <c r="P427" s="2" t="s">
        <v>62</v>
      </c>
      <c r="Q427" s="38" t="s">
        <v>62</v>
      </c>
      <c r="R427" s="36" t="s">
        <v>62</v>
      </c>
      <c r="S427" s="34"/>
      <c r="T427" s="34"/>
      <c r="U427" s="34"/>
      <c r="V427" s="33"/>
      <c r="W427" s="33" t="s">
        <v>8300</v>
      </c>
      <c r="X427" s="33"/>
      <c r="Y427" s="33"/>
      <c r="Z427"/>
      <c r="AD427"/>
      <c r="AE427"/>
      <c r="AF427"/>
      <c r="AG427"/>
    </row>
    <row r="428" spans="1:33" ht="16.149999999999999" customHeight="1" x14ac:dyDescent="0.15">
      <c r="A428" s="6">
        <v>422</v>
      </c>
      <c r="B428" s="18" t="s">
        <v>75</v>
      </c>
      <c r="C428" s="34" t="s">
        <v>57</v>
      </c>
      <c r="D428" s="43" t="s">
        <v>1302</v>
      </c>
      <c r="E428" s="77" t="s">
        <v>169</v>
      </c>
      <c r="F428" s="19">
        <v>15329</v>
      </c>
      <c r="G428" s="6">
        <v>16</v>
      </c>
      <c r="H428" s="6" t="s">
        <v>1303</v>
      </c>
      <c r="I428" s="2"/>
      <c r="J428" s="6" t="s">
        <v>171</v>
      </c>
      <c r="K428" s="6" t="s">
        <v>177</v>
      </c>
      <c r="L428" s="38" t="s">
        <v>173</v>
      </c>
      <c r="M428" s="2"/>
      <c r="N428" s="113"/>
      <c r="O428" s="45" t="s">
        <v>62</v>
      </c>
      <c r="P428" s="2" t="s">
        <v>62</v>
      </c>
      <c r="Q428" s="38" t="s">
        <v>62</v>
      </c>
      <c r="R428" s="36" t="s">
        <v>62</v>
      </c>
      <c r="S428" s="34"/>
      <c r="T428" s="34"/>
      <c r="U428" s="34"/>
      <c r="V428" s="33"/>
      <c r="W428" s="33" t="s">
        <v>1304</v>
      </c>
      <c r="X428" s="33"/>
      <c r="Y428" s="33"/>
      <c r="Z428"/>
      <c r="AD428"/>
      <c r="AE428"/>
      <c r="AF428"/>
      <c r="AG428"/>
    </row>
    <row r="429" spans="1:33" ht="16.149999999999999" customHeight="1" x14ac:dyDescent="0.15">
      <c r="A429" s="6">
        <v>423</v>
      </c>
      <c r="B429" s="18" t="s">
        <v>75</v>
      </c>
      <c r="C429" s="34" t="s">
        <v>57</v>
      </c>
      <c r="D429" s="43" t="s">
        <v>1305</v>
      </c>
      <c r="E429" s="77" t="s">
        <v>169</v>
      </c>
      <c r="F429" s="19">
        <v>15329</v>
      </c>
      <c r="G429" s="6">
        <v>17</v>
      </c>
      <c r="H429" s="6" t="s">
        <v>1306</v>
      </c>
      <c r="I429" s="2"/>
      <c r="J429" s="6" t="s">
        <v>171</v>
      </c>
      <c r="K429" s="6" t="s">
        <v>177</v>
      </c>
      <c r="L429" s="38" t="s">
        <v>173</v>
      </c>
      <c r="M429" s="2"/>
      <c r="N429" s="113"/>
      <c r="O429" s="45" t="s">
        <v>62</v>
      </c>
      <c r="P429" s="2" t="s">
        <v>62</v>
      </c>
      <c r="Q429" s="38" t="s">
        <v>62</v>
      </c>
      <c r="R429" s="36" t="s">
        <v>62</v>
      </c>
      <c r="S429" s="34"/>
      <c r="T429" s="34"/>
      <c r="U429" s="34"/>
      <c r="V429" s="33"/>
      <c r="W429" s="33" t="s">
        <v>1307</v>
      </c>
      <c r="X429" s="33"/>
      <c r="Y429" s="33"/>
      <c r="Z429"/>
      <c r="AD429"/>
      <c r="AE429"/>
      <c r="AF429"/>
      <c r="AG429"/>
    </row>
    <row r="430" spans="1:33" ht="16.149999999999999" customHeight="1" x14ac:dyDescent="0.15">
      <c r="A430" s="6">
        <v>424</v>
      </c>
      <c r="B430" s="18" t="s">
        <v>75</v>
      </c>
      <c r="C430" s="34" t="s">
        <v>57</v>
      </c>
      <c r="D430" s="43" t="s">
        <v>7269</v>
      </c>
      <c r="E430" s="77" t="s">
        <v>169</v>
      </c>
      <c r="F430" s="19">
        <v>15329</v>
      </c>
      <c r="G430" s="6">
        <v>18</v>
      </c>
      <c r="H430" s="6" t="s">
        <v>8143</v>
      </c>
      <c r="I430" s="2"/>
      <c r="J430" s="6" t="s">
        <v>171</v>
      </c>
      <c r="K430" s="6" t="s">
        <v>177</v>
      </c>
      <c r="L430" s="38" t="s">
        <v>173</v>
      </c>
      <c r="M430" s="2"/>
      <c r="N430" s="113"/>
      <c r="O430" s="45" t="s">
        <v>62</v>
      </c>
      <c r="P430" s="2" t="s">
        <v>62</v>
      </c>
      <c r="Q430" s="38" t="s">
        <v>62</v>
      </c>
      <c r="R430" s="36" t="s">
        <v>62</v>
      </c>
      <c r="S430" s="34"/>
      <c r="T430" s="34"/>
      <c r="U430" s="34"/>
      <c r="V430" s="33"/>
      <c r="W430" s="33" t="s">
        <v>8301</v>
      </c>
      <c r="X430" s="33"/>
      <c r="Y430" s="33"/>
      <c r="Z430"/>
      <c r="AD430"/>
      <c r="AE430"/>
      <c r="AF430"/>
      <c r="AG430"/>
    </row>
    <row r="431" spans="1:33" ht="16.149999999999999" customHeight="1" x14ac:dyDescent="0.15">
      <c r="A431" s="6">
        <v>425</v>
      </c>
      <c r="B431" s="18" t="s">
        <v>75</v>
      </c>
      <c r="C431" s="34" t="s">
        <v>57</v>
      </c>
      <c r="D431" s="43" t="s">
        <v>1308</v>
      </c>
      <c r="E431" s="77" t="s">
        <v>169</v>
      </c>
      <c r="F431" s="19">
        <v>15329</v>
      </c>
      <c r="G431" s="6">
        <v>19</v>
      </c>
      <c r="H431" s="6" t="s">
        <v>1309</v>
      </c>
      <c r="I431" s="2"/>
      <c r="J431" s="6" t="s">
        <v>171</v>
      </c>
      <c r="K431" s="6" t="s">
        <v>177</v>
      </c>
      <c r="L431" s="38" t="s">
        <v>173</v>
      </c>
      <c r="M431" s="2"/>
      <c r="N431" s="113"/>
      <c r="O431" s="45" t="s">
        <v>62</v>
      </c>
      <c r="P431" s="2" t="s">
        <v>62</v>
      </c>
      <c r="Q431" s="38" t="s">
        <v>62</v>
      </c>
      <c r="R431" s="36" t="s">
        <v>62</v>
      </c>
      <c r="S431" s="34"/>
      <c r="T431" s="34"/>
      <c r="U431" s="34"/>
      <c r="V431" s="33"/>
      <c r="W431" s="33" t="s">
        <v>1310</v>
      </c>
      <c r="X431" s="33"/>
      <c r="Y431" s="33"/>
      <c r="Z431"/>
      <c r="AD431"/>
      <c r="AE431"/>
      <c r="AF431"/>
      <c r="AG431"/>
    </row>
    <row r="432" spans="1:33" ht="16.149999999999999" customHeight="1" x14ac:dyDescent="0.15">
      <c r="A432" s="6">
        <v>426</v>
      </c>
      <c r="B432" s="18" t="s">
        <v>75</v>
      </c>
      <c r="C432" s="34" t="s">
        <v>57</v>
      </c>
      <c r="D432" s="43" t="s">
        <v>1311</v>
      </c>
      <c r="E432" s="77" t="s">
        <v>169</v>
      </c>
      <c r="F432" s="19">
        <v>15329</v>
      </c>
      <c r="G432" s="6">
        <v>20</v>
      </c>
      <c r="H432" s="6" t="s">
        <v>1312</v>
      </c>
      <c r="I432" s="2"/>
      <c r="J432" s="6" t="s">
        <v>171</v>
      </c>
      <c r="K432" s="6" t="s">
        <v>177</v>
      </c>
      <c r="L432" s="38" t="s">
        <v>173</v>
      </c>
      <c r="M432" s="2"/>
      <c r="N432" s="113"/>
      <c r="O432" s="45" t="s">
        <v>62</v>
      </c>
      <c r="P432" s="2" t="s">
        <v>62</v>
      </c>
      <c r="Q432" s="38" t="s">
        <v>62</v>
      </c>
      <c r="R432" s="36" t="s">
        <v>62</v>
      </c>
      <c r="S432" s="34"/>
      <c r="T432" s="34"/>
      <c r="U432" s="34"/>
      <c r="V432" s="33"/>
      <c r="W432" s="33" t="s">
        <v>1313</v>
      </c>
      <c r="X432" s="33"/>
      <c r="Y432" s="33"/>
      <c r="Z432"/>
      <c r="AD432"/>
      <c r="AE432"/>
      <c r="AF432"/>
      <c r="AG432"/>
    </row>
    <row r="433" spans="1:33" ht="16.149999999999999" customHeight="1" x14ac:dyDescent="0.15">
      <c r="A433" s="6">
        <v>427</v>
      </c>
      <c r="B433" s="18" t="s">
        <v>75</v>
      </c>
      <c r="C433" s="34" t="s">
        <v>57</v>
      </c>
      <c r="D433" s="43" t="s">
        <v>1162</v>
      </c>
      <c r="E433" s="77" t="s">
        <v>169</v>
      </c>
      <c r="F433" s="19">
        <v>15329</v>
      </c>
      <c r="G433" s="6">
        <v>21</v>
      </c>
      <c r="H433" s="6" t="s">
        <v>1314</v>
      </c>
      <c r="I433" s="2"/>
      <c r="J433" s="6" t="s">
        <v>171</v>
      </c>
      <c r="K433" s="6" t="s">
        <v>177</v>
      </c>
      <c r="L433" s="38" t="s">
        <v>173</v>
      </c>
      <c r="M433" s="2"/>
      <c r="N433" s="113"/>
      <c r="O433" s="45" t="s">
        <v>62</v>
      </c>
      <c r="P433" s="2" t="s">
        <v>62</v>
      </c>
      <c r="Q433" s="38" t="s">
        <v>62</v>
      </c>
      <c r="R433" s="36" t="s">
        <v>62</v>
      </c>
      <c r="S433" s="34"/>
      <c r="T433" s="34"/>
      <c r="U433" s="34"/>
      <c r="V433" s="33"/>
      <c r="W433" s="33" t="s">
        <v>1315</v>
      </c>
      <c r="X433" s="33"/>
      <c r="Y433" s="33"/>
      <c r="Z433"/>
      <c r="AD433"/>
      <c r="AE433"/>
      <c r="AF433"/>
      <c r="AG433"/>
    </row>
    <row r="434" spans="1:33" ht="16.149999999999999" customHeight="1" x14ac:dyDescent="0.15">
      <c r="A434" s="6">
        <v>428</v>
      </c>
      <c r="B434" s="18" t="s">
        <v>75</v>
      </c>
      <c r="C434" s="34" t="s">
        <v>57</v>
      </c>
      <c r="D434" s="43" t="s">
        <v>7270</v>
      </c>
      <c r="E434" s="77" t="s">
        <v>169</v>
      </c>
      <c r="F434" s="19">
        <v>15329</v>
      </c>
      <c r="G434" s="6">
        <v>22</v>
      </c>
      <c r="H434" s="6" t="s">
        <v>8144</v>
      </c>
      <c r="I434" s="2"/>
      <c r="J434" s="6" t="s">
        <v>171</v>
      </c>
      <c r="K434" s="6" t="s">
        <v>177</v>
      </c>
      <c r="L434" s="38" t="s">
        <v>173</v>
      </c>
      <c r="M434" s="2"/>
      <c r="N434" s="113"/>
      <c r="O434" s="45" t="s">
        <v>62</v>
      </c>
      <c r="P434" s="2" t="s">
        <v>62</v>
      </c>
      <c r="Q434" s="38" t="s">
        <v>62</v>
      </c>
      <c r="R434" s="36" t="s">
        <v>62</v>
      </c>
      <c r="S434" s="34"/>
      <c r="T434" s="34"/>
      <c r="U434" s="34"/>
      <c r="V434" s="33"/>
      <c r="W434" s="33" t="s">
        <v>8302</v>
      </c>
      <c r="X434" s="33"/>
      <c r="Y434" s="33"/>
      <c r="Z434"/>
      <c r="AD434"/>
      <c r="AE434"/>
      <c r="AF434"/>
      <c r="AG434"/>
    </row>
    <row r="435" spans="1:33" ht="16.149999999999999" customHeight="1" x14ac:dyDescent="0.15">
      <c r="A435" s="6">
        <v>429</v>
      </c>
      <c r="B435" s="18" t="s">
        <v>75</v>
      </c>
      <c r="C435" s="34" t="s">
        <v>57</v>
      </c>
      <c r="D435" s="43" t="s">
        <v>1316</v>
      </c>
      <c r="E435" s="77" t="s">
        <v>169</v>
      </c>
      <c r="F435" s="19">
        <v>15329</v>
      </c>
      <c r="G435" s="6">
        <v>23</v>
      </c>
      <c r="H435" s="6" t="s">
        <v>1317</v>
      </c>
      <c r="I435" s="2"/>
      <c r="J435" s="6" t="s">
        <v>171</v>
      </c>
      <c r="K435" s="6" t="s">
        <v>177</v>
      </c>
      <c r="L435" s="38" t="s">
        <v>173</v>
      </c>
      <c r="M435" s="2"/>
      <c r="N435" s="113"/>
      <c r="O435" s="45" t="s">
        <v>62</v>
      </c>
      <c r="P435" s="2" t="s">
        <v>62</v>
      </c>
      <c r="Q435" s="38" t="s">
        <v>62</v>
      </c>
      <c r="R435" s="36" t="s">
        <v>62</v>
      </c>
      <c r="S435" s="34"/>
      <c r="T435" s="34"/>
      <c r="U435" s="34"/>
      <c r="V435" s="33"/>
      <c r="W435" s="33" t="s">
        <v>1318</v>
      </c>
      <c r="X435" s="33"/>
      <c r="Y435" s="33"/>
      <c r="Z435"/>
      <c r="AD435"/>
      <c r="AE435"/>
      <c r="AF435"/>
      <c r="AG435"/>
    </row>
    <row r="436" spans="1:33" ht="16.149999999999999" customHeight="1" x14ac:dyDescent="0.15">
      <c r="A436" s="6">
        <v>430</v>
      </c>
      <c r="B436" s="18" t="s">
        <v>75</v>
      </c>
      <c r="C436" s="34" t="s">
        <v>57</v>
      </c>
      <c r="D436" s="43" t="s">
        <v>1319</v>
      </c>
      <c r="E436" s="77" t="s">
        <v>169</v>
      </c>
      <c r="F436" s="19">
        <v>15329</v>
      </c>
      <c r="G436" s="6">
        <v>24</v>
      </c>
      <c r="H436" s="6" t="s">
        <v>1320</v>
      </c>
      <c r="I436" s="2"/>
      <c r="J436" s="6" t="s">
        <v>171</v>
      </c>
      <c r="K436" s="6" t="s">
        <v>177</v>
      </c>
      <c r="L436" s="38" t="s">
        <v>173</v>
      </c>
      <c r="M436" s="2"/>
      <c r="N436" s="113"/>
      <c r="O436" s="45" t="s">
        <v>62</v>
      </c>
      <c r="P436" s="2" t="s">
        <v>62</v>
      </c>
      <c r="Q436" s="38" t="s">
        <v>62</v>
      </c>
      <c r="R436" s="36" t="s">
        <v>62</v>
      </c>
      <c r="S436" s="34"/>
      <c r="T436" s="34"/>
      <c r="U436" s="34"/>
      <c r="V436" s="33"/>
      <c r="W436" s="33" t="s">
        <v>1321</v>
      </c>
      <c r="X436" s="33"/>
      <c r="Y436" s="33"/>
      <c r="Z436"/>
      <c r="AD436"/>
      <c r="AE436"/>
      <c r="AF436"/>
      <c r="AG436"/>
    </row>
    <row r="437" spans="1:33" ht="16.149999999999999" customHeight="1" x14ac:dyDescent="0.15">
      <c r="A437" s="6">
        <v>431</v>
      </c>
      <c r="B437" s="18" t="s">
        <v>75</v>
      </c>
      <c r="C437" s="34" t="s">
        <v>57</v>
      </c>
      <c r="D437" s="43" t="s">
        <v>1322</v>
      </c>
      <c r="E437" s="77" t="s">
        <v>169</v>
      </c>
      <c r="F437" s="19">
        <v>15329</v>
      </c>
      <c r="G437" s="6">
        <v>25</v>
      </c>
      <c r="H437" s="6" t="s">
        <v>1323</v>
      </c>
      <c r="I437" s="2"/>
      <c r="J437" s="6" t="s">
        <v>171</v>
      </c>
      <c r="K437" s="6" t="s">
        <v>177</v>
      </c>
      <c r="L437" s="38" t="s">
        <v>173</v>
      </c>
      <c r="M437" s="2"/>
      <c r="N437" s="113"/>
      <c r="O437" s="45" t="s">
        <v>62</v>
      </c>
      <c r="P437" s="2" t="s">
        <v>62</v>
      </c>
      <c r="Q437" s="38" t="s">
        <v>62</v>
      </c>
      <c r="R437" s="36" t="s">
        <v>62</v>
      </c>
      <c r="S437" s="34"/>
      <c r="T437" s="34"/>
      <c r="U437" s="34"/>
      <c r="V437" s="33"/>
      <c r="W437" s="33" t="s">
        <v>1324</v>
      </c>
      <c r="X437" s="33"/>
      <c r="Y437" s="33"/>
      <c r="Z437"/>
      <c r="AD437"/>
      <c r="AE437"/>
      <c r="AF437"/>
      <c r="AG437"/>
    </row>
    <row r="438" spans="1:33" ht="16.149999999999999" customHeight="1" x14ac:dyDescent="0.15">
      <c r="A438" s="6">
        <v>432</v>
      </c>
      <c r="B438" s="18" t="s">
        <v>75</v>
      </c>
      <c r="C438" s="34" t="s">
        <v>57</v>
      </c>
      <c r="D438" s="43" t="s">
        <v>7271</v>
      </c>
      <c r="E438" s="77" t="s">
        <v>169</v>
      </c>
      <c r="F438" s="19">
        <v>15329</v>
      </c>
      <c r="G438" s="6">
        <v>26</v>
      </c>
      <c r="H438" s="6" t="s">
        <v>8145</v>
      </c>
      <c r="I438" s="2"/>
      <c r="J438" s="6" t="s">
        <v>171</v>
      </c>
      <c r="K438" s="6" t="s">
        <v>177</v>
      </c>
      <c r="L438" s="38" t="s">
        <v>173</v>
      </c>
      <c r="M438" s="2"/>
      <c r="N438" s="113"/>
      <c r="O438" s="45" t="s">
        <v>62</v>
      </c>
      <c r="P438" s="2" t="s">
        <v>62</v>
      </c>
      <c r="Q438" s="38" t="s">
        <v>62</v>
      </c>
      <c r="R438" s="36" t="s">
        <v>62</v>
      </c>
      <c r="S438" s="34"/>
      <c r="T438" s="34"/>
      <c r="U438" s="34"/>
      <c r="V438" s="33"/>
      <c r="W438" s="33" t="s">
        <v>8303</v>
      </c>
      <c r="X438" s="33"/>
      <c r="Y438" s="33"/>
      <c r="Z438"/>
      <c r="AD438"/>
      <c r="AE438"/>
      <c r="AF438"/>
      <c r="AG438"/>
    </row>
    <row r="439" spans="1:33" ht="16.149999999999999" customHeight="1" x14ac:dyDescent="0.15">
      <c r="A439" s="6">
        <v>433</v>
      </c>
      <c r="B439" s="18" t="s">
        <v>75</v>
      </c>
      <c r="C439" s="34" t="s">
        <v>57</v>
      </c>
      <c r="D439" s="43" t="s">
        <v>1325</v>
      </c>
      <c r="E439" s="77" t="s">
        <v>169</v>
      </c>
      <c r="F439" s="19">
        <v>15329</v>
      </c>
      <c r="G439" s="6">
        <v>27</v>
      </c>
      <c r="H439" s="6" t="s">
        <v>1326</v>
      </c>
      <c r="I439" s="2"/>
      <c r="J439" s="6" t="s">
        <v>171</v>
      </c>
      <c r="K439" s="6" t="s">
        <v>177</v>
      </c>
      <c r="L439" s="38" t="s">
        <v>173</v>
      </c>
      <c r="M439" s="2"/>
      <c r="N439" s="113"/>
      <c r="O439" s="45" t="s">
        <v>62</v>
      </c>
      <c r="P439" s="2" t="s">
        <v>62</v>
      </c>
      <c r="Q439" s="38" t="s">
        <v>62</v>
      </c>
      <c r="R439" s="36" t="s">
        <v>62</v>
      </c>
      <c r="S439" s="34"/>
      <c r="T439" s="34"/>
      <c r="U439" s="34"/>
      <c r="V439" s="33"/>
      <c r="W439" s="33" t="s">
        <v>1327</v>
      </c>
      <c r="X439" s="33"/>
      <c r="Y439" s="33"/>
      <c r="Z439"/>
      <c r="AD439"/>
      <c r="AE439"/>
      <c r="AF439"/>
      <c r="AG439"/>
    </row>
    <row r="440" spans="1:33" ht="16.149999999999999" customHeight="1" x14ac:dyDescent="0.15">
      <c r="A440" s="6">
        <v>434</v>
      </c>
      <c r="B440" s="18" t="s">
        <v>75</v>
      </c>
      <c r="C440" s="34" t="s">
        <v>57</v>
      </c>
      <c r="D440" s="43" t="s">
        <v>1328</v>
      </c>
      <c r="E440" s="77" t="s">
        <v>169</v>
      </c>
      <c r="F440" s="19">
        <v>15329</v>
      </c>
      <c r="G440" s="6">
        <v>28</v>
      </c>
      <c r="H440" s="6" t="s">
        <v>1329</v>
      </c>
      <c r="I440" s="2"/>
      <c r="J440" s="6" t="s">
        <v>171</v>
      </c>
      <c r="K440" s="6" t="s">
        <v>177</v>
      </c>
      <c r="L440" s="38" t="s">
        <v>173</v>
      </c>
      <c r="M440" s="2"/>
      <c r="N440" s="113"/>
      <c r="O440" s="45" t="s">
        <v>62</v>
      </c>
      <c r="P440" s="2" t="s">
        <v>62</v>
      </c>
      <c r="Q440" s="38" t="s">
        <v>62</v>
      </c>
      <c r="R440" s="36" t="s">
        <v>62</v>
      </c>
      <c r="S440" s="34"/>
      <c r="T440" s="34"/>
      <c r="U440" s="34"/>
      <c r="V440" s="33"/>
      <c r="W440" s="33" t="s">
        <v>1330</v>
      </c>
      <c r="X440" s="33"/>
      <c r="Y440" s="33"/>
      <c r="Z440"/>
      <c r="AD440"/>
      <c r="AE440"/>
      <c r="AF440"/>
      <c r="AG440"/>
    </row>
    <row r="441" spans="1:33" ht="16.149999999999999" customHeight="1" x14ac:dyDescent="0.15">
      <c r="A441" s="6">
        <v>435</v>
      </c>
      <c r="B441" s="18" t="s">
        <v>75</v>
      </c>
      <c r="C441" s="34" t="s">
        <v>57</v>
      </c>
      <c r="D441" s="43" t="s">
        <v>1066</v>
      </c>
      <c r="E441" s="77" t="s">
        <v>169</v>
      </c>
      <c r="F441" s="19">
        <v>15329</v>
      </c>
      <c r="G441" s="6">
        <v>30</v>
      </c>
      <c r="H441" s="6" t="s">
        <v>1331</v>
      </c>
      <c r="I441" s="2"/>
      <c r="J441" s="6" t="s">
        <v>171</v>
      </c>
      <c r="K441" s="6" t="s">
        <v>177</v>
      </c>
      <c r="L441" s="38" t="s">
        <v>173</v>
      </c>
      <c r="M441" s="2"/>
      <c r="N441" s="113"/>
      <c r="O441" s="45" t="s">
        <v>62</v>
      </c>
      <c r="P441" s="2" t="s">
        <v>62</v>
      </c>
      <c r="Q441" s="38" t="s">
        <v>62</v>
      </c>
      <c r="R441" s="36" t="s">
        <v>62</v>
      </c>
      <c r="S441" s="34"/>
      <c r="T441" s="34"/>
      <c r="U441" s="34"/>
      <c r="V441" s="33"/>
      <c r="W441" s="33" t="s">
        <v>1332</v>
      </c>
      <c r="X441" s="33"/>
      <c r="Y441" s="33"/>
      <c r="Z441"/>
      <c r="AD441"/>
      <c r="AE441"/>
      <c r="AF441"/>
      <c r="AG441"/>
    </row>
    <row r="442" spans="1:33" ht="16.149999999999999" customHeight="1" x14ac:dyDescent="0.15">
      <c r="A442" s="6">
        <v>436</v>
      </c>
      <c r="B442" s="18" t="s">
        <v>75</v>
      </c>
      <c r="C442" s="34" t="s">
        <v>57</v>
      </c>
      <c r="D442" s="15" t="s">
        <v>1333</v>
      </c>
      <c r="E442" s="2" t="s">
        <v>143</v>
      </c>
      <c r="F442" s="19">
        <v>15331</v>
      </c>
      <c r="G442" s="34"/>
      <c r="H442" s="6" t="s">
        <v>1334</v>
      </c>
      <c r="I442" s="34"/>
      <c r="J442" s="38"/>
      <c r="K442" s="105"/>
      <c r="L442" s="38"/>
      <c r="M442" s="38" t="s">
        <v>113</v>
      </c>
      <c r="N442" s="38">
        <v>10</v>
      </c>
      <c r="O442" s="38">
        <v>-32768</v>
      </c>
      <c r="P442" s="38">
        <v>32767</v>
      </c>
      <c r="Q442" s="38">
        <v>-3276.8</v>
      </c>
      <c r="R442" s="38">
        <v>3276.7</v>
      </c>
      <c r="S442" s="34"/>
      <c r="T442" s="34"/>
      <c r="U442" s="34"/>
      <c r="V442" s="34"/>
      <c r="W442" s="36" t="s">
        <v>1335</v>
      </c>
      <c r="X442" s="34"/>
      <c r="Y442" s="34"/>
      <c r="Z442"/>
      <c r="AD442"/>
      <c r="AE442"/>
      <c r="AF442"/>
      <c r="AG442"/>
    </row>
    <row r="443" spans="1:33" ht="16.149999999999999" customHeight="1" x14ac:dyDescent="0.15">
      <c r="A443" s="6">
        <v>437</v>
      </c>
      <c r="B443" s="18" t="s">
        <v>75</v>
      </c>
      <c r="C443" s="34" t="s">
        <v>57</v>
      </c>
      <c r="D443" s="15" t="s">
        <v>1336</v>
      </c>
      <c r="E443" s="2" t="s">
        <v>59</v>
      </c>
      <c r="F443" s="19">
        <v>15332</v>
      </c>
      <c r="G443" s="34"/>
      <c r="H443" s="6" t="s">
        <v>1337</v>
      </c>
      <c r="I443" s="34"/>
      <c r="J443" s="38"/>
      <c r="K443" s="105"/>
      <c r="L443" s="38"/>
      <c r="M443" s="38" t="s">
        <v>86</v>
      </c>
      <c r="N443" s="38">
        <v>1</v>
      </c>
      <c r="O443" s="38">
        <v>0</v>
      </c>
      <c r="P443" s="38">
        <v>4294967295</v>
      </c>
      <c r="Q443" s="38">
        <v>0</v>
      </c>
      <c r="R443" s="38">
        <v>4294967295</v>
      </c>
      <c r="S443" s="34"/>
      <c r="T443" s="34"/>
      <c r="U443" s="34"/>
      <c r="V443" s="34"/>
      <c r="W443" s="36" t="s">
        <v>1338</v>
      </c>
      <c r="X443" s="34"/>
      <c r="Y443" s="34" t="s">
        <v>64</v>
      </c>
      <c r="Z443"/>
      <c r="AD443"/>
      <c r="AE443"/>
      <c r="AF443"/>
      <c r="AG443"/>
    </row>
    <row r="444" spans="1:33" ht="16.149999999999999" customHeight="1" x14ac:dyDescent="0.15">
      <c r="A444" s="6">
        <v>438</v>
      </c>
      <c r="B444" s="18" t="s">
        <v>75</v>
      </c>
      <c r="C444" s="34" t="s">
        <v>57</v>
      </c>
      <c r="D444" s="15" t="s">
        <v>1339</v>
      </c>
      <c r="E444" s="2" t="s">
        <v>59</v>
      </c>
      <c r="F444" s="19">
        <v>15334</v>
      </c>
      <c r="G444" s="34"/>
      <c r="H444" s="6" t="s">
        <v>1340</v>
      </c>
      <c r="I444" s="34"/>
      <c r="J444" s="38"/>
      <c r="K444" s="105"/>
      <c r="L444" s="38"/>
      <c r="M444" s="38" t="s">
        <v>96</v>
      </c>
      <c r="N444" s="38">
        <v>1</v>
      </c>
      <c r="O444" s="38">
        <v>0</v>
      </c>
      <c r="P444" s="38">
        <v>4294967295</v>
      </c>
      <c r="Q444" s="38">
        <v>0</v>
      </c>
      <c r="R444" s="38">
        <v>4294967295</v>
      </c>
      <c r="S444" s="34"/>
      <c r="T444" s="34"/>
      <c r="U444" s="34"/>
      <c r="V444" s="34"/>
      <c r="W444" s="36" t="s">
        <v>1341</v>
      </c>
      <c r="X444" s="34"/>
      <c r="Y444" s="34" t="s">
        <v>64</v>
      </c>
      <c r="Z444"/>
      <c r="AD444"/>
      <c r="AE444"/>
      <c r="AF444"/>
      <c r="AG444"/>
    </row>
    <row r="445" spans="1:33" ht="16.149999999999999" customHeight="1" x14ac:dyDescent="0.15">
      <c r="A445" s="6">
        <v>439</v>
      </c>
      <c r="B445" s="18" t="s">
        <v>75</v>
      </c>
      <c r="C445" s="34" t="s">
        <v>57</v>
      </c>
      <c r="D445" s="15" t="s">
        <v>2263</v>
      </c>
      <c r="E445" s="34" t="s">
        <v>69</v>
      </c>
      <c r="F445" s="19">
        <v>15634</v>
      </c>
      <c r="G445" s="34"/>
      <c r="H445" s="6" t="s">
        <v>8146</v>
      </c>
      <c r="I445" s="34"/>
      <c r="J445" s="38"/>
      <c r="K445" s="105"/>
      <c r="L445" s="38"/>
      <c r="M445" s="6"/>
      <c r="N445" s="114"/>
      <c r="O445" s="118" t="s">
        <v>62</v>
      </c>
      <c r="P445" s="6" t="s">
        <v>62</v>
      </c>
      <c r="Q445" s="38" t="s">
        <v>62</v>
      </c>
      <c r="R445" s="38" t="s">
        <v>62</v>
      </c>
      <c r="S445" s="34"/>
      <c r="T445" s="34"/>
      <c r="U445" s="34"/>
      <c r="V445" s="33"/>
      <c r="W445" s="36" t="s">
        <v>8304</v>
      </c>
      <c r="X445" s="33"/>
      <c r="Y445" s="34" t="s">
        <v>64</v>
      </c>
      <c r="Z445"/>
      <c r="AD445"/>
      <c r="AE445"/>
      <c r="AF445"/>
      <c r="AG445"/>
    </row>
    <row r="446" spans="1:33" ht="16.149999999999999" customHeight="1" x14ac:dyDescent="0.15">
      <c r="A446" s="6">
        <v>440</v>
      </c>
      <c r="B446" s="18" t="s">
        <v>75</v>
      </c>
      <c r="C446" s="34" t="s">
        <v>57</v>
      </c>
      <c r="D446" s="15" t="s">
        <v>2266</v>
      </c>
      <c r="E446" s="34" t="s">
        <v>107</v>
      </c>
      <c r="F446" s="19">
        <v>15699</v>
      </c>
      <c r="G446" s="34"/>
      <c r="H446" s="6" t="s">
        <v>8147</v>
      </c>
      <c r="I446" s="34"/>
      <c r="J446" s="38"/>
      <c r="K446" s="105"/>
      <c r="L446" s="38"/>
      <c r="M446" s="6" t="s">
        <v>82</v>
      </c>
      <c r="N446" s="114">
        <v>10</v>
      </c>
      <c r="O446" s="118">
        <v>-2147483648</v>
      </c>
      <c r="P446" s="6">
        <v>2147483647</v>
      </c>
      <c r="Q446" s="38">
        <v>-214748364.80000001</v>
      </c>
      <c r="R446" s="38">
        <v>214748364.69999999</v>
      </c>
      <c r="S446" s="34"/>
      <c r="T446" s="34"/>
      <c r="U446" s="34"/>
      <c r="V446" s="33"/>
      <c r="W446" s="36" t="s">
        <v>8305</v>
      </c>
      <c r="X446" s="33"/>
      <c r="Y446" s="34" t="s">
        <v>64</v>
      </c>
      <c r="Z446"/>
      <c r="AD446"/>
      <c r="AE446"/>
      <c r="AF446"/>
      <c r="AG446"/>
    </row>
    <row r="447" spans="1:33" ht="16.149999999999999" customHeight="1" x14ac:dyDescent="0.15">
      <c r="A447" s="6">
        <v>441</v>
      </c>
      <c r="B447" s="18" t="s">
        <v>75</v>
      </c>
      <c r="C447" s="34" t="s">
        <v>57</v>
      </c>
      <c r="D447" s="15" t="s">
        <v>2269</v>
      </c>
      <c r="E447" s="34" t="s">
        <v>107</v>
      </c>
      <c r="F447" s="19">
        <v>15701</v>
      </c>
      <c r="G447" s="34"/>
      <c r="H447" s="6" t="s">
        <v>8148</v>
      </c>
      <c r="I447" s="34"/>
      <c r="J447" s="38"/>
      <c r="K447" s="105"/>
      <c r="L447" s="38"/>
      <c r="M447" s="6" t="s">
        <v>82</v>
      </c>
      <c r="N447" s="114">
        <v>10</v>
      </c>
      <c r="O447" s="118">
        <v>-2147483648</v>
      </c>
      <c r="P447" s="6">
        <v>2147483647</v>
      </c>
      <c r="Q447" s="38">
        <v>-214748364.80000001</v>
      </c>
      <c r="R447" s="38">
        <v>214748364.69999999</v>
      </c>
      <c r="S447" s="34"/>
      <c r="T447" s="34"/>
      <c r="U447" s="34"/>
      <c r="V447" s="33"/>
      <c r="W447" s="36" t="s">
        <v>8306</v>
      </c>
      <c r="X447" s="33"/>
      <c r="Y447" s="34" t="s">
        <v>64</v>
      </c>
      <c r="Z447"/>
      <c r="AD447"/>
      <c r="AE447"/>
      <c r="AF447"/>
      <c r="AG447"/>
    </row>
    <row r="448" spans="1:33" ht="16.149999999999999" customHeight="1" x14ac:dyDescent="0.15">
      <c r="A448" s="6">
        <v>442</v>
      </c>
      <c r="B448" s="18" t="s">
        <v>75</v>
      </c>
      <c r="C448" s="34" t="s">
        <v>57</v>
      </c>
      <c r="D448" s="15" t="s">
        <v>2272</v>
      </c>
      <c r="E448" s="34" t="s">
        <v>77</v>
      </c>
      <c r="F448" s="19">
        <v>15703</v>
      </c>
      <c r="G448" s="34"/>
      <c r="H448" s="6" t="s">
        <v>2280</v>
      </c>
      <c r="I448" s="34"/>
      <c r="J448" s="38" t="s">
        <v>2274</v>
      </c>
      <c r="K448" s="105" t="s">
        <v>222</v>
      </c>
      <c r="L448" s="38" t="s">
        <v>2275</v>
      </c>
      <c r="M448" s="6" t="s">
        <v>2276</v>
      </c>
      <c r="N448" s="114"/>
      <c r="O448" s="118">
        <v>0</v>
      </c>
      <c r="P448" s="6">
        <v>65535</v>
      </c>
      <c r="Q448" s="38" t="s">
        <v>62</v>
      </c>
      <c r="R448" s="38" t="s">
        <v>62</v>
      </c>
      <c r="S448" s="34"/>
      <c r="T448" s="34"/>
      <c r="U448" s="34"/>
      <c r="V448" s="33"/>
      <c r="W448" s="36" t="s">
        <v>8307</v>
      </c>
      <c r="X448" s="33"/>
      <c r="Y448" s="34" t="s">
        <v>64</v>
      </c>
      <c r="Z448"/>
      <c r="AD448"/>
      <c r="AE448"/>
      <c r="AF448"/>
      <c r="AG448"/>
    </row>
    <row r="449" spans="1:33" ht="16.149999999999999" customHeight="1" x14ac:dyDescent="0.15">
      <c r="A449" s="6">
        <v>443</v>
      </c>
      <c r="B449" s="18" t="s">
        <v>75</v>
      </c>
      <c r="C449" s="34" t="s">
        <v>57</v>
      </c>
      <c r="D449" s="15" t="s">
        <v>2279</v>
      </c>
      <c r="E449" s="34" t="s">
        <v>77</v>
      </c>
      <c r="F449" s="19">
        <v>15704</v>
      </c>
      <c r="G449" s="34"/>
      <c r="H449" s="6" t="s">
        <v>2284</v>
      </c>
      <c r="I449" s="34"/>
      <c r="J449" s="38"/>
      <c r="K449" s="105"/>
      <c r="L449" s="38"/>
      <c r="M449" s="6" t="s">
        <v>2281</v>
      </c>
      <c r="N449" s="114">
        <v>10</v>
      </c>
      <c r="O449" s="118">
        <v>0</v>
      </c>
      <c r="P449" s="6">
        <v>65535</v>
      </c>
      <c r="Q449" s="38">
        <v>0</v>
      </c>
      <c r="R449" s="38">
        <v>6553.5</v>
      </c>
      <c r="S449" s="34"/>
      <c r="T449" s="34"/>
      <c r="U449" s="34"/>
      <c r="V449" s="33"/>
      <c r="W449" s="36" t="s">
        <v>8308</v>
      </c>
      <c r="X449" s="33"/>
      <c r="Y449" s="34"/>
      <c r="Z449"/>
      <c r="AD449"/>
      <c r="AE449"/>
      <c r="AF449"/>
      <c r="AG449"/>
    </row>
    <row r="450" spans="1:33" ht="16.149999999999999" customHeight="1" x14ac:dyDescent="0.15">
      <c r="A450" s="6">
        <v>444</v>
      </c>
      <c r="B450" s="18" t="s">
        <v>75</v>
      </c>
      <c r="C450" s="34" t="s">
        <v>57</v>
      </c>
      <c r="D450" s="15" t="s">
        <v>2283</v>
      </c>
      <c r="E450" s="34" t="s">
        <v>77</v>
      </c>
      <c r="F450" s="19">
        <v>15705</v>
      </c>
      <c r="G450" s="34"/>
      <c r="H450" s="6" t="s">
        <v>2287</v>
      </c>
      <c r="I450" s="34"/>
      <c r="J450" s="38"/>
      <c r="K450" s="105"/>
      <c r="L450" s="38"/>
      <c r="M450" s="6" t="s">
        <v>82</v>
      </c>
      <c r="N450" s="114">
        <v>10</v>
      </c>
      <c r="O450" s="118">
        <v>0</v>
      </c>
      <c r="P450" s="6">
        <v>65535</v>
      </c>
      <c r="Q450" s="38">
        <v>0</v>
      </c>
      <c r="R450" s="38">
        <v>6553.5</v>
      </c>
      <c r="S450" s="34"/>
      <c r="T450" s="34"/>
      <c r="U450" s="34"/>
      <c r="V450" s="33"/>
      <c r="W450" s="36" t="s">
        <v>8309</v>
      </c>
      <c r="X450" s="33"/>
      <c r="Y450" s="34" t="s">
        <v>64</v>
      </c>
      <c r="Z450"/>
      <c r="AD450"/>
      <c r="AE450"/>
      <c r="AF450"/>
      <c r="AG450"/>
    </row>
    <row r="451" spans="1:33" ht="16.149999999999999" customHeight="1" x14ac:dyDescent="0.15">
      <c r="A451" s="6">
        <v>445</v>
      </c>
      <c r="B451" s="18" t="s">
        <v>75</v>
      </c>
      <c r="C451" s="34" t="s">
        <v>57</v>
      </c>
      <c r="D451" s="15" t="s">
        <v>2286</v>
      </c>
      <c r="E451" s="34" t="s">
        <v>143</v>
      </c>
      <c r="F451" s="19">
        <v>15706</v>
      </c>
      <c r="G451" s="34"/>
      <c r="H451" s="6" t="s">
        <v>2290</v>
      </c>
      <c r="I451" s="34"/>
      <c r="J451" s="38"/>
      <c r="K451" s="105"/>
      <c r="L451" s="38"/>
      <c r="M451" s="38" t="s">
        <v>153</v>
      </c>
      <c r="N451" s="38">
        <v>10</v>
      </c>
      <c r="O451" s="38">
        <v>-32768</v>
      </c>
      <c r="P451" s="38">
        <v>32767</v>
      </c>
      <c r="Q451" s="38">
        <v>-3276.8</v>
      </c>
      <c r="R451" s="38">
        <v>3276.7</v>
      </c>
      <c r="S451" s="34"/>
      <c r="T451" s="34"/>
      <c r="U451" s="34"/>
      <c r="V451" s="34"/>
      <c r="W451" s="36" t="s">
        <v>8310</v>
      </c>
      <c r="X451" s="34"/>
      <c r="Y451" s="34"/>
      <c r="Z451"/>
      <c r="AD451"/>
      <c r="AE451"/>
      <c r="AF451"/>
      <c r="AG451"/>
    </row>
    <row r="452" spans="1:33" ht="16.149999999999999" customHeight="1" x14ac:dyDescent="0.15">
      <c r="A452" s="6">
        <v>446</v>
      </c>
      <c r="B452" s="18" t="s">
        <v>75</v>
      </c>
      <c r="C452" s="34" t="s">
        <v>57</v>
      </c>
      <c r="D452" s="15" t="s">
        <v>2289</v>
      </c>
      <c r="E452" s="34" t="s">
        <v>143</v>
      </c>
      <c r="F452" s="19">
        <v>15707</v>
      </c>
      <c r="G452" s="34"/>
      <c r="H452" s="6" t="s">
        <v>2293</v>
      </c>
      <c r="I452" s="34"/>
      <c r="J452" s="38"/>
      <c r="K452" s="105"/>
      <c r="L452" s="38"/>
      <c r="M452" s="38" t="s">
        <v>153</v>
      </c>
      <c r="N452" s="38">
        <v>10</v>
      </c>
      <c r="O452" s="38">
        <v>-32768</v>
      </c>
      <c r="P452" s="38">
        <v>32767</v>
      </c>
      <c r="Q452" s="38">
        <v>-3276.8</v>
      </c>
      <c r="R452" s="38">
        <v>3276.7</v>
      </c>
      <c r="S452" s="34"/>
      <c r="T452" s="34"/>
      <c r="U452" s="34"/>
      <c r="V452" s="34"/>
      <c r="W452" s="36" t="s">
        <v>8311</v>
      </c>
      <c r="X452" s="34"/>
      <c r="Y452" s="34"/>
      <c r="Z452"/>
      <c r="AD452"/>
      <c r="AE452"/>
      <c r="AF452"/>
      <c r="AG452"/>
    </row>
    <row r="453" spans="1:33" ht="16.149999999999999" customHeight="1" x14ac:dyDescent="0.15">
      <c r="A453" s="6">
        <v>447</v>
      </c>
      <c r="B453" s="18" t="s">
        <v>75</v>
      </c>
      <c r="C453" s="34" t="s">
        <v>57</v>
      </c>
      <c r="D453" s="15" t="s">
        <v>2292</v>
      </c>
      <c r="E453" s="34" t="s">
        <v>77</v>
      </c>
      <c r="F453" s="19">
        <v>15708</v>
      </c>
      <c r="G453" s="34"/>
      <c r="H453" s="6" t="s">
        <v>2298</v>
      </c>
      <c r="I453" s="34"/>
      <c r="J453" s="38" t="s">
        <v>2274</v>
      </c>
      <c r="K453" s="105" t="s">
        <v>2294</v>
      </c>
      <c r="L453" s="38" t="s">
        <v>2295</v>
      </c>
      <c r="M453" s="38" t="s">
        <v>2276</v>
      </c>
      <c r="N453" s="38"/>
      <c r="O453" s="38">
        <v>0</v>
      </c>
      <c r="P453" s="38">
        <v>65535</v>
      </c>
      <c r="Q453" s="38" t="s">
        <v>62</v>
      </c>
      <c r="R453" s="38" t="s">
        <v>62</v>
      </c>
      <c r="S453" s="34"/>
      <c r="T453" s="34"/>
      <c r="U453" s="34"/>
      <c r="V453" s="34"/>
      <c r="W453" s="36" t="s">
        <v>8312</v>
      </c>
      <c r="X453" s="34"/>
      <c r="Y453" s="34" t="s">
        <v>64</v>
      </c>
      <c r="Z453"/>
      <c r="AD453"/>
      <c r="AE453"/>
      <c r="AF453"/>
      <c r="AG453"/>
    </row>
    <row r="454" spans="1:33" ht="16.149999999999999" customHeight="1" x14ac:dyDescent="0.15">
      <c r="A454" s="6">
        <v>448</v>
      </c>
      <c r="B454" s="18" t="s">
        <v>75</v>
      </c>
      <c r="C454" s="34" t="s">
        <v>57</v>
      </c>
      <c r="D454" s="15" t="s">
        <v>2297</v>
      </c>
      <c r="E454" s="34" t="s">
        <v>77</v>
      </c>
      <c r="F454" s="19">
        <v>15709</v>
      </c>
      <c r="G454" s="34"/>
      <c r="H454" s="6" t="s">
        <v>2301</v>
      </c>
      <c r="I454" s="34"/>
      <c r="J454" s="38"/>
      <c r="K454" s="105"/>
      <c r="L454" s="38"/>
      <c r="M454" s="38" t="s">
        <v>113</v>
      </c>
      <c r="N454" s="38">
        <v>10</v>
      </c>
      <c r="O454" s="38">
        <v>0</v>
      </c>
      <c r="P454" s="38">
        <v>65535</v>
      </c>
      <c r="Q454" s="38">
        <v>0</v>
      </c>
      <c r="R454" s="38">
        <v>6553.5</v>
      </c>
      <c r="S454" s="34"/>
      <c r="T454" s="34"/>
      <c r="U454" s="34"/>
      <c r="V454" s="34"/>
      <c r="W454" s="36" t="s">
        <v>8313</v>
      </c>
      <c r="X454" s="34"/>
      <c r="Y454" s="34" t="s">
        <v>64</v>
      </c>
      <c r="Z454"/>
      <c r="AD454"/>
      <c r="AE454"/>
      <c r="AF454"/>
      <c r="AG454"/>
    </row>
    <row r="455" spans="1:33" ht="16.149999999999999" customHeight="1" x14ac:dyDescent="0.15">
      <c r="A455" s="6">
        <v>449</v>
      </c>
      <c r="B455" s="18" t="s">
        <v>75</v>
      </c>
      <c r="C455" s="34" t="s">
        <v>57</v>
      </c>
      <c r="D455" s="15" t="s">
        <v>2300</v>
      </c>
      <c r="E455" s="34" t="s">
        <v>77</v>
      </c>
      <c r="F455" s="19">
        <v>15710</v>
      </c>
      <c r="G455" s="6"/>
      <c r="H455" s="6" t="s">
        <v>2304</v>
      </c>
      <c r="I455" s="33"/>
      <c r="J455" s="38"/>
      <c r="K455" s="6"/>
      <c r="L455" s="38"/>
      <c r="M455" s="38" t="s">
        <v>113</v>
      </c>
      <c r="N455" s="38">
        <v>10</v>
      </c>
      <c r="O455" s="76">
        <v>0</v>
      </c>
      <c r="P455" s="6">
        <v>65535</v>
      </c>
      <c r="Q455" s="6">
        <v>0</v>
      </c>
      <c r="R455" s="6">
        <v>6553.5</v>
      </c>
      <c r="S455" s="2"/>
      <c r="T455" s="2"/>
      <c r="U455" s="2"/>
      <c r="V455" s="8"/>
      <c r="W455" s="77" t="s">
        <v>8314</v>
      </c>
      <c r="X455" s="8"/>
      <c r="Y455" s="34" t="s">
        <v>64</v>
      </c>
      <c r="Z455"/>
      <c r="AD455"/>
      <c r="AE455"/>
      <c r="AF455"/>
      <c r="AG455"/>
    </row>
    <row r="456" spans="1:33" ht="16.149999999999999" customHeight="1" x14ac:dyDescent="0.15">
      <c r="A456" s="6">
        <v>450</v>
      </c>
      <c r="B456" s="18" t="s">
        <v>75</v>
      </c>
      <c r="C456" s="34" t="s">
        <v>57</v>
      </c>
      <c r="D456" s="15" t="s">
        <v>2303</v>
      </c>
      <c r="E456" s="34" t="s">
        <v>77</v>
      </c>
      <c r="F456" s="19">
        <v>15711</v>
      </c>
      <c r="G456" s="6"/>
      <c r="H456" s="6" t="s">
        <v>8149</v>
      </c>
      <c r="I456" s="33"/>
      <c r="J456" s="38"/>
      <c r="K456" s="6"/>
      <c r="L456" s="38"/>
      <c r="M456" s="38" t="s">
        <v>113</v>
      </c>
      <c r="N456" s="38">
        <v>10</v>
      </c>
      <c r="O456" s="76">
        <v>0</v>
      </c>
      <c r="P456" s="6">
        <v>65535</v>
      </c>
      <c r="Q456" s="6">
        <v>0</v>
      </c>
      <c r="R456" s="6">
        <v>6553.5</v>
      </c>
      <c r="S456" s="2"/>
      <c r="T456" s="2"/>
      <c r="U456" s="2"/>
      <c r="V456" s="8"/>
      <c r="W456" s="77" t="s">
        <v>8315</v>
      </c>
      <c r="X456" s="8"/>
      <c r="Y456" s="34" t="s">
        <v>64</v>
      </c>
      <c r="Z456"/>
      <c r="AD456"/>
      <c r="AE456"/>
      <c r="AF456"/>
      <c r="AG456"/>
    </row>
    <row r="457" spans="1:33" ht="16.149999999999999" customHeight="1" x14ac:dyDescent="0.15">
      <c r="A457" s="6">
        <v>451</v>
      </c>
      <c r="B457" s="18" t="s">
        <v>75</v>
      </c>
      <c r="C457" s="34" t="s">
        <v>57</v>
      </c>
      <c r="D457" s="15" t="s">
        <v>2306</v>
      </c>
      <c r="E457" s="34" t="s">
        <v>77</v>
      </c>
      <c r="F457" s="19">
        <v>15732</v>
      </c>
      <c r="G457" s="103"/>
      <c r="H457" s="6" t="s">
        <v>2307</v>
      </c>
      <c r="I457" s="119"/>
      <c r="J457" s="105"/>
      <c r="K457" s="103"/>
      <c r="L457" s="38"/>
      <c r="M457" s="38" t="s">
        <v>113</v>
      </c>
      <c r="N457" s="38">
        <v>10</v>
      </c>
      <c r="O457" s="106">
        <v>0</v>
      </c>
      <c r="P457" s="103">
        <v>65535</v>
      </c>
      <c r="Q457" s="103">
        <v>0</v>
      </c>
      <c r="R457" s="107">
        <v>6553.5</v>
      </c>
      <c r="S457" s="120"/>
      <c r="T457" s="104"/>
      <c r="U457" s="104"/>
      <c r="V457" s="109"/>
      <c r="W457" s="111" t="s">
        <v>2308</v>
      </c>
      <c r="X457" s="109"/>
      <c r="Y457" s="34" t="s">
        <v>64</v>
      </c>
      <c r="Z457"/>
      <c r="AD457"/>
      <c r="AE457"/>
      <c r="AF457"/>
      <c r="AG457"/>
    </row>
    <row r="458" spans="1:33" ht="16.149999999999999" customHeight="1" x14ac:dyDescent="0.15">
      <c r="A458" s="6">
        <v>452</v>
      </c>
      <c r="B458" s="18" t="s">
        <v>75</v>
      </c>
      <c r="C458" s="34" t="s">
        <v>57</v>
      </c>
      <c r="D458" s="15" t="s">
        <v>2309</v>
      </c>
      <c r="E458" s="34" t="s">
        <v>77</v>
      </c>
      <c r="F458" s="19">
        <v>15733</v>
      </c>
      <c r="G458" s="6"/>
      <c r="H458" s="6" t="s">
        <v>2310</v>
      </c>
      <c r="I458" s="33"/>
      <c r="J458" s="38"/>
      <c r="K458" s="6"/>
      <c r="L458" s="38"/>
      <c r="M458" s="6" t="s">
        <v>2311</v>
      </c>
      <c r="N458" s="19"/>
      <c r="O458" s="76">
        <v>0</v>
      </c>
      <c r="P458" s="6">
        <v>65535</v>
      </c>
      <c r="Q458" s="6" t="s">
        <v>62</v>
      </c>
      <c r="R458" s="6" t="s">
        <v>62</v>
      </c>
      <c r="S458" s="121"/>
      <c r="T458" s="2"/>
      <c r="U458" s="2"/>
      <c r="V458" s="8"/>
      <c r="W458" s="77" t="s">
        <v>2312</v>
      </c>
      <c r="X458" s="8"/>
      <c r="Y458" s="2"/>
      <c r="Z458"/>
      <c r="AD458"/>
      <c r="AE458"/>
      <c r="AF458"/>
      <c r="AG458"/>
    </row>
    <row r="459" spans="1:33" ht="16.149999999999999" customHeight="1" x14ac:dyDescent="0.15">
      <c r="A459" s="6">
        <v>453</v>
      </c>
      <c r="B459" s="18" t="s">
        <v>75</v>
      </c>
      <c r="C459" s="34" t="s">
        <v>57</v>
      </c>
      <c r="D459" s="15" t="s">
        <v>2313</v>
      </c>
      <c r="E459" s="34" t="s">
        <v>77</v>
      </c>
      <c r="F459" s="19">
        <v>15734</v>
      </c>
      <c r="G459" s="6"/>
      <c r="H459" s="6" t="s">
        <v>2314</v>
      </c>
      <c r="I459" s="33"/>
      <c r="J459" s="38"/>
      <c r="K459" s="6"/>
      <c r="L459" s="38"/>
      <c r="M459" s="6" t="s">
        <v>2311</v>
      </c>
      <c r="N459" s="19"/>
      <c r="O459" s="76">
        <v>0</v>
      </c>
      <c r="P459" s="6">
        <v>65535</v>
      </c>
      <c r="Q459" s="6" t="s">
        <v>62</v>
      </c>
      <c r="R459" s="6" t="s">
        <v>62</v>
      </c>
      <c r="S459" s="121"/>
      <c r="T459" s="2"/>
      <c r="U459" s="2"/>
      <c r="V459" s="8"/>
      <c r="W459" s="77" t="s">
        <v>2315</v>
      </c>
      <c r="X459" s="8"/>
      <c r="Y459" s="2"/>
      <c r="Z459"/>
      <c r="AD459"/>
      <c r="AE459"/>
      <c r="AF459"/>
      <c r="AG459"/>
    </row>
    <row r="460" spans="1:33" ht="16.149999999999999" customHeight="1" x14ac:dyDescent="0.15">
      <c r="A460" s="6">
        <v>454</v>
      </c>
      <c r="B460" s="18" t="s">
        <v>75</v>
      </c>
      <c r="C460" s="34" t="s">
        <v>57</v>
      </c>
      <c r="D460" s="15" t="s">
        <v>2347</v>
      </c>
      <c r="E460" s="34" t="s">
        <v>2348</v>
      </c>
      <c r="F460" s="19">
        <v>15999</v>
      </c>
      <c r="G460" s="6"/>
      <c r="H460" s="6" t="s">
        <v>2349</v>
      </c>
      <c r="I460" s="33"/>
      <c r="J460" s="38"/>
      <c r="K460" s="6"/>
      <c r="L460" s="38"/>
      <c r="M460" s="6" t="s">
        <v>61</v>
      </c>
      <c r="N460" s="19"/>
      <c r="O460" s="76" t="s">
        <v>62</v>
      </c>
      <c r="P460" s="6" t="s">
        <v>62</v>
      </c>
      <c r="Q460" s="6" t="s">
        <v>62</v>
      </c>
      <c r="R460" s="6" t="s">
        <v>62</v>
      </c>
      <c r="S460" s="121"/>
      <c r="T460" s="2"/>
      <c r="U460" s="2"/>
      <c r="V460" s="8"/>
      <c r="W460" s="77" t="s">
        <v>2350</v>
      </c>
      <c r="X460" s="8" t="s">
        <v>2351</v>
      </c>
      <c r="Y460" s="2"/>
      <c r="Z460"/>
      <c r="AD460"/>
      <c r="AE460"/>
      <c r="AF460"/>
      <c r="AG460"/>
    </row>
    <row r="461" spans="1:33" ht="16.149999999999999" customHeight="1" x14ac:dyDescent="0.15">
      <c r="A461" s="6">
        <v>455</v>
      </c>
      <c r="B461" s="18" t="s">
        <v>75</v>
      </c>
      <c r="C461" s="34" t="s">
        <v>57</v>
      </c>
      <c r="D461" s="15" t="s">
        <v>2352</v>
      </c>
      <c r="E461" s="2" t="s">
        <v>219</v>
      </c>
      <c r="F461" s="19">
        <v>16000</v>
      </c>
      <c r="G461" s="6"/>
      <c r="H461" s="6" t="s">
        <v>2353</v>
      </c>
      <c r="I461" s="33"/>
      <c r="J461" s="38"/>
      <c r="K461" s="6"/>
      <c r="L461" s="38"/>
      <c r="M461" s="6" t="s">
        <v>61</v>
      </c>
      <c r="N461" s="19"/>
      <c r="O461" s="76" t="s">
        <v>62</v>
      </c>
      <c r="P461" s="6" t="s">
        <v>62</v>
      </c>
      <c r="Q461" s="6" t="s">
        <v>62</v>
      </c>
      <c r="R461" s="6" t="s">
        <v>62</v>
      </c>
      <c r="S461" s="121"/>
      <c r="T461" s="2"/>
      <c r="U461" s="2"/>
      <c r="V461" s="8"/>
      <c r="W461" s="77" t="s">
        <v>2354</v>
      </c>
      <c r="X461" s="8"/>
      <c r="Y461" s="2"/>
      <c r="Z461"/>
      <c r="AD461"/>
      <c r="AE461"/>
      <c r="AF461"/>
      <c r="AG461"/>
    </row>
    <row r="462" spans="1:33" ht="16.149999999999999" customHeight="1" x14ac:dyDescent="0.15">
      <c r="A462" s="6">
        <v>456</v>
      </c>
      <c r="B462" s="18" t="s">
        <v>75</v>
      </c>
      <c r="C462" s="34" t="s">
        <v>57</v>
      </c>
      <c r="D462" s="43" t="s">
        <v>2355</v>
      </c>
      <c r="E462" s="77" t="s">
        <v>169</v>
      </c>
      <c r="F462" s="19">
        <v>16000</v>
      </c>
      <c r="G462" s="6">
        <v>0</v>
      </c>
      <c r="H462" s="6" t="s">
        <v>2356</v>
      </c>
      <c r="I462" s="8"/>
      <c r="J462" s="38" t="s">
        <v>171</v>
      </c>
      <c r="K462" s="6" t="s">
        <v>177</v>
      </c>
      <c r="L462" s="38" t="s">
        <v>173</v>
      </c>
      <c r="M462" s="6"/>
      <c r="N462" s="8"/>
      <c r="O462" s="112" t="s">
        <v>62</v>
      </c>
      <c r="P462" s="2" t="s">
        <v>62</v>
      </c>
      <c r="Q462" s="6" t="s">
        <v>62</v>
      </c>
      <c r="R462" s="77" t="s">
        <v>62</v>
      </c>
      <c r="S462" s="121"/>
      <c r="T462" s="2"/>
      <c r="U462" s="2"/>
      <c r="V462" s="33"/>
      <c r="W462" s="33" t="s">
        <v>2357</v>
      </c>
      <c r="X462" s="33"/>
      <c r="Y462" s="33"/>
      <c r="Z462"/>
      <c r="AD462"/>
      <c r="AE462"/>
      <c r="AF462"/>
      <c r="AG462"/>
    </row>
    <row r="463" spans="1:33" ht="16.149999999999999" customHeight="1" x14ac:dyDescent="0.15">
      <c r="A463" s="6">
        <v>457</v>
      </c>
      <c r="B463" s="18" t="s">
        <v>75</v>
      </c>
      <c r="C463" s="34" t="s">
        <v>57</v>
      </c>
      <c r="D463" s="43" t="s">
        <v>2358</v>
      </c>
      <c r="E463" s="77" t="s">
        <v>169</v>
      </c>
      <c r="F463" s="19">
        <v>16000</v>
      </c>
      <c r="G463" s="6">
        <v>1</v>
      </c>
      <c r="H463" s="6" t="s">
        <v>2359</v>
      </c>
      <c r="I463" s="8"/>
      <c r="J463" s="38" t="s">
        <v>171</v>
      </c>
      <c r="K463" s="6" t="s">
        <v>177</v>
      </c>
      <c r="L463" s="38" t="s">
        <v>173</v>
      </c>
      <c r="M463" s="6"/>
      <c r="N463" s="8"/>
      <c r="O463" s="112" t="s">
        <v>62</v>
      </c>
      <c r="P463" s="2" t="s">
        <v>62</v>
      </c>
      <c r="Q463" s="6" t="s">
        <v>62</v>
      </c>
      <c r="R463" s="77" t="s">
        <v>62</v>
      </c>
      <c r="S463" s="121"/>
      <c r="T463" s="2"/>
      <c r="U463" s="2"/>
      <c r="V463" s="33"/>
      <c r="W463" s="33" t="s">
        <v>2360</v>
      </c>
      <c r="X463" s="33"/>
      <c r="Y463" s="33"/>
      <c r="Z463"/>
      <c r="AD463"/>
      <c r="AE463"/>
      <c r="AF463"/>
      <c r="AG463"/>
    </row>
    <row r="464" spans="1:33" ht="16.149999999999999" customHeight="1" x14ac:dyDescent="0.15">
      <c r="A464" s="6">
        <v>458</v>
      </c>
      <c r="B464" s="18" t="s">
        <v>75</v>
      </c>
      <c r="C464" s="34" t="s">
        <v>57</v>
      </c>
      <c r="D464" s="43" t="s">
        <v>2361</v>
      </c>
      <c r="E464" s="77" t="s">
        <v>169</v>
      </c>
      <c r="F464" s="19">
        <v>16000</v>
      </c>
      <c r="G464" s="6">
        <v>2</v>
      </c>
      <c r="H464" s="6" t="s">
        <v>2362</v>
      </c>
      <c r="I464" s="8"/>
      <c r="J464" s="38" t="s">
        <v>171</v>
      </c>
      <c r="K464" s="6" t="s">
        <v>177</v>
      </c>
      <c r="L464" s="38" t="s">
        <v>173</v>
      </c>
      <c r="M464" s="2"/>
      <c r="N464" s="8"/>
      <c r="O464" s="112" t="s">
        <v>62</v>
      </c>
      <c r="P464" s="2" t="s">
        <v>62</v>
      </c>
      <c r="Q464" s="6" t="s">
        <v>62</v>
      </c>
      <c r="R464" s="77" t="s">
        <v>62</v>
      </c>
      <c r="S464" s="121"/>
      <c r="T464" s="2"/>
      <c r="U464" s="2"/>
      <c r="V464" s="33"/>
      <c r="W464" s="33" t="s">
        <v>2363</v>
      </c>
      <c r="X464" s="33"/>
      <c r="Y464" s="33"/>
      <c r="Z464"/>
      <c r="AD464"/>
      <c r="AE464"/>
      <c r="AF464"/>
      <c r="AG464"/>
    </row>
    <row r="465" spans="1:33" ht="16.149999999999999" customHeight="1" x14ac:dyDescent="0.15">
      <c r="A465" s="6">
        <v>459</v>
      </c>
      <c r="B465" s="18" t="s">
        <v>75</v>
      </c>
      <c r="C465" s="34" t="s">
        <v>57</v>
      </c>
      <c r="D465" s="43" t="s">
        <v>2364</v>
      </c>
      <c r="E465" s="77" t="s">
        <v>169</v>
      </c>
      <c r="F465" s="19">
        <v>16000</v>
      </c>
      <c r="G465" s="6">
        <v>3</v>
      </c>
      <c r="H465" s="6" t="s">
        <v>2365</v>
      </c>
      <c r="I465" s="8"/>
      <c r="J465" s="38" t="s">
        <v>171</v>
      </c>
      <c r="K465" s="6" t="s">
        <v>177</v>
      </c>
      <c r="L465" s="38" t="s">
        <v>173</v>
      </c>
      <c r="M465" s="2"/>
      <c r="N465" s="8"/>
      <c r="O465" s="112" t="s">
        <v>62</v>
      </c>
      <c r="P465" s="2" t="s">
        <v>62</v>
      </c>
      <c r="Q465" s="6" t="s">
        <v>62</v>
      </c>
      <c r="R465" s="77" t="s">
        <v>62</v>
      </c>
      <c r="S465" s="121"/>
      <c r="T465" s="2"/>
      <c r="U465" s="2"/>
      <c r="V465" s="33"/>
      <c r="W465" s="33" t="s">
        <v>2366</v>
      </c>
      <c r="X465" s="33"/>
      <c r="Y465" s="33"/>
      <c r="Z465"/>
      <c r="AD465"/>
      <c r="AE465"/>
      <c r="AF465"/>
      <c r="AG465"/>
    </row>
    <row r="466" spans="1:33" ht="16.149999999999999" customHeight="1" x14ac:dyDescent="0.15">
      <c r="A466" s="6">
        <v>460</v>
      </c>
      <c r="B466" s="18" t="s">
        <v>75</v>
      </c>
      <c r="C466" s="34" t="s">
        <v>57</v>
      </c>
      <c r="D466" s="43" t="s">
        <v>2367</v>
      </c>
      <c r="E466" s="77" t="s">
        <v>169</v>
      </c>
      <c r="F466" s="19">
        <v>16000</v>
      </c>
      <c r="G466" s="6">
        <v>4</v>
      </c>
      <c r="H466" s="6" t="s">
        <v>2368</v>
      </c>
      <c r="I466" s="8"/>
      <c r="J466" s="38" t="s">
        <v>171</v>
      </c>
      <c r="K466" s="6" t="s">
        <v>177</v>
      </c>
      <c r="L466" s="38" t="s">
        <v>173</v>
      </c>
      <c r="M466" s="2"/>
      <c r="N466" s="8"/>
      <c r="O466" s="112" t="s">
        <v>62</v>
      </c>
      <c r="P466" s="2" t="s">
        <v>62</v>
      </c>
      <c r="Q466" s="6" t="s">
        <v>62</v>
      </c>
      <c r="R466" s="77" t="s">
        <v>62</v>
      </c>
      <c r="S466" s="121"/>
      <c r="T466" s="2"/>
      <c r="U466" s="2"/>
      <c r="V466" s="33"/>
      <c r="W466" s="33" t="s">
        <v>2369</v>
      </c>
      <c r="X466" s="33"/>
      <c r="Y466" s="33"/>
      <c r="Z466"/>
      <c r="AD466"/>
      <c r="AE466"/>
      <c r="AF466"/>
      <c r="AG466"/>
    </row>
    <row r="467" spans="1:33" ht="16.149999999999999" customHeight="1" x14ac:dyDescent="0.15">
      <c r="A467" s="6">
        <v>461</v>
      </c>
      <c r="B467" s="18" t="s">
        <v>75</v>
      </c>
      <c r="C467" s="34" t="s">
        <v>57</v>
      </c>
      <c r="D467" s="43" t="s">
        <v>2370</v>
      </c>
      <c r="E467" s="77" t="s">
        <v>169</v>
      </c>
      <c r="F467" s="19">
        <v>16000</v>
      </c>
      <c r="G467" s="6">
        <v>5</v>
      </c>
      <c r="H467" s="6" t="s">
        <v>2371</v>
      </c>
      <c r="I467" s="8"/>
      <c r="J467" s="38" t="s">
        <v>171</v>
      </c>
      <c r="K467" s="6" t="s">
        <v>177</v>
      </c>
      <c r="L467" s="38" t="s">
        <v>173</v>
      </c>
      <c r="M467" s="2"/>
      <c r="N467" s="8"/>
      <c r="O467" s="112" t="s">
        <v>62</v>
      </c>
      <c r="P467" s="2" t="s">
        <v>62</v>
      </c>
      <c r="Q467" s="6" t="s">
        <v>62</v>
      </c>
      <c r="R467" s="77" t="s">
        <v>62</v>
      </c>
      <c r="S467" s="121"/>
      <c r="T467" s="2"/>
      <c r="U467" s="2"/>
      <c r="V467" s="33"/>
      <c r="W467" s="33" t="s">
        <v>2372</v>
      </c>
      <c r="X467" s="33"/>
      <c r="Y467" s="33"/>
      <c r="Z467"/>
      <c r="AD467"/>
      <c r="AE467"/>
      <c r="AF467"/>
      <c r="AG467"/>
    </row>
    <row r="468" spans="1:33" ht="16.149999999999999" customHeight="1" x14ac:dyDescent="0.15">
      <c r="A468" s="6">
        <v>462</v>
      </c>
      <c r="B468" s="18" t="s">
        <v>75</v>
      </c>
      <c r="C468" s="34" t="s">
        <v>57</v>
      </c>
      <c r="D468" s="43" t="s">
        <v>2373</v>
      </c>
      <c r="E468" s="77" t="s">
        <v>169</v>
      </c>
      <c r="F468" s="19">
        <v>16000</v>
      </c>
      <c r="G468" s="6">
        <v>6</v>
      </c>
      <c r="H468" s="6" t="s">
        <v>2374</v>
      </c>
      <c r="I468" s="8"/>
      <c r="J468" s="38" t="s">
        <v>171</v>
      </c>
      <c r="K468" s="6" t="s">
        <v>177</v>
      </c>
      <c r="L468" s="38" t="s">
        <v>173</v>
      </c>
      <c r="M468" s="2"/>
      <c r="N468" s="8"/>
      <c r="O468" s="112" t="s">
        <v>62</v>
      </c>
      <c r="P468" s="2" t="s">
        <v>62</v>
      </c>
      <c r="Q468" s="6" t="s">
        <v>62</v>
      </c>
      <c r="R468" s="77" t="s">
        <v>62</v>
      </c>
      <c r="S468" s="121"/>
      <c r="T468" s="2"/>
      <c r="U468" s="2"/>
      <c r="V468" s="33"/>
      <c r="W468" s="33" t="s">
        <v>2375</v>
      </c>
      <c r="X468" s="33"/>
      <c r="Y468" s="33"/>
      <c r="Z468"/>
      <c r="AD468"/>
      <c r="AE468"/>
      <c r="AF468"/>
      <c r="AG468"/>
    </row>
    <row r="469" spans="1:33" ht="16.149999999999999" customHeight="1" x14ac:dyDescent="0.15">
      <c r="A469" s="6">
        <v>463</v>
      </c>
      <c r="B469" s="18" t="s">
        <v>75</v>
      </c>
      <c r="C469" s="34" t="s">
        <v>57</v>
      </c>
      <c r="D469" s="43" t="s">
        <v>2376</v>
      </c>
      <c r="E469" s="77" t="s">
        <v>169</v>
      </c>
      <c r="F469" s="19">
        <v>16000</v>
      </c>
      <c r="G469" s="6">
        <v>7</v>
      </c>
      <c r="H469" s="6" t="s">
        <v>2377</v>
      </c>
      <c r="I469" s="8"/>
      <c r="J469" s="38" t="s">
        <v>171</v>
      </c>
      <c r="K469" s="6" t="s">
        <v>177</v>
      </c>
      <c r="L469" s="38" t="s">
        <v>173</v>
      </c>
      <c r="M469" s="2"/>
      <c r="N469" s="8"/>
      <c r="O469" s="112" t="s">
        <v>62</v>
      </c>
      <c r="P469" s="2" t="s">
        <v>62</v>
      </c>
      <c r="Q469" s="6" t="s">
        <v>62</v>
      </c>
      <c r="R469" s="77" t="s">
        <v>62</v>
      </c>
      <c r="S469" s="121"/>
      <c r="T469" s="2"/>
      <c r="U469" s="2"/>
      <c r="V469" s="33"/>
      <c r="W469" s="33" t="s">
        <v>2378</v>
      </c>
      <c r="X469" s="33"/>
      <c r="Y469" s="33"/>
      <c r="Z469"/>
      <c r="AD469"/>
      <c r="AE469"/>
      <c r="AF469"/>
      <c r="AG469"/>
    </row>
    <row r="470" spans="1:33" ht="16.149999999999999" customHeight="1" x14ac:dyDescent="0.15">
      <c r="A470" s="6">
        <v>464</v>
      </c>
      <c r="B470" s="18" t="s">
        <v>75</v>
      </c>
      <c r="C470" s="34" t="s">
        <v>57</v>
      </c>
      <c r="D470" s="43" t="s">
        <v>7272</v>
      </c>
      <c r="E470" s="77" t="s">
        <v>169</v>
      </c>
      <c r="F470" s="19">
        <v>16000</v>
      </c>
      <c r="G470" s="6">
        <v>8</v>
      </c>
      <c r="H470" s="6" t="s">
        <v>2380</v>
      </c>
      <c r="I470" s="8"/>
      <c r="J470" s="38" t="s">
        <v>171</v>
      </c>
      <c r="K470" s="6" t="s">
        <v>177</v>
      </c>
      <c r="L470" s="38" t="s">
        <v>173</v>
      </c>
      <c r="M470" s="2"/>
      <c r="N470" s="8"/>
      <c r="O470" s="112" t="s">
        <v>62</v>
      </c>
      <c r="P470" s="2" t="s">
        <v>62</v>
      </c>
      <c r="Q470" s="6" t="s">
        <v>62</v>
      </c>
      <c r="R470" s="77" t="s">
        <v>62</v>
      </c>
      <c r="S470" s="121"/>
      <c r="T470" s="2"/>
      <c r="U470" s="2"/>
      <c r="V470" s="33"/>
      <c r="W470" s="33" t="s">
        <v>8316</v>
      </c>
      <c r="X470" s="33"/>
      <c r="Y470" s="33"/>
      <c r="Z470"/>
      <c r="AD470"/>
      <c r="AE470"/>
      <c r="AF470"/>
      <c r="AG470"/>
    </row>
    <row r="471" spans="1:33" ht="16.149999999999999" customHeight="1" x14ac:dyDescent="0.15">
      <c r="A471" s="6">
        <v>465</v>
      </c>
      <c r="B471" s="18" t="s">
        <v>75</v>
      </c>
      <c r="C471" s="34" t="s">
        <v>57</v>
      </c>
      <c r="D471" s="43" t="s">
        <v>7273</v>
      </c>
      <c r="E471" s="77" t="s">
        <v>169</v>
      </c>
      <c r="F471" s="19">
        <v>16000</v>
      </c>
      <c r="G471" s="6">
        <v>9</v>
      </c>
      <c r="H471" s="6" t="s">
        <v>2383</v>
      </c>
      <c r="I471" s="8"/>
      <c r="J471" s="38" t="s">
        <v>171</v>
      </c>
      <c r="K471" s="6" t="s">
        <v>177</v>
      </c>
      <c r="L471" s="38" t="s">
        <v>173</v>
      </c>
      <c r="M471" s="2"/>
      <c r="N471" s="8"/>
      <c r="O471" s="112" t="s">
        <v>62</v>
      </c>
      <c r="P471" s="2" t="s">
        <v>62</v>
      </c>
      <c r="Q471" s="6" t="s">
        <v>62</v>
      </c>
      <c r="R471" s="77" t="s">
        <v>62</v>
      </c>
      <c r="S471" s="121"/>
      <c r="T471" s="2"/>
      <c r="U471" s="2"/>
      <c r="V471" s="33"/>
      <c r="W471" s="33" t="s">
        <v>8317</v>
      </c>
      <c r="X471" s="33"/>
      <c r="Y471" s="33"/>
      <c r="Z471"/>
      <c r="AD471"/>
      <c r="AE471"/>
      <c r="AF471"/>
      <c r="AG471"/>
    </row>
    <row r="472" spans="1:33" ht="16.149999999999999" customHeight="1" x14ac:dyDescent="0.15">
      <c r="A472" s="6">
        <v>466</v>
      </c>
      <c r="B472" s="18" t="s">
        <v>75</v>
      </c>
      <c r="C472" s="34" t="s">
        <v>57</v>
      </c>
      <c r="D472" s="43" t="s">
        <v>7274</v>
      </c>
      <c r="E472" s="77" t="s">
        <v>169</v>
      </c>
      <c r="F472" s="19">
        <v>16000</v>
      </c>
      <c r="G472" s="6">
        <v>10</v>
      </c>
      <c r="H472" s="6" t="s">
        <v>2386</v>
      </c>
      <c r="I472" s="8"/>
      <c r="J472" s="38" t="s">
        <v>171</v>
      </c>
      <c r="K472" s="6" t="s">
        <v>177</v>
      </c>
      <c r="L472" s="38" t="s">
        <v>173</v>
      </c>
      <c r="M472" s="2"/>
      <c r="N472" s="8"/>
      <c r="O472" s="112" t="s">
        <v>62</v>
      </c>
      <c r="P472" s="2" t="s">
        <v>62</v>
      </c>
      <c r="Q472" s="6" t="s">
        <v>62</v>
      </c>
      <c r="R472" s="77" t="s">
        <v>62</v>
      </c>
      <c r="S472" s="121"/>
      <c r="T472" s="2"/>
      <c r="U472" s="2"/>
      <c r="V472" s="33"/>
      <c r="W472" s="33" t="s">
        <v>8318</v>
      </c>
      <c r="X472" s="33"/>
      <c r="Y472" s="33"/>
      <c r="Z472"/>
      <c r="AD472"/>
      <c r="AE472"/>
      <c r="AF472"/>
      <c r="AG472"/>
    </row>
    <row r="473" spans="1:33" ht="16.149999999999999" customHeight="1" x14ac:dyDescent="0.15">
      <c r="A473" s="6">
        <v>467</v>
      </c>
      <c r="B473" s="18" t="s">
        <v>75</v>
      </c>
      <c r="C473" s="34" t="s">
        <v>57</v>
      </c>
      <c r="D473" s="43" t="s">
        <v>7275</v>
      </c>
      <c r="E473" s="77" t="s">
        <v>169</v>
      </c>
      <c r="F473" s="19">
        <v>16000</v>
      </c>
      <c r="G473" s="6">
        <v>11</v>
      </c>
      <c r="H473" s="6" t="s">
        <v>2389</v>
      </c>
      <c r="I473" s="8"/>
      <c r="J473" s="38" t="s">
        <v>171</v>
      </c>
      <c r="K473" s="6" t="s">
        <v>177</v>
      </c>
      <c r="L473" s="38" t="s">
        <v>173</v>
      </c>
      <c r="M473" s="2"/>
      <c r="N473" s="8"/>
      <c r="O473" s="112" t="s">
        <v>62</v>
      </c>
      <c r="P473" s="2" t="s">
        <v>62</v>
      </c>
      <c r="Q473" s="6" t="s">
        <v>62</v>
      </c>
      <c r="R473" s="77" t="s">
        <v>62</v>
      </c>
      <c r="S473" s="121"/>
      <c r="T473" s="2"/>
      <c r="U473" s="2"/>
      <c r="V473" s="33"/>
      <c r="W473" s="33" t="s">
        <v>8319</v>
      </c>
      <c r="X473" s="33"/>
      <c r="Y473" s="33"/>
      <c r="Z473"/>
      <c r="AD473"/>
      <c r="AE473"/>
      <c r="AF473"/>
      <c r="AG473"/>
    </row>
    <row r="474" spans="1:33" ht="16.149999999999999" customHeight="1" x14ac:dyDescent="0.15">
      <c r="A474" s="6">
        <v>468</v>
      </c>
      <c r="B474" s="18" t="s">
        <v>75</v>
      </c>
      <c r="C474" s="34" t="s">
        <v>57</v>
      </c>
      <c r="D474" s="43" t="s">
        <v>7276</v>
      </c>
      <c r="E474" s="77" t="s">
        <v>169</v>
      </c>
      <c r="F474" s="19">
        <v>16000</v>
      </c>
      <c r="G474" s="6">
        <v>12</v>
      </c>
      <c r="H474" s="6" t="s">
        <v>2392</v>
      </c>
      <c r="I474" s="8"/>
      <c r="J474" s="38" t="s">
        <v>171</v>
      </c>
      <c r="K474" s="6" t="s">
        <v>177</v>
      </c>
      <c r="L474" s="38" t="s">
        <v>173</v>
      </c>
      <c r="M474" s="2"/>
      <c r="N474" s="8"/>
      <c r="O474" s="112" t="s">
        <v>62</v>
      </c>
      <c r="P474" s="2" t="s">
        <v>62</v>
      </c>
      <c r="Q474" s="6" t="s">
        <v>62</v>
      </c>
      <c r="R474" s="77" t="s">
        <v>62</v>
      </c>
      <c r="S474" s="121"/>
      <c r="T474" s="2"/>
      <c r="U474" s="2"/>
      <c r="V474" s="33"/>
      <c r="W474" s="33" t="s">
        <v>8320</v>
      </c>
      <c r="X474" s="33"/>
      <c r="Y474" s="33"/>
      <c r="Z474"/>
      <c r="AD474"/>
      <c r="AE474"/>
      <c r="AF474"/>
      <c r="AG474"/>
    </row>
    <row r="475" spans="1:33" ht="16.149999999999999" customHeight="1" x14ac:dyDescent="0.15">
      <c r="A475" s="6">
        <v>469</v>
      </c>
      <c r="B475" s="18" t="s">
        <v>75</v>
      </c>
      <c r="C475" s="34" t="s">
        <v>57</v>
      </c>
      <c r="D475" s="43" t="s">
        <v>7277</v>
      </c>
      <c r="E475" s="77" t="s">
        <v>169</v>
      </c>
      <c r="F475" s="19">
        <v>16000</v>
      </c>
      <c r="G475" s="6">
        <v>13</v>
      </c>
      <c r="H475" s="6" t="s">
        <v>2395</v>
      </c>
      <c r="I475" s="8"/>
      <c r="J475" s="38" t="s">
        <v>171</v>
      </c>
      <c r="K475" s="6" t="s">
        <v>177</v>
      </c>
      <c r="L475" s="38" t="s">
        <v>173</v>
      </c>
      <c r="M475" s="2"/>
      <c r="N475" s="8"/>
      <c r="O475" s="112" t="s">
        <v>62</v>
      </c>
      <c r="P475" s="2" t="s">
        <v>62</v>
      </c>
      <c r="Q475" s="6" t="s">
        <v>62</v>
      </c>
      <c r="R475" s="77" t="s">
        <v>62</v>
      </c>
      <c r="S475" s="121"/>
      <c r="T475" s="2"/>
      <c r="U475" s="2"/>
      <c r="V475" s="33"/>
      <c r="W475" s="33" t="s">
        <v>8321</v>
      </c>
      <c r="X475" s="33"/>
      <c r="Y475" s="33"/>
      <c r="Z475"/>
      <c r="AD475"/>
      <c r="AE475"/>
      <c r="AF475"/>
      <c r="AG475"/>
    </row>
    <row r="476" spans="1:33" ht="16.149999999999999" customHeight="1" x14ac:dyDescent="0.15">
      <c r="A476" s="6">
        <v>470</v>
      </c>
      <c r="B476" s="18" t="s">
        <v>75</v>
      </c>
      <c r="C476" s="34" t="s">
        <v>57</v>
      </c>
      <c r="D476" s="43" t="s">
        <v>7278</v>
      </c>
      <c r="E476" s="77" t="s">
        <v>169</v>
      </c>
      <c r="F476" s="19">
        <v>16000</v>
      </c>
      <c r="G476" s="6">
        <v>14</v>
      </c>
      <c r="H476" s="6" t="s">
        <v>2398</v>
      </c>
      <c r="I476" s="8"/>
      <c r="J476" s="38" t="s">
        <v>171</v>
      </c>
      <c r="K476" s="6" t="s">
        <v>177</v>
      </c>
      <c r="L476" s="38" t="s">
        <v>173</v>
      </c>
      <c r="M476" s="2"/>
      <c r="N476" s="8"/>
      <c r="O476" s="112" t="s">
        <v>62</v>
      </c>
      <c r="P476" s="2" t="s">
        <v>62</v>
      </c>
      <c r="Q476" s="6" t="s">
        <v>62</v>
      </c>
      <c r="R476" s="77" t="s">
        <v>62</v>
      </c>
      <c r="S476" s="121"/>
      <c r="T476" s="2"/>
      <c r="U476" s="2"/>
      <c r="V476" s="33"/>
      <c r="W476" s="33" t="s">
        <v>8322</v>
      </c>
      <c r="X476" s="33"/>
      <c r="Y476" s="33"/>
      <c r="Z476"/>
      <c r="AD476"/>
      <c r="AE476"/>
      <c r="AF476"/>
      <c r="AG476"/>
    </row>
    <row r="477" spans="1:33" ht="16.149999999999999" customHeight="1" x14ac:dyDescent="0.15">
      <c r="A477" s="6">
        <v>471</v>
      </c>
      <c r="B477" s="18" t="s">
        <v>75</v>
      </c>
      <c r="C477" s="34" t="s">
        <v>57</v>
      </c>
      <c r="D477" s="43" t="s">
        <v>7279</v>
      </c>
      <c r="E477" s="77" t="s">
        <v>169</v>
      </c>
      <c r="F477" s="19">
        <v>16000</v>
      </c>
      <c r="G477" s="6">
        <v>15</v>
      </c>
      <c r="H477" s="6" t="s">
        <v>2401</v>
      </c>
      <c r="I477" s="8"/>
      <c r="J477" s="38" t="s">
        <v>171</v>
      </c>
      <c r="K477" s="6" t="s">
        <v>177</v>
      </c>
      <c r="L477" s="38" t="s">
        <v>173</v>
      </c>
      <c r="M477" s="2"/>
      <c r="N477" s="8"/>
      <c r="O477" s="112" t="s">
        <v>62</v>
      </c>
      <c r="P477" s="2" t="s">
        <v>62</v>
      </c>
      <c r="Q477" s="6" t="s">
        <v>62</v>
      </c>
      <c r="R477" s="77" t="s">
        <v>62</v>
      </c>
      <c r="S477" s="121"/>
      <c r="T477" s="2"/>
      <c r="U477" s="2"/>
      <c r="V477" s="33"/>
      <c r="W477" s="33" t="s">
        <v>8323</v>
      </c>
      <c r="X477" s="33"/>
      <c r="Y477" s="33"/>
      <c r="Z477"/>
      <c r="AD477"/>
      <c r="AE477"/>
      <c r="AF477"/>
      <c r="AG477"/>
    </row>
    <row r="478" spans="1:33" ht="16.149999999999999" customHeight="1" x14ac:dyDescent="0.15">
      <c r="A478" s="6">
        <v>472</v>
      </c>
      <c r="B478" s="18" t="s">
        <v>75</v>
      </c>
      <c r="C478" s="34" t="s">
        <v>57</v>
      </c>
      <c r="D478" s="43" t="s">
        <v>2379</v>
      </c>
      <c r="E478" s="77" t="s">
        <v>169</v>
      </c>
      <c r="F478" s="19">
        <v>16000</v>
      </c>
      <c r="G478" s="6">
        <v>16</v>
      </c>
      <c r="H478" s="6" t="s">
        <v>2404</v>
      </c>
      <c r="I478" s="8"/>
      <c r="J478" s="38" t="s">
        <v>171</v>
      </c>
      <c r="K478" s="6" t="s">
        <v>177</v>
      </c>
      <c r="L478" s="38" t="s">
        <v>173</v>
      </c>
      <c r="M478" s="2"/>
      <c r="N478" s="8"/>
      <c r="O478" s="112" t="s">
        <v>62</v>
      </c>
      <c r="P478" s="2" t="s">
        <v>62</v>
      </c>
      <c r="Q478" s="6" t="s">
        <v>62</v>
      </c>
      <c r="R478" s="77" t="s">
        <v>62</v>
      </c>
      <c r="S478" s="121"/>
      <c r="T478" s="2"/>
      <c r="U478" s="2"/>
      <c r="V478" s="33"/>
      <c r="W478" s="33" t="s">
        <v>2381</v>
      </c>
      <c r="X478" s="33"/>
      <c r="Y478" s="33"/>
      <c r="Z478"/>
      <c r="AD478"/>
      <c r="AE478"/>
      <c r="AF478"/>
      <c r="AG478"/>
    </row>
    <row r="479" spans="1:33" ht="16.149999999999999" customHeight="1" x14ac:dyDescent="0.15">
      <c r="A479" s="6">
        <v>473</v>
      </c>
      <c r="B479" s="18" t="s">
        <v>75</v>
      </c>
      <c r="C479" s="34" t="s">
        <v>57</v>
      </c>
      <c r="D479" s="43" t="s">
        <v>2382</v>
      </c>
      <c r="E479" s="77" t="s">
        <v>169</v>
      </c>
      <c r="F479" s="19">
        <v>16000</v>
      </c>
      <c r="G479" s="6">
        <v>17</v>
      </c>
      <c r="H479" s="6" t="s">
        <v>2407</v>
      </c>
      <c r="I479" s="8"/>
      <c r="J479" s="38" t="s">
        <v>171</v>
      </c>
      <c r="K479" s="6" t="s">
        <v>177</v>
      </c>
      <c r="L479" s="38" t="s">
        <v>173</v>
      </c>
      <c r="M479" s="2"/>
      <c r="N479" s="8"/>
      <c r="O479" s="112" t="s">
        <v>62</v>
      </c>
      <c r="P479" s="2" t="s">
        <v>62</v>
      </c>
      <c r="Q479" s="6" t="s">
        <v>62</v>
      </c>
      <c r="R479" s="77" t="s">
        <v>62</v>
      </c>
      <c r="S479" s="121"/>
      <c r="T479" s="2"/>
      <c r="U479" s="2"/>
      <c r="V479" s="33"/>
      <c r="W479" s="33" t="s">
        <v>2384</v>
      </c>
      <c r="X479" s="33"/>
      <c r="Y479" s="33"/>
      <c r="Z479"/>
      <c r="AD479"/>
      <c r="AE479"/>
      <c r="AF479"/>
      <c r="AG479"/>
    </row>
    <row r="480" spans="1:33" ht="16.149999999999999" customHeight="1" x14ac:dyDescent="0.15">
      <c r="A480" s="6">
        <v>474</v>
      </c>
      <c r="B480" s="18" t="s">
        <v>75</v>
      </c>
      <c r="C480" s="34" t="s">
        <v>57</v>
      </c>
      <c r="D480" s="43" t="s">
        <v>2385</v>
      </c>
      <c r="E480" s="77" t="s">
        <v>169</v>
      </c>
      <c r="F480" s="19">
        <v>16000</v>
      </c>
      <c r="G480" s="6">
        <v>18</v>
      </c>
      <c r="H480" s="6" t="s">
        <v>2410</v>
      </c>
      <c r="I480" s="8"/>
      <c r="J480" s="38" t="s">
        <v>171</v>
      </c>
      <c r="K480" s="6" t="s">
        <v>177</v>
      </c>
      <c r="L480" s="38" t="s">
        <v>173</v>
      </c>
      <c r="M480" s="2"/>
      <c r="N480" s="8"/>
      <c r="O480" s="112" t="s">
        <v>62</v>
      </c>
      <c r="P480" s="2" t="s">
        <v>62</v>
      </c>
      <c r="Q480" s="6" t="s">
        <v>62</v>
      </c>
      <c r="R480" s="77" t="s">
        <v>62</v>
      </c>
      <c r="S480" s="121"/>
      <c r="T480" s="2"/>
      <c r="U480" s="2"/>
      <c r="V480" s="33"/>
      <c r="W480" s="33" t="s">
        <v>2387</v>
      </c>
      <c r="X480" s="33"/>
      <c r="Y480" s="33"/>
      <c r="Z480"/>
      <c r="AD480"/>
      <c r="AE480"/>
      <c r="AF480"/>
      <c r="AG480"/>
    </row>
    <row r="481" spans="1:33" ht="16.149999999999999" customHeight="1" x14ac:dyDescent="0.15">
      <c r="A481" s="6">
        <v>475</v>
      </c>
      <c r="B481" s="18" t="s">
        <v>75</v>
      </c>
      <c r="C481" s="34" t="s">
        <v>57</v>
      </c>
      <c r="D481" s="43" t="s">
        <v>2388</v>
      </c>
      <c r="E481" s="77" t="s">
        <v>169</v>
      </c>
      <c r="F481" s="19">
        <v>16000</v>
      </c>
      <c r="G481" s="6">
        <v>19</v>
      </c>
      <c r="H481" s="6" t="s">
        <v>2413</v>
      </c>
      <c r="I481" s="8"/>
      <c r="J481" s="38" t="s">
        <v>171</v>
      </c>
      <c r="K481" s="6" t="s">
        <v>177</v>
      </c>
      <c r="L481" s="38" t="s">
        <v>173</v>
      </c>
      <c r="M481" s="2"/>
      <c r="N481" s="8"/>
      <c r="O481" s="112" t="s">
        <v>62</v>
      </c>
      <c r="P481" s="2" t="s">
        <v>62</v>
      </c>
      <c r="Q481" s="6" t="s">
        <v>62</v>
      </c>
      <c r="R481" s="77" t="s">
        <v>62</v>
      </c>
      <c r="S481" s="121"/>
      <c r="T481" s="2"/>
      <c r="U481" s="2"/>
      <c r="V481" s="33"/>
      <c r="W481" s="33" t="s">
        <v>2390</v>
      </c>
      <c r="X481" s="33"/>
      <c r="Y481" s="33"/>
      <c r="Z481"/>
      <c r="AD481"/>
      <c r="AE481"/>
      <c r="AF481"/>
      <c r="AG481"/>
    </row>
    <row r="482" spans="1:33" ht="16.149999999999999" customHeight="1" x14ac:dyDescent="0.15">
      <c r="A482" s="6">
        <v>476</v>
      </c>
      <c r="B482" s="18" t="s">
        <v>75</v>
      </c>
      <c r="C482" s="34" t="s">
        <v>57</v>
      </c>
      <c r="D482" s="43" t="s">
        <v>2391</v>
      </c>
      <c r="E482" s="77" t="s">
        <v>169</v>
      </c>
      <c r="F482" s="19">
        <v>16000</v>
      </c>
      <c r="G482" s="6">
        <v>20</v>
      </c>
      <c r="H482" s="6" t="s">
        <v>2416</v>
      </c>
      <c r="I482" s="8"/>
      <c r="J482" s="38" t="s">
        <v>171</v>
      </c>
      <c r="K482" s="6" t="s">
        <v>177</v>
      </c>
      <c r="L482" s="38" t="s">
        <v>173</v>
      </c>
      <c r="M482" s="2"/>
      <c r="N482" s="8"/>
      <c r="O482" s="112" t="s">
        <v>62</v>
      </c>
      <c r="P482" s="2" t="s">
        <v>62</v>
      </c>
      <c r="Q482" s="6" t="s">
        <v>62</v>
      </c>
      <c r="R482" s="77" t="s">
        <v>62</v>
      </c>
      <c r="S482" s="121"/>
      <c r="T482" s="2"/>
      <c r="U482" s="2"/>
      <c r="V482" s="33"/>
      <c r="W482" s="33" t="s">
        <v>2393</v>
      </c>
      <c r="X482" s="33"/>
      <c r="Y482" s="33"/>
      <c r="Z482"/>
      <c r="AD482"/>
      <c r="AE482"/>
      <c r="AF482"/>
      <c r="AG482"/>
    </row>
    <row r="483" spans="1:33" ht="16.149999999999999" customHeight="1" x14ac:dyDescent="0.15">
      <c r="A483" s="6">
        <v>477</v>
      </c>
      <c r="B483" s="18" t="s">
        <v>75</v>
      </c>
      <c r="C483" s="34" t="s">
        <v>57</v>
      </c>
      <c r="D483" s="43" t="s">
        <v>2394</v>
      </c>
      <c r="E483" s="77" t="s">
        <v>169</v>
      </c>
      <c r="F483" s="19">
        <v>16000</v>
      </c>
      <c r="G483" s="6">
        <v>21</v>
      </c>
      <c r="H483" s="6" t="s">
        <v>2419</v>
      </c>
      <c r="I483" s="8"/>
      <c r="J483" s="38" t="s">
        <v>171</v>
      </c>
      <c r="K483" s="6" t="s">
        <v>177</v>
      </c>
      <c r="L483" s="38" t="s">
        <v>173</v>
      </c>
      <c r="M483" s="2"/>
      <c r="N483" s="8"/>
      <c r="O483" s="112" t="s">
        <v>62</v>
      </c>
      <c r="P483" s="2" t="s">
        <v>62</v>
      </c>
      <c r="Q483" s="6" t="s">
        <v>62</v>
      </c>
      <c r="R483" s="77" t="s">
        <v>62</v>
      </c>
      <c r="S483" s="121"/>
      <c r="T483" s="2"/>
      <c r="U483" s="2"/>
      <c r="V483" s="33"/>
      <c r="W483" s="33" t="s">
        <v>2396</v>
      </c>
      <c r="X483" s="33"/>
      <c r="Y483" s="33"/>
      <c r="Z483"/>
      <c r="AD483"/>
      <c r="AE483"/>
      <c r="AF483"/>
      <c r="AG483"/>
    </row>
    <row r="484" spans="1:33" ht="16.149999999999999" customHeight="1" x14ac:dyDescent="0.15">
      <c r="A484" s="6">
        <v>478</v>
      </c>
      <c r="B484" s="18" t="s">
        <v>75</v>
      </c>
      <c r="C484" s="34" t="s">
        <v>57</v>
      </c>
      <c r="D484" s="43" t="s">
        <v>2397</v>
      </c>
      <c r="E484" s="77" t="s">
        <v>169</v>
      </c>
      <c r="F484" s="19">
        <v>16000</v>
      </c>
      <c r="G484" s="6">
        <v>22</v>
      </c>
      <c r="H484" s="6" t="s">
        <v>2422</v>
      </c>
      <c r="I484" s="8"/>
      <c r="J484" s="38" t="s">
        <v>171</v>
      </c>
      <c r="K484" s="6" t="s">
        <v>177</v>
      </c>
      <c r="L484" s="38" t="s">
        <v>173</v>
      </c>
      <c r="M484" s="2"/>
      <c r="N484" s="8"/>
      <c r="O484" s="112" t="s">
        <v>62</v>
      </c>
      <c r="P484" s="2" t="s">
        <v>62</v>
      </c>
      <c r="Q484" s="6" t="s">
        <v>62</v>
      </c>
      <c r="R484" s="77" t="s">
        <v>62</v>
      </c>
      <c r="S484" s="121"/>
      <c r="T484" s="2"/>
      <c r="U484" s="2"/>
      <c r="V484" s="33"/>
      <c r="W484" s="33" t="s">
        <v>2399</v>
      </c>
      <c r="X484" s="33"/>
      <c r="Y484" s="33"/>
      <c r="Z484"/>
      <c r="AD484"/>
      <c r="AE484"/>
      <c r="AF484"/>
      <c r="AG484"/>
    </row>
    <row r="485" spans="1:33" ht="16.149999999999999" customHeight="1" x14ac:dyDescent="0.15">
      <c r="A485" s="6">
        <v>479</v>
      </c>
      <c r="B485" s="18" t="s">
        <v>75</v>
      </c>
      <c r="C485" s="34" t="s">
        <v>57</v>
      </c>
      <c r="D485" s="43" t="s">
        <v>2400</v>
      </c>
      <c r="E485" s="77" t="s">
        <v>169</v>
      </c>
      <c r="F485" s="19">
        <v>16000</v>
      </c>
      <c r="G485" s="6">
        <v>23</v>
      </c>
      <c r="H485" s="6" t="s">
        <v>2425</v>
      </c>
      <c r="I485" s="8"/>
      <c r="J485" s="38" t="s">
        <v>171</v>
      </c>
      <c r="K485" s="6" t="s">
        <v>177</v>
      </c>
      <c r="L485" s="38" t="s">
        <v>173</v>
      </c>
      <c r="M485" s="2"/>
      <c r="N485" s="8"/>
      <c r="O485" s="112" t="s">
        <v>62</v>
      </c>
      <c r="P485" s="2" t="s">
        <v>62</v>
      </c>
      <c r="Q485" s="6" t="s">
        <v>62</v>
      </c>
      <c r="R485" s="77" t="s">
        <v>62</v>
      </c>
      <c r="S485" s="121"/>
      <c r="T485" s="2"/>
      <c r="U485" s="2"/>
      <c r="V485" s="33"/>
      <c r="W485" s="33" t="s">
        <v>2402</v>
      </c>
      <c r="X485" s="33"/>
      <c r="Y485" s="33"/>
      <c r="Z485"/>
      <c r="AD485"/>
      <c r="AE485"/>
      <c r="AF485"/>
      <c r="AG485"/>
    </row>
    <row r="486" spans="1:33" ht="16.149999999999999" customHeight="1" x14ac:dyDescent="0.15">
      <c r="A486" s="6">
        <v>480</v>
      </c>
      <c r="B486" s="18" t="s">
        <v>75</v>
      </c>
      <c r="C486" s="34" t="s">
        <v>57</v>
      </c>
      <c r="D486" s="43" t="s">
        <v>7280</v>
      </c>
      <c r="E486" s="77" t="s">
        <v>169</v>
      </c>
      <c r="F486" s="19">
        <v>16000</v>
      </c>
      <c r="G486" s="6">
        <v>24</v>
      </c>
      <c r="H486" s="6" t="s">
        <v>2428</v>
      </c>
      <c r="I486" s="8"/>
      <c r="J486" s="38" t="s">
        <v>171</v>
      </c>
      <c r="K486" s="6" t="s">
        <v>177</v>
      </c>
      <c r="L486" s="38" t="s">
        <v>173</v>
      </c>
      <c r="M486" s="2"/>
      <c r="N486" s="8"/>
      <c r="O486" s="112" t="s">
        <v>62</v>
      </c>
      <c r="P486" s="2" t="s">
        <v>62</v>
      </c>
      <c r="Q486" s="6" t="s">
        <v>62</v>
      </c>
      <c r="R486" s="77" t="s">
        <v>62</v>
      </c>
      <c r="S486" s="121"/>
      <c r="T486" s="2"/>
      <c r="U486" s="2"/>
      <c r="V486" s="33"/>
      <c r="W486" s="33" t="s">
        <v>8324</v>
      </c>
      <c r="X486" s="33"/>
      <c r="Y486" s="33"/>
      <c r="Z486"/>
      <c r="AD486"/>
      <c r="AE486"/>
      <c r="AF486"/>
      <c r="AG486"/>
    </row>
    <row r="487" spans="1:33" ht="16.149999999999999" customHeight="1" x14ac:dyDescent="0.15">
      <c r="A487" s="6">
        <v>481</v>
      </c>
      <c r="B487" s="18" t="s">
        <v>75</v>
      </c>
      <c r="C487" s="34" t="s">
        <v>57</v>
      </c>
      <c r="D487" s="43" t="s">
        <v>7281</v>
      </c>
      <c r="E487" s="77" t="s">
        <v>169</v>
      </c>
      <c r="F487" s="19">
        <v>16000</v>
      </c>
      <c r="G487" s="6">
        <v>25</v>
      </c>
      <c r="H487" s="6" t="s">
        <v>2431</v>
      </c>
      <c r="I487" s="8"/>
      <c r="J487" s="38" t="s">
        <v>171</v>
      </c>
      <c r="K487" s="6" t="s">
        <v>177</v>
      </c>
      <c r="L487" s="38" t="s">
        <v>173</v>
      </c>
      <c r="M487" s="2"/>
      <c r="N487" s="8"/>
      <c r="O487" s="112" t="s">
        <v>62</v>
      </c>
      <c r="P487" s="2" t="s">
        <v>62</v>
      </c>
      <c r="Q487" s="6" t="s">
        <v>62</v>
      </c>
      <c r="R487" s="77" t="s">
        <v>62</v>
      </c>
      <c r="S487" s="121"/>
      <c r="T487" s="2"/>
      <c r="U487" s="2"/>
      <c r="V487" s="33"/>
      <c r="W487" s="33" t="s">
        <v>8325</v>
      </c>
      <c r="X487" s="33"/>
      <c r="Y487" s="33"/>
      <c r="Z487"/>
      <c r="AD487"/>
      <c r="AE487"/>
      <c r="AF487"/>
      <c r="AG487"/>
    </row>
    <row r="488" spans="1:33" ht="16.149999999999999" customHeight="1" x14ac:dyDescent="0.15">
      <c r="A488" s="6">
        <v>482</v>
      </c>
      <c r="B488" s="18" t="s">
        <v>75</v>
      </c>
      <c r="C488" s="34" t="s">
        <v>57</v>
      </c>
      <c r="D488" s="43" t="s">
        <v>7282</v>
      </c>
      <c r="E488" s="77" t="s">
        <v>169</v>
      </c>
      <c r="F488" s="19">
        <v>16000</v>
      </c>
      <c r="G488" s="6">
        <v>26</v>
      </c>
      <c r="H488" s="6" t="s">
        <v>2434</v>
      </c>
      <c r="I488" s="8"/>
      <c r="J488" s="38" t="s">
        <v>171</v>
      </c>
      <c r="K488" s="6" t="s">
        <v>177</v>
      </c>
      <c r="L488" s="38" t="s">
        <v>173</v>
      </c>
      <c r="M488" s="2"/>
      <c r="N488" s="8"/>
      <c r="O488" s="112" t="s">
        <v>62</v>
      </c>
      <c r="P488" s="2" t="s">
        <v>62</v>
      </c>
      <c r="Q488" s="6" t="s">
        <v>62</v>
      </c>
      <c r="R488" s="77" t="s">
        <v>62</v>
      </c>
      <c r="S488" s="121"/>
      <c r="T488" s="2"/>
      <c r="U488" s="2"/>
      <c r="V488" s="33"/>
      <c r="W488" s="33" t="s">
        <v>8326</v>
      </c>
      <c r="X488" s="33"/>
      <c r="Y488" s="33"/>
      <c r="Z488"/>
      <c r="AD488"/>
      <c r="AE488"/>
      <c r="AF488"/>
      <c r="AG488"/>
    </row>
    <row r="489" spans="1:33" ht="16.149999999999999" customHeight="1" x14ac:dyDescent="0.15">
      <c r="A489" s="6">
        <v>483</v>
      </c>
      <c r="B489" s="18" t="s">
        <v>75</v>
      </c>
      <c r="C489" s="34" t="s">
        <v>57</v>
      </c>
      <c r="D489" s="43" t="s">
        <v>7283</v>
      </c>
      <c r="E489" s="77" t="s">
        <v>169</v>
      </c>
      <c r="F489" s="19">
        <v>16000</v>
      </c>
      <c r="G489" s="6">
        <v>27</v>
      </c>
      <c r="H489" s="6" t="s">
        <v>2437</v>
      </c>
      <c r="I489" s="8"/>
      <c r="J489" s="38" t="s">
        <v>171</v>
      </c>
      <c r="K489" s="6" t="s">
        <v>177</v>
      </c>
      <c r="L489" s="38" t="s">
        <v>173</v>
      </c>
      <c r="M489" s="2"/>
      <c r="N489" s="8"/>
      <c r="O489" s="112" t="s">
        <v>62</v>
      </c>
      <c r="P489" s="2" t="s">
        <v>62</v>
      </c>
      <c r="Q489" s="6" t="s">
        <v>62</v>
      </c>
      <c r="R489" s="77" t="s">
        <v>62</v>
      </c>
      <c r="S489" s="121"/>
      <c r="T489" s="2"/>
      <c r="U489" s="2"/>
      <c r="V489" s="33"/>
      <c r="W489" s="33" t="s">
        <v>8327</v>
      </c>
      <c r="X489" s="33"/>
      <c r="Y489" s="33"/>
      <c r="Z489"/>
      <c r="AD489"/>
      <c r="AE489"/>
      <c r="AF489"/>
      <c r="AG489"/>
    </row>
    <row r="490" spans="1:33" ht="16.149999999999999" customHeight="1" x14ac:dyDescent="0.15">
      <c r="A490" s="6">
        <v>484</v>
      </c>
      <c r="B490" s="18" t="s">
        <v>75</v>
      </c>
      <c r="C490" s="34" t="s">
        <v>57</v>
      </c>
      <c r="D490" s="43" t="s">
        <v>7284</v>
      </c>
      <c r="E490" s="77" t="s">
        <v>169</v>
      </c>
      <c r="F490" s="19">
        <v>16000</v>
      </c>
      <c r="G490" s="6">
        <v>28</v>
      </c>
      <c r="H490" s="6" t="s">
        <v>2440</v>
      </c>
      <c r="I490" s="8"/>
      <c r="J490" s="38" t="s">
        <v>171</v>
      </c>
      <c r="K490" s="6" t="s">
        <v>177</v>
      </c>
      <c r="L490" s="38" t="s">
        <v>173</v>
      </c>
      <c r="M490" s="2"/>
      <c r="N490" s="8"/>
      <c r="O490" s="112" t="s">
        <v>62</v>
      </c>
      <c r="P490" s="2" t="s">
        <v>62</v>
      </c>
      <c r="Q490" s="6" t="s">
        <v>62</v>
      </c>
      <c r="R490" s="77" t="s">
        <v>62</v>
      </c>
      <c r="S490" s="121"/>
      <c r="T490" s="2"/>
      <c r="U490" s="2"/>
      <c r="V490" s="33"/>
      <c r="W490" s="33" t="s">
        <v>8328</v>
      </c>
      <c r="X490" s="33"/>
      <c r="Y490" s="33"/>
      <c r="Z490"/>
      <c r="AD490"/>
      <c r="AE490"/>
      <c r="AF490"/>
      <c r="AG490"/>
    </row>
    <row r="491" spans="1:33" ht="16.149999999999999" customHeight="1" x14ac:dyDescent="0.15">
      <c r="A491" s="6">
        <v>485</v>
      </c>
      <c r="B491" s="18" t="s">
        <v>75</v>
      </c>
      <c r="C491" s="34" t="s">
        <v>57</v>
      </c>
      <c r="D491" s="43" t="s">
        <v>7285</v>
      </c>
      <c r="E491" s="77" t="s">
        <v>169</v>
      </c>
      <c r="F491" s="19">
        <v>16000</v>
      </c>
      <c r="G491" s="6">
        <v>29</v>
      </c>
      <c r="H491" s="6" t="s">
        <v>2443</v>
      </c>
      <c r="I491" s="8"/>
      <c r="J491" s="38" t="s">
        <v>171</v>
      </c>
      <c r="K491" s="6" t="s">
        <v>177</v>
      </c>
      <c r="L491" s="38" t="s">
        <v>173</v>
      </c>
      <c r="M491" s="2"/>
      <c r="N491" s="8"/>
      <c r="O491" s="112" t="s">
        <v>62</v>
      </c>
      <c r="P491" s="2" t="s">
        <v>62</v>
      </c>
      <c r="Q491" s="6" t="s">
        <v>62</v>
      </c>
      <c r="R491" s="77" t="s">
        <v>62</v>
      </c>
      <c r="S491" s="121"/>
      <c r="T491" s="2"/>
      <c r="U491" s="2"/>
      <c r="V491" s="33"/>
      <c r="W491" s="33" t="s">
        <v>8329</v>
      </c>
      <c r="X491" s="33"/>
      <c r="Y491" s="33"/>
      <c r="Z491"/>
      <c r="AD491"/>
      <c r="AE491"/>
      <c r="AF491"/>
      <c r="AG491"/>
    </row>
    <row r="492" spans="1:33" ht="16.149999999999999" customHeight="1" x14ac:dyDescent="0.15">
      <c r="A492" s="6">
        <v>486</v>
      </c>
      <c r="B492" s="18" t="s">
        <v>75</v>
      </c>
      <c r="C492" s="34" t="s">
        <v>57</v>
      </c>
      <c r="D492" s="43" t="s">
        <v>7286</v>
      </c>
      <c r="E492" s="77" t="s">
        <v>169</v>
      </c>
      <c r="F492" s="19">
        <v>16000</v>
      </c>
      <c r="G492" s="6">
        <v>30</v>
      </c>
      <c r="H492" s="6" t="s">
        <v>2446</v>
      </c>
      <c r="I492" s="8"/>
      <c r="J492" s="38" t="s">
        <v>171</v>
      </c>
      <c r="K492" s="6" t="s">
        <v>177</v>
      </c>
      <c r="L492" s="38" t="s">
        <v>173</v>
      </c>
      <c r="M492" s="2"/>
      <c r="N492" s="8"/>
      <c r="O492" s="112" t="s">
        <v>62</v>
      </c>
      <c r="P492" s="2" t="s">
        <v>62</v>
      </c>
      <c r="Q492" s="6" t="s">
        <v>62</v>
      </c>
      <c r="R492" s="77" t="s">
        <v>62</v>
      </c>
      <c r="S492" s="121"/>
      <c r="T492" s="2"/>
      <c r="U492" s="2"/>
      <c r="V492" s="33"/>
      <c r="W492" s="33" t="s">
        <v>8330</v>
      </c>
      <c r="X492" s="33"/>
      <c r="Y492" s="33"/>
      <c r="Z492"/>
      <c r="AD492"/>
      <c r="AE492"/>
      <c r="AF492"/>
      <c r="AG492"/>
    </row>
    <row r="493" spans="1:33" ht="16.149999999999999" customHeight="1" x14ac:dyDescent="0.15">
      <c r="A493" s="6">
        <v>487</v>
      </c>
      <c r="B493" s="18" t="s">
        <v>75</v>
      </c>
      <c r="C493" s="34" t="s">
        <v>57</v>
      </c>
      <c r="D493" s="43" t="s">
        <v>7287</v>
      </c>
      <c r="E493" s="77" t="s">
        <v>169</v>
      </c>
      <c r="F493" s="19">
        <v>16000</v>
      </c>
      <c r="G493" s="6">
        <v>31</v>
      </c>
      <c r="H493" s="6" t="s">
        <v>2449</v>
      </c>
      <c r="I493" s="8"/>
      <c r="J493" s="38" t="s">
        <v>171</v>
      </c>
      <c r="K493" s="6" t="s">
        <v>177</v>
      </c>
      <c r="L493" s="38" t="s">
        <v>173</v>
      </c>
      <c r="M493" s="2"/>
      <c r="N493" s="8"/>
      <c r="O493" s="112" t="s">
        <v>62</v>
      </c>
      <c r="P493" s="2" t="s">
        <v>62</v>
      </c>
      <c r="Q493" s="6" t="s">
        <v>62</v>
      </c>
      <c r="R493" s="77" t="s">
        <v>62</v>
      </c>
      <c r="S493" s="121"/>
      <c r="T493" s="2"/>
      <c r="U493" s="2"/>
      <c r="V493" s="33"/>
      <c r="W493" s="33" t="s">
        <v>8331</v>
      </c>
      <c r="X493" s="33"/>
      <c r="Y493" s="33"/>
      <c r="Z493"/>
      <c r="AD493"/>
      <c r="AE493"/>
      <c r="AF493"/>
      <c r="AG493"/>
    </row>
    <row r="494" spans="1:33" ht="16.149999999999999" customHeight="1" x14ac:dyDescent="0.15">
      <c r="A494" s="6">
        <v>488</v>
      </c>
      <c r="B494" s="18" t="s">
        <v>75</v>
      </c>
      <c r="C494" s="34" t="s">
        <v>57</v>
      </c>
      <c r="D494" s="15" t="s">
        <v>2451</v>
      </c>
      <c r="E494" s="2" t="s">
        <v>219</v>
      </c>
      <c r="F494" s="19">
        <v>16002</v>
      </c>
      <c r="G494" s="6"/>
      <c r="H494" s="6" t="s">
        <v>2452</v>
      </c>
      <c r="I494" s="33"/>
      <c r="J494" s="38" t="s">
        <v>171</v>
      </c>
      <c r="K494" s="6" t="s">
        <v>177</v>
      </c>
      <c r="L494" s="38" t="s">
        <v>173</v>
      </c>
      <c r="M494" s="6"/>
      <c r="N494" s="19"/>
      <c r="O494" s="76" t="s">
        <v>62</v>
      </c>
      <c r="P494" s="6" t="s">
        <v>62</v>
      </c>
      <c r="Q494" s="6" t="s">
        <v>62</v>
      </c>
      <c r="R494" s="6" t="s">
        <v>62</v>
      </c>
      <c r="S494" s="121"/>
      <c r="T494" s="2"/>
      <c r="U494" s="2"/>
      <c r="V494" s="8"/>
      <c r="W494" s="77" t="s">
        <v>2453</v>
      </c>
      <c r="X494" s="8"/>
      <c r="Y494" s="2"/>
      <c r="Z494"/>
      <c r="AD494"/>
      <c r="AE494"/>
      <c r="AF494"/>
      <c r="AG494"/>
    </row>
    <row r="495" spans="1:33" ht="16.149999999999999" customHeight="1" x14ac:dyDescent="0.15">
      <c r="A495" s="6">
        <v>489</v>
      </c>
      <c r="B495" s="18" t="s">
        <v>75</v>
      </c>
      <c r="C495" s="34" t="s">
        <v>57</v>
      </c>
      <c r="D495" s="43" t="s">
        <v>2454</v>
      </c>
      <c r="E495" s="77" t="s">
        <v>169</v>
      </c>
      <c r="F495" s="19">
        <v>16002</v>
      </c>
      <c r="G495" s="6">
        <v>0</v>
      </c>
      <c r="H495" s="6" t="s">
        <v>2455</v>
      </c>
      <c r="I495" s="8"/>
      <c r="J495" s="38" t="s">
        <v>171</v>
      </c>
      <c r="K495" s="6" t="s">
        <v>177</v>
      </c>
      <c r="L495" s="38" t="s">
        <v>173</v>
      </c>
      <c r="M495" s="2"/>
      <c r="N495" s="8"/>
      <c r="O495" s="112" t="s">
        <v>62</v>
      </c>
      <c r="P495" s="2" t="s">
        <v>62</v>
      </c>
      <c r="Q495" s="6" t="s">
        <v>62</v>
      </c>
      <c r="R495" s="77" t="s">
        <v>62</v>
      </c>
      <c r="S495" s="121"/>
      <c r="T495" s="2"/>
      <c r="U495" s="2"/>
      <c r="V495" s="33"/>
      <c r="W495" s="33" t="s">
        <v>2456</v>
      </c>
      <c r="X495" s="33"/>
      <c r="Y495" s="33"/>
      <c r="Z495"/>
      <c r="AD495"/>
      <c r="AE495"/>
      <c r="AF495"/>
      <c r="AG495"/>
    </row>
    <row r="496" spans="1:33" ht="16.149999999999999" customHeight="1" x14ac:dyDescent="0.15">
      <c r="A496" s="6">
        <v>490</v>
      </c>
      <c r="B496" s="18" t="s">
        <v>75</v>
      </c>
      <c r="C496" s="34" t="s">
        <v>57</v>
      </c>
      <c r="D496" s="43" t="s">
        <v>2457</v>
      </c>
      <c r="E496" s="77" t="s">
        <v>169</v>
      </c>
      <c r="F496" s="19">
        <v>16002</v>
      </c>
      <c r="G496" s="6">
        <v>1</v>
      </c>
      <c r="H496" s="6" t="s">
        <v>2458</v>
      </c>
      <c r="I496" s="8"/>
      <c r="J496" s="38" t="s">
        <v>171</v>
      </c>
      <c r="K496" s="6" t="s">
        <v>177</v>
      </c>
      <c r="L496" s="38" t="s">
        <v>173</v>
      </c>
      <c r="M496" s="2"/>
      <c r="N496" s="8"/>
      <c r="O496" s="112" t="s">
        <v>62</v>
      </c>
      <c r="P496" s="2" t="s">
        <v>62</v>
      </c>
      <c r="Q496" s="6" t="s">
        <v>62</v>
      </c>
      <c r="R496" s="77" t="s">
        <v>62</v>
      </c>
      <c r="S496" s="121"/>
      <c r="T496" s="2"/>
      <c r="U496" s="2"/>
      <c r="V496" s="33"/>
      <c r="W496" s="33" t="s">
        <v>2459</v>
      </c>
      <c r="X496" s="33"/>
      <c r="Y496" s="33"/>
      <c r="Z496"/>
      <c r="AD496"/>
      <c r="AE496"/>
      <c r="AF496"/>
      <c r="AG496"/>
    </row>
    <row r="497" spans="1:33" ht="16.149999999999999" customHeight="1" x14ac:dyDescent="0.15">
      <c r="A497" s="6">
        <v>491</v>
      </c>
      <c r="B497" s="18" t="s">
        <v>75</v>
      </c>
      <c r="C497" s="34" t="s">
        <v>57</v>
      </c>
      <c r="D497" s="43" t="s">
        <v>2460</v>
      </c>
      <c r="E497" s="77" t="s">
        <v>169</v>
      </c>
      <c r="F497" s="19">
        <v>16002</v>
      </c>
      <c r="G497" s="6">
        <v>2</v>
      </c>
      <c r="H497" s="6" t="s">
        <v>2461</v>
      </c>
      <c r="I497" s="8"/>
      <c r="J497" s="38" t="s">
        <v>171</v>
      </c>
      <c r="K497" s="6" t="s">
        <v>177</v>
      </c>
      <c r="L497" s="38" t="s">
        <v>173</v>
      </c>
      <c r="M497" s="2"/>
      <c r="N497" s="8"/>
      <c r="O497" s="112" t="s">
        <v>62</v>
      </c>
      <c r="P497" s="2" t="s">
        <v>62</v>
      </c>
      <c r="Q497" s="6" t="s">
        <v>62</v>
      </c>
      <c r="R497" s="77" t="s">
        <v>62</v>
      </c>
      <c r="S497" s="121"/>
      <c r="T497" s="2"/>
      <c r="U497" s="2"/>
      <c r="V497" s="33"/>
      <c r="W497" s="33" t="s">
        <v>2462</v>
      </c>
      <c r="X497" s="33"/>
      <c r="Y497" s="33"/>
      <c r="Z497"/>
      <c r="AD497"/>
      <c r="AE497"/>
      <c r="AF497"/>
      <c r="AG497"/>
    </row>
    <row r="498" spans="1:33" ht="16.149999999999999" customHeight="1" x14ac:dyDescent="0.15">
      <c r="A498" s="6">
        <v>492</v>
      </c>
      <c r="B498" s="18" t="s">
        <v>75</v>
      </c>
      <c r="C498" s="34" t="s">
        <v>57</v>
      </c>
      <c r="D498" s="43" t="s">
        <v>2463</v>
      </c>
      <c r="E498" s="77" t="s">
        <v>169</v>
      </c>
      <c r="F498" s="19">
        <v>16002</v>
      </c>
      <c r="G498" s="6">
        <v>3</v>
      </c>
      <c r="H498" s="6" t="s">
        <v>2464</v>
      </c>
      <c r="I498" s="8"/>
      <c r="J498" s="38" t="s">
        <v>171</v>
      </c>
      <c r="K498" s="6" t="s">
        <v>177</v>
      </c>
      <c r="L498" s="38" t="s">
        <v>173</v>
      </c>
      <c r="M498" s="2"/>
      <c r="N498" s="8"/>
      <c r="O498" s="112" t="s">
        <v>62</v>
      </c>
      <c r="P498" s="2" t="s">
        <v>62</v>
      </c>
      <c r="Q498" s="6" t="s">
        <v>62</v>
      </c>
      <c r="R498" s="77" t="s">
        <v>62</v>
      </c>
      <c r="S498" s="121"/>
      <c r="T498" s="2"/>
      <c r="U498" s="2"/>
      <c r="V498" s="33"/>
      <c r="W498" s="33" t="s">
        <v>2465</v>
      </c>
      <c r="X498" s="33"/>
      <c r="Y498" s="33"/>
      <c r="Z498"/>
      <c r="AD498"/>
      <c r="AE498"/>
      <c r="AF498"/>
      <c r="AG498"/>
    </row>
    <row r="499" spans="1:33" ht="16.149999999999999" customHeight="1" x14ac:dyDescent="0.15">
      <c r="A499" s="6">
        <v>493</v>
      </c>
      <c r="B499" s="18" t="s">
        <v>75</v>
      </c>
      <c r="C499" s="34" t="s">
        <v>57</v>
      </c>
      <c r="D499" s="43" t="s">
        <v>2466</v>
      </c>
      <c r="E499" s="77" t="s">
        <v>169</v>
      </c>
      <c r="F499" s="19">
        <v>16002</v>
      </c>
      <c r="G499" s="6">
        <v>4</v>
      </c>
      <c r="H499" s="6" t="s">
        <v>2467</v>
      </c>
      <c r="I499" s="8"/>
      <c r="J499" s="38" t="s">
        <v>171</v>
      </c>
      <c r="K499" s="6" t="s">
        <v>177</v>
      </c>
      <c r="L499" s="38" t="s">
        <v>173</v>
      </c>
      <c r="M499" s="2"/>
      <c r="N499" s="8"/>
      <c r="O499" s="112" t="s">
        <v>62</v>
      </c>
      <c r="P499" s="2" t="s">
        <v>62</v>
      </c>
      <c r="Q499" s="6" t="s">
        <v>62</v>
      </c>
      <c r="R499" s="77" t="s">
        <v>62</v>
      </c>
      <c r="S499" s="121"/>
      <c r="T499" s="2"/>
      <c r="U499" s="2"/>
      <c r="V499" s="33"/>
      <c r="W499" s="33" t="s">
        <v>2468</v>
      </c>
      <c r="X499" s="33"/>
      <c r="Y499" s="33"/>
      <c r="Z499"/>
      <c r="AD499"/>
      <c r="AE499"/>
      <c r="AF499"/>
      <c r="AG499"/>
    </row>
    <row r="500" spans="1:33" ht="16.149999999999999" customHeight="1" x14ac:dyDescent="0.15">
      <c r="A500" s="6">
        <v>494</v>
      </c>
      <c r="B500" s="18" t="s">
        <v>75</v>
      </c>
      <c r="C500" s="34" t="s">
        <v>57</v>
      </c>
      <c r="D500" s="43" t="s">
        <v>2469</v>
      </c>
      <c r="E500" s="77" t="s">
        <v>169</v>
      </c>
      <c r="F500" s="19">
        <v>16002</v>
      </c>
      <c r="G500" s="6">
        <v>5</v>
      </c>
      <c r="H500" s="6" t="s">
        <v>2470</v>
      </c>
      <c r="I500" s="8"/>
      <c r="J500" s="38" t="s">
        <v>171</v>
      </c>
      <c r="K500" s="6" t="s">
        <v>177</v>
      </c>
      <c r="L500" s="38" t="s">
        <v>173</v>
      </c>
      <c r="M500" s="2"/>
      <c r="N500" s="8"/>
      <c r="O500" s="112" t="s">
        <v>62</v>
      </c>
      <c r="P500" s="2" t="s">
        <v>62</v>
      </c>
      <c r="Q500" s="6" t="s">
        <v>62</v>
      </c>
      <c r="R500" s="77" t="s">
        <v>62</v>
      </c>
      <c r="S500" s="121"/>
      <c r="T500" s="2"/>
      <c r="U500" s="2"/>
      <c r="V500" s="33"/>
      <c r="W500" s="33" t="s">
        <v>2471</v>
      </c>
      <c r="X500" s="33"/>
      <c r="Y500" s="33"/>
      <c r="Z500"/>
      <c r="AD500"/>
      <c r="AE500"/>
      <c r="AF500"/>
      <c r="AG500"/>
    </row>
    <row r="501" spans="1:33" ht="16.149999999999999" customHeight="1" x14ac:dyDescent="0.15">
      <c r="A501" s="6">
        <v>495</v>
      </c>
      <c r="B501" s="18" t="s">
        <v>75</v>
      </c>
      <c r="C501" s="34" t="s">
        <v>57</v>
      </c>
      <c r="D501" s="43" t="s">
        <v>2472</v>
      </c>
      <c r="E501" s="77" t="s">
        <v>169</v>
      </c>
      <c r="F501" s="19">
        <v>16002</v>
      </c>
      <c r="G501" s="6">
        <v>6</v>
      </c>
      <c r="H501" s="6" t="s">
        <v>2473</v>
      </c>
      <c r="I501" s="8"/>
      <c r="J501" s="38" t="s">
        <v>171</v>
      </c>
      <c r="K501" s="6" t="s">
        <v>177</v>
      </c>
      <c r="L501" s="38" t="s">
        <v>173</v>
      </c>
      <c r="M501" s="2"/>
      <c r="N501" s="8"/>
      <c r="O501" s="112" t="s">
        <v>62</v>
      </c>
      <c r="P501" s="2" t="s">
        <v>62</v>
      </c>
      <c r="Q501" s="6" t="s">
        <v>62</v>
      </c>
      <c r="R501" s="77" t="s">
        <v>62</v>
      </c>
      <c r="S501" s="121"/>
      <c r="T501" s="2"/>
      <c r="U501" s="2"/>
      <c r="V501" s="33"/>
      <c r="W501" s="33" t="s">
        <v>2474</v>
      </c>
      <c r="X501" s="33"/>
      <c r="Y501" s="33"/>
      <c r="Z501"/>
      <c r="AD501"/>
      <c r="AE501"/>
      <c r="AF501"/>
      <c r="AG501"/>
    </row>
    <row r="502" spans="1:33" ht="16.149999999999999" customHeight="1" x14ac:dyDescent="0.15">
      <c r="A502" s="6">
        <v>496</v>
      </c>
      <c r="B502" s="18" t="s">
        <v>75</v>
      </c>
      <c r="C502" s="34" t="s">
        <v>57</v>
      </c>
      <c r="D502" s="43" t="s">
        <v>2475</v>
      </c>
      <c r="E502" s="77" t="s">
        <v>169</v>
      </c>
      <c r="F502" s="19">
        <v>16002</v>
      </c>
      <c r="G502" s="6">
        <v>7</v>
      </c>
      <c r="H502" s="6" t="s">
        <v>2476</v>
      </c>
      <c r="I502" s="8"/>
      <c r="J502" s="38" t="s">
        <v>171</v>
      </c>
      <c r="K502" s="6" t="s">
        <v>177</v>
      </c>
      <c r="L502" s="38" t="s">
        <v>173</v>
      </c>
      <c r="M502" s="2"/>
      <c r="N502" s="8"/>
      <c r="O502" s="112" t="s">
        <v>62</v>
      </c>
      <c r="P502" s="2" t="s">
        <v>62</v>
      </c>
      <c r="Q502" s="6" t="s">
        <v>62</v>
      </c>
      <c r="R502" s="77" t="s">
        <v>62</v>
      </c>
      <c r="S502" s="121"/>
      <c r="T502" s="2"/>
      <c r="U502" s="2"/>
      <c r="V502" s="33"/>
      <c r="W502" s="33" t="s">
        <v>2477</v>
      </c>
      <c r="X502" s="33"/>
      <c r="Y502" s="33"/>
      <c r="Z502"/>
      <c r="AD502"/>
      <c r="AE502"/>
      <c r="AF502"/>
      <c r="AG502"/>
    </row>
    <row r="503" spans="1:33" ht="16.149999999999999" customHeight="1" x14ac:dyDescent="0.15">
      <c r="A503" s="6">
        <v>497</v>
      </c>
      <c r="B503" s="18" t="s">
        <v>75</v>
      </c>
      <c r="C503" s="34" t="s">
        <v>57</v>
      </c>
      <c r="D503" s="43" t="s">
        <v>7288</v>
      </c>
      <c r="E503" s="77" t="s">
        <v>169</v>
      </c>
      <c r="F503" s="19">
        <v>16002</v>
      </c>
      <c r="G503" s="6">
        <v>8</v>
      </c>
      <c r="H503" s="6" t="s">
        <v>2479</v>
      </c>
      <c r="I503" s="8"/>
      <c r="J503" s="38" t="s">
        <v>171</v>
      </c>
      <c r="K503" s="6" t="s">
        <v>177</v>
      </c>
      <c r="L503" s="38" t="s">
        <v>173</v>
      </c>
      <c r="M503" s="2"/>
      <c r="N503" s="8"/>
      <c r="O503" s="112" t="s">
        <v>62</v>
      </c>
      <c r="P503" s="2" t="s">
        <v>62</v>
      </c>
      <c r="Q503" s="6" t="s">
        <v>62</v>
      </c>
      <c r="R503" s="77" t="s">
        <v>62</v>
      </c>
      <c r="S503" s="121"/>
      <c r="T503" s="2"/>
      <c r="U503" s="2"/>
      <c r="V503" s="33"/>
      <c r="W503" s="33" t="s">
        <v>8332</v>
      </c>
      <c r="X503" s="33"/>
      <c r="Y503" s="33"/>
      <c r="Z503"/>
      <c r="AD503"/>
      <c r="AE503"/>
      <c r="AF503"/>
      <c r="AG503"/>
    </row>
    <row r="504" spans="1:33" ht="16.149999999999999" customHeight="1" x14ac:dyDescent="0.15">
      <c r="A504" s="6">
        <v>498</v>
      </c>
      <c r="B504" s="18" t="s">
        <v>75</v>
      </c>
      <c r="C504" s="34" t="s">
        <v>57</v>
      </c>
      <c r="D504" s="43" t="s">
        <v>7289</v>
      </c>
      <c r="E504" s="77" t="s">
        <v>169</v>
      </c>
      <c r="F504" s="19">
        <v>16002</v>
      </c>
      <c r="G504" s="6">
        <v>9</v>
      </c>
      <c r="H504" s="6" t="s">
        <v>2482</v>
      </c>
      <c r="I504" s="8"/>
      <c r="J504" s="38" t="s">
        <v>171</v>
      </c>
      <c r="K504" s="6" t="s">
        <v>177</v>
      </c>
      <c r="L504" s="38" t="s">
        <v>173</v>
      </c>
      <c r="M504" s="2"/>
      <c r="N504" s="8"/>
      <c r="O504" s="112" t="s">
        <v>62</v>
      </c>
      <c r="P504" s="2" t="s">
        <v>62</v>
      </c>
      <c r="Q504" s="6" t="s">
        <v>62</v>
      </c>
      <c r="R504" s="77" t="s">
        <v>62</v>
      </c>
      <c r="S504" s="121"/>
      <c r="T504" s="2"/>
      <c r="U504" s="2"/>
      <c r="V504" s="33"/>
      <c r="W504" s="33" t="s">
        <v>8333</v>
      </c>
      <c r="X504" s="33"/>
      <c r="Y504" s="33"/>
      <c r="Z504"/>
      <c r="AD504"/>
      <c r="AE504"/>
      <c r="AF504"/>
      <c r="AG504"/>
    </row>
    <row r="505" spans="1:33" ht="16.149999999999999" customHeight="1" x14ac:dyDescent="0.15">
      <c r="A505" s="6">
        <v>499</v>
      </c>
      <c r="B505" s="18" t="s">
        <v>75</v>
      </c>
      <c r="C505" s="34" t="s">
        <v>57</v>
      </c>
      <c r="D505" s="43" t="s">
        <v>7290</v>
      </c>
      <c r="E505" s="77" t="s">
        <v>169</v>
      </c>
      <c r="F505" s="19">
        <v>16002</v>
      </c>
      <c r="G505" s="6">
        <v>10</v>
      </c>
      <c r="H505" s="6" t="s">
        <v>2485</v>
      </c>
      <c r="I505" s="8"/>
      <c r="J505" s="38" t="s">
        <v>171</v>
      </c>
      <c r="K505" s="6" t="s">
        <v>177</v>
      </c>
      <c r="L505" s="38" t="s">
        <v>173</v>
      </c>
      <c r="M505" s="2"/>
      <c r="N505" s="8"/>
      <c r="O505" s="112" t="s">
        <v>62</v>
      </c>
      <c r="P505" s="2" t="s">
        <v>62</v>
      </c>
      <c r="Q505" s="6" t="s">
        <v>62</v>
      </c>
      <c r="R505" s="77" t="s">
        <v>62</v>
      </c>
      <c r="S505" s="121"/>
      <c r="T505" s="2"/>
      <c r="U505" s="2"/>
      <c r="V505" s="33"/>
      <c r="W505" s="33" t="s">
        <v>8334</v>
      </c>
      <c r="X505" s="33"/>
      <c r="Y505" s="33"/>
      <c r="Z505"/>
      <c r="AD505"/>
      <c r="AE505"/>
      <c r="AF505"/>
      <c r="AG505"/>
    </row>
    <row r="506" spans="1:33" ht="16.149999999999999" customHeight="1" x14ac:dyDescent="0.15">
      <c r="A506" s="6">
        <v>500</v>
      </c>
      <c r="B506" s="18" t="s">
        <v>75</v>
      </c>
      <c r="C506" s="34" t="s">
        <v>57</v>
      </c>
      <c r="D506" s="43" t="s">
        <v>7291</v>
      </c>
      <c r="E506" s="77" t="s">
        <v>169</v>
      </c>
      <c r="F506" s="19">
        <v>16002</v>
      </c>
      <c r="G506" s="6">
        <v>11</v>
      </c>
      <c r="H506" s="6" t="s">
        <v>2488</v>
      </c>
      <c r="I506" s="8"/>
      <c r="J506" s="38" t="s">
        <v>171</v>
      </c>
      <c r="K506" s="6" t="s">
        <v>177</v>
      </c>
      <c r="L506" s="38" t="s">
        <v>173</v>
      </c>
      <c r="M506" s="2"/>
      <c r="N506" s="8"/>
      <c r="O506" s="112" t="s">
        <v>62</v>
      </c>
      <c r="P506" s="2" t="s">
        <v>62</v>
      </c>
      <c r="Q506" s="6" t="s">
        <v>62</v>
      </c>
      <c r="R506" s="77" t="s">
        <v>62</v>
      </c>
      <c r="S506" s="121"/>
      <c r="T506" s="2"/>
      <c r="U506" s="2"/>
      <c r="V506" s="33"/>
      <c r="W506" s="33" t="s">
        <v>8335</v>
      </c>
      <c r="X506" s="33"/>
      <c r="Y506" s="33"/>
      <c r="Z506"/>
      <c r="AD506"/>
      <c r="AE506"/>
      <c r="AF506"/>
      <c r="AG506"/>
    </row>
    <row r="507" spans="1:33" ht="16.149999999999999" customHeight="1" x14ac:dyDescent="0.15">
      <c r="A507" s="6">
        <v>501</v>
      </c>
      <c r="B507" s="18" t="s">
        <v>75</v>
      </c>
      <c r="C507" s="34" t="s">
        <v>57</v>
      </c>
      <c r="D507" s="43" t="s">
        <v>7292</v>
      </c>
      <c r="E507" s="77" t="s">
        <v>169</v>
      </c>
      <c r="F507" s="19">
        <v>16002</v>
      </c>
      <c r="G507" s="6">
        <v>12</v>
      </c>
      <c r="H507" s="6" t="s">
        <v>2491</v>
      </c>
      <c r="I507" s="8"/>
      <c r="J507" s="38" t="s">
        <v>171</v>
      </c>
      <c r="K507" s="6" t="s">
        <v>177</v>
      </c>
      <c r="L507" s="38" t="s">
        <v>173</v>
      </c>
      <c r="M507" s="2"/>
      <c r="N507" s="8"/>
      <c r="O507" s="112" t="s">
        <v>62</v>
      </c>
      <c r="P507" s="2" t="s">
        <v>62</v>
      </c>
      <c r="Q507" s="6" t="s">
        <v>62</v>
      </c>
      <c r="R507" s="77" t="s">
        <v>62</v>
      </c>
      <c r="S507" s="121"/>
      <c r="T507" s="2"/>
      <c r="U507" s="2"/>
      <c r="V507" s="33"/>
      <c r="W507" s="33" t="s">
        <v>8336</v>
      </c>
      <c r="X507" s="33"/>
      <c r="Y507" s="33"/>
      <c r="Z507"/>
      <c r="AD507"/>
      <c r="AE507"/>
      <c r="AF507"/>
      <c r="AG507"/>
    </row>
    <row r="508" spans="1:33" ht="16.149999999999999" customHeight="1" x14ac:dyDescent="0.15">
      <c r="A508" s="6">
        <v>502</v>
      </c>
      <c r="B508" s="18" t="s">
        <v>75</v>
      </c>
      <c r="C508" s="34" t="s">
        <v>57</v>
      </c>
      <c r="D508" s="43" t="s">
        <v>7293</v>
      </c>
      <c r="E508" s="77" t="s">
        <v>169</v>
      </c>
      <c r="F508" s="19">
        <v>16002</v>
      </c>
      <c r="G508" s="6">
        <v>13</v>
      </c>
      <c r="H508" s="6" t="s">
        <v>2494</v>
      </c>
      <c r="I508" s="8"/>
      <c r="J508" s="38" t="s">
        <v>171</v>
      </c>
      <c r="K508" s="6" t="s">
        <v>177</v>
      </c>
      <c r="L508" s="38" t="s">
        <v>173</v>
      </c>
      <c r="M508" s="2"/>
      <c r="N508" s="8"/>
      <c r="O508" s="112" t="s">
        <v>62</v>
      </c>
      <c r="P508" s="2" t="s">
        <v>62</v>
      </c>
      <c r="Q508" s="6" t="s">
        <v>62</v>
      </c>
      <c r="R508" s="77" t="s">
        <v>62</v>
      </c>
      <c r="S508" s="121"/>
      <c r="T508" s="2"/>
      <c r="U508" s="2"/>
      <c r="V508" s="33"/>
      <c r="W508" s="33" t="s">
        <v>8337</v>
      </c>
      <c r="X508" s="33"/>
      <c r="Y508" s="33"/>
      <c r="Z508"/>
      <c r="AD508"/>
      <c r="AE508"/>
      <c r="AF508"/>
      <c r="AG508"/>
    </row>
    <row r="509" spans="1:33" ht="16.149999999999999" customHeight="1" x14ac:dyDescent="0.15">
      <c r="A509" s="6">
        <v>503</v>
      </c>
      <c r="B509" s="18" t="s">
        <v>75</v>
      </c>
      <c r="C509" s="34" t="s">
        <v>57</v>
      </c>
      <c r="D509" s="43" t="s">
        <v>7294</v>
      </c>
      <c r="E509" s="77" t="s">
        <v>169</v>
      </c>
      <c r="F509" s="19">
        <v>16002</v>
      </c>
      <c r="G509" s="6">
        <v>14</v>
      </c>
      <c r="H509" s="6" t="s">
        <v>2497</v>
      </c>
      <c r="I509" s="8"/>
      <c r="J509" s="38" t="s">
        <v>171</v>
      </c>
      <c r="K509" s="6" t="s">
        <v>177</v>
      </c>
      <c r="L509" s="38" t="s">
        <v>173</v>
      </c>
      <c r="M509" s="2"/>
      <c r="N509" s="8"/>
      <c r="O509" s="112" t="s">
        <v>62</v>
      </c>
      <c r="P509" s="2" t="s">
        <v>62</v>
      </c>
      <c r="Q509" s="6" t="s">
        <v>62</v>
      </c>
      <c r="R509" s="77" t="s">
        <v>62</v>
      </c>
      <c r="S509" s="121"/>
      <c r="T509" s="2"/>
      <c r="U509" s="2"/>
      <c r="V509" s="33"/>
      <c r="W509" s="33" t="s">
        <v>8338</v>
      </c>
      <c r="X509" s="33"/>
      <c r="Y509" s="33"/>
      <c r="Z509"/>
      <c r="AD509"/>
      <c r="AE509"/>
      <c r="AF509"/>
      <c r="AG509"/>
    </row>
    <row r="510" spans="1:33" ht="16.149999999999999" customHeight="1" x14ac:dyDescent="0.15">
      <c r="A510" s="6">
        <v>504</v>
      </c>
      <c r="B510" s="18" t="s">
        <v>75</v>
      </c>
      <c r="C510" s="34" t="s">
        <v>57</v>
      </c>
      <c r="D510" s="43" t="s">
        <v>7295</v>
      </c>
      <c r="E510" s="77" t="s">
        <v>169</v>
      </c>
      <c r="F510" s="19">
        <v>16002</v>
      </c>
      <c r="G510" s="6">
        <v>15</v>
      </c>
      <c r="H510" s="6" t="s">
        <v>2500</v>
      </c>
      <c r="I510" s="8"/>
      <c r="J510" s="38" t="s">
        <v>171</v>
      </c>
      <c r="K510" s="6" t="s">
        <v>177</v>
      </c>
      <c r="L510" s="38" t="s">
        <v>173</v>
      </c>
      <c r="M510" s="2"/>
      <c r="N510" s="8"/>
      <c r="O510" s="112" t="s">
        <v>62</v>
      </c>
      <c r="P510" s="2" t="s">
        <v>62</v>
      </c>
      <c r="Q510" s="6" t="s">
        <v>62</v>
      </c>
      <c r="R510" s="77" t="s">
        <v>62</v>
      </c>
      <c r="S510" s="121"/>
      <c r="T510" s="2"/>
      <c r="U510" s="2"/>
      <c r="V510" s="33"/>
      <c r="W510" s="33" t="s">
        <v>8339</v>
      </c>
      <c r="X510" s="33"/>
      <c r="Y510" s="33"/>
      <c r="Z510"/>
      <c r="AD510"/>
      <c r="AE510"/>
      <c r="AF510"/>
      <c r="AG510"/>
    </row>
    <row r="511" spans="1:33" ht="16.149999999999999" customHeight="1" x14ac:dyDescent="0.15">
      <c r="A511" s="6">
        <v>505</v>
      </c>
      <c r="B511" s="18" t="s">
        <v>75</v>
      </c>
      <c r="C511" s="34" t="s">
        <v>57</v>
      </c>
      <c r="D511" s="43" t="s">
        <v>2478</v>
      </c>
      <c r="E511" s="77" t="s">
        <v>169</v>
      </c>
      <c r="F511" s="19">
        <v>16002</v>
      </c>
      <c r="G511" s="6">
        <v>16</v>
      </c>
      <c r="H511" s="6" t="s">
        <v>2503</v>
      </c>
      <c r="I511" s="8"/>
      <c r="J511" s="38" t="s">
        <v>171</v>
      </c>
      <c r="K511" s="6" t="s">
        <v>177</v>
      </c>
      <c r="L511" s="38" t="s">
        <v>173</v>
      </c>
      <c r="M511" s="2"/>
      <c r="N511" s="8"/>
      <c r="O511" s="112" t="s">
        <v>62</v>
      </c>
      <c r="P511" s="2" t="s">
        <v>62</v>
      </c>
      <c r="Q511" s="6" t="s">
        <v>62</v>
      </c>
      <c r="R511" s="77" t="s">
        <v>62</v>
      </c>
      <c r="S511" s="121"/>
      <c r="T511" s="2"/>
      <c r="U511" s="2"/>
      <c r="V511" s="33"/>
      <c r="W511" s="33" t="s">
        <v>2480</v>
      </c>
      <c r="X511" s="33"/>
      <c r="Y511" s="33"/>
      <c r="Z511"/>
      <c r="AD511"/>
      <c r="AE511"/>
      <c r="AF511"/>
      <c r="AG511"/>
    </row>
    <row r="512" spans="1:33" ht="16.149999999999999" customHeight="1" x14ac:dyDescent="0.15">
      <c r="A512" s="6">
        <v>506</v>
      </c>
      <c r="B512" s="18" t="s">
        <v>75</v>
      </c>
      <c r="C512" s="34" t="s">
        <v>57</v>
      </c>
      <c r="D512" s="43" t="s">
        <v>2481</v>
      </c>
      <c r="E512" s="77" t="s">
        <v>169</v>
      </c>
      <c r="F512" s="19">
        <v>16002</v>
      </c>
      <c r="G512" s="6">
        <v>17</v>
      </c>
      <c r="H512" s="6" t="s">
        <v>2506</v>
      </c>
      <c r="I512" s="8"/>
      <c r="J512" s="38" t="s">
        <v>171</v>
      </c>
      <c r="K512" s="6" t="s">
        <v>177</v>
      </c>
      <c r="L512" s="38" t="s">
        <v>173</v>
      </c>
      <c r="M512" s="2"/>
      <c r="N512" s="8"/>
      <c r="O512" s="112" t="s">
        <v>62</v>
      </c>
      <c r="P512" s="2" t="s">
        <v>62</v>
      </c>
      <c r="Q512" s="6" t="s">
        <v>62</v>
      </c>
      <c r="R512" s="77" t="s">
        <v>62</v>
      </c>
      <c r="S512" s="121"/>
      <c r="T512" s="2"/>
      <c r="U512" s="2"/>
      <c r="V512" s="33"/>
      <c r="W512" s="33" t="s">
        <v>2483</v>
      </c>
      <c r="X512" s="33"/>
      <c r="Y512" s="33"/>
      <c r="Z512"/>
      <c r="AD512"/>
      <c r="AE512"/>
      <c r="AF512"/>
      <c r="AG512"/>
    </row>
    <row r="513" spans="1:33" ht="16.149999999999999" customHeight="1" x14ac:dyDescent="0.15">
      <c r="A513" s="6">
        <v>507</v>
      </c>
      <c r="B513" s="18" t="s">
        <v>75</v>
      </c>
      <c r="C513" s="34" t="s">
        <v>57</v>
      </c>
      <c r="D513" s="43" t="s">
        <v>2484</v>
      </c>
      <c r="E513" s="77" t="s">
        <v>169</v>
      </c>
      <c r="F513" s="19">
        <v>16002</v>
      </c>
      <c r="G513" s="6">
        <v>18</v>
      </c>
      <c r="H513" s="6" t="s">
        <v>2509</v>
      </c>
      <c r="I513" s="8"/>
      <c r="J513" s="38" t="s">
        <v>171</v>
      </c>
      <c r="K513" s="6" t="s">
        <v>177</v>
      </c>
      <c r="L513" s="38" t="s">
        <v>173</v>
      </c>
      <c r="M513" s="2"/>
      <c r="N513" s="8"/>
      <c r="O513" s="112" t="s">
        <v>62</v>
      </c>
      <c r="P513" s="2" t="s">
        <v>62</v>
      </c>
      <c r="Q513" s="6" t="s">
        <v>62</v>
      </c>
      <c r="R513" s="77" t="s">
        <v>62</v>
      </c>
      <c r="S513" s="121"/>
      <c r="T513" s="2"/>
      <c r="U513" s="2"/>
      <c r="V513" s="33"/>
      <c r="W513" s="33" t="s">
        <v>2486</v>
      </c>
      <c r="X513" s="33"/>
      <c r="Y513" s="33"/>
      <c r="Z513"/>
      <c r="AD513"/>
      <c r="AE513"/>
      <c r="AF513"/>
      <c r="AG513"/>
    </row>
    <row r="514" spans="1:33" ht="16.149999999999999" customHeight="1" x14ac:dyDescent="0.15">
      <c r="A514" s="6">
        <v>508</v>
      </c>
      <c r="B514" s="18" t="s">
        <v>75</v>
      </c>
      <c r="C514" s="34" t="s">
        <v>57</v>
      </c>
      <c r="D514" s="43" t="s">
        <v>2487</v>
      </c>
      <c r="E514" s="77" t="s">
        <v>169</v>
      </c>
      <c r="F514" s="19">
        <v>16002</v>
      </c>
      <c r="G514" s="6">
        <v>19</v>
      </c>
      <c r="H514" s="6" t="s">
        <v>2512</v>
      </c>
      <c r="I514" s="8"/>
      <c r="J514" s="38" t="s">
        <v>171</v>
      </c>
      <c r="K514" s="6" t="s">
        <v>177</v>
      </c>
      <c r="L514" s="38" t="s">
        <v>173</v>
      </c>
      <c r="M514" s="2"/>
      <c r="N514" s="8"/>
      <c r="O514" s="112" t="s">
        <v>62</v>
      </c>
      <c r="P514" s="2" t="s">
        <v>62</v>
      </c>
      <c r="Q514" s="6" t="s">
        <v>62</v>
      </c>
      <c r="R514" s="77" t="s">
        <v>62</v>
      </c>
      <c r="S514" s="121"/>
      <c r="T514" s="2"/>
      <c r="U514" s="2"/>
      <c r="V514" s="33"/>
      <c r="W514" s="33" t="s">
        <v>2489</v>
      </c>
      <c r="X514" s="33"/>
      <c r="Y514" s="33"/>
      <c r="Z514"/>
      <c r="AD514"/>
      <c r="AE514"/>
      <c r="AF514"/>
      <c r="AG514"/>
    </row>
    <row r="515" spans="1:33" ht="16.149999999999999" customHeight="1" x14ac:dyDescent="0.15">
      <c r="A515" s="6">
        <v>509</v>
      </c>
      <c r="B515" s="18" t="s">
        <v>75</v>
      </c>
      <c r="C515" s="34" t="s">
        <v>57</v>
      </c>
      <c r="D515" s="43" t="s">
        <v>2490</v>
      </c>
      <c r="E515" s="77" t="s">
        <v>169</v>
      </c>
      <c r="F515" s="19">
        <v>16002</v>
      </c>
      <c r="G515" s="6">
        <v>20</v>
      </c>
      <c r="H515" s="6" t="s">
        <v>2515</v>
      </c>
      <c r="I515" s="8"/>
      <c r="J515" s="38" t="s">
        <v>171</v>
      </c>
      <c r="K515" s="6" t="s">
        <v>177</v>
      </c>
      <c r="L515" s="38" t="s">
        <v>173</v>
      </c>
      <c r="M515" s="2"/>
      <c r="N515" s="8"/>
      <c r="O515" s="112" t="s">
        <v>62</v>
      </c>
      <c r="P515" s="2" t="s">
        <v>62</v>
      </c>
      <c r="Q515" s="6" t="s">
        <v>62</v>
      </c>
      <c r="R515" s="77" t="s">
        <v>62</v>
      </c>
      <c r="S515" s="121"/>
      <c r="T515" s="2"/>
      <c r="U515" s="2"/>
      <c r="V515" s="33"/>
      <c r="W515" s="33" t="s">
        <v>2492</v>
      </c>
      <c r="X515" s="33"/>
      <c r="Y515" s="33"/>
      <c r="Z515"/>
      <c r="AD515"/>
      <c r="AE515"/>
      <c r="AF515"/>
      <c r="AG515"/>
    </row>
    <row r="516" spans="1:33" ht="16.149999999999999" customHeight="1" x14ac:dyDescent="0.15">
      <c r="A516" s="6">
        <v>510</v>
      </c>
      <c r="B516" s="18" t="s">
        <v>75</v>
      </c>
      <c r="C516" s="34" t="s">
        <v>57</v>
      </c>
      <c r="D516" s="43" t="s">
        <v>2493</v>
      </c>
      <c r="E516" s="77" t="s">
        <v>169</v>
      </c>
      <c r="F516" s="19">
        <v>16002</v>
      </c>
      <c r="G516" s="6">
        <v>21</v>
      </c>
      <c r="H516" s="6" t="s">
        <v>2518</v>
      </c>
      <c r="I516" s="8"/>
      <c r="J516" s="38" t="s">
        <v>171</v>
      </c>
      <c r="K516" s="6" t="s">
        <v>177</v>
      </c>
      <c r="L516" s="38" t="s">
        <v>173</v>
      </c>
      <c r="M516" s="2"/>
      <c r="N516" s="8"/>
      <c r="O516" s="112" t="s">
        <v>62</v>
      </c>
      <c r="P516" s="2" t="s">
        <v>62</v>
      </c>
      <c r="Q516" s="6" t="s">
        <v>62</v>
      </c>
      <c r="R516" s="77" t="s">
        <v>62</v>
      </c>
      <c r="S516" s="121"/>
      <c r="T516" s="2"/>
      <c r="U516" s="2"/>
      <c r="V516" s="33"/>
      <c r="W516" s="33" t="s">
        <v>2495</v>
      </c>
      <c r="X516" s="33"/>
      <c r="Y516" s="33"/>
      <c r="Z516"/>
      <c r="AD516"/>
      <c r="AE516"/>
      <c r="AF516"/>
      <c r="AG516"/>
    </row>
    <row r="517" spans="1:33" ht="16.149999999999999" customHeight="1" x14ac:dyDescent="0.15">
      <c r="A517" s="6">
        <v>511</v>
      </c>
      <c r="B517" s="18" t="s">
        <v>75</v>
      </c>
      <c r="C517" s="34" t="s">
        <v>57</v>
      </c>
      <c r="D517" s="43" t="s">
        <v>2496</v>
      </c>
      <c r="E517" s="77" t="s">
        <v>169</v>
      </c>
      <c r="F517" s="19">
        <v>16002</v>
      </c>
      <c r="G517" s="6">
        <v>22</v>
      </c>
      <c r="H517" s="6" t="s">
        <v>2521</v>
      </c>
      <c r="I517" s="8"/>
      <c r="J517" s="38" t="s">
        <v>171</v>
      </c>
      <c r="K517" s="6" t="s">
        <v>177</v>
      </c>
      <c r="L517" s="38" t="s">
        <v>173</v>
      </c>
      <c r="M517" s="2"/>
      <c r="N517" s="8"/>
      <c r="O517" s="112" t="s">
        <v>62</v>
      </c>
      <c r="P517" s="2" t="s">
        <v>62</v>
      </c>
      <c r="Q517" s="6" t="s">
        <v>62</v>
      </c>
      <c r="R517" s="77" t="s">
        <v>62</v>
      </c>
      <c r="S517" s="121"/>
      <c r="T517" s="2"/>
      <c r="U517" s="2"/>
      <c r="V517" s="33"/>
      <c r="W517" s="33" t="s">
        <v>2498</v>
      </c>
      <c r="X517" s="33"/>
      <c r="Y517" s="33"/>
      <c r="Z517"/>
      <c r="AD517"/>
      <c r="AE517"/>
      <c r="AF517"/>
      <c r="AG517"/>
    </row>
    <row r="518" spans="1:33" ht="16.149999999999999" customHeight="1" x14ac:dyDescent="0.15">
      <c r="A518" s="6">
        <v>512</v>
      </c>
      <c r="B518" s="18" t="s">
        <v>75</v>
      </c>
      <c r="C518" s="34" t="s">
        <v>57</v>
      </c>
      <c r="D518" s="43" t="s">
        <v>2499</v>
      </c>
      <c r="E518" s="77" t="s">
        <v>169</v>
      </c>
      <c r="F518" s="19">
        <v>16002</v>
      </c>
      <c r="G518" s="6">
        <v>23</v>
      </c>
      <c r="H518" s="6" t="s">
        <v>2524</v>
      </c>
      <c r="I518" s="8"/>
      <c r="J518" s="38" t="s">
        <v>171</v>
      </c>
      <c r="K518" s="6" t="s">
        <v>177</v>
      </c>
      <c r="L518" s="38" t="s">
        <v>173</v>
      </c>
      <c r="M518" s="2"/>
      <c r="N518" s="8"/>
      <c r="O518" s="112" t="s">
        <v>62</v>
      </c>
      <c r="P518" s="2" t="s">
        <v>62</v>
      </c>
      <c r="Q518" s="6" t="s">
        <v>62</v>
      </c>
      <c r="R518" s="77" t="s">
        <v>62</v>
      </c>
      <c r="S518" s="121"/>
      <c r="T518" s="2"/>
      <c r="U518" s="2"/>
      <c r="V518" s="33"/>
      <c r="W518" s="33" t="s">
        <v>2501</v>
      </c>
      <c r="X518" s="33"/>
      <c r="Y518" s="33"/>
      <c r="Z518"/>
      <c r="AD518"/>
      <c r="AE518"/>
      <c r="AF518"/>
      <c r="AG518"/>
    </row>
    <row r="519" spans="1:33" ht="16.149999999999999" customHeight="1" x14ac:dyDescent="0.15">
      <c r="A519" s="6">
        <v>513</v>
      </c>
      <c r="B519" s="18" t="s">
        <v>75</v>
      </c>
      <c r="C519" s="34" t="s">
        <v>57</v>
      </c>
      <c r="D519" s="43" t="s">
        <v>7296</v>
      </c>
      <c r="E519" s="77" t="s">
        <v>169</v>
      </c>
      <c r="F519" s="19">
        <v>16002</v>
      </c>
      <c r="G519" s="6">
        <v>24</v>
      </c>
      <c r="H519" s="6" t="s">
        <v>2527</v>
      </c>
      <c r="I519" s="8"/>
      <c r="J519" s="38" t="s">
        <v>171</v>
      </c>
      <c r="K519" s="6" t="s">
        <v>177</v>
      </c>
      <c r="L519" s="38" t="s">
        <v>173</v>
      </c>
      <c r="M519" s="2"/>
      <c r="N519" s="8"/>
      <c r="O519" s="112" t="s">
        <v>62</v>
      </c>
      <c r="P519" s="2" t="s">
        <v>62</v>
      </c>
      <c r="Q519" s="6" t="s">
        <v>62</v>
      </c>
      <c r="R519" s="77" t="s">
        <v>62</v>
      </c>
      <c r="S519" s="121"/>
      <c r="T519" s="2"/>
      <c r="U519" s="2"/>
      <c r="V519" s="33"/>
      <c r="W519" s="33" t="s">
        <v>8340</v>
      </c>
      <c r="X519" s="33"/>
      <c r="Y519" s="33"/>
      <c r="Z519"/>
      <c r="AD519"/>
      <c r="AE519"/>
      <c r="AF519"/>
      <c r="AG519"/>
    </row>
    <row r="520" spans="1:33" ht="16.149999999999999" customHeight="1" x14ac:dyDescent="0.15">
      <c r="A520" s="6">
        <v>514</v>
      </c>
      <c r="B520" s="18" t="s">
        <v>75</v>
      </c>
      <c r="C520" s="34" t="s">
        <v>57</v>
      </c>
      <c r="D520" s="43" t="s">
        <v>7297</v>
      </c>
      <c r="E520" s="77" t="s">
        <v>169</v>
      </c>
      <c r="F520" s="19">
        <v>16002</v>
      </c>
      <c r="G520" s="6">
        <v>25</v>
      </c>
      <c r="H520" s="6" t="s">
        <v>2530</v>
      </c>
      <c r="I520" s="8"/>
      <c r="J520" s="38" t="s">
        <v>171</v>
      </c>
      <c r="K520" s="6" t="s">
        <v>177</v>
      </c>
      <c r="L520" s="38" t="s">
        <v>173</v>
      </c>
      <c r="M520" s="2"/>
      <c r="N520" s="8"/>
      <c r="O520" s="112" t="s">
        <v>62</v>
      </c>
      <c r="P520" s="2" t="s">
        <v>62</v>
      </c>
      <c r="Q520" s="6" t="s">
        <v>62</v>
      </c>
      <c r="R520" s="77" t="s">
        <v>62</v>
      </c>
      <c r="S520" s="121"/>
      <c r="T520" s="2"/>
      <c r="U520" s="2"/>
      <c r="V520" s="33"/>
      <c r="W520" s="33" t="s">
        <v>8341</v>
      </c>
      <c r="X520" s="33"/>
      <c r="Y520" s="33"/>
      <c r="Z520"/>
      <c r="AD520"/>
      <c r="AE520"/>
      <c r="AF520"/>
      <c r="AG520"/>
    </row>
    <row r="521" spans="1:33" ht="16.149999999999999" customHeight="1" x14ac:dyDescent="0.15">
      <c r="A521" s="6">
        <v>515</v>
      </c>
      <c r="B521" s="18" t="s">
        <v>75</v>
      </c>
      <c r="C521" s="34" t="s">
        <v>57</v>
      </c>
      <c r="D521" s="43" t="s">
        <v>7298</v>
      </c>
      <c r="E521" s="77" t="s">
        <v>169</v>
      </c>
      <c r="F521" s="19">
        <v>16002</v>
      </c>
      <c r="G521" s="6">
        <v>26</v>
      </c>
      <c r="H521" s="6" t="s">
        <v>2533</v>
      </c>
      <c r="I521" s="8"/>
      <c r="J521" s="38" t="s">
        <v>171</v>
      </c>
      <c r="K521" s="6" t="s">
        <v>177</v>
      </c>
      <c r="L521" s="38" t="s">
        <v>173</v>
      </c>
      <c r="M521" s="2"/>
      <c r="N521" s="8"/>
      <c r="O521" s="112" t="s">
        <v>62</v>
      </c>
      <c r="P521" s="2" t="s">
        <v>62</v>
      </c>
      <c r="Q521" s="6" t="s">
        <v>62</v>
      </c>
      <c r="R521" s="77" t="s">
        <v>62</v>
      </c>
      <c r="S521" s="121"/>
      <c r="T521" s="2"/>
      <c r="U521" s="2"/>
      <c r="V521" s="33"/>
      <c r="W521" s="33" t="s">
        <v>8342</v>
      </c>
      <c r="X521" s="33"/>
      <c r="Y521" s="33"/>
      <c r="Z521"/>
      <c r="AD521"/>
      <c r="AE521"/>
      <c r="AF521"/>
      <c r="AG521"/>
    </row>
    <row r="522" spans="1:33" ht="16.149999999999999" customHeight="1" x14ac:dyDescent="0.15">
      <c r="A522" s="6">
        <v>516</v>
      </c>
      <c r="B522" s="18" t="s">
        <v>75</v>
      </c>
      <c r="C522" s="34" t="s">
        <v>57</v>
      </c>
      <c r="D522" s="43" t="s">
        <v>7299</v>
      </c>
      <c r="E522" s="77" t="s">
        <v>169</v>
      </c>
      <c r="F522" s="19">
        <v>16002</v>
      </c>
      <c r="G522" s="6">
        <v>27</v>
      </c>
      <c r="H522" s="6" t="s">
        <v>2536</v>
      </c>
      <c r="I522" s="8"/>
      <c r="J522" s="38" t="s">
        <v>171</v>
      </c>
      <c r="K522" s="6" t="s">
        <v>177</v>
      </c>
      <c r="L522" s="38" t="s">
        <v>173</v>
      </c>
      <c r="M522" s="2"/>
      <c r="N522" s="8"/>
      <c r="O522" s="112" t="s">
        <v>62</v>
      </c>
      <c r="P522" s="2" t="s">
        <v>62</v>
      </c>
      <c r="Q522" s="6" t="s">
        <v>62</v>
      </c>
      <c r="R522" s="77" t="s">
        <v>62</v>
      </c>
      <c r="S522" s="121"/>
      <c r="T522" s="2"/>
      <c r="U522" s="2"/>
      <c r="V522" s="33"/>
      <c r="W522" s="33" t="s">
        <v>8343</v>
      </c>
      <c r="X522" s="33"/>
      <c r="Y522" s="33"/>
      <c r="Z522"/>
      <c r="AD522"/>
      <c r="AE522"/>
      <c r="AF522"/>
      <c r="AG522"/>
    </row>
    <row r="523" spans="1:33" ht="16.149999999999999" customHeight="1" x14ac:dyDescent="0.15">
      <c r="A523" s="6">
        <v>517</v>
      </c>
      <c r="B523" s="18" t="s">
        <v>75</v>
      </c>
      <c r="C523" s="34" t="s">
        <v>57</v>
      </c>
      <c r="D523" s="43" t="s">
        <v>7300</v>
      </c>
      <c r="E523" s="77" t="s">
        <v>169</v>
      </c>
      <c r="F523" s="19">
        <v>16002</v>
      </c>
      <c r="G523" s="6">
        <v>28</v>
      </c>
      <c r="H523" s="6" t="s">
        <v>2539</v>
      </c>
      <c r="I523" s="8"/>
      <c r="J523" s="38" t="s">
        <v>171</v>
      </c>
      <c r="K523" s="6" t="s">
        <v>177</v>
      </c>
      <c r="L523" s="38" t="s">
        <v>173</v>
      </c>
      <c r="M523" s="2"/>
      <c r="N523" s="8"/>
      <c r="O523" s="112" t="s">
        <v>62</v>
      </c>
      <c r="P523" s="2" t="s">
        <v>62</v>
      </c>
      <c r="Q523" s="6" t="s">
        <v>62</v>
      </c>
      <c r="R523" s="77" t="s">
        <v>62</v>
      </c>
      <c r="S523" s="121"/>
      <c r="T523" s="2"/>
      <c r="U523" s="2"/>
      <c r="V523" s="33"/>
      <c r="W523" s="33" t="s">
        <v>8344</v>
      </c>
      <c r="X523" s="33"/>
      <c r="Y523" s="33"/>
      <c r="Z523"/>
      <c r="AD523"/>
      <c r="AE523"/>
      <c r="AF523"/>
      <c r="AG523"/>
    </row>
    <row r="524" spans="1:33" ht="16.149999999999999" customHeight="1" x14ac:dyDescent="0.15">
      <c r="A524" s="6">
        <v>518</v>
      </c>
      <c r="B524" s="18" t="s">
        <v>75</v>
      </c>
      <c r="C524" s="34" t="s">
        <v>57</v>
      </c>
      <c r="D524" s="43" t="s">
        <v>7301</v>
      </c>
      <c r="E524" s="77" t="s">
        <v>169</v>
      </c>
      <c r="F524" s="19">
        <v>16002</v>
      </c>
      <c r="G524" s="6">
        <v>29</v>
      </c>
      <c r="H524" s="6" t="s">
        <v>2542</v>
      </c>
      <c r="I524" s="8"/>
      <c r="J524" s="38" t="s">
        <v>171</v>
      </c>
      <c r="K524" s="6" t="s">
        <v>177</v>
      </c>
      <c r="L524" s="38" t="s">
        <v>173</v>
      </c>
      <c r="M524" s="2"/>
      <c r="N524" s="8"/>
      <c r="O524" s="112" t="s">
        <v>62</v>
      </c>
      <c r="P524" s="2" t="s">
        <v>62</v>
      </c>
      <c r="Q524" s="6" t="s">
        <v>62</v>
      </c>
      <c r="R524" s="77" t="s">
        <v>62</v>
      </c>
      <c r="S524" s="121"/>
      <c r="T524" s="2"/>
      <c r="U524" s="2"/>
      <c r="V524" s="33"/>
      <c r="W524" s="33" t="s">
        <v>8345</v>
      </c>
      <c r="X524" s="33"/>
      <c r="Y524" s="33"/>
      <c r="Z524"/>
      <c r="AD524"/>
      <c r="AE524"/>
      <c r="AF524"/>
      <c r="AG524"/>
    </row>
    <row r="525" spans="1:33" ht="16.149999999999999" customHeight="1" x14ac:dyDescent="0.15">
      <c r="A525" s="6">
        <v>519</v>
      </c>
      <c r="B525" s="18" t="s">
        <v>75</v>
      </c>
      <c r="C525" s="34" t="s">
        <v>57</v>
      </c>
      <c r="D525" s="43" t="s">
        <v>7302</v>
      </c>
      <c r="E525" s="77" t="s">
        <v>169</v>
      </c>
      <c r="F525" s="19">
        <v>16002</v>
      </c>
      <c r="G525" s="6">
        <v>30</v>
      </c>
      <c r="H525" s="6" t="s">
        <v>2545</v>
      </c>
      <c r="I525" s="8"/>
      <c r="J525" s="38" t="s">
        <v>171</v>
      </c>
      <c r="K525" s="6" t="s">
        <v>177</v>
      </c>
      <c r="L525" s="38" t="s">
        <v>173</v>
      </c>
      <c r="M525" s="2"/>
      <c r="N525" s="8"/>
      <c r="O525" s="112" t="s">
        <v>62</v>
      </c>
      <c r="P525" s="2" t="s">
        <v>62</v>
      </c>
      <c r="Q525" s="6" t="s">
        <v>62</v>
      </c>
      <c r="R525" s="77" t="s">
        <v>62</v>
      </c>
      <c r="S525" s="121"/>
      <c r="T525" s="2"/>
      <c r="U525" s="2"/>
      <c r="V525" s="33"/>
      <c r="W525" s="33" t="s">
        <v>8346</v>
      </c>
      <c r="X525" s="33"/>
      <c r="Y525" s="33"/>
      <c r="Z525"/>
      <c r="AD525"/>
      <c r="AE525"/>
      <c r="AF525"/>
      <c r="AG525"/>
    </row>
    <row r="526" spans="1:33" ht="16.149999999999999" customHeight="1" x14ac:dyDescent="0.15">
      <c r="A526" s="6">
        <v>520</v>
      </c>
      <c r="B526" s="18" t="s">
        <v>75</v>
      </c>
      <c r="C526" s="34" t="s">
        <v>57</v>
      </c>
      <c r="D526" s="43" t="s">
        <v>7303</v>
      </c>
      <c r="E526" s="77" t="s">
        <v>169</v>
      </c>
      <c r="F526" s="19">
        <v>16002</v>
      </c>
      <c r="G526" s="6">
        <v>31</v>
      </c>
      <c r="H526" s="6" t="s">
        <v>2548</v>
      </c>
      <c r="I526" s="8"/>
      <c r="J526" s="38" t="s">
        <v>171</v>
      </c>
      <c r="K526" s="6" t="s">
        <v>177</v>
      </c>
      <c r="L526" s="38" t="s">
        <v>173</v>
      </c>
      <c r="M526" s="2"/>
      <c r="N526" s="8"/>
      <c r="O526" s="112" t="s">
        <v>62</v>
      </c>
      <c r="P526" s="2" t="s">
        <v>62</v>
      </c>
      <c r="Q526" s="6" t="s">
        <v>62</v>
      </c>
      <c r="R526" s="77" t="s">
        <v>62</v>
      </c>
      <c r="S526" s="121"/>
      <c r="T526" s="2"/>
      <c r="U526" s="2"/>
      <c r="V526" s="33"/>
      <c r="W526" s="33" t="s">
        <v>8347</v>
      </c>
      <c r="X526" s="33"/>
      <c r="Y526" s="33"/>
      <c r="Z526"/>
      <c r="AD526"/>
      <c r="AE526"/>
      <c r="AF526"/>
      <c r="AG526"/>
    </row>
    <row r="527" spans="1:33" ht="16.149999999999999" customHeight="1" x14ac:dyDescent="0.15">
      <c r="A527" s="6">
        <v>521</v>
      </c>
      <c r="B527" s="18" t="s">
        <v>75</v>
      </c>
      <c r="C527" s="34" t="s">
        <v>57</v>
      </c>
      <c r="D527" s="15" t="s">
        <v>2550</v>
      </c>
      <c r="E527" s="34" t="s">
        <v>77</v>
      </c>
      <c r="F527" s="19">
        <v>16004</v>
      </c>
      <c r="G527" s="6"/>
      <c r="H527" s="6" t="s">
        <v>2551</v>
      </c>
      <c r="I527" s="33"/>
      <c r="J527" s="38"/>
      <c r="K527" s="6"/>
      <c r="L527" s="38"/>
      <c r="M527" s="6" t="s">
        <v>2311</v>
      </c>
      <c r="N527" s="19">
        <v>1</v>
      </c>
      <c r="O527" s="76">
        <v>0</v>
      </c>
      <c r="P527" s="6">
        <v>65535</v>
      </c>
      <c r="Q527" s="6">
        <v>0</v>
      </c>
      <c r="R527" s="6">
        <v>65535</v>
      </c>
      <c r="S527" s="121"/>
      <c r="T527" s="2"/>
      <c r="U527" s="2"/>
      <c r="V527" s="8"/>
      <c r="W527" s="77" t="s">
        <v>2552</v>
      </c>
      <c r="X527" s="8"/>
      <c r="Y527" s="2"/>
      <c r="Z527"/>
      <c r="AD527"/>
      <c r="AE527"/>
      <c r="AF527"/>
      <c r="AG527"/>
    </row>
    <row r="528" spans="1:33" ht="16.149999999999999" customHeight="1" x14ac:dyDescent="0.15">
      <c r="A528" s="6">
        <v>522</v>
      </c>
      <c r="B528" s="18" t="s">
        <v>75</v>
      </c>
      <c r="C528" s="34" t="s">
        <v>57</v>
      </c>
      <c r="D528" s="15" t="s">
        <v>2553</v>
      </c>
      <c r="E528" s="34" t="s">
        <v>77</v>
      </c>
      <c r="F528" s="19">
        <v>16005</v>
      </c>
      <c r="G528" s="6"/>
      <c r="H528" s="6" t="s">
        <v>2554</v>
      </c>
      <c r="I528" s="33"/>
      <c r="J528" s="38"/>
      <c r="K528" s="6"/>
      <c r="L528" s="38"/>
      <c r="M528" s="6" t="s">
        <v>2311</v>
      </c>
      <c r="N528" s="19">
        <v>1</v>
      </c>
      <c r="O528" s="76">
        <v>0</v>
      </c>
      <c r="P528" s="6">
        <v>65535</v>
      </c>
      <c r="Q528" s="6">
        <v>0</v>
      </c>
      <c r="R528" s="6">
        <v>65535</v>
      </c>
      <c r="S528" s="121"/>
      <c r="T528" s="2"/>
      <c r="U528" s="2"/>
      <c r="V528" s="8"/>
      <c r="W528" s="77" t="s">
        <v>2555</v>
      </c>
      <c r="X528" s="8"/>
      <c r="Y528" s="2"/>
      <c r="Z528"/>
      <c r="AD528"/>
      <c r="AE528"/>
      <c r="AF528"/>
      <c r="AG528"/>
    </row>
    <row r="529" spans="1:33" ht="16.149999999999999" customHeight="1" x14ac:dyDescent="0.15">
      <c r="A529" s="6">
        <v>523</v>
      </c>
      <c r="B529" s="18" t="s">
        <v>75</v>
      </c>
      <c r="C529" s="34" t="s">
        <v>57</v>
      </c>
      <c r="D529" s="15" t="s">
        <v>2556</v>
      </c>
      <c r="E529" s="34" t="s">
        <v>77</v>
      </c>
      <c r="F529" s="19">
        <v>16006</v>
      </c>
      <c r="G529" s="6"/>
      <c r="H529" s="6" t="s">
        <v>2557</v>
      </c>
      <c r="I529" s="33"/>
      <c r="J529" s="38"/>
      <c r="K529" s="6"/>
      <c r="L529" s="38"/>
      <c r="M529" s="6" t="s">
        <v>2311</v>
      </c>
      <c r="N529" s="19">
        <v>1</v>
      </c>
      <c r="O529" s="76">
        <v>0</v>
      </c>
      <c r="P529" s="6">
        <v>65535</v>
      </c>
      <c r="Q529" s="6">
        <v>0</v>
      </c>
      <c r="R529" s="6">
        <v>65535</v>
      </c>
      <c r="S529" s="121"/>
      <c r="T529" s="2"/>
      <c r="U529" s="2"/>
      <c r="V529" s="8"/>
      <c r="W529" s="77" t="s">
        <v>2558</v>
      </c>
      <c r="X529" s="8"/>
      <c r="Y529" s="2"/>
      <c r="Z529"/>
      <c r="AD529"/>
      <c r="AE529"/>
      <c r="AF529"/>
      <c r="AG529"/>
    </row>
    <row r="530" spans="1:33" ht="16.149999999999999" customHeight="1" x14ac:dyDescent="0.15">
      <c r="A530" s="6">
        <v>524</v>
      </c>
      <c r="B530" s="18" t="s">
        <v>75</v>
      </c>
      <c r="C530" s="34" t="s">
        <v>57</v>
      </c>
      <c r="D530" s="15" t="s">
        <v>2559</v>
      </c>
      <c r="E530" s="34" t="s">
        <v>77</v>
      </c>
      <c r="F530" s="19">
        <v>16007</v>
      </c>
      <c r="G530" s="6"/>
      <c r="H530" s="6" t="s">
        <v>2560</v>
      </c>
      <c r="I530" s="33"/>
      <c r="J530" s="38"/>
      <c r="K530" s="6"/>
      <c r="L530" s="38"/>
      <c r="M530" s="6" t="s">
        <v>2311</v>
      </c>
      <c r="N530" s="19">
        <v>1</v>
      </c>
      <c r="O530" s="76">
        <v>0</v>
      </c>
      <c r="P530" s="6">
        <v>65535</v>
      </c>
      <c r="Q530" s="6">
        <v>0</v>
      </c>
      <c r="R530" s="6">
        <v>65535</v>
      </c>
      <c r="S530" s="121"/>
      <c r="T530" s="2"/>
      <c r="U530" s="2"/>
      <c r="V530" s="8"/>
      <c r="W530" s="77" t="s">
        <v>2561</v>
      </c>
      <c r="X530" s="8"/>
      <c r="Y530" s="2"/>
      <c r="Z530"/>
      <c r="AD530"/>
      <c r="AE530"/>
      <c r="AF530"/>
      <c r="AG530"/>
    </row>
    <row r="531" spans="1:33" ht="16.149999999999999" customHeight="1" x14ac:dyDescent="0.15">
      <c r="A531" s="6">
        <v>525</v>
      </c>
      <c r="B531" s="18" t="s">
        <v>75</v>
      </c>
      <c r="C531" s="34" t="s">
        <v>57</v>
      </c>
      <c r="D531" s="15" t="s">
        <v>2562</v>
      </c>
      <c r="E531" s="34" t="s">
        <v>77</v>
      </c>
      <c r="F531" s="19">
        <v>16008</v>
      </c>
      <c r="G531" s="6"/>
      <c r="H531" s="6" t="s">
        <v>2563</v>
      </c>
      <c r="I531" s="33"/>
      <c r="J531" s="38"/>
      <c r="K531" s="6"/>
      <c r="L531" s="38"/>
      <c r="M531" s="6" t="s">
        <v>2311</v>
      </c>
      <c r="N531" s="19">
        <v>1</v>
      </c>
      <c r="O531" s="76">
        <v>0</v>
      </c>
      <c r="P531" s="6">
        <v>65535</v>
      </c>
      <c r="Q531" s="6">
        <v>0</v>
      </c>
      <c r="R531" s="6">
        <v>65535</v>
      </c>
      <c r="S531" s="121"/>
      <c r="T531" s="2"/>
      <c r="U531" s="2"/>
      <c r="V531" s="8"/>
      <c r="W531" s="77" t="s">
        <v>2564</v>
      </c>
      <c r="X531" s="8"/>
      <c r="Y531" s="2"/>
      <c r="Z531"/>
      <c r="AD531"/>
      <c r="AE531"/>
      <c r="AF531"/>
      <c r="AG531"/>
    </row>
    <row r="532" spans="1:33" ht="16.149999999999999" customHeight="1" x14ac:dyDescent="0.15">
      <c r="A532" s="6">
        <v>526</v>
      </c>
      <c r="B532" s="18" t="s">
        <v>75</v>
      </c>
      <c r="C532" s="34" t="s">
        <v>57</v>
      </c>
      <c r="D532" s="15" t="s">
        <v>2565</v>
      </c>
      <c r="E532" s="34" t="s">
        <v>77</v>
      </c>
      <c r="F532" s="19">
        <v>16009</v>
      </c>
      <c r="G532" s="6"/>
      <c r="H532" s="6" t="s">
        <v>2566</v>
      </c>
      <c r="I532" s="33"/>
      <c r="J532" s="38"/>
      <c r="K532" s="6"/>
      <c r="L532" s="38"/>
      <c r="M532" s="6" t="s">
        <v>2311</v>
      </c>
      <c r="N532" s="19">
        <v>1</v>
      </c>
      <c r="O532" s="76">
        <v>0</v>
      </c>
      <c r="P532" s="6">
        <v>65535</v>
      </c>
      <c r="Q532" s="6">
        <v>0</v>
      </c>
      <c r="R532" s="6">
        <v>65535</v>
      </c>
      <c r="S532" s="121"/>
      <c r="T532" s="2"/>
      <c r="U532" s="2"/>
      <c r="V532" s="8"/>
      <c r="W532" s="77" t="s">
        <v>2567</v>
      </c>
      <c r="X532" s="8"/>
      <c r="Y532" s="2"/>
      <c r="Z532"/>
      <c r="AD532"/>
      <c r="AE532"/>
      <c r="AF532"/>
      <c r="AG532"/>
    </row>
    <row r="533" spans="1:33" ht="16.149999999999999" customHeight="1" x14ac:dyDescent="0.15">
      <c r="A533" s="6">
        <v>527</v>
      </c>
      <c r="B533" s="18" t="s">
        <v>75</v>
      </c>
      <c r="C533" s="34" t="s">
        <v>57</v>
      </c>
      <c r="D533" s="15" t="s">
        <v>2568</v>
      </c>
      <c r="E533" s="34" t="s">
        <v>77</v>
      </c>
      <c r="F533" s="19">
        <v>16010</v>
      </c>
      <c r="G533" s="6"/>
      <c r="H533" s="6" t="s">
        <v>2569</v>
      </c>
      <c r="I533" s="33"/>
      <c r="J533" s="38"/>
      <c r="K533" s="6"/>
      <c r="L533" s="38"/>
      <c r="M533" s="6" t="s">
        <v>2311</v>
      </c>
      <c r="N533" s="19">
        <v>1</v>
      </c>
      <c r="O533" s="76">
        <v>0</v>
      </c>
      <c r="P533" s="6">
        <v>65535</v>
      </c>
      <c r="Q533" s="6">
        <v>0</v>
      </c>
      <c r="R533" s="6">
        <v>65535</v>
      </c>
      <c r="S533" s="121"/>
      <c r="T533" s="2"/>
      <c r="U533" s="2"/>
      <c r="V533" s="8"/>
      <c r="W533" s="77" t="s">
        <v>2570</v>
      </c>
      <c r="X533" s="8"/>
      <c r="Y533" s="2"/>
      <c r="Z533"/>
      <c r="AD533"/>
      <c r="AE533"/>
      <c r="AF533"/>
      <c r="AG533"/>
    </row>
    <row r="534" spans="1:33" ht="16.149999999999999" customHeight="1" x14ac:dyDescent="0.15">
      <c r="A534" s="6">
        <v>528</v>
      </c>
      <c r="B534" s="18" t="s">
        <v>75</v>
      </c>
      <c r="C534" s="34" t="s">
        <v>57</v>
      </c>
      <c r="D534" s="15" t="s">
        <v>7304</v>
      </c>
      <c r="E534" s="34" t="s">
        <v>77</v>
      </c>
      <c r="F534" s="19">
        <v>16011</v>
      </c>
      <c r="G534" s="103"/>
      <c r="H534" s="6" t="s">
        <v>8150</v>
      </c>
      <c r="I534" s="119"/>
      <c r="J534" s="105"/>
      <c r="K534" s="103"/>
      <c r="L534" s="38"/>
      <c r="M534" s="6" t="s">
        <v>2311</v>
      </c>
      <c r="N534" s="19">
        <v>1</v>
      </c>
      <c r="O534" s="106">
        <v>0</v>
      </c>
      <c r="P534" s="103">
        <v>65535</v>
      </c>
      <c r="Q534" s="103">
        <v>0</v>
      </c>
      <c r="R534" s="107">
        <v>65535</v>
      </c>
      <c r="S534" s="120"/>
      <c r="T534" s="104"/>
      <c r="U534" s="104"/>
      <c r="V534" s="109"/>
      <c r="W534" s="111" t="s">
        <v>8348</v>
      </c>
      <c r="X534" s="109"/>
      <c r="Y534" s="104"/>
      <c r="Z534"/>
      <c r="AD534"/>
      <c r="AE534"/>
      <c r="AF534"/>
      <c r="AG534"/>
    </row>
    <row r="535" spans="1:33" ht="16.149999999999999" customHeight="1" x14ac:dyDescent="0.15">
      <c r="A535" s="6">
        <v>529</v>
      </c>
      <c r="B535" s="18" t="s">
        <v>75</v>
      </c>
      <c r="C535" s="34" t="s">
        <v>57</v>
      </c>
      <c r="D535" s="15" t="s">
        <v>7305</v>
      </c>
      <c r="E535" s="34" t="s">
        <v>77</v>
      </c>
      <c r="F535" s="19">
        <v>16012</v>
      </c>
      <c r="G535" s="103"/>
      <c r="H535" s="6" t="s">
        <v>8151</v>
      </c>
      <c r="I535" s="119"/>
      <c r="J535" s="105"/>
      <c r="K535" s="103"/>
      <c r="L535" s="38"/>
      <c r="M535" s="6" t="s">
        <v>2311</v>
      </c>
      <c r="N535" s="19">
        <v>1</v>
      </c>
      <c r="O535" s="106">
        <v>0</v>
      </c>
      <c r="P535" s="103">
        <v>65535</v>
      </c>
      <c r="Q535" s="103">
        <v>0</v>
      </c>
      <c r="R535" s="107">
        <v>65535</v>
      </c>
      <c r="S535" s="120"/>
      <c r="T535" s="104"/>
      <c r="U535" s="104"/>
      <c r="V535" s="109"/>
      <c r="W535" s="111" t="s">
        <v>8349</v>
      </c>
      <c r="X535" s="109"/>
      <c r="Y535" s="104"/>
      <c r="Z535"/>
      <c r="AD535"/>
      <c r="AE535"/>
      <c r="AF535"/>
      <c r="AG535"/>
    </row>
    <row r="536" spans="1:33" ht="16.149999999999999" customHeight="1" x14ac:dyDescent="0.15">
      <c r="A536" s="6">
        <v>530</v>
      </c>
      <c r="B536" s="18" t="s">
        <v>75</v>
      </c>
      <c r="C536" s="34" t="s">
        <v>57</v>
      </c>
      <c r="D536" s="15" t="s">
        <v>7306</v>
      </c>
      <c r="E536" s="34" t="s">
        <v>77</v>
      </c>
      <c r="F536" s="19">
        <v>16013</v>
      </c>
      <c r="G536" s="103"/>
      <c r="H536" s="6" t="s">
        <v>8152</v>
      </c>
      <c r="I536" s="119"/>
      <c r="J536" s="105"/>
      <c r="K536" s="103"/>
      <c r="L536" s="38"/>
      <c r="M536" s="6" t="s">
        <v>2311</v>
      </c>
      <c r="N536" s="19">
        <v>1</v>
      </c>
      <c r="O536" s="106">
        <v>0</v>
      </c>
      <c r="P536" s="103">
        <v>65535</v>
      </c>
      <c r="Q536" s="103">
        <v>0</v>
      </c>
      <c r="R536" s="107">
        <v>65535</v>
      </c>
      <c r="S536" s="120"/>
      <c r="T536" s="104"/>
      <c r="U536" s="104"/>
      <c r="V536" s="109"/>
      <c r="W536" s="111" t="s">
        <v>8350</v>
      </c>
      <c r="X536" s="109"/>
      <c r="Y536" s="104"/>
      <c r="Z536"/>
      <c r="AD536"/>
      <c r="AE536"/>
      <c r="AF536"/>
      <c r="AG536"/>
    </row>
    <row r="537" spans="1:33" ht="16.149999999999999" customHeight="1" x14ac:dyDescent="0.15">
      <c r="A537" s="6">
        <v>531</v>
      </c>
      <c r="B537" s="18" t="s">
        <v>75</v>
      </c>
      <c r="C537" s="34" t="s">
        <v>57</v>
      </c>
      <c r="D537" s="15" t="s">
        <v>7307</v>
      </c>
      <c r="E537" s="34" t="s">
        <v>77</v>
      </c>
      <c r="F537" s="19">
        <v>16014</v>
      </c>
      <c r="G537" s="103"/>
      <c r="H537" s="6" t="s">
        <v>8153</v>
      </c>
      <c r="I537" s="119"/>
      <c r="J537" s="105"/>
      <c r="K537" s="103"/>
      <c r="L537" s="38"/>
      <c r="M537" s="6" t="s">
        <v>2311</v>
      </c>
      <c r="N537" s="19">
        <v>1</v>
      </c>
      <c r="O537" s="106">
        <v>0</v>
      </c>
      <c r="P537" s="103">
        <v>65535</v>
      </c>
      <c r="Q537" s="103">
        <v>0</v>
      </c>
      <c r="R537" s="107">
        <v>65535</v>
      </c>
      <c r="S537" s="120"/>
      <c r="T537" s="104"/>
      <c r="U537" s="104"/>
      <c r="V537" s="109"/>
      <c r="W537" s="111" t="s">
        <v>8351</v>
      </c>
      <c r="X537" s="109"/>
      <c r="Y537" s="104"/>
      <c r="Z537"/>
      <c r="AD537"/>
      <c r="AE537"/>
      <c r="AF537"/>
      <c r="AG537"/>
    </row>
    <row r="538" spans="1:33" ht="16.149999999999999" customHeight="1" x14ac:dyDescent="0.15">
      <c r="A538" s="6">
        <v>532</v>
      </c>
      <c r="B538" s="18" t="s">
        <v>75</v>
      </c>
      <c r="C538" s="34" t="s">
        <v>57</v>
      </c>
      <c r="D538" s="15" t="s">
        <v>7308</v>
      </c>
      <c r="E538" s="34" t="s">
        <v>77</v>
      </c>
      <c r="F538" s="19">
        <v>16015</v>
      </c>
      <c r="G538" s="103"/>
      <c r="H538" s="6" t="s">
        <v>8154</v>
      </c>
      <c r="I538" s="119"/>
      <c r="J538" s="105"/>
      <c r="K538" s="103"/>
      <c r="L538" s="38"/>
      <c r="M538" s="6" t="s">
        <v>2311</v>
      </c>
      <c r="N538" s="19">
        <v>1</v>
      </c>
      <c r="O538" s="106">
        <v>0</v>
      </c>
      <c r="P538" s="103">
        <v>65535</v>
      </c>
      <c r="Q538" s="103">
        <v>0</v>
      </c>
      <c r="R538" s="107">
        <v>65535</v>
      </c>
      <c r="S538" s="120"/>
      <c r="T538" s="104"/>
      <c r="U538" s="104"/>
      <c r="V538" s="109"/>
      <c r="W538" s="111" t="s">
        <v>8352</v>
      </c>
      <c r="X538" s="109"/>
      <c r="Y538" s="104"/>
      <c r="Z538"/>
      <c r="AD538"/>
      <c r="AE538"/>
      <c r="AF538"/>
      <c r="AG538"/>
    </row>
    <row r="539" spans="1:33" ht="16.149999999999999" customHeight="1" x14ac:dyDescent="0.15">
      <c r="A539" s="6">
        <v>533</v>
      </c>
      <c r="B539" s="18" t="s">
        <v>75</v>
      </c>
      <c r="C539" s="34" t="s">
        <v>57</v>
      </c>
      <c r="D539" s="15" t="s">
        <v>7309</v>
      </c>
      <c r="E539" s="34" t="s">
        <v>77</v>
      </c>
      <c r="F539" s="19">
        <v>16016</v>
      </c>
      <c r="G539" s="103"/>
      <c r="H539" s="6" t="s">
        <v>8155</v>
      </c>
      <c r="I539" s="119"/>
      <c r="J539" s="105"/>
      <c r="K539" s="103"/>
      <c r="L539" s="38"/>
      <c r="M539" s="6" t="s">
        <v>2311</v>
      </c>
      <c r="N539" s="19">
        <v>1</v>
      </c>
      <c r="O539" s="106">
        <v>0</v>
      </c>
      <c r="P539" s="103">
        <v>65535</v>
      </c>
      <c r="Q539" s="103">
        <v>0</v>
      </c>
      <c r="R539" s="107">
        <v>65535</v>
      </c>
      <c r="S539" s="120"/>
      <c r="T539" s="104"/>
      <c r="U539" s="104"/>
      <c r="V539" s="109"/>
      <c r="W539" s="111" t="s">
        <v>8353</v>
      </c>
      <c r="X539" s="109"/>
      <c r="Y539" s="104"/>
      <c r="Z539"/>
      <c r="AD539"/>
      <c r="AE539"/>
      <c r="AF539"/>
      <c r="AG539"/>
    </row>
    <row r="540" spans="1:33" ht="16.149999999999999" customHeight="1" x14ac:dyDescent="0.15">
      <c r="A540" s="6">
        <v>534</v>
      </c>
      <c r="B540" s="18" t="s">
        <v>75</v>
      </c>
      <c r="C540" s="34" t="s">
        <v>57</v>
      </c>
      <c r="D540" s="15" t="s">
        <v>7310</v>
      </c>
      <c r="E540" s="34" t="s">
        <v>77</v>
      </c>
      <c r="F540" s="19">
        <v>16017</v>
      </c>
      <c r="G540" s="103"/>
      <c r="H540" s="6" t="s">
        <v>8156</v>
      </c>
      <c r="I540" s="119"/>
      <c r="J540" s="105"/>
      <c r="K540" s="103"/>
      <c r="L540" s="38"/>
      <c r="M540" s="6" t="s">
        <v>2311</v>
      </c>
      <c r="N540" s="19">
        <v>1</v>
      </c>
      <c r="O540" s="106">
        <v>0</v>
      </c>
      <c r="P540" s="103">
        <v>65535</v>
      </c>
      <c r="Q540" s="103">
        <v>0</v>
      </c>
      <c r="R540" s="107">
        <v>65535</v>
      </c>
      <c r="S540" s="120"/>
      <c r="T540" s="104"/>
      <c r="U540" s="104"/>
      <c r="V540" s="109"/>
      <c r="W540" s="111" t="s">
        <v>8354</v>
      </c>
      <c r="X540" s="109"/>
      <c r="Y540" s="104"/>
      <c r="Z540"/>
      <c r="AD540"/>
      <c r="AE540"/>
      <c r="AF540"/>
      <c r="AG540"/>
    </row>
    <row r="541" spans="1:33" ht="16.149999999999999" customHeight="1" x14ac:dyDescent="0.15">
      <c r="A541" s="6">
        <v>535</v>
      </c>
      <c r="B541" s="18" t="s">
        <v>75</v>
      </c>
      <c r="C541" s="34" t="s">
        <v>57</v>
      </c>
      <c r="D541" s="15" t="s">
        <v>7311</v>
      </c>
      <c r="E541" s="34" t="s">
        <v>77</v>
      </c>
      <c r="F541" s="19">
        <v>16018</v>
      </c>
      <c r="G541" s="103"/>
      <c r="H541" s="6" t="s">
        <v>8157</v>
      </c>
      <c r="I541" s="119"/>
      <c r="J541" s="105"/>
      <c r="K541" s="103"/>
      <c r="L541" s="38"/>
      <c r="M541" s="6" t="s">
        <v>2311</v>
      </c>
      <c r="N541" s="19">
        <v>1</v>
      </c>
      <c r="O541" s="106">
        <v>0</v>
      </c>
      <c r="P541" s="103">
        <v>65535</v>
      </c>
      <c r="Q541" s="103">
        <v>0</v>
      </c>
      <c r="R541" s="107">
        <v>65535</v>
      </c>
      <c r="S541" s="120"/>
      <c r="T541" s="104"/>
      <c r="U541" s="104"/>
      <c r="V541" s="109"/>
      <c r="W541" s="111" t="s">
        <v>8355</v>
      </c>
      <c r="X541" s="109"/>
      <c r="Y541" s="104"/>
      <c r="Z541"/>
      <c r="AD541"/>
      <c r="AE541"/>
      <c r="AF541"/>
      <c r="AG541"/>
    </row>
    <row r="542" spans="1:33" ht="16.149999999999999" customHeight="1" x14ac:dyDescent="0.15">
      <c r="A542" s="6">
        <v>536</v>
      </c>
      <c r="B542" s="18" t="s">
        <v>75</v>
      </c>
      <c r="C542" s="34" t="s">
        <v>57</v>
      </c>
      <c r="D542" s="15" t="s">
        <v>7312</v>
      </c>
      <c r="E542" s="34" t="s">
        <v>77</v>
      </c>
      <c r="F542" s="19">
        <v>16019</v>
      </c>
      <c r="G542" s="103"/>
      <c r="H542" s="6" t="s">
        <v>8158</v>
      </c>
      <c r="I542" s="119"/>
      <c r="J542" s="105"/>
      <c r="K542" s="103"/>
      <c r="L542" s="38"/>
      <c r="M542" s="6" t="s">
        <v>2311</v>
      </c>
      <c r="N542" s="19">
        <v>1</v>
      </c>
      <c r="O542" s="106">
        <v>0</v>
      </c>
      <c r="P542" s="103">
        <v>65535</v>
      </c>
      <c r="Q542" s="103">
        <v>0</v>
      </c>
      <c r="R542" s="107">
        <v>65535</v>
      </c>
      <c r="S542" s="120"/>
      <c r="T542" s="104"/>
      <c r="U542" s="104"/>
      <c r="V542" s="109"/>
      <c r="W542" s="111" t="s">
        <v>8356</v>
      </c>
      <c r="X542" s="109"/>
      <c r="Y542" s="104"/>
      <c r="Z542"/>
      <c r="AD542"/>
      <c r="AE542"/>
      <c r="AF542"/>
      <c r="AG542"/>
    </row>
    <row r="543" spans="1:33" ht="16.149999999999999" customHeight="1" x14ac:dyDescent="0.15">
      <c r="A543" s="6">
        <v>537</v>
      </c>
      <c r="B543" s="18" t="s">
        <v>75</v>
      </c>
      <c r="C543" s="34" t="s">
        <v>57</v>
      </c>
      <c r="D543" s="15" t="s">
        <v>2571</v>
      </c>
      <c r="E543" s="34" t="s">
        <v>77</v>
      </c>
      <c r="F543" s="19">
        <v>16020</v>
      </c>
      <c r="G543" s="103"/>
      <c r="H543" s="6" t="s">
        <v>2572</v>
      </c>
      <c r="I543" s="119"/>
      <c r="J543" s="105"/>
      <c r="K543" s="103"/>
      <c r="L543" s="38"/>
      <c r="M543" s="6" t="s">
        <v>2311</v>
      </c>
      <c r="N543" s="19">
        <v>1</v>
      </c>
      <c r="O543" s="106">
        <v>0</v>
      </c>
      <c r="P543" s="103">
        <v>65535</v>
      </c>
      <c r="Q543" s="103">
        <v>0</v>
      </c>
      <c r="R543" s="107">
        <v>65535</v>
      </c>
      <c r="S543" s="120"/>
      <c r="T543" s="104"/>
      <c r="U543" s="104"/>
      <c r="V543" s="109"/>
      <c r="W543" s="111" t="s">
        <v>2573</v>
      </c>
      <c r="X543" s="109"/>
      <c r="Y543" s="104"/>
      <c r="Z543"/>
      <c r="AD543"/>
      <c r="AE543"/>
      <c r="AF543"/>
      <c r="AG543"/>
    </row>
    <row r="544" spans="1:33" ht="16.149999999999999" customHeight="1" x14ac:dyDescent="0.15">
      <c r="A544" s="6">
        <v>538</v>
      </c>
      <c r="B544" s="18" t="s">
        <v>75</v>
      </c>
      <c r="C544" s="34" t="s">
        <v>57</v>
      </c>
      <c r="D544" s="15" t="s">
        <v>2574</v>
      </c>
      <c r="E544" s="34" t="s">
        <v>77</v>
      </c>
      <c r="F544" s="19">
        <v>16021</v>
      </c>
      <c r="G544" s="6"/>
      <c r="H544" s="6" t="s">
        <v>2575</v>
      </c>
      <c r="I544" s="33"/>
      <c r="J544" s="38"/>
      <c r="K544" s="6"/>
      <c r="L544" s="38"/>
      <c r="M544" s="6" t="s">
        <v>2311</v>
      </c>
      <c r="N544" s="19">
        <v>1</v>
      </c>
      <c r="O544" s="76">
        <v>0</v>
      </c>
      <c r="P544" s="6">
        <v>65535</v>
      </c>
      <c r="Q544" s="6">
        <v>0</v>
      </c>
      <c r="R544" s="6">
        <v>65535</v>
      </c>
      <c r="S544" s="121"/>
      <c r="T544" s="2"/>
      <c r="U544" s="2"/>
      <c r="V544" s="8"/>
      <c r="W544" s="77" t="s">
        <v>2576</v>
      </c>
      <c r="X544" s="8"/>
      <c r="Y544" s="2"/>
      <c r="Z544"/>
      <c r="AD544"/>
      <c r="AE544"/>
      <c r="AF544"/>
      <c r="AG544"/>
    </row>
    <row r="545" spans="1:33" ht="16.149999999999999" customHeight="1" x14ac:dyDescent="0.15">
      <c r="A545" s="6">
        <v>539</v>
      </c>
      <c r="B545" s="18" t="s">
        <v>75</v>
      </c>
      <c r="C545" s="34" t="s">
        <v>57</v>
      </c>
      <c r="D545" s="15" t="s">
        <v>2577</v>
      </c>
      <c r="E545" s="34" t="s">
        <v>77</v>
      </c>
      <c r="F545" s="19">
        <v>16022</v>
      </c>
      <c r="G545" s="6"/>
      <c r="H545" s="6" t="s">
        <v>2578</v>
      </c>
      <c r="I545" s="33"/>
      <c r="J545" s="38"/>
      <c r="K545" s="6"/>
      <c r="L545" s="38"/>
      <c r="M545" s="6" t="s">
        <v>2311</v>
      </c>
      <c r="N545" s="19">
        <v>1</v>
      </c>
      <c r="O545" s="76">
        <v>0</v>
      </c>
      <c r="P545" s="6">
        <v>65535</v>
      </c>
      <c r="Q545" s="6">
        <v>0</v>
      </c>
      <c r="R545" s="6">
        <v>65535</v>
      </c>
      <c r="S545" s="121"/>
      <c r="T545" s="2"/>
      <c r="U545" s="2"/>
      <c r="V545" s="8"/>
      <c r="W545" s="77" t="s">
        <v>2579</v>
      </c>
      <c r="X545" s="8"/>
      <c r="Y545" s="2"/>
      <c r="Z545"/>
      <c r="AD545"/>
      <c r="AE545"/>
      <c r="AF545"/>
      <c r="AG545"/>
    </row>
    <row r="546" spans="1:33" ht="16.149999999999999" customHeight="1" x14ac:dyDescent="0.15">
      <c r="A546" s="6">
        <v>540</v>
      </c>
      <c r="B546" s="18" t="s">
        <v>75</v>
      </c>
      <c r="C546" s="34" t="s">
        <v>57</v>
      </c>
      <c r="D546" s="15" t="s">
        <v>2580</v>
      </c>
      <c r="E546" s="34" t="s">
        <v>77</v>
      </c>
      <c r="F546" s="19">
        <v>16023</v>
      </c>
      <c r="G546" s="6"/>
      <c r="H546" s="6" t="s">
        <v>2581</v>
      </c>
      <c r="I546" s="33"/>
      <c r="J546" s="38"/>
      <c r="K546" s="6"/>
      <c r="L546" s="38"/>
      <c r="M546" s="6" t="s">
        <v>2311</v>
      </c>
      <c r="N546" s="19">
        <v>1</v>
      </c>
      <c r="O546" s="76">
        <v>0</v>
      </c>
      <c r="P546" s="6">
        <v>65535</v>
      </c>
      <c r="Q546" s="6">
        <v>0</v>
      </c>
      <c r="R546" s="6">
        <v>65535</v>
      </c>
      <c r="S546" s="121"/>
      <c r="T546" s="2"/>
      <c r="U546" s="2"/>
      <c r="V546" s="8"/>
      <c r="W546" s="77" t="s">
        <v>2582</v>
      </c>
      <c r="X546" s="8"/>
      <c r="Y546" s="2"/>
      <c r="Z546"/>
      <c r="AD546"/>
      <c r="AE546"/>
      <c r="AF546"/>
      <c r="AG546"/>
    </row>
    <row r="547" spans="1:33" ht="16.149999999999999" customHeight="1" x14ac:dyDescent="0.15">
      <c r="A547" s="6">
        <v>541</v>
      </c>
      <c r="B547" s="18" t="s">
        <v>75</v>
      </c>
      <c r="C547" s="34" t="s">
        <v>57</v>
      </c>
      <c r="D547" s="15" t="s">
        <v>2583</v>
      </c>
      <c r="E547" s="34" t="s">
        <v>77</v>
      </c>
      <c r="F547" s="19">
        <v>16024</v>
      </c>
      <c r="G547" s="6"/>
      <c r="H547" s="6" t="s">
        <v>2584</v>
      </c>
      <c r="I547" s="33"/>
      <c r="J547" s="38"/>
      <c r="K547" s="6"/>
      <c r="L547" s="38"/>
      <c r="M547" s="6" t="s">
        <v>2311</v>
      </c>
      <c r="N547" s="19">
        <v>1</v>
      </c>
      <c r="O547" s="76">
        <v>0</v>
      </c>
      <c r="P547" s="6">
        <v>65535</v>
      </c>
      <c r="Q547" s="6">
        <v>0</v>
      </c>
      <c r="R547" s="6">
        <v>65535</v>
      </c>
      <c r="S547" s="121"/>
      <c r="T547" s="2"/>
      <c r="U547" s="2"/>
      <c r="V547" s="8"/>
      <c r="W547" s="77" t="s">
        <v>2585</v>
      </c>
      <c r="X547" s="8"/>
      <c r="Y547" s="2"/>
      <c r="Z547"/>
      <c r="AD547"/>
      <c r="AE547"/>
      <c r="AF547"/>
      <c r="AG547"/>
    </row>
    <row r="548" spans="1:33" ht="16.149999999999999" customHeight="1" x14ac:dyDescent="0.15">
      <c r="A548" s="6">
        <v>542</v>
      </c>
      <c r="B548" s="18" t="s">
        <v>75</v>
      </c>
      <c r="C548" s="34" t="s">
        <v>57</v>
      </c>
      <c r="D548" s="15" t="s">
        <v>2586</v>
      </c>
      <c r="E548" s="34" t="s">
        <v>77</v>
      </c>
      <c r="F548" s="19">
        <v>16025</v>
      </c>
      <c r="G548" s="6"/>
      <c r="H548" s="6" t="s">
        <v>2587</v>
      </c>
      <c r="I548" s="33"/>
      <c r="J548" s="38"/>
      <c r="K548" s="6"/>
      <c r="L548" s="38"/>
      <c r="M548" s="6" t="s">
        <v>2311</v>
      </c>
      <c r="N548" s="19">
        <v>1</v>
      </c>
      <c r="O548" s="76">
        <v>0</v>
      </c>
      <c r="P548" s="6">
        <v>65535</v>
      </c>
      <c r="Q548" s="6">
        <v>0</v>
      </c>
      <c r="R548" s="6">
        <v>65535</v>
      </c>
      <c r="S548" s="121"/>
      <c r="T548" s="2"/>
      <c r="U548" s="2"/>
      <c r="V548" s="8"/>
      <c r="W548" s="77" t="s">
        <v>2588</v>
      </c>
      <c r="X548" s="8"/>
      <c r="Y548" s="2"/>
      <c r="Z548"/>
      <c r="AD548"/>
      <c r="AE548"/>
      <c r="AF548"/>
      <c r="AG548"/>
    </row>
    <row r="549" spans="1:33" ht="16.149999999999999" customHeight="1" x14ac:dyDescent="0.15">
      <c r="A549" s="6">
        <v>543</v>
      </c>
      <c r="B549" s="18" t="s">
        <v>75</v>
      </c>
      <c r="C549" s="34" t="s">
        <v>57</v>
      </c>
      <c r="D549" s="15" t="s">
        <v>2589</v>
      </c>
      <c r="E549" s="34" t="s">
        <v>77</v>
      </c>
      <c r="F549" s="19">
        <v>16026</v>
      </c>
      <c r="G549" s="6"/>
      <c r="H549" s="6" t="s">
        <v>2590</v>
      </c>
      <c r="I549" s="33"/>
      <c r="J549" s="38"/>
      <c r="K549" s="6"/>
      <c r="L549" s="38"/>
      <c r="M549" s="6" t="s">
        <v>2311</v>
      </c>
      <c r="N549" s="19">
        <v>1</v>
      </c>
      <c r="O549" s="76">
        <v>0</v>
      </c>
      <c r="P549" s="6">
        <v>65535</v>
      </c>
      <c r="Q549" s="6">
        <v>0</v>
      </c>
      <c r="R549" s="6">
        <v>65535</v>
      </c>
      <c r="S549" s="121"/>
      <c r="T549" s="2"/>
      <c r="U549" s="2"/>
      <c r="V549" s="8"/>
      <c r="W549" s="77" t="s">
        <v>2591</v>
      </c>
      <c r="X549" s="8"/>
      <c r="Y549" s="2"/>
      <c r="Z549"/>
      <c r="AD549"/>
      <c r="AE549"/>
      <c r="AF549"/>
      <c r="AG549"/>
    </row>
    <row r="550" spans="1:33" ht="16.149999999999999" customHeight="1" x14ac:dyDescent="0.15">
      <c r="A550" s="6">
        <v>544</v>
      </c>
      <c r="B550" s="18" t="s">
        <v>75</v>
      </c>
      <c r="C550" s="34" t="s">
        <v>57</v>
      </c>
      <c r="D550" s="15" t="s">
        <v>7313</v>
      </c>
      <c r="E550" s="34" t="s">
        <v>77</v>
      </c>
      <c r="F550" s="19">
        <v>16027</v>
      </c>
      <c r="G550" s="6"/>
      <c r="H550" s="6" t="s">
        <v>8159</v>
      </c>
      <c r="I550" s="33"/>
      <c r="J550" s="38"/>
      <c r="K550" s="6"/>
      <c r="L550" s="38"/>
      <c r="M550" s="6" t="s">
        <v>2311</v>
      </c>
      <c r="N550" s="19">
        <v>1</v>
      </c>
      <c r="O550" s="76">
        <v>0</v>
      </c>
      <c r="P550" s="6">
        <v>65535</v>
      </c>
      <c r="Q550" s="6">
        <v>0</v>
      </c>
      <c r="R550" s="6">
        <v>65535</v>
      </c>
      <c r="S550" s="121"/>
      <c r="T550" s="2"/>
      <c r="U550" s="2"/>
      <c r="V550" s="8"/>
      <c r="W550" s="77" t="s">
        <v>8357</v>
      </c>
      <c r="X550" s="8"/>
      <c r="Y550" s="2"/>
      <c r="Z550"/>
      <c r="AD550"/>
      <c r="AE550"/>
      <c r="AF550"/>
      <c r="AG550"/>
    </row>
    <row r="551" spans="1:33" ht="16.149999999999999" customHeight="1" x14ac:dyDescent="0.15">
      <c r="A551" s="6">
        <v>545</v>
      </c>
      <c r="B551" s="18" t="s">
        <v>75</v>
      </c>
      <c r="C551" s="34" t="s">
        <v>57</v>
      </c>
      <c r="D551" s="15" t="s">
        <v>7314</v>
      </c>
      <c r="E551" s="34" t="s">
        <v>77</v>
      </c>
      <c r="F551" s="19">
        <v>16028</v>
      </c>
      <c r="G551" s="6"/>
      <c r="H551" s="6" t="s">
        <v>8160</v>
      </c>
      <c r="I551" s="33"/>
      <c r="J551" s="38"/>
      <c r="K551" s="6"/>
      <c r="L551" s="38"/>
      <c r="M551" s="6" t="s">
        <v>2311</v>
      </c>
      <c r="N551" s="19">
        <v>1</v>
      </c>
      <c r="O551" s="76">
        <v>0</v>
      </c>
      <c r="P551" s="6">
        <v>65535</v>
      </c>
      <c r="Q551" s="6">
        <v>0</v>
      </c>
      <c r="R551" s="6">
        <v>65535</v>
      </c>
      <c r="S551" s="121"/>
      <c r="T551" s="2"/>
      <c r="U551" s="2"/>
      <c r="V551" s="8"/>
      <c r="W551" s="77" t="s">
        <v>8358</v>
      </c>
      <c r="X551" s="8"/>
      <c r="Y551" s="2"/>
      <c r="Z551"/>
      <c r="AD551"/>
      <c r="AE551"/>
      <c r="AF551"/>
      <c r="AG551"/>
    </row>
    <row r="552" spans="1:33" ht="16.149999999999999" customHeight="1" x14ac:dyDescent="0.15">
      <c r="A552" s="6">
        <v>546</v>
      </c>
      <c r="B552" s="18" t="s">
        <v>75</v>
      </c>
      <c r="C552" s="34" t="s">
        <v>57</v>
      </c>
      <c r="D552" s="15" t="s">
        <v>7315</v>
      </c>
      <c r="E552" s="34" t="s">
        <v>77</v>
      </c>
      <c r="F552" s="19">
        <v>16029</v>
      </c>
      <c r="G552" s="6"/>
      <c r="H552" s="6" t="s">
        <v>8161</v>
      </c>
      <c r="I552" s="33"/>
      <c r="J552" s="38"/>
      <c r="K552" s="6"/>
      <c r="L552" s="38"/>
      <c r="M552" s="6" t="s">
        <v>2311</v>
      </c>
      <c r="N552" s="19">
        <v>1</v>
      </c>
      <c r="O552" s="76">
        <v>0</v>
      </c>
      <c r="P552" s="6">
        <v>65535</v>
      </c>
      <c r="Q552" s="6">
        <v>0</v>
      </c>
      <c r="R552" s="6">
        <v>65535</v>
      </c>
      <c r="S552" s="121"/>
      <c r="T552" s="2"/>
      <c r="U552" s="2"/>
      <c r="V552" s="8"/>
      <c r="W552" s="77" t="s">
        <v>8359</v>
      </c>
      <c r="X552" s="8"/>
      <c r="Y552" s="2"/>
      <c r="Z552"/>
      <c r="AD552"/>
      <c r="AE552"/>
      <c r="AF552"/>
      <c r="AG552"/>
    </row>
    <row r="553" spans="1:33" ht="16.149999999999999" customHeight="1" x14ac:dyDescent="0.15">
      <c r="A553" s="6">
        <v>547</v>
      </c>
      <c r="B553" s="18" t="s">
        <v>75</v>
      </c>
      <c r="C553" s="34" t="s">
        <v>57</v>
      </c>
      <c r="D553" s="15" t="s">
        <v>7316</v>
      </c>
      <c r="E553" s="34" t="s">
        <v>77</v>
      </c>
      <c r="F553" s="19">
        <v>16030</v>
      </c>
      <c r="G553" s="6"/>
      <c r="H553" s="6" t="s">
        <v>8162</v>
      </c>
      <c r="I553" s="33"/>
      <c r="J553" s="38"/>
      <c r="K553" s="6"/>
      <c r="L553" s="38"/>
      <c r="M553" s="6" t="s">
        <v>2311</v>
      </c>
      <c r="N553" s="19">
        <v>1</v>
      </c>
      <c r="O553" s="76">
        <v>0</v>
      </c>
      <c r="P553" s="6">
        <v>65535</v>
      </c>
      <c r="Q553" s="6">
        <v>0</v>
      </c>
      <c r="R553" s="6">
        <v>65535</v>
      </c>
      <c r="S553" s="121"/>
      <c r="T553" s="2"/>
      <c r="U553" s="2"/>
      <c r="V553" s="8"/>
      <c r="W553" s="77" t="s">
        <v>8360</v>
      </c>
      <c r="X553" s="8"/>
      <c r="Y553" s="2"/>
      <c r="Z553"/>
      <c r="AD553"/>
      <c r="AE553"/>
      <c r="AF553"/>
      <c r="AG553"/>
    </row>
    <row r="554" spans="1:33" ht="16.149999999999999" customHeight="1" x14ac:dyDescent="0.15">
      <c r="A554" s="6">
        <v>548</v>
      </c>
      <c r="B554" s="18" t="s">
        <v>75</v>
      </c>
      <c r="C554" s="34" t="s">
        <v>57</v>
      </c>
      <c r="D554" s="15" t="s">
        <v>7317</v>
      </c>
      <c r="E554" s="34" t="s">
        <v>77</v>
      </c>
      <c r="F554" s="19">
        <v>16031</v>
      </c>
      <c r="G554" s="6"/>
      <c r="H554" s="6" t="s">
        <v>8163</v>
      </c>
      <c r="I554" s="33"/>
      <c r="J554" s="38"/>
      <c r="K554" s="6"/>
      <c r="L554" s="38"/>
      <c r="M554" s="6" t="s">
        <v>2311</v>
      </c>
      <c r="N554" s="19">
        <v>1</v>
      </c>
      <c r="O554" s="76">
        <v>0</v>
      </c>
      <c r="P554" s="6">
        <v>65535</v>
      </c>
      <c r="Q554" s="6">
        <v>0</v>
      </c>
      <c r="R554" s="6">
        <v>65535</v>
      </c>
      <c r="S554" s="121"/>
      <c r="T554" s="2"/>
      <c r="U554" s="2"/>
      <c r="V554" s="8"/>
      <c r="W554" s="77" t="s">
        <v>8361</v>
      </c>
      <c r="X554" s="8"/>
      <c r="Y554" s="2"/>
      <c r="Z554"/>
      <c r="AD554"/>
      <c r="AE554"/>
      <c r="AF554"/>
      <c r="AG554"/>
    </row>
    <row r="555" spans="1:33" ht="16.149999999999999" customHeight="1" x14ac:dyDescent="0.15">
      <c r="A555" s="6">
        <v>549</v>
      </c>
      <c r="B555" s="18" t="s">
        <v>75</v>
      </c>
      <c r="C555" s="34" t="s">
        <v>57</v>
      </c>
      <c r="D555" s="15" t="s">
        <v>7318</v>
      </c>
      <c r="E555" s="34" t="s">
        <v>77</v>
      </c>
      <c r="F555" s="19">
        <v>16032</v>
      </c>
      <c r="G555" s="6"/>
      <c r="H555" s="6" t="s">
        <v>8164</v>
      </c>
      <c r="I555" s="33"/>
      <c r="J555" s="38"/>
      <c r="K555" s="6"/>
      <c r="L555" s="38"/>
      <c r="M555" s="6" t="s">
        <v>2311</v>
      </c>
      <c r="N555" s="19">
        <v>1</v>
      </c>
      <c r="O555" s="76">
        <v>0</v>
      </c>
      <c r="P555" s="6">
        <v>65535</v>
      </c>
      <c r="Q555" s="6">
        <v>0</v>
      </c>
      <c r="R555" s="6">
        <v>65535</v>
      </c>
      <c r="S555" s="121"/>
      <c r="T555" s="2"/>
      <c r="U555" s="2"/>
      <c r="V555" s="8"/>
      <c r="W555" s="77" t="s">
        <v>8362</v>
      </c>
      <c r="X555" s="8"/>
      <c r="Y555" s="2"/>
      <c r="Z555"/>
      <c r="AD555"/>
      <c r="AE555"/>
      <c r="AF555"/>
      <c r="AG555"/>
    </row>
    <row r="556" spans="1:33" ht="16.149999999999999" customHeight="1" x14ac:dyDescent="0.15">
      <c r="A556" s="6">
        <v>550</v>
      </c>
      <c r="B556" s="18" t="s">
        <v>75</v>
      </c>
      <c r="C556" s="34" t="s">
        <v>57</v>
      </c>
      <c r="D556" s="15" t="s">
        <v>7319</v>
      </c>
      <c r="E556" s="34" t="s">
        <v>77</v>
      </c>
      <c r="F556" s="19">
        <v>16033</v>
      </c>
      <c r="G556" s="103"/>
      <c r="H556" s="6" t="s">
        <v>8165</v>
      </c>
      <c r="I556" s="119"/>
      <c r="J556" s="105"/>
      <c r="K556" s="6"/>
      <c r="L556" s="38"/>
      <c r="M556" s="6" t="s">
        <v>2311</v>
      </c>
      <c r="N556" s="19">
        <v>1</v>
      </c>
      <c r="O556" s="106">
        <v>0</v>
      </c>
      <c r="P556" s="103">
        <v>65535</v>
      </c>
      <c r="Q556" s="103">
        <v>0</v>
      </c>
      <c r="R556" s="107">
        <v>65535</v>
      </c>
      <c r="S556" s="120"/>
      <c r="T556" s="104"/>
      <c r="U556" s="104"/>
      <c r="V556" s="109"/>
      <c r="W556" s="111" t="s">
        <v>8363</v>
      </c>
      <c r="X556" s="109"/>
      <c r="Y556" s="104"/>
      <c r="Z556"/>
      <c r="AD556"/>
      <c r="AE556"/>
      <c r="AF556"/>
      <c r="AG556"/>
    </row>
    <row r="557" spans="1:33" ht="16.149999999999999" customHeight="1" x14ac:dyDescent="0.15">
      <c r="A557" s="6">
        <v>551</v>
      </c>
      <c r="B557" s="18" t="s">
        <v>75</v>
      </c>
      <c r="C557" s="34" t="s">
        <v>57</v>
      </c>
      <c r="D557" s="15" t="s">
        <v>7320</v>
      </c>
      <c r="E557" s="34" t="s">
        <v>77</v>
      </c>
      <c r="F557" s="19">
        <v>16034</v>
      </c>
      <c r="G557" s="103"/>
      <c r="H557" s="6" t="s">
        <v>8166</v>
      </c>
      <c r="I557" s="119"/>
      <c r="J557" s="105"/>
      <c r="K557" s="6"/>
      <c r="L557" s="38"/>
      <c r="M557" s="6" t="s">
        <v>2311</v>
      </c>
      <c r="N557" s="19">
        <v>1</v>
      </c>
      <c r="O557" s="106">
        <v>0</v>
      </c>
      <c r="P557" s="103">
        <v>65535</v>
      </c>
      <c r="Q557" s="103">
        <v>0</v>
      </c>
      <c r="R557" s="107">
        <v>65535</v>
      </c>
      <c r="S557" s="120"/>
      <c r="T557" s="104"/>
      <c r="U557" s="104"/>
      <c r="V557" s="109"/>
      <c r="W557" s="111" t="s">
        <v>8364</v>
      </c>
      <c r="X557" s="109"/>
      <c r="Y557" s="104"/>
      <c r="Z557"/>
      <c r="AD557"/>
      <c r="AE557"/>
      <c r="AF557"/>
      <c r="AG557"/>
    </row>
    <row r="558" spans="1:33" ht="16.149999999999999" customHeight="1" x14ac:dyDescent="0.15">
      <c r="A558" s="6">
        <v>552</v>
      </c>
      <c r="B558" s="18" t="s">
        <v>75</v>
      </c>
      <c r="C558" s="34" t="s">
        <v>57</v>
      </c>
      <c r="D558" s="15" t="s">
        <v>7321</v>
      </c>
      <c r="E558" s="34" t="s">
        <v>77</v>
      </c>
      <c r="F558" s="19">
        <v>16035</v>
      </c>
      <c r="G558" s="103"/>
      <c r="H558" s="6" t="s">
        <v>8167</v>
      </c>
      <c r="I558" s="119"/>
      <c r="J558" s="105"/>
      <c r="K558" s="6"/>
      <c r="L558" s="38"/>
      <c r="M558" s="6" t="s">
        <v>2311</v>
      </c>
      <c r="N558" s="19">
        <v>1</v>
      </c>
      <c r="O558" s="106">
        <v>0</v>
      </c>
      <c r="P558" s="103">
        <v>65535</v>
      </c>
      <c r="Q558" s="103">
        <v>0</v>
      </c>
      <c r="R558" s="107">
        <v>65535</v>
      </c>
      <c r="S558" s="120"/>
      <c r="T558" s="104"/>
      <c r="U558" s="104"/>
      <c r="V558" s="109"/>
      <c r="W558" s="111" t="s">
        <v>8365</v>
      </c>
      <c r="X558" s="109"/>
      <c r="Y558" s="104"/>
      <c r="Z558"/>
      <c r="AD558"/>
      <c r="AE558"/>
      <c r="AF558"/>
      <c r="AG558"/>
    </row>
    <row r="559" spans="1:33" ht="16.149999999999999" customHeight="1" x14ac:dyDescent="0.15">
      <c r="A559" s="6">
        <v>553</v>
      </c>
      <c r="B559" s="18" t="s">
        <v>75</v>
      </c>
      <c r="C559" s="34" t="s">
        <v>2634</v>
      </c>
      <c r="D559" s="104" t="s">
        <v>2635</v>
      </c>
      <c r="E559" s="34" t="s">
        <v>77</v>
      </c>
      <c r="F559" s="19">
        <v>14999</v>
      </c>
      <c r="G559" s="103"/>
      <c r="H559" s="6" t="s">
        <v>2636</v>
      </c>
      <c r="I559" s="119"/>
      <c r="J559" s="105"/>
      <c r="K559" s="6"/>
      <c r="L559" s="38"/>
      <c r="M559" s="103" t="s">
        <v>564</v>
      </c>
      <c r="N559" s="19">
        <v>1</v>
      </c>
      <c r="O559" s="106">
        <v>0</v>
      </c>
      <c r="P559" s="103">
        <v>65535</v>
      </c>
      <c r="Q559" s="103">
        <v>0</v>
      </c>
      <c r="R559" s="107">
        <v>65535</v>
      </c>
      <c r="S559" s="120"/>
      <c r="T559" s="104"/>
      <c r="U559" s="104"/>
      <c r="V559" s="109"/>
      <c r="W559" s="111" t="s">
        <v>2637</v>
      </c>
      <c r="X559" s="109"/>
      <c r="Y559" s="34" t="s">
        <v>64</v>
      </c>
      <c r="Z559"/>
      <c r="AD559"/>
      <c r="AE559"/>
      <c r="AF559"/>
      <c r="AG559"/>
    </row>
    <row r="560" spans="1:33" ht="16.149999999999999" customHeight="1" x14ac:dyDescent="0.15">
      <c r="A560" s="6">
        <v>554</v>
      </c>
      <c r="B560" s="18" t="s">
        <v>75</v>
      </c>
      <c r="C560" s="34" t="s">
        <v>2634</v>
      </c>
      <c r="D560" s="34" t="s">
        <v>2638</v>
      </c>
      <c r="E560" s="34" t="s">
        <v>77</v>
      </c>
      <c r="F560" s="19">
        <v>15000</v>
      </c>
      <c r="G560" s="6"/>
      <c r="H560" s="6" t="s">
        <v>2639</v>
      </c>
      <c r="I560" s="2"/>
      <c r="J560" s="38"/>
      <c r="K560" s="6"/>
      <c r="L560" s="38"/>
      <c r="M560" s="38" t="s">
        <v>568</v>
      </c>
      <c r="N560" s="19">
        <v>1</v>
      </c>
      <c r="O560" s="6">
        <v>0</v>
      </c>
      <c r="P560" s="6">
        <v>65535</v>
      </c>
      <c r="Q560" s="38">
        <v>0</v>
      </c>
      <c r="R560" s="38">
        <v>65535</v>
      </c>
      <c r="S560" s="34"/>
      <c r="T560" s="34"/>
      <c r="U560" s="34"/>
      <c r="V560" s="2"/>
      <c r="W560" s="36" t="s">
        <v>2640</v>
      </c>
      <c r="X560" s="2"/>
      <c r="Y560" s="34" t="s">
        <v>64</v>
      </c>
      <c r="Z560"/>
      <c r="AD560"/>
      <c r="AE560"/>
      <c r="AF560"/>
      <c r="AG560"/>
    </row>
    <row r="561" spans="1:33" ht="16.149999999999999" customHeight="1" x14ac:dyDescent="0.15">
      <c r="A561" s="6">
        <v>555</v>
      </c>
      <c r="B561" s="18" t="s">
        <v>75</v>
      </c>
      <c r="C561" s="34" t="s">
        <v>2634</v>
      </c>
      <c r="D561" s="34" t="s">
        <v>2641</v>
      </c>
      <c r="E561" s="34" t="s">
        <v>77</v>
      </c>
      <c r="F561" s="19">
        <v>15001</v>
      </c>
      <c r="G561" s="6"/>
      <c r="H561" s="6" t="s">
        <v>2642</v>
      </c>
      <c r="I561" s="2"/>
      <c r="J561" s="38"/>
      <c r="K561" s="6"/>
      <c r="L561" s="38"/>
      <c r="M561" s="38" t="s">
        <v>572</v>
      </c>
      <c r="N561" s="19">
        <v>1</v>
      </c>
      <c r="O561" s="6">
        <v>0</v>
      </c>
      <c r="P561" s="6">
        <v>65535</v>
      </c>
      <c r="Q561" s="38">
        <v>0</v>
      </c>
      <c r="R561" s="38">
        <v>65535</v>
      </c>
      <c r="S561" s="34"/>
      <c r="T561" s="34"/>
      <c r="U561" s="34"/>
      <c r="V561" s="2"/>
      <c r="W561" s="36" t="s">
        <v>2643</v>
      </c>
      <c r="X561" s="2"/>
      <c r="Y561" s="34" t="s">
        <v>64</v>
      </c>
      <c r="Z561"/>
      <c r="AD561"/>
      <c r="AE561"/>
      <c r="AF561"/>
      <c r="AG561"/>
    </row>
    <row r="562" spans="1:33" ht="16.149999999999999" customHeight="1" x14ac:dyDescent="0.15">
      <c r="A562" s="6">
        <v>556</v>
      </c>
      <c r="B562" s="18" t="s">
        <v>75</v>
      </c>
      <c r="C562" s="34" t="s">
        <v>2634</v>
      </c>
      <c r="D562" s="122" t="s">
        <v>2644</v>
      </c>
      <c r="E562" s="34" t="s">
        <v>77</v>
      </c>
      <c r="F562" s="19">
        <v>15002</v>
      </c>
      <c r="G562" s="6"/>
      <c r="H562" s="6" t="s">
        <v>2645</v>
      </c>
      <c r="I562" s="2"/>
      <c r="J562" s="38"/>
      <c r="K562" s="6"/>
      <c r="L562" s="38"/>
      <c r="M562" s="38" t="s">
        <v>104</v>
      </c>
      <c r="N562" s="19">
        <v>1</v>
      </c>
      <c r="O562" s="76">
        <v>0</v>
      </c>
      <c r="P562" s="6">
        <v>65535</v>
      </c>
      <c r="Q562" s="38">
        <v>0</v>
      </c>
      <c r="R562" s="38">
        <v>65535</v>
      </c>
      <c r="S562" s="34"/>
      <c r="T562" s="34"/>
      <c r="U562" s="34"/>
      <c r="V562" s="8"/>
      <c r="W562" s="36" t="s">
        <v>2646</v>
      </c>
      <c r="X562" s="8"/>
      <c r="Y562" s="34" t="s">
        <v>64</v>
      </c>
      <c r="Z562"/>
      <c r="AD562"/>
      <c r="AE562"/>
      <c r="AF562"/>
      <c r="AG562"/>
    </row>
    <row r="563" spans="1:33" ht="16.149999999999999" customHeight="1" x14ac:dyDescent="0.15">
      <c r="A563" s="6">
        <v>557</v>
      </c>
      <c r="B563" s="18" t="s">
        <v>75</v>
      </c>
      <c r="C563" s="34" t="s">
        <v>2634</v>
      </c>
      <c r="D563" s="123" t="s">
        <v>2647</v>
      </c>
      <c r="E563" s="34" t="s">
        <v>77</v>
      </c>
      <c r="F563" s="19">
        <v>15003</v>
      </c>
      <c r="G563" s="6"/>
      <c r="H563" s="6" t="s">
        <v>2648</v>
      </c>
      <c r="I563" s="2"/>
      <c r="J563" s="38"/>
      <c r="K563" s="6"/>
      <c r="L563" s="38"/>
      <c r="M563" s="6" t="s">
        <v>100</v>
      </c>
      <c r="N563" s="19">
        <v>1</v>
      </c>
      <c r="O563" s="76">
        <v>0</v>
      </c>
      <c r="P563" s="6">
        <v>65535</v>
      </c>
      <c r="Q563" s="38">
        <v>0</v>
      </c>
      <c r="R563" s="38">
        <v>65535</v>
      </c>
      <c r="S563" s="34"/>
      <c r="T563" s="34"/>
      <c r="U563" s="34"/>
      <c r="V563" s="33"/>
      <c r="W563" s="36" t="s">
        <v>2649</v>
      </c>
      <c r="X563" s="33"/>
      <c r="Y563" s="34" t="s">
        <v>64</v>
      </c>
      <c r="Z563"/>
      <c r="AD563"/>
      <c r="AE563"/>
      <c r="AF563"/>
      <c r="AG563"/>
    </row>
    <row r="564" spans="1:33" ht="16.149999999999999" customHeight="1" x14ac:dyDescent="0.15">
      <c r="A564" s="6">
        <v>558</v>
      </c>
      <c r="B564" s="18" t="s">
        <v>75</v>
      </c>
      <c r="C564" s="34" t="s">
        <v>2634</v>
      </c>
      <c r="D564" s="34" t="s">
        <v>2650</v>
      </c>
      <c r="E564" s="34" t="s">
        <v>77</v>
      </c>
      <c r="F564" s="19">
        <v>15004</v>
      </c>
      <c r="G564" s="6"/>
      <c r="H564" s="6" t="s">
        <v>2651</v>
      </c>
      <c r="I564" s="2"/>
      <c r="J564" s="38"/>
      <c r="K564" s="38"/>
      <c r="L564" s="38"/>
      <c r="M564" s="6" t="s">
        <v>582</v>
      </c>
      <c r="N564" s="19">
        <v>1</v>
      </c>
      <c r="O564" s="6">
        <v>0</v>
      </c>
      <c r="P564" s="6">
        <v>65535</v>
      </c>
      <c r="Q564" s="38">
        <v>0</v>
      </c>
      <c r="R564" s="38">
        <v>65535</v>
      </c>
      <c r="S564" s="34"/>
      <c r="T564" s="34"/>
      <c r="U564" s="34"/>
      <c r="V564" s="2"/>
      <c r="W564" s="36" t="s">
        <v>2652</v>
      </c>
      <c r="X564" s="2"/>
      <c r="Y564" s="34" t="s">
        <v>64</v>
      </c>
      <c r="Z564"/>
      <c r="AD564"/>
      <c r="AE564"/>
      <c r="AF564"/>
      <c r="AG564"/>
    </row>
    <row r="565" spans="1:33" ht="16.149999999999999" customHeight="1" x14ac:dyDescent="0.15">
      <c r="A565" s="6">
        <v>559</v>
      </c>
      <c r="B565" s="18" t="s">
        <v>75</v>
      </c>
      <c r="C565" s="34" t="s">
        <v>2634</v>
      </c>
      <c r="D565" s="34" t="s">
        <v>2653</v>
      </c>
      <c r="E565" s="34" t="s">
        <v>2348</v>
      </c>
      <c r="F565" s="19">
        <v>15005</v>
      </c>
      <c r="G565" s="6"/>
      <c r="H565" s="6" t="s">
        <v>2654</v>
      </c>
      <c r="I565" s="2"/>
      <c r="J565" s="38"/>
      <c r="K565" s="38"/>
      <c r="L565" s="38"/>
      <c r="M565" s="6" t="s">
        <v>61</v>
      </c>
      <c r="N565" s="19"/>
      <c r="O565" s="76" t="s">
        <v>62</v>
      </c>
      <c r="P565" s="6" t="s">
        <v>62</v>
      </c>
      <c r="Q565" s="38" t="s">
        <v>62</v>
      </c>
      <c r="R565" s="38" t="s">
        <v>62</v>
      </c>
      <c r="S565" s="34"/>
      <c r="T565" s="34"/>
      <c r="U565" s="34"/>
      <c r="V565" s="8"/>
      <c r="W565" s="36" t="s">
        <v>2655</v>
      </c>
      <c r="X565" t="s">
        <v>2656</v>
      </c>
      <c r="Y565" s="2"/>
      <c r="Z565"/>
      <c r="AD565"/>
      <c r="AE565"/>
      <c r="AF565"/>
      <c r="AG565"/>
    </row>
    <row r="566" spans="1:33" ht="16.149999999999999" customHeight="1" x14ac:dyDescent="0.15">
      <c r="A566" s="6">
        <v>560</v>
      </c>
      <c r="B566" s="18" t="s">
        <v>75</v>
      </c>
      <c r="C566" s="34" t="s">
        <v>2634</v>
      </c>
      <c r="D566" s="34" t="s">
        <v>2657</v>
      </c>
      <c r="E566" s="34" t="s">
        <v>2348</v>
      </c>
      <c r="F566" s="19">
        <v>15006</v>
      </c>
      <c r="G566" s="6"/>
      <c r="H566" s="6" t="s">
        <v>2658</v>
      </c>
      <c r="I566" s="2"/>
      <c r="J566" s="38"/>
      <c r="K566" s="38"/>
      <c r="L566" s="38"/>
      <c r="M566" s="6" t="s">
        <v>61</v>
      </c>
      <c r="N566" s="19"/>
      <c r="O566" s="76" t="s">
        <v>62</v>
      </c>
      <c r="P566" s="6" t="s">
        <v>62</v>
      </c>
      <c r="Q566" s="38" t="s">
        <v>62</v>
      </c>
      <c r="R566" s="38" t="s">
        <v>62</v>
      </c>
      <c r="S566" s="34"/>
      <c r="T566" s="34"/>
      <c r="U566" s="34"/>
      <c r="V566" s="8"/>
      <c r="W566" s="36" t="s">
        <v>2659</v>
      </c>
      <c r="X566" s="8" t="s">
        <v>2656</v>
      </c>
      <c r="Y566" s="2"/>
      <c r="Z566"/>
      <c r="AD566"/>
      <c r="AE566"/>
      <c r="AF566"/>
      <c r="AG566"/>
    </row>
    <row r="567" spans="1:33" ht="16.149999999999999" customHeight="1" x14ac:dyDescent="0.15">
      <c r="A567" s="6">
        <v>561</v>
      </c>
      <c r="B567" s="18" t="s">
        <v>75</v>
      </c>
      <c r="C567" s="34" t="s">
        <v>2634</v>
      </c>
      <c r="D567" s="34" t="s">
        <v>2660</v>
      </c>
      <c r="E567" s="34" t="s">
        <v>77</v>
      </c>
      <c r="F567" s="19">
        <v>15007</v>
      </c>
      <c r="G567" s="6"/>
      <c r="H567" s="6" t="s">
        <v>2661</v>
      </c>
      <c r="I567" s="2"/>
      <c r="J567" s="38"/>
      <c r="K567" s="38"/>
      <c r="L567" s="38"/>
      <c r="M567" s="6" t="s">
        <v>560</v>
      </c>
      <c r="N567" s="19">
        <v>10</v>
      </c>
      <c r="O567" s="6">
        <v>0</v>
      </c>
      <c r="P567" s="6">
        <v>65535</v>
      </c>
      <c r="Q567" s="38">
        <v>0</v>
      </c>
      <c r="R567" s="38">
        <v>6553.5</v>
      </c>
      <c r="S567" s="34"/>
      <c r="T567" s="34"/>
      <c r="U567" s="34"/>
      <c r="V567" s="2"/>
      <c r="W567" s="36" t="s">
        <v>2662</v>
      </c>
      <c r="X567" s="2"/>
      <c r="Y567" s="34" t="s">
        <v>64</v>
      </c>
      <c r="Z567"/>
      <c r="AD567"/>
      <c r="AE567"/>
      <c r="AF567"/>
      <c r="AG567"/>
    </row>
    <row r="568" spans="1:33" ht="16.149999999999999" customHeight="1" x14ac:dyDescent="0.15">
      <c r="A568" s="6">
        <v>562</v>
      </c>
      <c r="B568" s="18" t="s">
        <v>75</v>
      </c>
      <c r="C568" s="34" t="s">
        <v>2634</v>
      </c>
      <c r="D568" s="34" t="s">
        <v>2663</v>
      </c>
      <c r="E568" s="34" t="s">
        <v>2348</v>
      </c>
      <c r="F568" s="19">
        <v>15009</v>
      </c>
      <c r="G568" s="103"/>
      <c r="H568" s="6" t="s">
        <v>2664</v>
      </c>
      <c r="I568" s="124"/>
      <c r="J568" s="38"/>
      <c r="K568" s="38"/>
      <c r="L568" s="38"/>
      <c r="M568" s="6" t="s">
        <v>61</v>
      </c>
      <c r="N568" s="19"/>
      <c r="O568" s="103" t="s">
        <v>62</v>
      </c>
      <c r="P568" s="103" t="s">
        <v>62</v>
      </c>
      <c r="Q568" s="38" t="s">
        <v>62</v>
      </c>
      <c r="R568" s="38" t="s">
        <v>62</v>
      </c>
      <c r="S568" s="108"/>
      <c r="T568" s="34"/>
      <c r="U568" s="108"/>
      <c r="V568" s="125"/>
      <c r="W568" s="110" t="s">
        <v>2665</v>
      </c>
      <c r="X568" s="125" t="s">
        <v>9384</v>
      </c>
      <c r="Y568" s="34" t="s">
        <v>64</v>
      </c>
      <c r="Z568"/>
      <c r="AD568"/>
      <c r="AE568"/>
      <c r="AF568"/>
      <c r="AG568"/>
    </row>
    <row r="569" spans="1:33" ht="16.149999999999999" customHeight="1" x14ac:dyDescent="0.15">
      <c r="A569" s="6">
        <v>563</v>
      </c>
      <c r="B569" s="18" t="s">
        <v>75</v>
      </c>
      <c r="C569" s="34" t="s">
        <v>2634</v>
      </c>
      <c r="D569" s="34" t="s">
        <v>2667</v>
      </c>
      <c r="E569" s="34" t="s">
        <v>2348</v>
      </c>
      <c r="F569" s="19">
        <v>15010</v>
      </c>
      <c r="G569" s="103"/>
      <c r="H569" s="6" t="s">
        <v>2668</v>
      </c>
      <c r="I569" s="124"/>
      <c r="J569" s="38"/>
      <c r="K569" s="38"/>
      <c r="L569" s="38"/>
      <c r="M569" s="6" t="s">
        <v>61</v>
      </c>
      <c r="N569" s="19"/>
      <c r="O569" s="103" t="s">
        <v>62</v>
      </c>
      <c r="P569" s="103" t="s">
        <v>62</v>
      </c>
      <c r="Q569" s="38" t="s">
        <v>62</v>
      </c>
      <c r="R569" s="38" t="s">
        <v>62</v>
      </c>
      <c r="S569" s="108"/>
      <c r="T569" s="34"/>
      <c r="U569" s="108"/>
      <c r="V569" s="125"/>
      <c r="W569" s="110" t="s">
        <v>2669</v>
      </c>
      <c r="X569" s="125" t="s">
        <v>2670</v>
      </c>
      <c r="Y569" s="104"/>
      <c r="Z569"/>
      <c r="AD569"/>
      <c r="AE569"/>
      <c r="AF569"/>
      <c r="AG569"/>
    </row>
    <row r="570" spans="1:33" ht="16.149999999999999" customHeight="1" x14ac:dyDescent="0.15">
      <c r="A570" s="6">
        <v>564</v>
      </c>
      <c r="B570" s="18" t="s">
        <v>75</v>
      </c>
      <c r="C570" s="34" t="s">
        <v>2634</v>
      </c>
      <c r="D570" s="34" t="s">
        <v>2671</v>
      </c>
      <c r="E570" s="2" t="s">
        <v>143</v>
      </c>
      <c r="F570" s="19">
        <v>15011</v>
      </c>
      <c r="G570" s="103"/>
      <c r="H570" s="6" t="s">
        <v>2672</v>
      </c>
      <c r="I570" s="124"/>
      <c r="J570" s="38"/>
      <c r="K570" s="38"/>
      <c r="L570" s="38"/>
      <c r="M570" s="6" t="s">
        <v>560</v>
      </c>
      <c r="N570" s="19">
        <v>10</v>
      </c>
      <c r="O570" s="103">
        <v>-32768</v>
      </c>
      <c r="P570" s="103">
        <v>32767</v>
      </c>
      <c r="Q570" s="38">
        <v>-3276.8</v>
      </c>
      <c r="R570" s="38">
        <v>3276.7</v>
      </c>
      <c r="S570" s="108"/>
      <c r="T570" s="34"/>
      <c r="U570" s="108"/>
      <c r="V570" s="125"/>
      <c r="W570" s="110" t="s">
        <v>2673</v>
      </c>
      <c r="X570" s="125"/>
      <c r="Y570" s="34" t="s">
        <v>64</v>
      </c>
      <c r="Z570"/>
      <c r="AD570"/>
      <c r="AE570"/>
      <c r="AF570"/>
      <c r="AG570"/>
    </row>
    <row r="571" spans="1:33" ht="16.149999999999999" customHeight="1" x14ac:dyDescent="0.15">
      <c r="A571" s="6">
        <v>565</v>
      </c>
      <c r="B571" s="18" t="s">
        <v>75</v>
      </c>
      <c r="C571" s="34" t="s">
        <v>2634</v>
      </c>
      <c r="D571" s="34" t="s">
        <v>2674</v>
      </c>
      <c r="E571" s="2" t="s">
        <v>143</v>
      </c>
      <c r="F571" s="19">
        <v>15012</v>
      </c>
      <c r="G571" s="103"/>
      <c r="H571" s="6" t="s">
        <v>2675</v>
      </c>
      <c r="I571" s="124"/>
      <c r="J571" s="38"/>
      <c r="K571" s="38"/>
      <c r="L571" s="38"/>
      <c r="M571" s="6" t="s">
        <v>145</v>
      </c>
      <c r="N571" s="19">
        <v>1000</v>
      </c>
      <c r="O571" s="103">
        <v>-32768</v>
      </c>
      <c r="P571" s="103">
        <v>32767</v>
      </c>
      <c r="Q571" s="38">
        <v>-32.768000000000001</v>
      </c>
      <c r="R571" s="38">
        <v>32.767000000000003</v>
      </c>
      <c r="S571" s="108"/>
      <c r="T571" s="34"/>
      <c r="U571" s="108"/>
      <c r="V571" s="125"/>
      <c r="W571" s="110" t="s">
        <v>2676</v>
      </c>
      <c r="X571" s="125"/>
      <c r="Y571" s="104"/>
      <c r="Z571"/>
      <c r="AD571"/>
      <c r="AE571"/>
      <c r="AF571"/>
      <c r="AG571"/>
    </row>
    <row r="572" spans="1:33" ht="16.149999999999999" customHeight="1" x14ac:dyDescent="0.15">
      <c r="A572" s="6">
        <v>566</v>
      </c>
      <c r="B572" s="18" t="s">
        <v>75</v>
      </c>
      <c r="C572" s="34" t="s">
        <v>2634</v>
      </c>
      <c r="D572" s="34" t="s">
        <v>2677</v>
      </c>
      <c r="E572" s="34" t="s">
        <v>77</v>
      </c>
      <c r="F572" s="19">
        <v>15013</v>
      </c>
      <c r="G572" s="6"/>
      <c r="H572" s="6" t="s">
        <v>2678</v>
      </c>
      <c r="I572" s="2"/>
      <c r="J572" s="38"/>
      <c r="K572" s="38"/>
      <c r="L572" s="38"/>
      <c r="M572" s="6" t="s">
        <v>82</v>
      </c>
      <c r="N572" s="19">
        <v>10</v>
      </c>
      <c r="O572" s="6">
        <v>0</v>
      </c>
      <c r="P572" s="6">
        <v>65535</v>
      </c>
      <c r="Q572" s="38">
        <v>0</v>
      </c>
      <c r="R572" s="38">
        <v>6553.5</v>
      </c>
      <c r="S572" s="34"/>
      <c r="T572" s="34"/>
      <c r="U572" s="34"/>
      <c r="V572" s="2"/>
      <c r="W572" s="36" t="s">
        <v>2679</v>
      </c>
      <c r="X572" s="2"/>
      <c r="Y572" s="2"/>
      <c r="Z572"/>
      <c r="AD572"/>
      <c r="AE572"/>
      <c r="AF572"/>
      <c r="AG572"/>
    </row>
    <row r="573" spans="1:33" ht="16.149999999999999" customHeight="1" x14ac:dyDescent="0.15">
      <c r="A573" s="6">
        <v>567</v>
      </c>
      <c r="B573" s="18" t="s">
        <v>75</v>
      </c>
      <c r="C573" s="34" t="s">
        <v>2634</v>
      </c>
      <c r="D573" s="34" t="s">
        <v>2680</v>
      </c>
      <c r="E573" s="2" t="s">
        <v>143</v>
      </c>
      <c r="F573" s="19">
        <v>15014</v>
      </c>
      <c r="G573" s="6"/>
      <c r="H573" s="6" t="s">
        <v>2681</v>
      </c>
      <c r="I573" s="2"/>
      <c r="J573" s="38"/>
      <c r="K573" s="38"/>
      <c r="L573" s="38"/>
      <c r="M573" s="6" t="s">
        <v>153</v>
      </c>
      <c r="N573" s="19">
        <v>10</v>
      </c>
      <c r="O573" s="6">
        <v>-32768</v>
      </c>
      <c r="P573" s="6">
        <v>32767</v>
      </c>
      <c r="Q573" s="38">
        <v>-3276.8</v>
      </c>
      <c r="R573" s="38">
        <v>3276.7</v>
      </c>
      <c r="S573" s="34"/>
      <c r="T573" s="34"/>
      <c r="U573" s="34"/>
      <c r="V573" s="2"/>
      <c r="W573" s="36" t="s">
        <v>2682</v>
      </c>
      <c r="X573" s="2"/>
      <c r="Y573" s="2"/>
      <c r="Z573"/>
      <c r="AD573"/>
      <c r="AE573"/>
      <c r="AF573"/>
      <c r="AG573"/>
    </row>
    <row r="574" spans="1:33" ht="16.149999999999999" customHeight="1" x14ac:dyDescent="0.15">
      <c r="A574" s="6">
        <v>568</v>
      </c>
      <c r="B574" s="18" t="s">
        <v>75</v>
      </c>
      <c r="C574" s="34" t="s">
        <v>2634</v>
      </c>
      <c r="D574" s="34" t="s">
        <v>2683</v>
      </c>
      <c r="E574" s="34" t="s">
        <v>77</v>
      </c>
      <c r="F574" s="19">
        <v>15015</v>
      </c>
      <c r="G574" s="6"/>
      <c r="H574" s="6" t="s">
        <v>2684</v>
      </c>
      <c r="I574" s="2"/>
      <c r="J574" s="38"/>
      <c r="K574" s="38"/>
      <c r="L574" s="38"/>
      <c r="M574" s="6" t="s">
        <v>2685</v>
      </c>
      <c r="N574" s="19">
        <v>100</v>
      </c>
      <c r="O574" s="6">
        <v>0</v>
      </c>
      <c r="P574" s="6">
        <v>65535</v>
      </c>
      <c r="Q574" s="38">
        <v>0</v>
      </c>
      <c r="R574" s="38">
        <v>655.35</v>
      </c>
      <c r="S574" s="34"/>
      <c r="T574" s="34"/>
      <c r="U574" s="34"/>
      <c r="V574" s="2"/>
      <c r="W574" s="36" t="s">
        <v>2686</v>
      </c>
      <c r="X574" s="2"/>
      <c r="Y574" s="34" t="s">
        <v>64</v>
      </c>
      <c r="Z574"/>
      <c r="AD574"/>
      <c r="AE574"/>
      <c r="AF574"/>
      <c r="AG574"/>
    </row>
    <row r="575" spans="1:33" ht="16.149999999999999" customHeight="1" x14ac:dyDescent="0.15">
      <c r="A575" s="6">
        <v>569</v>
      </c>
      <c r="B575" s="18" t="s">
        <v>75</v>
      </c>
      <c r="C575" s="34" t="s">
        <v>2634</v>
      </c>
      <c r="D575" s="34" t="s">
        <v>2687</v>
      </c>
      <c r="E575" s="34" t="s">
        <v>77</v>
      </c>
      <c r="F575" s="19">
        <v>15016</v>
      </c>
      <c r="G575" s="6"/>
      <c r="H575" s="6" t="s">
        <v>2688</v>
      </c>
      <c r="I575" s="2"/>
      <c r="J575" s="38"/>
      <c r="K575" s="38"/>
      <c r="L575" s="38"/>
      <c r="M575" s="6" t="s">
        <v>2685</v>
      </c>
      <c r="N575" s="19">
        <v>100</v>
      </c>
      <c r="O575" s="76">
        <v>0</v>
      </c>
      <c r="P575" s="6">
        <v>65535</v>
      </c>
      <c r="Q575" s="38">
        <v>0</v>
      </c>
      <c r="R575" s="38">
        <v>655.35</v>
      </c>
      <c r="S575" s="34"/>
      <c r="T575" s="34"/>
      <c r="U575" s="34"/>
      <c r="V575" s="8"/>
      <c r="W575" s="36" t="s">
        <v>2689</v>
      </c>
      <c r="X575" s="8"/>
      <c r="Y575" s="34" t="s">
        <v>64</v>
      </c>
      <c r="Z575"/>
      <c r="AD575"/>
      <c r="AE575"/>
      <c r="AF575"/>
      <c r="AG575"/>
    </row>
    <row r="576" spans="1:33" ht="16.149999999999999" customHeight="1" x14ac:dyDescent="0.15">
      <c r="A576" s="6">
        <v>570</v>
      </c>
      <c r="B576" s="18" t="s">
        <v>75</v>
      </c>
      <c r="C576" s="34" t="s">
        <v>2634</v>
      </c>
      <c r="D576" s="122" t="s">
        <v>2690</v>
      </c>
      <c r="E576" s="34" t="s">
        <v>77</v>
      </c>
      <c r="F576" s="19">
        <v>15019</v>
      </c>
      <c r="G576" s="6"/>
      <c r="H576" s="6" t="s">
        <v>2691</v>
      </c>
      <c r="I576" s="2"/>
      <c r="J576" s="38"/>
      <c r="K576" s="38"/>
      <c r="L576" s="38"/>
      <c r="M576" s="6" t="s">
        <v>582</v>
      </c>
      <c r="N576" s="19">
        <v>1</v>
      </c>
      <c r="O576" s="6">
        <v>0</v>
      </c>
      <c r="P576" s="6">
        <v>65535</v>
      </c>
      <c r="Q576" s="38">
        <v>0</v>
      </c>
      <c r="R576" s="38">
        <v>65535</v>
      </c>
      <c r="S576" s="34"/>
      <c r="T576" s="34"/>
      <c r="U576" s="34"/>
      <c r="V576" s="2"/>
      <c r="W576" s="36" t="s">
        <v>2692</v>
      </c>
      <c r="X576" s="2"/>
      <c r="Y576" s="34" t="s">
        <v>64</v>
      </c>
      <c r="Z576"/>
      <c r="AD576"/>
      <c r="AE576"/>
      <c r="AF576"/>
      <c r="AG576"/>
    </row>
    <row r="577" spans="1:33" ht="16.149999999999999" customHeight="1" x14ac:dyDescent="0.15">
      <c r="A577" s="6">
        <v>571</v>
      </c>
      <c r="B577" s="18" t="s">
        <v>75</v>
      </c>
      <c r="C577" s="34" t="s">
        <v>2634</v>
      </c>
      <c r="D577" s="122" t="s">
        <v>2693</v>
      </c>
      <c r="E577" s="34" t="s">
        <v>77</v>
      </c>
      <c r="F577" s="19">
        <v>15020</v>
      </c>
      <c r="G577" s="6"/>
      <c r="H577" s="6" t="s">
        <v>2694</v>
      </c>
      <c r="I577" s="2"/>
      <c r="J577" s="105"/>
      <c r="K577" s="105"/>
      <c r="L577" s="38"/>
      <c r="M577" s="6" t="s">
        <v>2685</v>
      </c>
      <c r="N577" s="19">
        <v>10</v>
      </c>
      <c r="O577" s="76">
        <v>0</v>
      </c>
      <c r="P577" s="6">
        <v>65535</v>
      </c>
      <c r="Q577" s="38">
        <v>0</v>
      </c>
      <c r="R577" s="38">
        <v>6553.5</v>
      </c>
      <c r="S577" s="34"/>
      <c r="T577" s="122"/>
      <c r="U577" s="34"/>
      <c r="V577" s="8"/>
      <c r="W577" s="36" t="s">
        <v>2695</v>
      </c>
      <c r="X577" s="8"/>
      <c r="Y577" s="34" t="s">
        <v>64</v>
      </c>
      <c r="Z577"/>
      <c r="AD577"/>
      <c r="AE577"/>
      <c r="AF577"/>
      <c r="AG577"/>
    </row>
    <row r="578" spans="1:33" ht="16.149999999999999" customHeight="1" x14ac:dyDescent="0.15">
      <c r="A578" s="6">
        <v>572</v>
      </c>
      <c r="B578" s="18" t="s">
        <v>75</v>
      </c>
      <c r="C578" s="34" t="s">
        <v>2634</v>
      </c>
      <c r="D578" s="126" t="s">
        <v>7322</v>
      </c>
      <c r="E578" s="34" t="s">
        <v>77</v>
      </c>
      <c r="F578" s="19">
        <v>15025</v>
      </c>
      <c r="G578" s="6"/>
      <c r="H578" s="6" t="s">
        <v>2709</v>
      </c>
      <c r="I578" s="2"/>
      <c r="J578" s="38" t="s">
        <v>171</v>
      </c>
      <c r="K578" s="38" t="s">
        <v>285</v>
      </c>
      <c r="L578" s="38" t="s">
        <v>286</v>
      </c>
      <c r="M578" s="6" t="s">
        <v>2276</v>
      </c>
      <c r="N578" s="19"/>
      <c r="O578" s="76">
        <v>0</v>
      </c>
      <c r="P578" s="6">
        <v>65535</v>
      </c>
      <c r="Q578" s="38" t="s">
        <v>62</v>
      </c>
      <c r="R578" s="38" t="s">
        <v>62</v>
      </c>
      <c r="S578" s="34"/>
      <c r="T578" s="34"/>
      <c r="U578" s="34"/>
      <c r="V578" s="8"/>
      <c r="W578" s="36" t="s">
        <v>8366</v>
      </c>
      <c r="X578" s="8"/>
      <c r="Y578" s="34" t="s">
        <v>64</v>
      </c>
      <c r="Z578"/>
      <c r="AD578"/>
      <c r="AE578"/>
      <c r="AF578"/>
      <c r="AG578"/>
    </row>
    <row r="579" spans="1:33" ht="16.149999999999999" customHeight="1" x14ac:dyDescent="0.15">
      <c r="A579" s="6">
        <v>573</v>
      </c>
      <c r="B579" s="18" t="s">
        <v>75</v>
      </c>
      <c r="C579" s="34" t="s">
        <v>2634</v>
      </c>
      <c r="D579" s="34" t="s">
        <v>2711</v>
      </c>
      <c r="E579" s="34" t="s">
        <v>77</v>
      </c>
      <c r="F579" s="19">
        <v>15026</v>
      </c>
      <c r="G579" s="6"/>
      <c r="H579" s="6" t="s">
        <v>2712</v>
      </c>
      <c r="I579" s="2"/>
      <c r="J579" s="38"/>
      <c r="K579" s="38"/>
      <c r="L579" s="38"/>
      <c r="M579" s="6" t="s">
        <v>2685</v>
      </c>
      <c r="N579" s="19">
        <v>100</v>
      </c>
      <c r="O579" s="6">
        <v>0</v>
      </c>
      <c r="P579" s="6">
        <v>65535</v>
      </c>
      <c r="Q579" s="38">
        <v>0</v>
      </c>
      <c r="R579" s="38">
        <v>655.35</v>
      </c>
      <c r="S579" s="34"/>
      <c r="T579" s="34"/>
      <c r="U579" s="34"/>
      <c r="V579" s="2"/>
      <c r="W579" s="36" t="s">
        <v>2713</v>
      </c>
      <c r="X579" s="2"/>
      <c r="Y579" s="34" t="s">
        <v>64</v>
      </c>
      <c r="Z579"/>
      <c r="AD579"/>
      <c r="AE579"/>
      <c r="AF579"/>
      <c r="AG579"/>
    </row>
    <row r="580" spans="1:33" ht="16.149999999999999" customHeight="1" x14ac:dyDescent="0.15">
      <c r="A580" s="6">
        <v>574</v>
      </c>
      <c r="B580" s="18" t="s">
        <v>75</v>
      </c>
      <c r="C580" s="34" t="s">
        <v>2634</v>
      </c>
      <c r="D580" s="126" t="s">
        <v>2714</v>
      </c>
      <c r="E580" s="34" t="s">
        <v>77</v>
      </c>
      <c r="F580" s="19">
        <v>15027</v>
      </c>
      <c r="G580" s="6"/>
      <c r="H580" s="6" t="s">
        <v>2715</v>
      </c>
      <c r="I580" s="2"/>
      <c r="J580" s="38"/>
      <c r="K580" s="38"/>
      <c r="L580" s="38"/>
      <c r="M580" s="6" t="s">
        <v>2685</v>
      </c>
      <c r="N580" s="19">
        <v>100</v>
      </c>
      <c r="O580" s="6">
        <v>0</v>
      </c>
      <c r="P580" s="6">
        <v>65535</v>
      </c>
      <c r="Q580" s="38">
        <v>0</v>
      </c>
      <c r="R580" s="38">
        <v>655.35</v>
      </c>
      <c r="S580" s="34"/>
      <c r="T580" s="34"/>
      <c r="U580" s="34"/>
      <c r="V580" s="2"/>
      <c r="W580" s="36" t="s">
        <v>2716</v>
      </c>
      <c r="X580" s="2"/>
      <c r="Y580" s="34" t="s">
        <v>64</v>
      </c>
      <c r="Z580"/>
      <c r="AD580"/>
      <c r="AE580"/>
      <c r="AF580"/>
      <c r="AG580"/>
    </row>
    <row r="581" spans="1:33" ht="16.149999999999999" customHeight="1" x14ac:dyDescent="0.15">
      <c r="A581" s="6">
        <v>575</v>
      </c>
      <c r="B581" s="18" t="s">
        <v>75</v>
      </c>
      <c r="C581" s="34" t="s">
        <v>2634</v>
      </c>
      <c r="D581" s="34" t="s">
        <v>2717</v>
      </c>
      <c r="E581" s="34" t="s">
        <v>77</v>
      </c>
      <c r="F581" s="19">
        <v>15028</v>
      </c>
      <c r="G581" s="6"/>
      <c r="H581" s="6" t="s">
        <v>2718</v>
      </c>
      <c r="I581" s="2"/>
      <c r="J581" s="38"/>
      <c r="K581" s="38"/>
      <c r="L581" s="38"/>
      <c r="M581" s="6" t="s">
        <v>560</v>
      </c>
      <c r="N581" s="19">
        <v>10</v>
      </c>
      <c r="O581" s="6">
        <v>0</v>
      </c>
      <c r="P581" s="6">
        <v>65535</v>
      </c>
      <c r="Q581" s="38">
        <v>0</v>
      </c>
      <c r="R581" s="38">
        <v>6553.5</v>
      </c>
      <c r="S581" s="34"/>
      <c r="T581" s="34"/>
      <c r="U581" s="34"/>
      <c r="V581" s="2"/>
      <c r="W581" s="36" t="s">
        <v>2719</v>
      </c>
      <c r="X581" s="2"/>
      <c r="Y581" s="34" t="s">
        <v>64</v>
      </c>
      <c r="Z581"/>
      <c r="AD581"/>
      <c r="AE581"/>
      <c r="AF581"/>
      <c r="AG581"/>
    </row>
    <row r="582" spans="1:33" ht="16.149999999999999" customHeight="1" x14ac:dyDescent="0.15">
      <c r="A582" s="6">
        <v>576</v>
      </c>
      <c r="B582" s="18" t="s">
        <v>75</v>
      </c>
      <c r="C582" s="34" t="s">
        <v>2634</v>
      </c>
      <c r="D582" s="126" t="s">
        <v>2720</v>
      </c>
      <c r="E582" s="34" t="s">
        <v>2348</v>
      </c>
      <c r="F582" s="19">
        <v>15029</v>
      </c>
      <c r="G582" s="6"/>
      <c r="H582" s="6" t="s">
        <v>2721</v>
      </c>
      <c r="I582" s="2"/>
      <c r="J582" s="38"/>
      <c r="K582" s="38"/>
      <c r="L582" s="38"/>
      <c r="M582" s="6" t="s">
        <v>61</v>
      </c>
      <c r="N582" s="19"/>
      <c r="O582" s="6" t="s">
        <v>62</v>
      </c>
      <c r="P582" s="6" t="s">
        <v>62</v>
      </c>
      <c r="Q582" s="38" t="s">
        <v>62</v>
      </c>
      <c r="R582" s="38" t="s">
        <v>62</v>
      </c>
      <c r="S582" s="34"/>
      <c r="T582" s="34"/>
      <c r="U582" s="34"/>
      <c r="V582" s="2"/>
      <c r="W582" s="36" t="s">
        <v>2722</v>
      </c>
      <c r="X582" s="2" t="s">
        <v>2723</v>
      </c>
      <c r="Y582" s="34" t="s">
        <v>64</v>
      </c>
      <c r="Z582"/>
      <c r="AD582"/>
      <c r="AE582"/>
      <c r="AF582"/>
      <c r="AG582"/>
    </row>
    <row r="583" spans="1:33" ht="16.149999999999999" customHeight="1" x14ac:dyDescent="0.15">
      <c r="A583" s="6">
        <v>577</v>
      </c>
      <c r="B583" s="18" t="s">
        <v>75</v>
      </c>
      <c r="C583" s="34" t="s">
        <v>2634</v>
      </c>
      <c r="D583" s="34" t="s">
        <v>2724</v>
      </c>
      <c r="E583" s="34" t="s">
        <v>2348</v>
      </c>
      <c r="F583" s="19">
        <v>15030</v>
      </c>
      <c r="G583" s="6"/>
      <c r="H583" s="6" t="s">
        <v>2725</v>
      </c>
      <c r="I583" s="2"/>
      <c r="J583" s="38"/>
      <c r="K583" s="38"/>
      <c r="L583" s="38"/>
      <c r="M583" s="6" t="s">
        <v>61</v>
      </c>
      <c r="N583" s="19"/>
      <c r="O583" s="38" t="s">
        <v>62</v>
      </c>
      <c r="P583" s="6" t="s">
        <v>62</v>
      </c>
      <c r="Q583" s="38" t="s">
        <v>62</v>
      </c>
      <c r="R583" s="38" t="s">
        <v>62</v>
      </c>
      <c r="S583" s="34"/>
      <c r="T583" s="34"/>
      <c r="U583" s="34"/>
      <c r="V583" s="8"/>
      <c r="W583" s="36" t="s">
        <v>2726</v>
      </c>
      <c r="X583" s="8" t="s">
        <v>2727</v>
      </c>
      <c r="Y583" s="34" t="s">
        <v>64</v>
      </c>
      <c r="Z583"/>
      <c r="AD583"/>
      <c r="AE583"/>
      <c r="AF583"/>
      <c r="AG583"/>
    </row>
    <row r="584" spans="1:33" ht="16.149999999999999" customHeight="1" x14ac:dyDescent="0.15">
      <c r="A584" s="6">
        <v>578</v>
      </c>
      <c r="B584" s="18" t="s">
        <v>75</v>
      </c>
      <c r="C584" s="34" t="s">
        <v>2634</v>
      </c>
      <c r="D584" s="126" t="s">
        <v>7323</v>
      </c>
      <c r="E584" s="34" t="s">
        <v>77</v>
      </c>
      <c r="F584" s="19">
        <v>15031</v>
      </c>
      <c r="G584" s="6"/>
      <c r="H584" s="6" t="s">
        <v>2729</v>
      </c>
      <c r="I584" s="2"/>
      <c r="J584" s="38"/>
      <c r="K584" s="38"/>
      <c r="L584" s="38"/>
      <c r="M584" s="6" t="s">
        <v>560</v>
      </c>
      <c r="N584" s="19">
        <v>10</v>
      </c>
      <c r="O584" s="38">
        <v>0</v>
      </c>
      <c r="P584" s="6">
        <v>65535</v>
      </c>
      <c r="Q584" s="38">
        <v>0</v>
      </c>
      <c r="R584" s="38">
        <v>6553.5</v>
      </c>
      <c r="S584" s="34"/>
      <c r="T584" s="34"/>
      <c r="U584" s="34"/>
      <c r="V584" s="8"/>
      <c r="W584" s="36" t="s">
        <v>8367</v>
      </c>
      <c r="X584" s="8"/>
      <c r="Y584" s="34" t="s">
        <v>64</v>
      </c>
      <c r="Z584"/>
      <c r="AD584"/>
      <c r="AE584"/>
      <c r="AF584"/>
      <c r="AG584"/>
    </row>
    <row r="585" spans="1:33" ht="16.149999999999999" customHeight="1" x14ac:dyDescent="0.15">
      <c r="A585" s="6">
        <v>579</v>
      </c>
      <c r="B585" s="18" t="s">
        <v>75</v>
      </c>
      <c r="C585" s="34" t="s">
        <v>2634</v>
      </c>
      <c r="D585" s="126" t="s">
        <v>7324</v>
      </c>
      <c r="E585" s="34" t="s">
        <v>77</v>
      </c>
      <c r="F585" s="19">
        <v>15032</v>
      </c>
      <c r="G585" s="6"/>
      <c r="H585" s="6" t="s">
        <v>2731</v>
      </c>
      <c r="I585" s="2"/>
      <c r="J585" s="38"/>
      <c r="K585" s="38"/>
      <c r="L585" s="38"/>
      <c r="M585" s="6" t="s">
        <v>560</v>
      </c>
      <c r="N585" s="19">
        <v>10</v>
      </c>
      <c r="O585" s="118">
        <v>0</v>
      </c>
      <c r="P585" s="6">
        <v>65535</v>
      </c>
      <c r="Q585" s="38">
        <v>0</v>
      </c>
      <c r="R585" s="38">
        <v>6553.5</v>
      </c>
      <c r="S585" s="34"/>
      <c r="T585" s="34"/>
      <c r="U585" s="34"/>
      <c r="V585" s="33"/>
      <c r="W585" s="36" t="s">
        <v>8368</v>
      </c>
      <c r="X585" s="33"/>
      <c r="Y585" s="34" t="s">
        <v>64</v>
      </c>
      <c r="Z585"/>
      <c r="AD585"/>
      <c r="AE585"/>
      <c r="AF585"/>
      <c r="AG585"/>
    </row>
    <row r="586" spans="1:33" ht="16.149999999999999" customHeight="1" x14ac:dyDescent="0.15">
      <c r="A586" s="6">
        <v>580</v>
      </c>
      <c r="B586" s="18" t="s">
        <v>75</v>
      </c>
      <c r="C586" s="34" t="s">
        <v>2634</v>
      </c>
      <c r="D586" s="126" t="s">
        <v>2733</v>
      </c>
      <c r="E586" s="34" t="s">
        <v>77</v>
      </c>
      <c r="F586" s="19">
        <v>15033</v>
      </c>
      <c r="G586" s="6"/>
      <c r="H586" s="6" t="s">
        <v>2734</v>
      </c>
      <c r="I586" s="2"/>
      <c r="J586" s="38"/>
      <c r="K586" s="38"/>
      <c r="L586" s="38"/>
      <c r="M586" s="6" t="s">
        <v>145</v>
      </c>
      <c r="N586" s="19">
        <v>1000</v>
      </c>
      <c r="O586" s="118">
        <v>0</v>
      </c>
      <c r="P586" s="6">
        <v>65535</v>
      </c>
      <c r="Q586" s="38">
        <v>0</v>
      </c>
      <c r="R586" s="38">
        <v>65.534999999999997</v>
      </c>
      <c r="S586" s="34"/>
      <c r="T586" s="34"/>
      <c r="U586" s="34"/>
      <c r="V586" s="33"/>
      <c r="W586" s="36" t="s">
        <v>2735</v>
      </c>
      <c r="X586" s="33"/>
      <c r="Y586" s="34" t="s">
        <v>64</v>
      </c>
      <c r="Z586"/>
      <c r="AD586"/>
      <c r="AE586"/>
      <c r="AF586"/>
      <c r="AG586"/>
    </row>
    <row r="587" spans="1:33" ht="16.149999999999999" customHeight="1" x14ac:dyDescent="0.15">
      <c r="A587" s="6">
        <v>581</v>
      </c>
      <c r="B587" s="18" t="s">
        <v>75</v>
      </c>
      <c r="C587" s="34" t="s">
        <v>2634</v>
      </c>
      <c r="D587" s="34" t="s">
        <v>2736</v>
      </c>
      <c r="E587" s="34" t="s">
        <v>77</v>
      </c>
      <c r="F587" s="19">
        <v>15034</v>
      </c>
      <c r="G587" s="6"/>
      <c r="H587" s="6" t="s">
        <v>2737</v>
      </c>
      <c r="I587" s="33"/>
      <c r="J587" s="38"/>
      <c r="K587" s="38"/>
      <c r="L587" s="38"/>
      <c r="M587" s="6" t="s">
        <v>145</v>
      </c>
      <c r="N587" s="19">
        <v>1000</v>
      </c>
      <c r="O587" s="38">
        <v>0</v>
      </c>
      <c r="P587" s="6">
        <v>65535</v>
      </c>
      <c r="Q587" s="38">
        <v>0</v>
      </c>
      <c r="R587" s="38">
        <v>65.534999999999997</v>
      </c>
      <c r="S587" s="34"/>
      <c r="T587" s="34"/>
      <c r="U587" s="34"/>
      <c r="V587" s="34"/>
      <c r="W587" s="36" t="s">
        <v>2738</v>
      </c>
      <c r="X587" s="34"/>
      <c r="Y587" s="34" t="s">
        <v>64</v>
      </c>
      <c r="Z587"/>
      <c r="AD587"/>
      <c r="AE587"/>
      <c r="AF587"/>
      <c r="AG587"/>
    </row>
    <row r="588" spans="1:33" ht="16.149999999999999" customHeight="1" x14ac:dyDescent="0.15">
      <c r="A588" s="6">
        <v>582</v>
      </c>
      <c r="B588" s="18" t="s">
        <v>75</v>
      </c>
      <c r="C588" s="34" t="s">
        <v>2634</v>
      </c>
      <c r="D588" s="34" t="s">
        <v>2739</v>
      </c>
      <c r="E588" s="34" t="s">
        <v>77</v>
      </c>
      <c r="F588" s="19">
        <v>15036</v>
      </c>
      <c r="G588" s="6"/>
      <c r="H588" s="6" t="s">
        <v>2740</v>
      </c>
      <c r="I588" s="33"/>
      <c r="J588" s="38"/>
      <c r="K588" s="38"/>
      <c r="L588" s="38"/>
      <c r="M588" s="6" t="s">
        <v>560</v>
      </c>
      <c r="N588" s="19">
        <v>10</v>
      </c>
      <c r="O588" s="19">
        <v>0</v>
      </c>
      <c r="P588" s="6">
        <v>65535</v>
      </c>
      <c r="Q588" s="38">
        <v>0</v>
      </c>
      <c r="R588" s="38">
        <v>6553.5</v>
      </c>
      <c r="S588" s="34"/>
      <c r="T588" s="34"/>
      <c r="U588" s="34"/>
      <c r="V588" s="34"/>
      <c r="W588" s="36" t="s">
        <v>2741</v>
      </c>
      <c r="X588" s="34"/>
      <c r="Y588" s="34" t="s">
        <v>64</v>
      </c>
      <c r="Z588" s="20"/>
      <c r="AA588" s="20"/>
      <c r="AB588" s="9"/>
      <c r="AC588" s="2"/>
      <c r="AD588"/>
      <c r="AE588"/>
      <c r="AF588"/>
      <c r="AG588"/>
    </row>
    <row r="589" spans="1:33" ht="16.149999999999999" customHeight="1" x14ac:dyDescent="0.15">
      <c r="A589" s="6">
        <v>583</v>
      </c>
      <c r="B589" s="18" t="s">
        <v>75</v>
      </c>
      <c r="C589" s="34" t="s">
        <v>2634</v>
      </c>
      <c r="D589" s="34" t="s">
        <v>2742</v>
      </c>
      <c r="E589" s="34" t="s">
        <v>77</v>
      </c>
      <c r="F589" s="19">
        <v>15037</v>
      </c>
      <c r="G589" s="6"/>
      <c r="H589" s="6" t="s">
        <v>2743</v>
      </c>
      <c r="I589" s="33"/>
      <c r="J589" s="38"/>
      <c r="K589" s="38"/>
      <c r="L589" s="38"/>
      <c r="M589" s="38" t="s">
        <v>560</v>
      </c>
      <c r="N589" s="19">
        <v>10</v>
      </c>
      <c r="O589" s="19">
        <v>0</v>
      </c>
      <c r="P589" s="6">
        <v>65535</v>
      </c>
      <c r="Q589" s="38">
        <v>0</v>
      </c>
      <c r="R589" s="38">
        <v>6553.5</v>
      </c>
      <c r="S589" s="34"/>
      <c r="T589" s="34"/>
      <c r="U589" s="34"/>
      <c r="V589" s="34"/>
      <c r="W589" s="36" t="s">
        <v>2744</v>
      </c>
      <c r="X589" s="34"/>
      <c r="Y589" s="34" t="s">
        <v>64</v>
      </c>
      <c r="Z589" s="20"/>
      <c r="AA589" s="20"/>
      <c r="AB589" s="9"/>
      <c r="AC589" s="2"/>
      <c r="AD589"/>
      <c r="AE589"/>
      <c r="AF589"/>
      <c r="AG589"/>
    </row>
    <row r="590" spans="1:33" ht="16.149999999999999" customHeight="1" x14ac:dyDescent="0.15">
      <c r="A590" s="6">
        <v>584</v>
      </c>
      <c r="B590" s="18" t="s">
        <v>75</v>
      </c>
      <c r="C590" s="34" t="s">
        <v>2634</v>
      </c>
      <c r="D590" s="34" t="s">
        <v>2745</v>
      </c>
      <c r="E590" s="34" t="s">
        <v>77</v>
      </c>
      <c r="F590" s="19">
        <v>15038</v>
      </c>
      <c r="G590" s="6"/>
      <c r="H590" s="6" t="s">
        <v>2746</v>
      </c>
      <c r="I590" s="33"/>
      <c r="J590" s="38"/>
      <c r="K590" s="38"/>
      <c r="L590" s="38"/>
      <c r="M590" s="38" t="s">
        <v>560</v>
      </c>
      <c r="N590" s="19">
        <v>10</v>
      </c>
      <c r="O590" s="19">
        <v>0</v>
      </c>
      <c r="P590" s="6">
        <v>65535</v>
      </c>
      <c r="Q590" s="38">
        <v>0</v>
      </c>
      <c r="R590" s="38">
        <v>6553.5</v>
      </c>
      <c r="S590" s="34"/>
      <c r="T590" s="34"/>
      <c r="U590" s="34"/>
      <c r="V590" s="34"/>
      <c r="W590" s="36" t="s">
        <v>2747</v>
      </c>
      <c r="X590" s="34"/>
      <c r="Y590" s="34" t="s">
        <v>64</v>
      </c>
      <c r="Z590" s="20"/>
      <c r="AA590" s="20"/>
      <c r="AB590" s="9"/>
      <c r="AC590" s="2"/>
      <c r="AD590"/>
      <c r="AE590"/>
      <c r="AF590"/>
      <c r="AG590"/>
    </row>
    <row r="591" spans="1:33" ht="16.149999999999999" customHeight="1" x14ac:dyDescent="0.15">
      <c r="A591" s="6">
        <v>585</v>
      </c>
      <c r="B591" s="18" t="s">
        <v>75</v>
      </c>
      <c r="C591" s="34" t="s">
        <v>2634</v>
      </c>
      <c r="D591" s="34" t="s">
        <v>2748</v>
      </c>
      <c r="E591" s="34" t="s">
        <v>77</v>
      </c>
      <c r="F591" s="19">
        <v>15039</v>
      </c>
      <c r="G591" s="6"/>
      <c r="H591" s="6" t="s">
        <v>2749</v>
      </c>
      <c r="I591" s="33"/>
      <c r="J591" s="38"/>
      <c r="K591" s="38"/>
      <c r="L591" s="38"/>
      <c r="M591" s="38" t="s">
        <v>560</v>
      </c>
      <c r="N591" s="19">
        <v>10</v>
      </c>
      <c r="O591" s="19">
        <v>0</v>
      </c>
      <c r="P591" s="6">
        <v>65535</v>
      </c>
      <c r="Q591" s="38">
        <v>0</v>
      </c>
      <c r="R591" s="38">
        <v>6553.5</v>
      </c>
      <c r="S591" s="34"/>
      <c r="T591" s="34"/>
      <c r="U591" s="34"/>
      <c r="V591" s="34"/>
      <c r="W591" s="36" t="s">
        <v>2750</v>
      </c>
      <c r="X591" s="34"/>
      <c r="Y591" s="34" t="s">
        <v>64</v>
      </c>
      <c r="Z591" s="20"/>
      <c r="AA591" s="20"/>
      <c r="AB591" s="9"/>
      <c r="AC591" s="2"/>
      <c r="AD591"/>
      <c r="AE591"/>
      <c r="AF591"/>
      <c r="AG591"/>
    </row>
    <row r="592" spans="1:33" ht="16.149999999999999" customHeight="1" x14ac:dyDescent="0.15">
      <c r="A592" s="6">
        <v>586</v>
      </c>
      <c r="B592" s="18" t="s">
        <v>75</v>
      </c>
      <c r="C592" s="34" t="s">
        <v>2634</v>
      </c>
      <c r="D592" s="34" t="s">
        <v>7325</v>
      </c>
      <c r="E592" s="34" t="s">
        <v>77</v>
      </c>
      <c r="F592" s="19">
        <v>15042</v>
      </c>
      <c r="G592" s="6"/>
      <c r="H592" s="6" t="s">
        <v>8168</v>
      </c>
      <c r="I592" s="33"/>
      <c r="J592" s="38"/>
      <c r="K592" s="38"/>
      <c r="L592" s="38"/>
      <c r="M592" s="38" t="s">
        <v>560</v>
      </c>
      <c r="N592" s="19">
        <v>1</v>
      </c>
      <c r="O592" s="19">
        <v>0</v>
      </c>
      <c r="P592" s="6">
        <v>65535</v>
      </c>
      <c r="Q592" s="38">
        <v>0</v>
      </c>
      <c r="R592" s="38">
        <v>65535</v>
      </c>
      <c r="S592" s="34"/>
      <c r="T592" s="34"/>
      <c r="U592" s="34"/>
      <c r="V592" s="34"/>
      <c r="W592" s="36" t="s">
        <v>8369</v>
      </c>
      <c r="X592" s="34"/>
      <c r="Y592" s="34" t="s">
        <v>64</v>
      </c>
      <c r="Z592" s="20"/>
      <c r="AA592" s="20"/>
      <c r="AB592" s="9"/>
      <c r="AC592" s="2"/>
      <c r="AD592"/>
      <c r="AE592"/>
      <c r="AF592"/>
      <c r="AG592"/>
    </row>
    <row r="593" spans="1:33" ht="16.149999999999999" customHeight="1" x14ac:dyDescent="0.15">
      <c r="A593" s="6">
        <v>587</v>
      </c>
      <c r="B593" s="18" t="s">
        <v>75</v>
      </c>
      <c r="C593" s="34" t="s">
        <v>2634</v>
      </c>
      <c r="D593" s="34" t="s">
        <v>7326</v>
      </c>
      <c r="E593" s="34" t="s">
        <v>77</v>
      </c>
      <c r="F593" s="19">
        <v>15043</v>
      </c>
      <c r="G593" s="6"/>
      <c r="H593" s="6" t="s">
        <v>8169</v>
      </c>
      <c r="I593" s="33"/>
      <c r="J593" s="38"/>
      <c r="K593" s="38"/>
      <c r="L593" s="38"/>
      <c r="M593" s="38" t="s">
        <v>560</v>
      </c>
      <c r="N593" s="19">
        <v>1</v>
      </c>
      <c r="O593" s="19">
        <v>0</v>
      </c>
      <c r="P593" s="6">
        <v>65535</v>
      </c>
      <c r="Q593" s="38">
        <v>0</v>
      </c>
      <c r="R593" s="38">
        <v>65535</v>
      </c>
      <c r="S593" s="34"/>
      <c r="T593" s="34"/>
      <c r="U593" s="34"/>
      <c r="V593" s="34"/>
      <c r="W593" s="36" t="s">
        <v>8370</v>
      </c>
      <c r="X593" s="34"/>
      <c r="Y593" s="34" t="s">
        <v>64</v>
      </c>
      <c r="Z593" s="20"/>
      <c r="AA593" s="20"/>
      <c r="AB593" s="9"/>
      <c r="AC593" s="2"/>
      <c r="AD593"/>
      <c r="AE593"/>
      <c r="AF593"/>
      <c r="AG593"/>
    </row>
    <row r="594" spans="1:33" ht="16.149999999999999" customHeight="1" x14ac:dyDescent="0.15">
      <c r="A594" s="6">
        <v>588</v>
      </c>
      <c r="B594" s="18" t="s">
        <v>75</v>
      </c>
      <c r="C594" s="34" t="s">
        <v>2634</v>
      </c>
      <c r="D594" s="34" t="s">
        <v>2754</v>
      </c>
      <c r="E594" s="2" t="s">
        <v>143</v>
      </c>
      <c r="F594" s="19">
        <v>15050</v>
      </c>
      <c r="G594" s="6"/>
      <c r="H594" s="6" t="s">
        <v>2755</v>
      </c>
      <c r="I594" s="33"/>
      <c r="J594" s="38"/>
      <c r="K594" s="38"/>
      <c r="L594" s="38"/>
      <c r="M594" s="38" t="s">
        <v>560</v>
      </c>
      <c r="N594" s="19">
        <v>10</v>
      </c>
      <c r="O594" s="19">
        <v>-32768</v>
      </c>
      <c r="P594" s="6">
        <v>32767</v>
      </c>
      <c r="Q594" s="38">
        <v>-3276.8</v>
      </c>
      <c r="R594" s="38">
        <v>3276.7</v>
      </c>
      <c r="S594" s="34"/>
      <c r="T594" s="34"/>
      <c r="U594" s="34"/>
      <c r="V594" s="34"/>
      <c r="W594" s="36" t="s">
        <v>2756</v>
      </c>
      <c r="X594" s="34"/>
      <c r="Y594" s="34" t="s">
        <v>64</v>
      </c>
      <c r="Z594" s="20"/>
      <c r="AA594" s="20"/>
      <c r="AB594" s="9"/>
      <c r="AC594" s="2"/>
      <c r="AD594"/>
      <c r="AE594"/>
      <c r="AF594"/>
      <c r="AG594"/>
    </row>
    <row r="595" spans="1:33" ht="16.149999999999999" customHeight="1" x14ac:dyDescent="0.15">
      <c r="A595" s="6">
        <v>589</v>
      </c>
      <c r="B595" s="18" t="s">
        <v>75</v>
      </c>
      <c r="C595" s="34" t="s">
        <v>2634</v>
      </c>
      <c r="D595" s="34" t="s">
        <v>2757</v>
      </c>
      <c r="E595" s="2" t="s">
        <v>143</v>
      </c>
      <c r="F595" s="19">
        <v>15051</v>
      </c>
      <c r="G595" s="6"/>
      <c r="H595" s="6" t="s">
        <v>2758</v>
      </c>
      <c r="I595" s="33"/>
      <c r="J595" s="38"/>
      <c r="K595" s="38"/>
      <c r="L595" s="38"/>
      <c r="M595" s="38" t="s">
        <v>560</v>
      </c>
      <c r="N595" s="19">
        <v>10</v>
      </c>
      <c r="O595" s="19">
        <v>-32768</v>
      </c>
      <c r="P595" s="6">
        <v>32767</v>
      </c>
      <c r="Q595" s="38">
        <v>-3276.8</v>
      </c>
      <c r="R595" s="38">
        <v>3276.7</v>
      </c>
      <c r="S595" s="34"/>
      <c r="T595" s="34"/>
      <c r="U595" s="34"/>
      <c r="V595" s="34"/>
      <c r="W595" s="36" t="s">
        <v>2759</v>
      </c>
      <c r="X595" s="34"/>
      <c r="Y595" s="34" t="s">
        <v>64</v>
      </c>
      <c r="Z595" s="20"/>
      <c r="AA595" s="20"/>
      <c r="AB595" s="9"/>
      <c r="AC595" s="2"/>
      <c r="AD595"/>
      <c r="AE595"/>
      <c r="AF595"/>
      <c r="AG595"/>
    </row>
    <row r="596" spans="1:33" ht="16.149999999999999" customHeight="1" x14ac:dyDescent="0.15">
      <c r="A596" s="6">
        <v>590</v>
      </c>
      <c r="B596" s="18" t="s">
        <v>75</v>
      </c>
      <c r="C596" s="34" t="s">
        <v>2634</v>
      </c>
      <c r="D596" s="122" t="s">
        <v>2760</v>
      </c>
      <c r="E596" s="34" t="s">
        <v>2348</v>
      </c>
      <c r="F596" s="19">
        <v>15054</v>
      </c>
      <c r="G596" s="103"/>
      <c r="H596" s="6" t="s">
        <v>2761</v>
      </c>
      <c r="I596" s="119"/>
      <c r="J596" s="38"/>
      <c r="K596" s="38"/>
      <c r="L596" s="38"/>
      <c r="M596" s="6" t="s">
        <v>61</v>
      </c>
      <c r="N596" s="19"/>
      <c r="O596" s="19" t="s">
        <v>62</v>
      </c>
      <c r="P596" s="6" t="s">
        <v>62</v>
      </c>
      <c r="Q596" s="38" t="s">
        <v>62</v>
      </c>
      <c r="R596" s="38" t="s">
        <v>62</v>
      </c>
      <c r="S596" s="34"/>
      <c r="T596" s="34"/>
      <c r="U596" s="34"/>
      <c r="V596" s="34"/>
      <c r="W596" s="36" t="s">
        <v>2762</v>
      </c>
      <c r="X596" s="34" t="s">
        <v>2763</v>
      </c>
      <c r="Y596" s="34" t="s">
        <v>64</v>
      </c>
      <c r="Z596" s="20"/>
      <c r="AA596" s="20"/>
      <c r="AB596" s="9"/>
      <c r="AC596" s="2"/>
      <c r="AD596"/>
      <c r="AE596"/>
      <c r="AF596"/>
      <c r="AG596"/>
    </row>
    <row r="597" spans="1:33" ht="16.149999999999999" customHeight="1" x14ac:dyDescent="0.15">
      <c r="A597" s="6">
        <v>591</v>
      </c>
      <c r="B597" s="18" t="s">
        <v>75</v>
      </c>
      <c r="C597" s="34" t="s">
        <v>2634</v>
      </c>
      <c r="D597" s="122" t="s">
        <v>2764</v>
      </c>
      <c r="E597" s="34" t="s">
        <v>77</v>
      </c>
      <c r="F597" s="19">
        <v>15055</v>
      </c>
      <c r="G597" s="103"/>
      <c r="H597" s="6" t="s">
        <v>2765</v>
      </c>
      <c r="I597" s="119"/>
      <c r="J597" s="38"/>
      <c r="K597" s="38"/>
      <c r="L597" s="38"/>
      <c r="M597" s="6" t="s">
        <v>560</v>
      </c>
      <c r="N597" s="19">
        <v>100</v>
      </c>
      <c r="O597" s="19">
        <v>0</v>
      </c>
      <c r="P597" s="6">
        <v>65535</v>
      </c>
      <c r="Q597" s="38">
        <v>0</v>
      </c>
      <c r="R597" s="38">
        <v>655.35</v>
      </c>
      <c r="S597" s="34"/>
      <c r="T597" s="34"/>
      <c r="U597" s="34"/>
      <c r="V597" s="34"/>
      <c r="W597" s="36" t="s">
        <v>2766</v>
      </c>
      <c r="X597" s="34"/>
      <c r="Y597" s="34" t="s">
        <v>64</v>
      </c>
      <c r="Z597" s="20"/>
      <c r="AA597" s="20"/>
      <c r="AB597" s="9"/>
      <c r="AC597" s="2"/>
      <c r="AD597"/>
      <c r="AE597"/>
      <c r="AF597"/>
      <c r="AG597"/>
    </row>
    <row r="598" spans="1:33" ht="16.149999999999999" customHeight="1" x14ac:dyDescent="0.15">
      <c r="A598" s="6">
        <v>592</v>
      </c>
      <c r="B598" s="18" t="s">
        <v>75</v>
      </c>
      <c r="C598" s="34" t="s">
        <v>2634</v>
      </c>
      <c r="D598" s="122" t="s">
        <v>2767</v>
      </c>
      <c r="E598" s="34" t="s">
        <v>77</v>
      </c>
      <c r="F598" s="19">
        <v>15056</v>
      </c>
      <c r="G598" s="103"/>
      <c r="H598" s="6" t="s">
        <v>2768</v>
      </c>
      <c r="I598" s="119"/>
      <c r="J598" s="38"/>
      <c r="K598" s="38"/>
      <c r="L598" s="38"/>
      <c r="M598" s="6" t="s">
        <v>560</v>
      </c>
      <c r="N598" s="19">
        <v>100</v>
      </c>
      <c r="O598" s="19">
        <v>0</v>
      </c>
      <c r="P598" s="6">
        <v>65535</v>
      </c>
      <c r="Q598" s="38">
        <v>0</v>
      </c>
      <c r="R598" s="38">
        <v>655.35</v>
      </c>
      <c r="S598" s="34"/>
      <c r="T598" s="34"/>
      <c r="U598" s="34"/>
      <c r="V598" s="34"/>
      <c r="W598" s="36" t="s">
        <v>2769</v>
      </c>
      <c r="X598" s="34"/>
      <c r="Y598" s="34" t="s">
        <v>64</v>
      </c>
      <c r="Z598" s="20"/>
      <c r="AA598" s="20"/>
      <c r="AB598" s="9"/>
      <c r="AC598" s="2"/>
      <c r="AD598"/>
      <c r="AE598"/>
      <c r="AF598"/>
      <c r="AG598"/>
    </row>
    <row r="599" spans="1:33" ht="16.149999999999999" customHeight="1" x14ac:dyDescent="0.15">
      <c r="A599" s="6">
        <v>593</v>
      </c>
      <c r="B599" s="18" t="s">
        <v>75</v>
      </c>
      <c r="C599" s="34" t="s">
        <v>2634</v>
      </c>
      <c r="D599" s="34" t="s">
        <v>2770</v>
      </c>
      <c r="E599" s="34" t="s">
        <v>2348</v>
      </c>
      <c r="F599" s="19">
        <v>15059</v>
      </c>
      <c r="G599" s="6"/>
      <c r="H599" s="6" t="s">
        <v>2771</v>
      </c>
      <c r="I599" s="2"/>
      <c r="J599" s="38"/>
      <c r="K599" s="38"/>
      <c r="L599" s="38"/>
      <c r="M599" s="6" t="s">
        <v>61</v>
      </c>
      <c r="N599" s="19"/>
      <c r="O599" s="19" t="s">
        <v>62</v>
      </c>
      <c r="P599" s="6" t="s">
        <v>62</v>
      </c>
      <c r="Q599" s="38" t="s">
        <v>62</v>
      </c>
      <c r="R599" s="38" t="s">
        <v>62</v>
      </c>
      <c r="S599" s="34"/>
      <c r="T599" s="34"/>
      <c r="U599" s="34"/>
      <c r="V599" s="34"/>
      <c r="W599" s="36" t="s">
        <v>2772</v>
      </c>
      <c r="X599" s="34" t="s">
        <v>2763</v>
      </c>
      <c r="Y599" s="8"/>
      <c r="Z599" s="20"/>
      <c r="AA599" s="20"/>
      <c r="AB599" s="9"/>
      <c r="AC599" s="2"/>
      <c r="AD599"/>
      <c r="AE599"/>
      <c r="AF599"/>
      <c r="AG599"/>
    </row>
    <row r="600" spans="1:33" ht="16.149999999999999" customHeight="1" x14ac:dyDescent="0.15">
      <c r="A600" s="6">
        <v>594</v>
      </c>
      <c r="B600" s="18" t="s">
        <v>75</v>
      </c>
      <c r="C600" s="34" t="s">
        <v>2634</v>
      </c>
      <c r="D600" s="34" t="s">
        <v>2773</v>
      </c>
      <c r="E600" s="34" t="s">
        <v>2348</v>
      </c>
      <c r="F600" s="19">
        <v>15060</v>
      </c>
      <c r="G600" s="6"/>
      <c r="H600" s="6" t="s">
        <v>2774</v>
      </c>
      <c r="I600" s="2"/>
      <c r="J600" s="38"/>
      <c r="K600" s="38"/>
      <c r="L600" s="38"/>
      <c r="M600" s="6" t="s">
        <v>61</v>
      </c>
      <c r="N600" s="19"/>
      <c r="O600" s="19" t="s">
        <v>62</v>
      </c>
      <c r="P600" s="6" t="s">
        <v>62</v>
      </c>
      <c r="Q600" s="38" t="s">
        <v>62</v>
      </c>
      <c r="R600" s="38" t="s">
        <v>62</v>
      </c>
      <c r="S600" s="34"/>
      <c r="T600" s="34"/>
      <c r="U600" s="34"/>
      <c r="V600" s="34"/>
      <c r="W600" s="36" t="s">
        <v>2775</v>
      </c>
      <c r="X600" s="34" t="s">
        <v>2763</v>
      </c>
      <c r="Y600" s="34" t="s">
        <v>64</v>
      </c>
      <c r="Z600" s="20"/>
      <c r="AA600" s="20"/>
      <c r="AB600" s="9"/>
      <c r="AC600" s="2"/>
      <c r="AD600"/>
      <c r="AE600"/>
      <c r="AF600"/>
      <c r="AG600"/>
    </row>
    <row r="601" spans="1:33" ht="16.149999999999999" customHeight="1" x14ac:dyDescent="0.15">
      <c r="A601" s="6">
        <v>595</v>
      </c>
      <c r="B601" s="18" t="s">
        <v>75</v>
      </c>
      <c r="C601" s="34" t="s">
        <v>2634</v>
      </c>
      <c r="D601" s="34" t="s">
        <v>2776</v>
      </c>
      <c r="E601" s="34" t="s">
        <v>77</v>
      </c>
      <c r="F601" s="19">
        <v>15061</v>
      </c>
      <c r="G601" s="6"/>
      <c r="H601" s="6" t="s">
        <v>2777</v>
      </c>
      <c r="I601" s="2"/>
      <c r="J601" s="38"/>
      <c r="K601" s="38"/>
      <c r="L601" s="38"/>
      <c r="M601" s="6" t="s">
        <v>582</v>
      </c>
      <c r="N601" s="19">
        <v>1</v>
      </c>
      <c r="O601" s="19">
        <v>0</v>
      </c>
      <c r="P601" s="6">
        <v>65535</v>
      </c>
      <c r="Q601" s="38">
        <v>0</v>
      </c>
      <c r="R601" s="38">
        <v>65535</v>
      </c>
      <c r="S601" s="34"/>
      <c r="T601" s="34"/>
      <c r="U601" s="34"/>
      <c r="V601" s="34"/>
      <c r="W601" s="36" t="s">
        <v>2778</v>
      </c>
      <c r="X601" s="34"/>
      <c r="Y601" s="34" t="s">
        <v>64</v>
      </c>
      <c r="Z601" s="20"/>
      <c r="AA601" s="20"/>
      <c r="AB601" s="9"/>
      <c r="AC601" s="2"/>
      <c r="AD601"/>
      <c r="AE601"/>
      <c r="AF601"/>
      <c r="AG601"/>
    </row>
    <row r="602" spans="1:33" ht="16.149999999999999" customHeight="1" x14ac:dyDescent="0.15">
      <c r="A602" s="6">
        <v>596</v>
      </c>
      <c r="B602" s="18" t="s">
        <v>75</v>
      </c>
      <c r="C602" s="34" t="s">
        <v>2634</v>
      </c>
      <c r="D602" s="34" t="s">
        <v>2779</v>
      </c>
      <c r="E602" s="34" t="s">
        <v>77</v>
      </c>
      <c r="F602" s="19">
        <v>15062</v>
      </c>
      <c r="G602" s="6"/>
      <c r="H602" s="6" t="s">
        <v>2780</v>
      </c>
      <c r="I602" s="2"/>
      <c r="J602" s="38"/>
      <c r="K602" s="38"/>
      <c r="L602" s="38"/>
      <c r="M602" s="6" t="s">
        <v>582</v>
      </c>
      <c r="N602" s="19">
        <v>1</v>
      </c>
      <c r="O602" s="19">
        <v>0</v>
      </c>
      <c r="P602" s="6">
        <v>65535</v>
      </c>
      <c r="Q602" s="38">
        <v>0</v>
      </c>
      <c r="R602" s="38">
        <v>65535</v>
      </c>
      <c r="S602" s="34"/>
      <c r="T602" s="34"/>
      <c r="U602" s="34"/>
      <c r="V602" s="34"/>
      <c r="W602" s="36" t="s">
        <v>2781</v>
      </c>
      <c r="X602" s="34"/>
      <c r="Y602" s="34" t="s">
        <v>64</v>
      </c>
      <c r="Z602" s="20"/>
      <c r="AA602" s="20"/>
      <c r="AB602" s="9"/>
      <c r="AC602" s="2"/>
      <c r="AD602"/>
      <c r="AE602"/>
      <c r="AF602"/>
      <c r="AG602"/>
    </row>
    <row r="603" spans="1:33" ht="16.149999999999999" customHeight="1" x14ac:dyDescent="0.15">
      <c r="A603" s="6">
        <v>597</v>
      </c>
      <c r="B603" s="18" t="s">
        <v>75</v>
      </c>
      <c r="C603" s="34" t="s">
        <v>2634</v>
      </c>
      <c r="D603" s="34" t="s">
        <v>2782</v>
      </c>
      <c r="E603" s="34" t="s">
        <v>77</v>
      </c>
      <c r="F603" s="19">
        <v>15063</v>
      </c>
      <c r="G603" s="6"/>
      <c r="H603" s="6" t="s">
        <v>2783</v>
      </c>
      <c r="I603" s="2"/>
      <c r="J603" s="38"/>
      <c r="K603" s="38"/>
      <c r="L603" s="38"/>
      <c r="M603" s="6" t="s">
        <v>149</v>
      </c>
      <c r="N603" s="19">
        <v>100</v>
      </c>
      <c r="O603" s="19">
        <v>0</v>
      </c>
      <c r="P603" s="6">
        <v>65535</v>
      </c>
      <c r="Q603" s="38">
        <v>0</v>
      </c>
      <c r="R603" s="38">
        <v>655.35</v>
      </c>
      <c r="S603" s="34"/>
      <c r="T603" s="34"/>
      <c r="U603" s="34"/>
      <c r="V603" s="34"/>
      <c r="W603" s="36" t="s">
        <v>2784</v>
      </c>
      <c r="X603" s="34"/>
      <c r="Y603" s="34" t="s">
        <v>64</v>
      </c>
      <c r="Z603" s="20"/>
      <c r="AA603" s="20"/>
      <c r="AB603" s="9"/>
      <c r="AC603" s="2"/>
      <c r="AD603"/>
      <c r="AE603"/>
      <c r="AF603"/>
      <c r="AG603"/>
    </row>
    <row r="604" spans="1:33" ht="16.149999999999999" customHeight="1" x14ac:dyDescent="0.15">
      <c r="A604" s="6">
        <v>598</v>
      </c>
      <c r="B604" s="18" t="s">
        <v>75</v>
      </c>
      <c r="C604" s="34" t="s">
        <v>2634</v>
      </c>
      <c r="D604" s="34" t="s">
        <v>2785</v>
      </c>
      <c r="E604" s="34" t="s">
        <v>77</v>
      </c>
      <c r="F604" s="19">
        <v>15064</v>
      </c>
      <c r="G604" s="6"/>
      <c r="H604" s="6" t="s">
        <v>2786</v>
      </c>
      <c r="I604" s="2"/>
      <c r="J604" s="38"/>
      <c r="K604" s="38"/>
      <c r="L604" s="38"/>
      <c r="M604" s="6" t="s">
        <v>149</v>
      </c>
      <c r="N604" s="19">
        <v>100</v>
      </c>
      <c r="O604" s="19">
        <v>0</v>
      </c>
      <c r="P604" s="6">
        <v>65535</v>
      </c>
      <c r="Q604" s="38">
        <v>0</v>
      </c>
      <c r="R604" s="38">
        <v>655.35</v>
      </c>
      <c r="S604" s="34"/>
      <c r="T604" s="34"/>
      <c r="U604" s="34"/>
      <c r="V604" s="34"/>
      <c r="W604" s="36" t="s">
        <v>2787</v>
      </c>
      <c r="X604" s="34"/>
      <c r="Y604" s="34" t="s">
        <v>64</v>
      </c>
      <c r="Z604" s="20"/>
      <c r="AA604" s="20"/>
      <c r="AB604" s="9"/>
      <c r="AC604" s="2"/>
      <c r="AD604"/>
      <c r="AE604"/>
      <c r="AF604"/>
      <c r="AG604"/>
    </row>
    <row r="605" spans="1:33" ht="16.149999999999999" customHeight="1" x14ac:dyDescent="0.15">
      <c r="A605" s="6">
        <v>599</v>
      </c>
      <c r="B605" s="18" t="s">
        <v>75</v>
      </c>
      <c r="C605" s="34" t="s">
        <v>2634</v>
      </c>
      <c r="D605" s="34" t="s">
        <v>2788</v>
      </c>
      <c r="E605" s="34" t="s">
        <v>77</v>
      </c>
      <c r="F605" s="19">
        <v>15065</v>
      </c>
      <c r="G605" s="6"/>
      <c r="H605" s="6" t="s">
        <v>2789</v>
      </c>
      <c r="I605" s="2"/>
      <c r="J605" s="38"/>
      <c r="K605" s="38"/>
      <c r="L605" s="38"/>
      <c r="M605" s="6" t="s">
        <v>113</v>
      </c>
      <c r="N605" s="19">
        <v>10</v>
      </c>
      <c r="O605" s="19">
        <v>0</v>
      </c>
      <c r="P605" s="6">
        <v>65535</v>
      </c>
      <c r="Q605" s="38">
        <v>0</v>
      </c>
      <c r="R605" s="38">
        <v>6553.5</v>
      </c>
      <c r="S605" s="34"/>
      <c r="T605" s="34"/>
      <c r="U605" s="34"/>
      <c r="V605" s="34"/>
      <c r="W605" s="36" t="s">
        <v>2790</v>
      </c>
      <c r="X605" s="34"/>
      <c r="Y605" s="34" t="s">
        <v>64</v>
      </c>
      <c r="Z605" s="20"/>
      <c r="AA605" s="20"/>
      <c r="AB605" s="9"/>
      <c r="AC605" s="2"/>
      <c r="AD605"/>
      <c r="AE605"/>
      <c r="AF605"/>
      <c r="AG605"/>
    </row>
    <row r="606" spans="1:33" ht="16.149999999999999" customHeight="1" x14ac:dyDescent="0.15">
      <c r="A606" s="6">
        <v>600</v>
      </c>
      <c r="B606" s="18" t="s">
        <v>75</v>
      </c>
      <c r="C606" s="34" t="s">
        <v>2634</v>
      </c>
      <c r="D606" s="34" t="s">
        <v>7327</v>
      </c>
      <c r="E606" s="34" t="s">
        <v>2348</v>
      </c>
      <c r="F606" s="19">
        <v>15068</v>
      </c>
      <c r="G606" s="6"/>
      <c r="H606" s="6" t="s">
        <v>8170</v>
      </c>
      <c r="I606" s="2"/>
      <c r="J606" s="38"/>
      <c r="K606" s="38"/>
      <c r="L606" s="38"/>
      <c r="M606" s="6" t="s">
        <v>61</v>
      </c>
      <c r="N606" s="19"/>
      <c r="O606" s="19" t="s">
        <v>62</v>
      </c>
      <c r="P606" s="6" t="s">
        <v>62</v>
      </c>
      <c r="Q606" s="38" t="s">
        <v>62</v>
      </c>
      <c r="R606" s="38" t="s">
        <v>62</v>
      </c>
      <c r="S606" s="34"/>
      <c r="T606" s="34"/>
      <c r="U606" s="34"/>
      <c r="V606" s="34"/>
      <c r="W606" s="36" t="s">
        <v>8371</v>
      </c>
      <c r="X606" s="34" t="s">
        <v>2763</v>
      </c>
      <c r="Y606" s="34" t="s">
        <v>64</v>
      </c>
      <c r="Z606" s="20"/>
      <c r="AA606" s="20"/>
      <c r="AB606" s="9"/>
      <c r="AC606" s="2"/>
      <c r="AD606"/>
      <c r="AE606"/>
      <c r="AF606"/>
      <c r="AG606"/>
    </row>
    <row r="607" spans="1:33" ht="16.149999999999999" customHeight="1" x14ac:dyDescent="0.15">
      <c r="A607" s="6">
        <v>601</v>
      </c>
      <c r="B607" s="18" t="s">
        <v>75</v>
      </c>
      <c r="C607" s="34" t="s">
        <v>2634</v>
      </c>
      <c r="D607" s="34" t="s">
        <v>7328</v>
      </c>
      <c r="E607" s="34" t="s">
        <v>77</v>
      </c>
      <c r="F607" s="19">
        <v>15069</v>
      </c>
      <c r="G607" s="103"/>
      <c r="H607" s="6" t="s">
        <v>8171</v>
      </c>
      <c r="I607" s="124"/>
      <c r="J607" s="38"/>
      <c r="K607" s="38"/>
      <c r="L607" s="38"/>
      <c r="M607" s="6" t="s">
        <v>100</v>
      </c>
      <c r="N607" s="19">
        <v>1</v>
      </c>
      <c r="O607" s="19">
        <v>0</v>
      </c>
      <c r="P607" s="6">
        <v>65535</v>
      </c>
      <c r="Q607" s="38">
        <v>0</v>
      </c>
      <c r="R607" s="38">
        <v>65535</v>
      </c>
      <c r="S607" s="34"/>
      <c r="T607" s="34"/>
      <c r="U607" s="34"/>
      <c r="V607" s="34"/>
      <c r="W607" s="36" t="s">
        <v>8372</v>
      </c>
      <c r="X607" s="34"/>
      <c r="Y607" s="34" t="s">
        <v>64</v>
      </c>
      <c r="Z607" s="20"/>
      <c r="AA607" s="20"/>
      <c r="AB607" s="9"/>
      <c r="AC607" s="2"/>
      <c r="AD607"/>
      <c r="AE607"/>
      <c r="AF607"/>
      <c r="AG607"/>
    </row>
    <row r="608" spans="1:33" ht="16.149999999999999" customHeight="1" x14ac:dyDescent="0.15">
      <c r="A608" s="6">
        <v>602</v>
      </c>
      <c r="B608" s="18" t="s">
        <v>75</v>
      </c>
      <c r="C608" s="34" t="s">
        <v>2634</v>
      </c>
      <c r="D608" s="34" t="s">
        <v>2791</v>
      </c>
      <c r="E608" s="34" t="s">
        <v>2348</v>
      </c>
      <c r="F608" s="19">
        <v>15072</v>
      </c>
      <c r="G608" s="103"/>
      <c r="H608" s="6" t="s">
        <v>2792</v>
      </c>
      <c r="I608" s="124"/>
      <c r="J608" s="38"/>
      <c r="K608" s="38"/>
      <c r="L608" s="38"/>
      <c r="M608" s="6" t="s">
        <v>61</v>
      </c>
      <c r="N608" s="19"/>
      <c r="O608" s="19" t="s">
        <v>62</v>
      </c>
      <c r="P608" s="6" t="s">
        <v>62</v>
      </c>
      <c r="Q608" s="38" t="s">
        <v>62</v>
      </c>
      <c r="R608" s="38" t="s">
        <v>62</v>
      </c>
      <c r="S608" s="34"/>
      <c r="T608" s="34"/>
      <c r="U608" s="34"/>
      <c r="V608" s="34"/>
      <c r="W608" s="36" t="s">
        <v>2793</v>
      </c>
      <c r="X608" s="34" t="s">
        <v>2763</v>
      </c>
      <c r="Y608" s="34" t="s">
        <v>64</v>
      </c>
      <c r="Z608" s="20"/>
      <c r="AA608" s="20"/>
      <c r="AB608" s="9"/>
      <c r="AC608" s="2"/>
      <c r="AD608"/>
      <c r="AE608"/>
      <c r="AF608"/>
      <c r="AG608"/>
    </row>
    <row r="609" spans="1:33" ht="16.149999999999999" customHeight="1" x14ac:dyDescent="0.15">
      <c r="A609" s="6">
        <v>603</v>
      </c>
      <c r="B609" s="18" t="s">
        <v>75</v>
      </c>
      <c r="C609" s="34" t="s">
        <v>2634</v>
      </c>
      <c r="D609" s="34" t="s">
        <v>7329</v>
      </c>
      <c r="E609" s="34" t="s">
        <v>2348</v>
      </c>
      <c r="F609" s="19">
        <v>15073</v>
      </c>
      <c r="G609" s="103"/>
      <c r="H609" s="6" t="s">
        <v>8172</v>
      </c>
      <c r="I609" s="124"/>
      <c r="J609" s="38"/>
      <c r="K609" s="38"/>
      <c r="L609" s="38"/>
      <c r="M609" s="6" t="s">
        <v>61</v>
      </c>
      <c r="N609" s="19"/>
      <c r="O609" s="19" t="s">
        <v>62</v>
      </c>
      <c r="P609" s="6" t="s">
        <v>62</v>
      </c>
      <c r="Q609" s="38" t="s">
        <v>62</v>
      </c>
      <c r="R609" s="38" t="s">
        <v>62</v>
      </c>
      <c r="S609" s="34"/>
      <c r="T609" s="34"/>
      <c r="U609" s="34"/>
      <c r="V609" s="34"/>
      <c r="W609" s="36" t="s">
        <v>8373</v>
      </c>
      <c r="X609" s="2" t="s">
        <v>3003</v>
      </c>
      <c r="Y609" s="34" t="s">
        <v>64</v>
      </c>
      <c r="Z609" s="20"/>
      <c r="AA609" s="20"/>
      <c r="AB609" s="9"/>
      <c r="AC609" s="2"/>
      <c r="AD609"/>
      <c r="AE609"/>
      <c r="AF609"/>
      <c r="AG609"/>
    </row>
    <row r="610" spans="1:33" ht="16.149999999999999" customHeight="1" x14ac:dyDescent="0.15">
      <c r="A610" s="6">
        <v>604</v>
      </c>
      <c r="B610" s="18" t="s">
        <v>75</v>
      </c>
      <c r="C610" s="34" t="s">
        <v>2634</v>
      </c>
      <c r="D610" s="126" t="s">
        <v>2794</v>
      </c>
      <c r="E610" s="34" t="s">
        <v>77</v>
      </c>
      <c r="F610" s="19">
        <v>15074</v>
      </c>
      <c r="G610" s="103"/>
      <c r="H610" s="6" t="s">
        <v>2795</v>
      </c>
      <c r="I610" s="124"/>
      <c r="J610" s="38"/>
      <c r="K610" s="38"/>
      <c r="L610" s="38"/>
      <c r="M610" s="6" t="s">
        <v>149</v>
      </c>
      <c r="N610" s="19">
        <v>100</v>
      </c>
      <c r="O610" s="19">
        <v>0</v>
      </c>
      <c r="P610" s="6">
        <v>65535</v>
      </c>
      <c r="Q610" s="38">
        <v>0</v>
      </c>
      <c r="R610" s="38">
        <v>655.35</v>
      </c>
      <c r="S610" s="34"/>
      <c r="T610" s="34"/>
      <c r="U610" s="34"/>
      <c r="V610" s="33"/>
      <c r="W610" s="36" t="s">
        <v>2796</v>
      </c>
      <c r="X610" s="33"/>
      <c r="Y610" s="34" t="s">
        <v>64</v>
      </c>
      <c r="Z610" s="20"/>
      <c r="AA610" s="20"/>
      <c r="AB610" s="9"/>
      <c r="AC610" s="2"/>
      <c r="AD610"/>
      <c r="AE610"/>
      <c r="AF610"/>
      <c r="AG610"/>
    </row>
    <row r="611" spans="1:33" ht="16.149999999999999" customHeight="1" x14ac:dyDescent="0.15">
      <c r="A611" s="6">
        <v>605</v>
      </c>
      <c r="B611" s="18" t="s">
        <v>75</v>
      </c>
      <c r="C611" s="34" t="s">
        <v>2634</v>
      </c>
      <c r="D611" s="126" t="s">
        <v>2797</v>
      </c>
      <c r="E611" s="34" t="s">
        <v>77</v>
      </c>
      <c r="F611" s="19">
        <v>15075</v>
      </c>
      <c r="G611" s="103"/>
      <c r="H611" s="6" t="s">
        <v>2798</v>
      </c>
      <c r="I611" s="124"/>
      <c r="J611" s="38"/>
      <c r="K611" s="38"/>
      <c r="L611" s="38"/>
      <c r="M611" s="6" t="s">
        <v>149</v>
      </c>
      <c r="N611" s="19">
        <v>100</v>
      </c>
      <c r="O611" s="19">
        <v>0</v>
      </c>
      <c r="P611" s="6">
        <v>65535</v>
      </c>
      <c r="Q611" s="38">
        <v>0</v>
      </c>
      <c r="R611" s="38">
        <v>655.35</v>
      </c>
      <c r="S611" s="34"/>
      <c r="T611" s="34"/>
      <c r="U611" s="34"/>
      <c r="V611" s="33"/>
      <c r="W611" s="36" t="s">
        <v>2799</v>
      </c>
      <c r="X611" s="33"/>
      <c r="Y611" s="34" t="s">
        <v>64</v>
      </c>
      <c r="Z611" s="20"/>
      <c r="AA611" s="20"/>
      <c r="AB611" s="9"/>
      <c r="AC611" s="2"/>
      <c r="AD611"/>
      <c r="AE611"/>
      <c r="AF611"/>
      <c r="AG611"/>
    </row>
    <row r="612" spans="1:33" ht="16.149999999999999" customHeight="1" x14ac:dyDescent="0.15">
      <c r="A612" s="6">
        <v>606</v>
      </c>
      <c r="B612" s="18" t="s">
        <v>75</v>
      </c>
      <c r="C612" s="34" t="s">
        <v>2634</v>
      </c>
      <c r="D612" s="126" t="s">
        <v>2800</v>
      </c>
      <c r="E612" s="34" t="s">
        <v>77</v>
      </c>
      <c r="F612" s="19">
        <v>15076</v>
      </c>
      <c r="G612" s="103"/>
      <c r="H612" s="6" t="s">
        <v>2801</v>
      </c>
      <c r="I612" s="124"/>
      <c r="J612" s="38"/>
      <c r="K612" s="38"/>
      <c r="L612" s="38"/>
      <c r="M612" s="6" t="s">
        <v>145</v>
      </c>
      <c r="N612" s="19">
        <v>1</v>
      </c>
      <c r="O612" s="19">
        <v>0</v>
      </c>
      <c r="P612" s="6">
        <v>65535</v>
      </c>
      <c r="Q612" s="38">
        <v>0</v>
      </c>
      <c r="R612" s="38">
        <v>65535</v>
      </c>
      <c r="S612" s="34"/>
      <c r="T612" s="34"/>
      <c r="U612" s="34"/>
      <c r="V612" s="33"/>
      <c r="W612" s="36" t="s">
        <v>2802</v>
      </c>
      <c r="X612" s="33"/>
      <c r="Y612" s="34" t="s">
        <v>64</v>
      </c>
      <c r="Z612" s="20"/>
      <c r="AA612" s="20"/>
      <c r="AB612" s="9"/>
      <c r="AC612" s="2"/>
      <c r="AD612"/>
      <c r="AE612"/>
      <c r="AF612"/>
      <c r="AG612"/>
    </row>
    <row r="613" spans="1:33" ht="16.149999999999999" customHeight="1" x14ac:dyDescent="0.15">
      <c r="A613" s="6">
        <v>607</v>
      </c>
      <c r="B613" s="18" t="s">
        <v>75</v>
      </c>
      <c r="C613" s="34" t="s">
        <v>2634</v>
      </c>
      <c r="D613" s="34" t="s">
        <v>2803</v>
      </c>
      <c r="E613" s="34" t="s">
        <v>77</v>
      </c>
      <c r="F613" s="19">
        <v>15077</v>
      </c>
      <c r="G613" s="6"/>
      <c r="H613" s="6" t="s">
        <v>2804</v>
      </c>
      <c r="I613" s="2"/>
      <c r="J613" s="38"/>
      <c r="K613" s="38"/>
      <c r="L613" s="38"/>
      <c r="M613" s="6" t="s">
        <v>560</v>
      </c>
      <c r="N613" s="19">
        <v>10</v>
      </c>
      <c r="O613" s="19">
        <v>0</v>
      </c>
      <c r="P613" s="6">
        <v>65535</v>
      </c>
      <c r="Q613" s="38">
        <v>0</v>
      </c>
      <c r="R613" s="38">
        <v>6553.5</v>
      </c>
      <c r="S613" s="34"/>
      <c r="T613" s="34"/>
      <c r="U613" s="34"/>
      <c r="V613" s="34"/>
      <c r="W613" s="36" t="s">
        <v>2805</v>
      </c>
      <c r="X613" s="34"/>
      <c r="Y613" s="34" t="s">
        <v>64</v>
      </c>
      <c r="Z613" s="20"/>
      <c r="AA613" s="20"/>
      <c r="AB613" s="9"/>
      <c r="AC613" s="2"/>
      <c r="AD613"/>
      <c r="AE613"/>
      <c r="AF613"/>
      <c r="AG613"/>
    </row>
    <row r="614" spans="1:33" ht="16.149999999999999" customHeight="1" x14ac:dyDescent="0.15">
      <c r="A614" s="6">
        <v>608</v>
      </c>
      <c r="B614" s="18" t="s">
        <v>75</v>
      </c>
      <c r="C614" s="34" t="s">
        <v>2634</v>
      </c>
      <c r="D614" s="34" t="s">
        <v>2806</v>
      </c>
      <c r="E614" s="34" t="s">
        <v>2348</v>
      </c>
      <c r="F614" s="19">
        <v>15078</v>
      </c>
      <c r="G614" s="6"/>
      <c r="H614" s="6" t="s">
        <v>2807</v>
      </c>
      <c r="I614" s="2"/>
      <c r="J614" s="38"/>
      <c r="K614" s="38"/>
      <c r="L614" s="38"/>
      <c r="M614" s="6" t="s">
        <v>61</v>
      </c>
      <c r="N614" s="19"/>
      <c r="O614" s="19" t="s">
        <v>62</v>
      </c>
      <c r="P614" s="6" t="s">
        <v>62</v>
      </c>
      <c r="Q614" s="38" t="s">
        <v>62</v>
      </c>
      <c r="R614" s="38" t="s">
        <v>62</v>
      </c>
      <c r="S614" s="34"/>
      <c r="T614" s="34"/>
      <c r="U614" s="34"/>
      <c r="V614" s="34"/>
      <c r="W614" s="36" t="s">
        <v>2808</v>
      </c>
      <c r="X614" s="8" t="s">
        <v>2727</v>
      </c>
      <c r="Y614" s="34" t="s">
        <v>64</v>
      </c>
      <c r="Z614" s="20"/>
      <c r="AA614" s="20"/>
      <c r="AB614" s="9"/>
      <c r="AC614" s="2"/>
      <c r="AD614"/>
      <c r="AE614"/>
      <c r="AF614"/>
      <c r="AG614"/>
    </row>
    <row r="615" spans="1:33" ht="16.149999999999999" customHeight="1" x14ac:dyDescent="0.15">
      <c r="A615" s="6">
        <v>609</v>
      </c>
      <c r="B615" s="18" t="s">
        <v>75</v>
      </c>
      <c r="C615" s="34" t="s">
        <v>2634</v>
      </c>
      <c r="D615" s="34" t="s">
        <v>2809</v>
      </c>
      <c r="E615" s="34" t="s">
        <v>77</v>
      </c>
      <c r="F615" s="19">
        <v>15079</v>
      </c>
      <c r="G615" s="6"/>
      <c r="H615" s="6" t="s">
        <v>2810</v>
      </c>
      <c r="I615" s="2"/>
      <c r="J615" s="38"/>
      <c r="K615" s="38"/>
      <c r="L615" s="38"/>
      <c r="M615" s="6" t="s">
        <v>560</v>
      </c>
      <c r="N615" s="19">
        <v>10</v>
      </c>
      <c r="O615" s="19">
        <v>0</v>
      </c>
      <c r="P615" s="6">
        <v>65535</v>
      </c>
      <c r="Q615" s="38">
        <v>0</v>
      </c>
      <c r="R615" s="38">
        <v>6553.5</v>
      </c>
      <c r="S615" s="34"/>
      <c r="T615" s="34"/>
      <c r="U615" s="34"/>
      <c r="V615" s="34"/>
      <c r="W615" s="36" t="s">
        <v>2811</v>
      </c>
      <c r="X615" s="34"/>
      <c r="Y615" s="34" t="s">
        <v>64</v>
      </c>
      <c r="Z615" s="20"/>
      <c r="AA615" s="20"/>
      <c r="AB615" s="9"/>
      <c r="AC615" s="2"/>
      <c r="AD615"/>
      <c r="AE615"/>
      <c r="AF615"/>
      <c r="AG615"/>
    </row>
    <row r="616" spans="1:33" ht="16.149999999999999" customHeight="1" x14ac:dyDescent="0.15">
      <c r="A616" s="6">
        <v>610</v>
      </c>
      <c r="B616" s="18" t="s">
        <v>75</v>
      </c>
      <c r="C616" s="34" t="s">
        <v>2634</v>
      </c>
      <c r="D616" s="34" t="s">
        <v>2812</v>
      </c>
      <c r="E616" s="34" t="s">
        <v>77</v>
      </c>
      <c r="F616" s="19">
        <v>15080</v>
      </c>
      <c r="G616" s="6"/>
      <c r="H616" s="6" t="s">
        <v>2813</v>
      </c>
      <c r="I616" s="2"/>
      <c r="J616" s="38"/>
      <c r="K616" s="38"/>
      <c r="L616" s="38"/>
      <c r="M616" s="6" t="s">
        <v>149</v>
      </c>
      <c r="N616" s="19">
        <v>100</v>
      </c>
      <c r="O616" s="19">
        <v>0</v>
      </c>
      <c r="P616" s="6">
        <v>65535</v>
      </c>
      <c r="Q616" s="38">
        <v>0</v>
      </c>
      <c r="R616" s="38">
        <v>655.35</v>
      </c>
      <c r="S616" s="34"/>
      <c r="T616" s="34"/>
      <c r="U616" s="34"/>
      <c r="V616" s="34"/>
      <c r="W616" s="36" t="s">
        <v>2814</v>
      </c>
      <c r="X616" s="34"/>
      <c r="Y616" s="34" t="s">
        <v>64</v>
      </c>
      <c r="Z616" s="20"/>
      <c r="AA616" s="20"/>
      <c r="AB616" s="9"/>
      <c r="AC616" s="2"/>
      <c r="AD616"/>
      <c r="AE616"/>
      <c r="AF616"/>
      <c r="AG616"/>
    </row>
    <row r="617" spans="1:33" ht="16.149999999999999" customHeight="1" x14ac:dyDescent="0.15">
      <c r="A617" s="6">
        <v>611</v>
      </c>
      <c r="B617" s="18" t="s">
        <v>75</v>
      </c>
      <c r="C617" s="34" t="s">
        <v>2634</v>
      </c>
      <c r="D617" s="34" t="s">
        <v>2815</v>
      </c>
      <c r="E617" s="34" t="s">
        <v>77</v>
      </c>
      <c r="F617" s="19">
        <v>15081</v>
      </c>
      <c r="G617" s="6"/>
      <c r="H617" s="6" t="s">
        <v>2816</v>
      </c>
      <c r="I617" s="2"/>
      <c r="J617" s="38"/>
      <c r="K617" s="38"/>
      <c r="L617" s="38"/>
      <c r="M617" s="6" t="s">
        <v>149</v>
      </c>
      <c r="N617" s="19">
        <v>100</v>
      </c>
      <c r="O617" s="19">
        <v>0</v>
      </c>
      <c r="P617" s="6">
        <v>65535</v>
      </c>
      <c r="Q617" s="38">
        <v>0</v>
      </c>
      <c r="R617" s="38">
        <v>655.35</v>
      </c>
      <c r="S617" s="34"/>
      <c r="T617" s="34"/>
      <c r="U617" s="34"/>
      <c r="V617" s="34"/>
      <c r="W617" s="36" t="s">
        <v>2817</v>
      </c>
      <c r="X617" s="34"/>
      <c r="Y617" s="34" t="s">
        <v>64</v>
      </c>
      <c r="Z617" s="20"/>
      <c r="AA617" s="20"/>
      <c r="AB617" s="9"/>
      <c r="AC617" s="2"/>
      <c r="AD617"/>
      <c r="AE617"/>
      <c r="AF617"/>
      <c r="AG617"/>
    </row>
    <row r="618" spans="1:33" ht="16.149999999999999" customHeight="1" x14ac:dyDescent="0.15">
      <c r="A618" s="6">
        <v>612</v>
      </c>
      <c r="B618" s="18" t="s">
        <v>75</v>
      </c>
      <c r="C618" s="34" t="s">
        <v>2634</v>
      </c>
      <c r="D618" s="34" t="s">
        <v>2818</v>
      </c>
      <c r="E618" s="34" t="s">
        <v>77</v>
      </c>
      <c r="F618" s="19">
        <v>15082</v>
      </c>
      <c r="G618" s="6"/>
      <c r="H618" s="6" t="s">
        <v>2819</v>
      </c>
      <c r="I618" s="2"/>
      <c r="J618" s="38"/>
      <c r="K618" s="38"/>
      <c r="L618" s="38"/>
      <c r="M618" s="6" t="s">
        <v>145</v>
      </c>
      <c r="N618" s="19">
        <v>1</v>
      </c>
      <c r="O618" s="19">
        <v>0</v>
      </c>
      <c r="P618" s="6">
        <v>65535</v>
      </c>
      <c r="Q618" s="38">
        <v>0</v>
      </c>
      <c r="R618" s="38">
        <v>65535</v>
      </c>
      <c r="S618" s="34"/>
      <c r="T618" s="34"/>
      <c r="U618" s="34"/>
      <c r="V618" s="34"/>
      <c r="W618" s="36" t="s">
        <v>2820</v>
      </c>
      <c r="X618" s="34"/>
      <c r="Y618" s="34" t="s">
        <v>64</v>
      </c>
      <c r="Z618" s="22"/>
      <c r="AA618" s="20"/>
      <c r="AB618" s="9"/>
      <c r="AC618" s="2"/>
      <c r="AD618"/>
      <c r="AE618"/>
      <c r="AF618"/>
      <c r="AG618"/>
    </row>
    <row r="619" spans="1:33" ht="16.149999999999999" customHeight="1" x14ac:dyDescent="0.15">
      <c r="A619" s="6">
        <v>613</v>
      </c>
      <c r="B619" s="18" t="s">
        <v>75</v>
      </c>
      <c r="C619" s="34" t="s">
        <v>2634</v>
      </c>
      <c r="D619" s="34" t="s">
        <v>2821</v>
      </c>
      <c r="E619" s="34" t="s">
        <v>77</v>
      </c>
      <c r="F619" s="19">
        <v>15083</v>
      </c>
      <c r="G619" s="6"/>
      <c r="H619" s="6" t="s">
        <v>2822</v>
      </c>
      <c r="I619" s="2"/>
      <c r="J619" s="38"/>
      <c r="K619" s="38"/>
      <c r="L619" s="38"/>
      <c r="M619" s="6" t="s">
        <v>560</v>
      </c>
      <c r="N619" s="19">
        <v>10</v>
      </c>
      <c r="O619" s="19">
        <v>0</v>
      </c>
      <c r="P619" s="6">
        <v>65535</v>
      </c>
      <c r="Q619" s="38">
        <v>0</v>
      </c>
      <c r="R619" s="38">
        <v>6553.5</v>
      </c>
      <c r="S619" s="34"/>
      <c r="T619" s="34"/>
      <c r="U619" s="34"/>
      <c r="V619" s="34"/>
      <c r="W619" s="36" t="s">
        <v>2823</v>
      </c>
      <c r="X619" s="34"/>
      <c r="Y619" s="34" t="s">
        <v>64</v>
      </c>
      <c r="AA619" s="20"/>
      <c r="AB619" s="9"/>
      <c r="AC619" s="2"/>
      <c r="AD619"/>
      <c r="AE619"/>
      <c r="AF619"/>
      <c r="AG619"/>
    </row>
    <row r="620" spans="1:33" ht="16.149999999999999" customHeight="1" x14ac:dyDescent="0.15">
      <c r="A620" s="6">
        <v>614</v>
      </c>
      <c r="B620" s="18" t="s">
        <v>75</v>
      </c>
      <c r="C620" s="34" t="s">
        <v>2634</v>
      </c>
      <c r="D620" s="34" t="s">
        <v>2824</v>
      </c>
      <c r="E620" s="34" t="s">
        <v>77</v>
      </c>
      <c r="F620" s="19">
        <v>15087</v>
      </c>
      <c r="G620" s="6"/>
      <c r="H620" s="6" t="s">
        <v>2825</v>
      </c>
      <c r="I620" s="2"/>
      <c r="J620" s="38"/>
      <c r="K620" s="38"/>
      <c r="L620" s="38"/>
      <c r="M620" s="38" t="s">
        <v>123</v>
      </c>
      <c r="N620" s="19">
        <v>100</v>
      </c>
      <c r="O620" s="127">
        <v>0</v>
      </c>
      <c r="P620" s="103">
        <v>65535</v>
      </c>
      <c r="Q620" s="105">
        <v>0</v>
      </c>
      <c r="R620" s="128">
        <v>655.35</v>
      </c>
      <c r="S620" s="34"/>
      <c r="T620" s="34"/>
      <c r="U620" s="34"/>
      <c r="V620" s="34"/>
      <c r="W620" s="110" t="s">
        <v>2826</v>
      </c>
      <c r="X620" s="34"/>
      <c r="Y620" s="34" t="s">
        <v>64</v>
      </c>
      <c r="AA620" s="20"/>
      <c r="AB620" s="9"/>
      <c r="AC620" s="2"/>
      <c r="AD620"/>
      <c r="AE620"/>
      <c r="AF620"/>
      <c r="AG620"/>
    </row>
    <row r="621" spans="1:33" ht="16.149999999999999" customHeight="1" x14ac:dyDescent="0.15">
      <c r="A621" s="6">
        <v>615</v>
      </c>
      <c r="B621" s="18" t="s">
        <v>75</v>
      </c>
      <c r="C621" s="34" t="s">
        <v>2634</v>
      </c>
      <c r="D621" s="34" t="s">
        <v>2830</v>
      </c>
      <c r="E621" s="34" t="s">
        <v>77</v>
      </c>
      <c r="F621" s="19">
        <v>15119</v>
      </c>
      <c r="G621" s="6"/>
      <c r="H621" s="6" t="s">
        <v>2831</v>
      </c>
      <c r="I621" s="2"/>
      <c r="J621" s="38"/>
      <c r="K621" s="38"/>
      <c r="L621" s="38"/>
      <c r="M621" s="38" t="s">
        <v>560</v>
      </c>
      <c r="N621" s="19">
        <v>10</v>
      </c>
      <c r="O621" s="127">
        <v>0</v>
      </c>
      <c r="P621" s="103">
        <v>65535</v>
      </c>
      <c r="Q621" s="105">
        <v>0</v>
      </c>
      <c r="R621" s="128">
        <v>6553.5</v>
      </c>
      <c r="S621" s="34"/>
      <c r="T621" s="34"/>
      <c r="U621" s="34"/>
      <c r="V621" s="34"/>
      <c r="W621" s="110" t="s">
        <v>2832</v>
      </c>
      <c r="X621" s="34"/>
      <c r="Y621" s="34" t="s">
        <v>64</v>
      </c>
      <c r="AA621" s="20"/>
      <c r="AB621" s="9"/>
      <c r="AC621" s="2"/>
      <c r="AD621"/>
      <c r="AE621"/>
      <c r="AF621"/>
      <c r="AG621"/>
    </row>
    <row r="622" spans="1:33" ht="16.149999999999999" customHeight="1" x14ac:dyDescent="0.15">
      <c r="A622" s="6">
        <v>616</v>
      </c>
      <c r="B622" s="18" t="s">
        <v>75</v>
      </c>
      <c r="C622" s="34" t="s">
        <v>2634</v>
      </c>
      <c r="D622" s="34" t="s">
        <v>2833</v>
      </c>
      <c r="E622" s="34" t="s">
        <v>77</v>
      </c>
      <c r="F622" s="19">
        <v>15120</v>
      </c>
      <c r="G622" s="6"/>
      <c r="H622" s="6" t="s">
        <v>2834</v>
      </c>
      <c r="I622" s="2"/>
      <c r="J622" s="38"/>
      <c r="K622" s="38"/>
      <c r="L622" s="38"/>
      <c r="M622" s="38" t="s">
        <v>560</v>
      </c>
      <c r="N622" s="19">
        <v>10</v>
      </c>
      <c r="O622" s="19">
        <v>0</v>
      </c>
      <c r="P622" s="6">
        <v>65535</v>
      </c>
      <c r="Q622" s="38">
        <v>0</v>
      </c>
      <c r="R622" s="38">
        <v>6553.5</v>
      </c>
      <c r="S622" s="34"/>
      <c r="T622" s="34"/>
      <c r="U622" s="34"/>
      <c r="V622" s="34"/>
      <c r="W622" s="36" t="s">
        <v>2835</v>
      </c>
      <c r="X622" s="34"/>
      <c r="Y622" s="34" t="s">
        <v>64</v>
      </c>
      <c r="AA622" s="20"/>
      <c r="AB622" s="9"/>
      <c r="AC622" s="2"/>
      <c r="AD622"/>
      <c r="AE622"/>
      <c r="AF622"/>
      <c r="AG622"/>
    </row>
    <row r="623" spans="1:33" ht="16.149999999999999" customHeight="1" x14ac:dyDescent="0.15">
      <c r="A623" s="6">
        <v>617</v>
      </c>
      <c r="B623" s="18" t="s">
        <v>75</v>
      </c>
      <c r="C623" s="34" t="s">
        <v>2634</v>
      </c>
      <c r="D623" s="34" t="s">
        <v>2836</v>
      </c>
      <c r="E623" s="34" t="s">
        <v>77</v>
      </c>
      <c r="F623" s="19">
        <v>15121</v>
      </c>
      <c r="G623" s="6"/>
      <c r="H623" s="6" t="s">
        <v>2837</v>
      </c>
      <c r="I623" s="2"/>
      <c r="J623" s="38"/>
      <c r="K623" s="38"/>
      <c r="L623" s="38"/>
      <c r="M623" s="38" t="s">
        <v>560</v>
      </c>
      <c r="N623" s="19">
        <v>10</v>
      </c>
      <c r="O623" s="19">
        <v>0</v>
      </c>
      <c r="P623" s="6">
        <v>65535</v>
      </c>
      <c r="Q623" s="38">
        <v>0</v>
      </c>
      <c r="R623" s="38">
        <v>6553.5</v>
      </c>
      <c r="S623" s="34"/>
      <c r="T623" s="34"/>
      <c r="U623" s="34"/>
      <c r="V623" s="34"/>
      <c r="W623" s="36" t="s">
        <v>2838</v>
      </c>
      <c r="X623" s="34"/>
      <c r="Y623" s="34" t="s">
        <v>64</v>
      </c>
      <c r="AA623" s="20"/>
      <c r="AB623" s="9"/>
      <c r="AC623" s="2"/>
      <c r="AD623"/>
      <c r="AE623"/>
      <c r="AF623"/>
      <c r="AG623"/>
    </row>
    <row r="624" spans="1:33" ht="16.149999999999999" customHeight="1" x14ac:dyDescent="0.15">
      <c r="A624" s="6">
        <v>618</v>
      </c>
      <c r="B624" s="18" t="s">
        <v>75</v>
      </c>
      <c r="C624" s="34" t="s">
        <v>2634</v>
      </c>
      <c r="D624" s="34" t="s">
        <v>2839</v>
      </c>
      <c r="E624" s="34" t="s">
        <v>77</v>
      </c>
      <c r="F624" s="19">
        <v>15122</v>
      </c>
      <c r="G624" s="6"/>
      <c r="H624" s="6" t="s">
        <v>2840</v>
      </c>
      <c r="I624" s="2"/>
      <c r="J624" s="38"/>
      <c r="K624" s="38"/>
      <c r="L624" s="38"/>
      <c r="M624" s="38" t="s">
        <v>560</v>
      </c>
      <c r="N624" s="19">
        <v>10</v>
      </c>
      <c r="O624" s="19">
        <v>0</v>
      </c>
      <c r="P624" s="6">
        <v>65535</v>
      </c>
      <c r="Q624" s="38">
        <v>0</v>
      </c>
      <c r="R624" s="38">
        <v>6553.5</v>
      </c>
      <c r="S624" s="34"/>
      <c r="T624" s="34"/>
      <c r="U624" s="34"/>
      <c r="V624" s="34"/>
      <c r="W624" s="36" t="s">
        <v>2841</v>
      </c>
      <c r="X624" s="34"/>
      <c r="Y624" s="34" t="s">
        <v>64</v>
      </c>
      <c r="AA624" s="20"/>
      <c r="AB624" s="9"/>
      <c r="AC624" s="2"/>
      <c r="AD624"/>
      <c r="AE624"/>
      <c r="AF624"/>
      <c r="AG624"/>
    </row>
    <row r="625" spans="1:33" ht="16.149999999999999" customHeight="1" x14ac:dyDescent="0.15">
      <c r="A625" s="6">
        <v>619</v>
      </c>
      <c r="B625" s="18" t="s">
        <v>75</v>
      </c>
      <c r="C625" s="34" t="s">
        <v>2634</v>
      </c>
      <c r="D625" s="34" t="s">
        <v>2842</v>
      </c>
      <c r="E625" s="34" t="s">
        <v>77</v>
      </c>
      <c r="F625" s="19">
        <v>15123</v>
      </c>
      <c r="G625" s="6"/>
      <c r="H625" s="6" t="s">
        <v>2843</v>
      </c>
      <c r="I625" s="2"/>
      <c r="J625" s="38"/>
      <c r="K625" s="38"/>
      <c r="L625" s="38"/>
      <c r="M625" s="38" t="s">
        <v>560</v>
      </c>
      <c r="N625" s="19">
        <v>10</v>
      </c>
      <c r="O625" s="19">
        <v>0</v>
      </c>
      <c r="P625" s="6">
        <v>65535</v>
      </c>
      <c r="Q625" s="38">
        <v>0</v>
      </c>
      <c r="R625" s="38">
        <v>6553.5</v>
      </c>
      <c r="S625" s="34"/>
      <c r="T625" s="34"/>
      <c r="U625" s="34"/>
      <c r="V625" s="34"/>
      <c r="W625" s="36" t="s">
        <v>2844</v>
      </c>
      <c r="X625" s="34"/>
      <c r="Y625" s="34" t="s">
        <v>64</v>
      </c>
      <c r="AA625" s="20"/>
      <c r="AB625" s="9"/>
      <c r="AC625" s="2"/>
      <c r="AD625"/>
      <c r="AE625"/>
      <c r="AF625"/>
      <c r="AG625"/>
    </row>
    <row r="626" spans="1:33" ht="16.149999999999999" customHeight="1" x14ac:dyDescent="0.15">
      <c r="A626" s="6">
        <v>620</v>
      </c>
      <c r="B626" s="18" t="s">
        <v>75</v>
      </c>
      <c r="C626" s="34" t="s">
        <v>2634</v>
      </c>
      <c r="D626" s="34" t="s">
        <v>2845</v>
      </c>
      <c r="E626" s="34" t="s">
        <v>77</v>
      </c>
      <c r="F626" s="19">
        <v>15129</v>
      </c>
      <c r="G626" s="6"/>
      <c r="H626" s="6" t="s">
        <v>2846</v>
      </c>
      <c r="I626" s="2"/>
      <c r="J626" s="38"/>
      <c r="K626" s="38"/>
      <c r="L626" s="38"/>
      <c r="M626" s="38" t="s">
        <v>560</v>
      </c>
      <c r="N626" s="19">
        <v>10</v>
      </c>
      <c r="O626" s="19">
        <v>0</v>
      </c>
      <c r="P626" s="6">
        <v>65535</v>
      </c>
      <c r="Q626" s="38">
        <v>0</v>
      </c>
      <c r="R626" s="38">
        <v>6553.5</v>
      </c>
      <c r="S626" s="34"/>
      <c r="T626" s="34"/>
      <c r="U626" s="34"/>
      <c r="V626" s="34"/>
      <c r="W626" s="36" t="s">
        <v>2847</v>
      </c>
      <c r="X626" s="34"/>
      <c r="Y626" s="34" t="s">
        <v>64</v>
      </c>
      <c r="AA626" s="20"/>
      <c r="AB626" s="9"/>
      <c r="AC626" s="2"/>
      <c r="AD626"/>
      <c r="AE626"/>
      <c r="AF626"/>
      <c r="AG626"/>
    </row>
    <row r="627" spans="1:33" ht="16.149999999999999" customHeight="1" x14ac:dyDescent="0.15">
      <c r="A627" s="6">
        <v>621</v>
      </c>
      <c r="B627" s="18" t="s">
        <v>75</v>
      </c>
      <c r="C627" s="34" t="s">
        <v>2634</v>
      </c>
      <c r="D627" s="34" t="s">
        <v>2848</v>
      </c>
      <c r="E627" s="34" t="s">
        <v>77</v>
      </c>
      <c r="F627" s="19">
        <v>15130</v>
      </c>
      <c r="G627" s="6"/>
      <c r="H627" s="6" t="s">
        <v>2849</v>
      </c>
      <c r="I627" s="2"/>
      <c r="J627" s="38"/>
      <c r="K627" s="38"/>
      <c r="L627" s="38"/>
      <c r="M627" s="38" t="s">
        <v>560</v>
      </c>
      <c r="N627" s="19">
        <v>10</v>
      </c>
      <c r="O627" s="19">
        <v>0</v>
      </c>
      <c r="P627" s="6">
        <v>65535</v>
      </c>
      <c r="Q627" s="38">
        <v>0</v>
      </c>
      <c r="R627" s="38">
        <v>6553.5</v>
      </c>
      <c r="S627" s="34"/>
      <c r="T627" s="34"/>
      <c r="U627" s="34"/>
      <c r="V627" s="34"/>
      <c r="W627" s="36" t="s">
        <v>2850</v>
      </c>
      <c r="X627" s="34"/>
      <c r="Y627" s="34" t="s">
        <v>64</v>
      </c>
      <c r="AA627" s="20"/>
      <c r="AB627" s="9"/>
      <c r="AC627" s="2"/>
      <c r="AD627"/>
      <c r="AE627"/>
      <c r="AF627"/>
      <c r="AG627"/>
    </row>
    <row r="628" spans="1:33" ht="16.149999999999999" customHeight="1" x14ac:dyDescent="0.15">
      <c r="A628" s="6">
        <v>622</v>
      </c>
      <c r="B628" s="18" t="s">
        <v>75</v>
      </c>
      <c r="C628" s="34" t="s">
        <v>2634</v>
      </c>
      <c r="D628" s="34" t="s">
        <v>2851</v>
      </c>
      <c r="E628" s="34" t="s">
        <v>77</v>
      </c>
      <c r="F628" s="19">
        <v>15131</v>
      </c>
      <c r="G628" s="6"/>
      <c r="H628" s="6" t="s">
        <v>2852</v>
      </c>
      <c r="I628" s="2"/>
      <c r="J628" s="38"/>
      <c r="K628" s="38"/>
      <c r="L628" s="38"/>
      <c r="M628" s="38" t="s">
        <v>560</v>
      </c>
      <c r="N628" s="19">
        <v>10</v>
      </c>
      <c r="O628" s="19">
        <v>0</v>
      </c>
      <c r="P628" s="6">
        <v>65535</v>
      </c>
      <c r="Q628" s="38">
        <v>0</v>
      </c>
      <c r="R628" s="38">
        <v>6553.5</v>
      </c>
      <c r="S628" s="34"/>
      <c r="T628" s="34"/>
      <c r="U628" s="34"/>
      <c r="V628" s="34"/>
      <c r="W628" s="36" t="s">
        <v>2853</v>
      </c>
      <c r="X628" s="34"/>
      <c r="Y628" s="34" t="s">
        <v>64</v>
      </c>
      <c r="AA628" s="20"/>
      <c r="AB628" s="9"/>
      <c r="AC628" s="2"/>
      <c r="AD628"/>
      <c r="AE628"/>
      <c r="AF628"/>
      <c r="AG628"/>
    </row>
    <row r="629" spans="1:33" ht="16.149999999999999" customHeight="1" x14ac:dyDescent="0.15">
      <c r="A629" s="6">
        <v>623</v>
      </c>
      <c r="B629" s="18" t="s">
        <v>75</v>
      </c>
      <c r="C629" s="34" t="s">
        <v>2634</v>
      </c>
      <c r="D629" s="34" t="s">
        <v>2854</v>
      </c>
      <c r="E629" s="34" t="s">
        <v>77</v>
      </c>
      <c r="F629" s="19">
        <v>15132</v>
      </c>
      <c r="G629" s="6"/>
      <c r="H629" s="6" t="s">
        <v>2855</v>
      </c>
      <c r="I629" s="2"/>
      <c r="J629" s="38"/>
      <c r="K629" s="38"/>
      <c r="L629" s="38"/>
      <c r="M629" s="38" t="s">
        <v>560</v>
      </c>
      <c r="N629" s="19">
        <v>10</v>
      </c>
      <c r="O629" s="19">
        <v>0</v>
      </c>
      <c r="P629" s="6">
        <v>65535</v>
      </c>
      <c r="Q629" s="38">
        <v>0</v>
      </c>
      <c r="R629" s="38">
        <v>6553.5</v>
      </c>
      <c r="S629" s="34"/>
      <c r="T629" s="34"/>
      <c r="U629" s="34"/>
      <c r="V629" s="34"/>
      <c r="W629" s="36" t="s">
        <v>2856</v>
      </c>
      <c r="X629" s="34"/>
      <c r="Y629" s="34" t="s">
        <v>64</v>
      </c>
      <c r="AA629" s="20"/>
      <c r="AB629" s="9"/>
      <c r="AC629" s="2"/>
      <c r="AD629"/>
      <c r="AE629"/>
      <c r="AF629"/>
      <c r="AG629"/>
    </row>
    <row r="630" spans="1:33" ht="16.149999999999999" customHeight="1" x14ac:dyDescent="0.15">
      <c r="A630" s="6">
        <v>624</v>
      </c>
      <c r="B630" s="18" t="s">
        <v>75</v>
      </c>
      <c r="C630" s="34" t="s">
        <v>2634</v>
      </c>
      <c r="D630" s="34" t="s">
        <v>2857</v>
      </c>
      <c r="E630" s="34" t="s">
        <v>77</v>
      </c>
      <c r="F630" s="19">
        <v>15133</v>
      </c>
      <c r="G630" s="6"/>
      <c r="H630" s="6" t="s">
        <v>2858</v>
      </c>
      <c r="I630" s="2"/>
      <c r="J630" s="38"/>
      <c r="K630" s="38"/>
      <c r="L630" s="38"/>
      <c r="M630" s="38" t="s">
        <v>560</v>
      </c>
      <c r="N630" s="19">
        <v>10</v>
      </c>
      <c r="O630" s="19">
        <v>0</v>
      </c>
      <c r="P630" s="6">
        <v>65535</v>
      </c>
      <c r="Q630" s="38">
        <v>0</v>
      </c>
      <c r="R630" s="38">
        <v>6553.5</v>
      </c>
      <c r="S630" s="34"/>
      <c r="T630" s="34"/>
      <c r="U630" s="34"/>
      <c r="V630" s="34"/>
      <c r="W630" s="36" t="s">
        <v>2859</v>
      </c>
      <c r="X630" s="34"/>
      <c r="Y630" s="34" t="s">
        <v>64</v>
      </c>
      <c r="AA630" s="20"/>
      <c r="AB630" s="9"/>
      <c r="AC630" s="2"/>
      <c r="AD630"/>
      <c r="AE630"/>
      <c r="AF630"/>
      <c r="AG630"/>
    </row>
    <row r="631" spans="1:33" ht="16.149999999999999" customHeight="1" x14ac:dyDescent="0.15">
      <c r="A631" s="6">
        <v>625</v>
      </c>
      <c r="B631" s="18" t="s">
        <v>75</v>
      </c>
      <c r="C631" s="34" t="s">
        <v>2634</v>
      </c>
      <c r="D631" s="34" t="s">
        <v>2860</v>
      </c>
      <c r="E631" s="34" t="s">
        <v>77</v>
      </c>
      <c r="F631" s="19">
        <v>15134</v>
      </c>
      <c r="G631" s="6"/>
      <c r="H631" s="6" t="s">
        <v>2861</v>
      </c>
      <c r="I631" s="2"/>
      <c r="J631" s="38"/>
      <c r="K631" s="38"/>
      <c r="L631" s="38"/>
      <c r="M631" s="38" t="s">
        <v>560</v>
      </c>
      <c r="N631" s="19">
        <v>10</v>
      </c>
      <c r="O631" s="19">
        <v>0</v>
      </c>
      <c r="P631" s="6">
        <v>65535</v>
      </c>
      <c r="Q631" s="38">
        <v>0</v>
      </c>
      <c r="R631" s="38">
        <v>6553.5</v>
      </c>
      <c r="S631" s="34"/>
      <c r="T631" s="34"/>
      <c r="U631" s="34"/>
      <c r="V631" s="34"/>
      <c r="W631" s="36" t="s">
        <v>2862</v>
      </c>
      <c r="X631" s="34"/>
      <c r="Y631" s="34" t="s">
        <v>64</v>
      </c>
      <c r="AA631" s="20"/>
      <c r="AB631" s="9"/>
      <c r="AC631" s="2"/>
      <c r="AD631"/>
      <c r="AE631"/>
      <c r="AF631"/>
      <c r="AG631"/>
    </row>
    <row r="632" spans="1:33" ht="16.149999999999999" customHeight="1" x14ac:dyDescent="0.15">
      <c r="A632" s="6">
        <v>626</v>
      </c>
      <c r="B632" s="18" t="s">
        <v>75</v>
      </c>
      <c r="C632" s="34" t="s">
        <v>2634</v>
      </c>
      <c r="D632" s="43" t="s">
        <v>2863</v>
      </c>
      <c r="E632" s="34" t="s">
        <v>77</v>
      </c>
      <c r="F632" s="19">
        <v>15140</v>
      </c>
      <c r="G632" s="6"/>
      <c r="H632" s="6" t="s">
        <v>2864</v>
      </c>
      <c r="I632" s="2"/>
      <c r="J632" s="38"/>
      <c r="K632" s="38"/>
      <c r="L632" s="38"/>
      <c r="M632" s="38" t="s">
        <v>560</v>
      </c>
      <c r="N632" s="19">
        <v>10</v>
      </c>
      <c r="O632" s="19">
        <v>0</v>
      </c>
      <c r="P632" s="6">
        <v>65535</v>
      </c>
      <c r="Q632" s="38">
        <v>0</v>
      </c>
      <c r="R632" s="38">
        <v>6553.5</v>
      </c>
      <c r="S632" s="34"/>
      <c r="T632" s="34"/>
      <c r="U632" s="34"/>
      <c r="V632" s="33"/>
      <c r="W632" s="33" t="s">
        <v>2865</v>
      </c>
      <c r="X632" s="33"/>
      <c r="Y632" s="34" t="s">
        <v>64</v>
      </c>
      <c r="AA632" s="20"/>
      <c r="AB632" s="9"/>
      <c r="AC632" s="2"/>
      <c r="AD632"/>
      <c r="AE632"/>
      <c r="AF632"/>
      <c r="AG632"/>
    </row>
    <row r="633" spans="1:33" ht="16.149999999999999" customHeight="1" x14ac:dyDescent="0.15">
      <c r="A633" s="6">
        <v>627</v>
      </c>
      <c r="B633" s="18" t="s">
        <v>75</v>
      </c>
      <c r="C633" s="34" t="s">
        <v>2634</v>
      </c>
      <c r="D633" s="43" t="s">
        <v>2866</v>
      </c>
      <c r="E633" s="34" t="s">
        <v>77</v>
      </c>
      <c r="F633" s="19">
        <v>15141</v>
      </c>
      <c r="G633" s="6"/>
      <c r="H633" s="6" t="s">
        <v>2867</v>
      </c>
      <c r="I633" s="2"/>
      <c r="J633" s="38"/>
      <c r="K633" s="38"/>
      <c r="L633" s="38"/>
      <c r="M633" s="6" t="s">
        <v>149</v>
      </c>
      <c r="N633" s="114">
        <v>100</v>
      </c>
      <c r="O633" s="19">
        <v>0</v>
      </c>
      <c r="P633" s="6">
        <v>65535</v>
      </c>
      <c r="Q633" s="38">
        <v>0</v>
      </c>
      <c r="R633" s="38">
        <v>655.35</v>
      </c>
      <c r="S633" s="34"/>
      <c r="T633" s="34"/>
      <c r="U633" s="34"/>
      <c r="V633" s="33"/>
      <c r="W633" s="33" t="s">
        <v>2868</v>
      </c>
      <c r="X633" s="33"/>
      <c r="Y633" s="34" t="s">
        <v>64</v>
      </c>
      <c r="AA633" s="20"/>
      <c r="AB633" s="9"/>
      <c r="AC633" s="2"/>
      <c r="AD633"/>
      <c r="AE633"/>
      <c r="AF633"/>
      <c r="AG633"/>
    </row>
    <row r="634" spans="1:33" ht="16.149999999999999" customHeight="1" x14ac:dyDescent="0.15">
      <c r="A634" s="6">
        <v>628</v>
      </c>
      <c r="B634" s="18" t="s">
        <v>75</v>
      </c>
      <c r="C634" s="34" t="s">
        <v>2634</v>
      </c>
      <c r="D634" s="43" t="s">
        <v>2869</v>
      </c>
      <c r="E634" s="34" t="s">
        <v>77</v>
      </c>
      <c r="F634" s="19">
        <v>15142</v>
      </c>
      <c r="G634" s="6"/>
      <c r="H634" s="6" t="s">
        <v>2870</v>
      </c>
      <c r="I634" s="2"/>
      <c r="J634" s="38"/>
      <c r="K634" s="38"/>
      <c r="L634" s="38"/>
      <c r="M634" s="6" t="s">
        <v>149</v>
      </c>
      <c r="N634" s="114">
        <v>100</v>
      </c>
      <c r="O634" s="19">
        <v>0</v>
      </c>
      <c r="P634" s="6">
        <v>65535</v>
      </c>
      <c r="Q634" s="38">
        <v>0</v>
      </c>
      <c r="R634" s="38">
        <v>655.35</v>
      </c>
      <c r="S634" s="34"/>
      <c r="T634" s="34"/>
      <c r="U634" s="34"/>
      <c r="V634" s="33"/>
      <c r="W634" s="33" t="s">
        <v>2871</v>
      </c>
      <c r="X634" s="33"/>
      <c r="Y634" s="34" t="s">
        <v>64</v>
      </c>
      <c r="AA634" s="20"/>
      <c r="AB634" s="9"/>
      <c r="AC634" s="2"/>
      <c r="AD634"/>
      <c r="AE634"/>
      <c r="AF634"/>
      <c r="AG634"/>
    </row>
    <row r="635" spans="1:33" ht="16.149999999999999" customHeight="1" x14ac:dyDescent="0.15">
      <c r="A635" s="6">
        <v>629</v>
      </c>
      <c r="B635" s="18" t="s">
        <v>75</v>
      </c>
      <c r="C635" s="34" t="s">
        <v>2634</v>
      </c>
      <c r="D635" s="43" t="s">
        <v>2872</v>
      </c>
      <c r="E635" s="34" t="s">
        <v>77</v>
      </c>
      <c r="F635" s="19">
        <v>15143</v>
      </c>
      <c r="G635" s="6"/>
      <c r="H635" s="6" t="s">
        <v>2873</v>
      </c>
      <c r="I635" s="2"/>
      <c r="J635" s="38"/>
      <c r="K635" s="38"/>
      <c r="L635" s="38"/>
      <c r="M635" s="6" t="s">
        <v>149</v>
      </c>
      <c r="N635" s="114">
        <v>100</v>
      </c>
      <c r="O635" s="19">
        <v>0</v>
      </c>
      <c r="P635" s="6">
        <v>65535</v>
      </c>
      <c r="Q635" s="38">
        <v>0</v>
      </c>
      <c r="R635" s="38">
        <v>655.35</v>
      </c>
      <c r="S635" s="34"/>
      <c r="T635" s="34"/>
      <c r="U635" s="34"/>
      <c r="V635" s="33"/>
      <c r="W635" s="33" t="s">
        <v>2874</v>
      </c>
      <c r="X635" s="33"/>
      <c r="Y635" s="34" t="s">
        <v>64</v>
      </c>
      <c r="AA635" s="20"/>
      <c r="AB635" s="9"/>
      <c r="AC635" s="2"/>
      <c r="AD635"/>
      <c r="AE635"/>
      <c r="AF635"/>
      <c r="AG635"/>
    </row>
    <row r="636" spans="1:33" ht="16.149999999999999" customHeight="1" x14ac:dyDescent="0.15">
      <c r="A636" s="6">
        <v>630</v>
      </c>
      <c r="B636" s="18" t="s">
        <v>75</v>
      </c>
      <c r="C636" s="34" t="s">
        <v>2634</v>
      </c>
      <c r="D636" s="43" t="s">
        <v>2875</v>
      </c>
      <c r="E636" s="34" t="s">
        <v>77</v>
      </c>
      <c r="F636" s="19">
        <v>15144</v>
      </c>
      <c r="G636" s="6"/>
      <c r="H636" s="6" t="s">
        <v>2876</v>
      </c>
      <c r="I636" s="2"/>
      <c r="J636" s="38"/>
      <c r="K636" s="38"/>
      <c r="L636" s="38"/>
      <c r="M636" s="6" t="s">
        <v>149</v>
      </c>
      <c r="N636" s="114">
        <v>100</v>
      </c>
      <c r="O636" s="19">
        <v>0</v>
      </c>
      <c r="P636" s="6">
        <v>65535</v>
      </c>
      <c r="Q636" s="38">
        <v>0</v>
      </c>
      <c r="R636" s="38">
        <v>655.35</v>
      </c>
      <c r="S636" s="34"/>
      <c r="T636" s="34"/>
      <c r="U636" s="34"/>
      <c r="V636" s="33"/>
      <c r="W636" s="33" t="s">
        <v>2877</v>
      </c>
      <c r="X636" s="33"/>
      <c r="Y636" s="34" t="s">
        <v>64</v>
      </c>
      <c r="AA636" s="20"/>
      <c r="AB636" s="9"/>
      <c r="AC636" s="2"/>
      <c r="AD636"/>
      <c r="AE636"/>
      <c r="AF636"/>
      <c r="AG636"/>
    </row>
    <row r="637" spans="1:33" ht="16.149999999999999" customHeight="1" x14ac:dyDescent="0.15">
      <c r="A637" s="6">
        <v>631</v>
      </c>
      <c r="B637" s="18" t="s">
        <v>75</v>
      </c>
      <c r="C637" s="34" t="s">
        <v>2634</v>
      </c>
      <c r="D637" s="43" t="s">
        <v>2878</v>
      </c>
      <c r="E637" s="34" t="s">
        <v>77</v>
      </c>
      <c r="F637" s="19">
        <v>15145</v>
      </c>
      <c r="G637" s="6"/>
      <c r="H637" s="6" t="s">
        <v>2879</v>
      </c>
      <c r="I637" s="2"/>
      <c r="J637" s="38"/>
      <c r="K637" s="38"/>
      <c r="L637" s="38"/>
      <c r="M637" s="6" t="s">
        <v>149</v>
      </c>
      <c r="N637" s="114">
        <v>100</v>
      </c>
      <c r="O637" s="19">
        <v>0</v>
      </c>
      <c r="P637" s="6">
        <v>65535</v>
      </c>
      <c r="Q637" s="38">
        <v>0</v>
      </c>
      <c r="R637" s="38">
        <v>655.35</v>
      </c>
      <c r="S637" s="34"/>
      <c r="T637" s="34"/>
      <c r="U637" s="34"/>
      <c r="V637" s="33"/>
      <c r="W637" s="33" t="s">
        <v>2880</v>
      </c>
      <c r="X637" s="33"/>
      <c r="Y637" s="34" t="s">
        <v>64</v>
      </c>
      <c r="AA637" s="20"/>
      <c r="AB637" s="9"/>
      <c r="AC637" s="2"/>
      <c r="AD637"/>
      <c r="AE637"/>
      <c r="AF637"/>
      <c r="AG637"/>
    </row>
    <row r="638" spans="1:33" ht="16.149999999999999" customHeight="1" x14ac:dyDescent="0.15">
      <c r="A638" s="6">
        <v>632</v>
      </c>
      <c r="B638" s="18" t="s">
        <v>75</v>
      </c>
      <c r="C638" s="34" t="s">
        <v>2634</v>
      </c>
      <c r="D638" s="43" t="s">
        <v>2881</v>
      </c>
      <c r="E638" s="34" t="s">
        <v>77</v>
      </c>
      <c r="F638" s="19">
        <v>15151</v>
      </c>
      <c r="G638" s="6"/>
      <c r="H638" s="6" t="s">
        <v>2882</v>
      </c>
      <c r="I638" s="2"/>
      <c r="J638" s="38"/>
      <c r="K638" s="38"/>
      <c r="L638" s="38"/>
      <c r="M638" s="6" t="s">
        <v>149</v>
      </c>
      <c r="N638" s="114">
        <v>100</v>
      </c>
      <c r="O638" s="19">
        <v>0</v>
      </c>
      <c r="P638" s="6">
        <v>65535</v>
      </c>
      <c r="Q638" s="38">
        <v>0</v>
      </c>
      <c r="R638" s="38">
        <v>655.35</v>
      </c>
      <c r="S638" s="34"/>
      <c r="T638" s="34"/>
      <c r="U638" s="34"/>
      <c r="V638" s="33"/>
      <c r="W638" s="33" t="s">
        <v>2883</v>
      </c>
      <c r="X638" s="33"/>
      <c r="Y638" s="34" t="s">
        <v>64</v>
      </c>
      <c r="AA638" s="20"/>
      <c r="AB638" s="9"/>
      <c r="AC638" s="2"/>
      <c r="AD638"/>
      <c r="AE638"/>
      <c r="AF638"/>
      <c r="AG638"/>
    </row>
    <row r="639" spans="1:33" ht="16.149999999999999" customHeight="1" x14ac:dyDescent="0.15">
      <c r="A639" s="6">
        <v>633</v>
      </c>
      <c r="B639" s="18" t="s">
        <v>75</v>
      </c>
      <c r="C639" s="34" t="s">
        <v>2634</v>
      </c>
      <c r="D639" s="43" t="s">
        <v>2884</v>
      </c>
      <c r="E639" s="34" t="s">
        <v>77</v>
      </c>
      <c r="F639" s="19">
        <v>15152</v>
      </c>
      <c r="G639" s="6"/>
      <c r="H639" s="6" t="s">
        <v>2885</v>
      </c>
      <c r="I639" s="2"/>
      <c r="J639" s="38"/>
      <c r="K639" s="38"/>
      <c r="L639" s="38"/>
      <c r="M639" s="6" t="s">
        <v>149</v>
      </c>
      <c r="N639" s="114">
        <v>100</v>
      </c>
      <c r="O639" s="19">
        <v>0</v>
      </c>
      <c r="P639" s="6">
        <v>65535</v>
      </c>
      <c r="Q639" s="38">
        <v>0</v>
      </c>
      <c r="R639" s="38">
        <v>655.35</v>
      </c>
      <c r="S639" s="34"/>
      <c r="T639" s="34"/>
      <c r="U639" s="34"/>
      <c r="V639" s="33"/>
      <c r="W639" s="33" t="s">
        <v>2886</v>
      </c>
      <c r="X639" s="33"/>
      <c r="Y639" s="34" t="s">
        <v>64</v>
      </c>
      <c r="AA639" s="20"/>
      <c r="AB639" s="9"/>
      <c r="AC639" s="2"/>
      <c r="AD639"/>
      <c r="AE639"/>
      <c r="AF639"/>
      <c r="AG639"/>
    </row>
    <row r="640" spans="1:33" ht="16.149999999999999" customHeight="1" x14ac:dyDescent="0.15">
      <c r="A640" s="6">
        <v>634</v>
      </c>
      <c r="B640" s="18" t="s">
        <v>75</v>
      </c>
      <c r="C640" s="34" t="s">
        <v>2634</v>
      </c>
      <c r="D640" s="43" t="s">
        <v>2887</v>
      </c>
      <c r="E640" s="34" t="s">
        <v>77</v>
      </c>
      <c r="F640" s="19">
        <v>15153</v>
      </c>
      <c r="G640" s="6"/>
      <c r="H640" s="6" t="s">
        <v>2888</v>
      </c>
      <c r="I640" s="2"/>
      <c r="J640" s="38"/>
      <c r="K640" s="38"/>
      <c r="L640" s="38"/>
      <c r="M640" s="6" t="s">
        <v>149</v>
      </c>
      <c r="N640" s="114">
        <v>100</v>
      </c>
      <c r="O640" s="19">
        <v>0</v>
      </c>
      <c r="P640" s="6">
        <v>65535</v>
      </c>
      <c r="Q640" s="38">
        <v>0</v>
      </c>
      <c r="R640" s="38">
        <v>655.35</v>
      </c>
      <c r="S640" s="34"/>
      <c r="T640" s="34"/>
      <c r="U640" s="34"/>
      <c r="V640" s="33"/>
      <c r="W640" s="33" t="s">
        <v>2889</v>
      </c>
      <c r="X640" s="33"/>
      <c r="Y640" s="34" t="s">
        <v>64</v>
      </c>
      <c r="AA640" s="20"/>
      <c r="AB640" s="9"/>
      <c r="AC640" s="2"/>
      <c r="AD640"/>
      <c r="AE640"/>
      <c r="AF640"/>
      <c r="AG640"/>
    </row>
    <row r="641" spans="1:33" ht="16.149999999999999" customHeight="1" x14ac:dyDescent="0.15">
      <c r="A641" s="6">
        <v>635</v>
      </c>
      <c r="B641" s="18" t="s">
        <v>75</v>
      </c>
      <c r="C641" s="34" t="s">
        <v>2634</v>
      </c>
      <c r="D641" s="43" t="s">
        <v>2890</v>
      </c>
      <c r="E641" s="34" t="s">
        <v>77</v>
      </c>
      <c r="F641" s="19">
        <v>15154</v>
      </c>
      <c r="G641" s="6"/>
      <c r="H641" s="6" t="s">
        <v>2891</v>
      </c>
      <c r="I641" s="2"/>
      <c r="J641" s="38"/>
      <c r="K641" s="38"/>
      <c r="L641" s="38"/>
      <c r="M641" s="6" t="s">
        <v>149</v>
      </c>
      <c r="N641" s="114">
        <v>100</v>
      </c>
      <c r="O641" s="19">
        <v>0</v>
      </c>
      <c r="P641" s="6">
        <v>65535</v>
      </c>
      <c r="Q641" s="38">
        <v>0</v>
      </c>
      <c r="R641" s="38">
        <v>655.35</v>
      </c>
      <c r="S641" s="34"/>
      <c r="T641" s="34"/>
      <c r="U641" s="34"/>
      <c r="V641" s="33"/>
      <c r="W641" s="33" t="s">
        <v>2892</v>
      </c>
      <c r="X641" s="33"/>
      <c r="Y641" s="34" t="s">
        <v>64</v>
      </c>
      <c r="AA641" s="20"/>
      <c r="AB641" s="9"/>
      <c r="AC641" s="2"/>
      <c r="AD641"/>
      <c r="AE641"/>
      <c r="AF641"/>
      <c r="AG641"/>
    </row>
    <row r="642" spans="1:33" ht="16.149999999999999" customHeight="1" x14ac:dyDescent="0.15">
      <c r="A642" s="6">
        <v>636</v>
      </c>
      <c r="B642" s="18" t="s">
        <v>75</v>
      </c>
      <c r="C642" s="34" t="s">
        <v>2634</v>
      </c>
      <c r="D642" s="43" t="s">
        <v>2893</v>
      </c>
      <c r="E642" s="34" t="s">
        <v>77</v>
      </c>
      <c r="F642" s="19">
        <v>15155</v>
      </c>
      <c r="G642" s="6"/>
      <c r="H642" s="6" t="s">
        <v>2894</v>
      </c>
      <c r="I642" s="2"/>
      <c r="J642" s="38"/>
      <c r="K642" s="38"/>
      <c r="L642" s="38"/>
      <c r="M642" s="6" t="s">
        <v>149</v>
      </c>
      <c r="N642" s="114">
        <v>100</v>
      </c>
      <c r="O642" s="19">
        <v>0</v>
      </c>
      <c r="P642" s="6">
        <v>65535</v>
      </c>
      <c r="Q642" s="38">
        <v>0</v>
      </c>
      <c r="R642" s="38">
        <v>655.35</v>
      </c>
      <c r="S642" s="34"/>
      <c r="T642" s="34"/>
      <c r="U642" s="34"/>
      <c r="V642" s="33"/>
      <c r="W642" s="33" t="s">
        <v>2895</v>
      </c>
      <c r="X642" s="33"/>
      <c r="Y642" s="34" t="s">
        <v>64</v>
      </c>
      <c r="AA642" s="20"/>
      <c r="AB642" s="9"/>
      <c r="AC642" s="2"/>
      <c r="AD642"/>
      <c r="AE642"/>
      <c r="AF642"/>
      <c r="AG642"/>
    </row>
    <row r="643" spans="1:33" ht="16.149999999999999" customHeight="1" x14ac:dyDescent="0.15">
      <c r="A643" s="6">
        <v>637</v>
      </c>
      <c r="B643" s="18" t="s">
        <v>75</v>
      </c>
      <c r="C643" s="34" t="s">
        <v>2634</v>
      </c>
      <c r="D643" s="43" t="s">
        <v>2896</v>
      </c>
      <c r="E643" s="34" t="s">
        <v>77</v>
      </c>
      <c r="F643" s="19">
        <v>15156</v>
      </c>
      <c r="G643" s="6"/>
      <c r="H643" s="6" t="s">
        <v>2897</v>
      </c>
      <c r="I643" s="2"/>
      <c r="J643" s="38"/>
      <c r="K643" s="38"/>
      <c r="L643" s="38"/>
      <c r="M643" s="6" t="s">
        <v>149</v>
      </c>
      <c r="N643" s="114">
        <v>100</v>
      </c>
      <c r="O643" s="19">
        <v>0</v>
      </c>
      <c r="P643" s="6">
        <v>65535</v>
      </c>
      <c r="Q643" s="38">
        <v>0</v>
      </c>
      <c r="R643" s="38">
        <v>655.35</v>
      </c>
      <c r="S643" s="34"/>
      <c r="T643" s="34"/>
      <c r="U643" s="34"/>
      <c r="V643" s="33"/>
      <c r="W643" s="33" t="s">
        <v>2898</v>
      </c>
      <c r="X643" s="33"/>
      <c r="Y643" s="34" t="s">
        <v>64</v>
      </c>
      <c r="AA643" s="20"/>
      <c r="AB643" s="9"/>
      <c r="AC643" s="2"/>
      <c r="AD643"/>
      <c r="AE643"/>
      <c r="AF643"/>
      <c r="AG643"/>
    </row>
    <row r="644" spans="1:33" ht="16.149999999999999" customHeight="1" x14ac:dyDescent="0.15">
      <c r="A644" s="6">
        <v>638</v>
      </c>
      <c r="B644" s="18" t="s">
        <v>75</v>
      </c>
      <c r="C644" s="34" t="s">
        <v>2634</v>
      </c>
      <c r="D644" s="43" t="s">
        <v>2899</v>
      </c>
      <c r="E644" s="34" t="s">
        <v>77</v>
      </c>
      <c r="F644" s="19">
        <v>15162</v>
      </c>
      <c r="G644" s="6"/>
      <c r="H644" s="6" t="s">
        <v>2900</v>
      </c>
      <c r="I644" s="2"/>
      <c r="J644" s="38"/>
      <c r="K644" s="38"/>
      <c r="L644" s="38"/>
      <c r="M644" s="6" t="s">
        <v>149</v>
      </c>
      <c r="N644" s="114">
        <v>100</v>
      </c>
      <c r="O644" s="19">
        <v>0</v>
      </c>
      <c r="P644" s="6">
        <v>65535</v>
      </c>
      <c r="Q644" s="38">
        <v>0</v>
      </c>
      <c r="R644" s="38">
        <v>655.35</v>
      </c>
      <c r="S644" s="34"/>
      <c r="T644" s="34"/>
      <c r="U644" s="34"/>
      <c r="V644" s="33"/>
      <c r="W644" s="33" t="s">
        <v>2901</v>
      </c>
      <c r="X644" s="33"/>
      <c r="Y644" s="34" t="s">
        <v>64</v>
      </c>
      <c r="AA644" s="20"/>
      <c r="AB644" s="9"/>
      <c r="AC644" s="2"/>
      <c r="AD644"/>
      <c r="AE644"/>
      <c r="AF644"/>
      <c r="AG644"/>
    </row>
    <row r="645" spans="1:33" ht="16.149999999999999" customHeight="1" x14ac:dyDescent="0.15">
      <c r="A645" s="6">
        <v>639</v>
      </c>
      <c r="B645" s="18" t="s">
        <v>75</v>
      </c>
      <c r="C645" s="34" t="s">
        <v>2634</v>
      </c>
      <c r="D645" s="43" t="s">
        <v>2902</v>
      </c>
      <c r="E645" s="34" t="s">
        <v>77</v>
      </c>
      <c r="F645" s="19">
        <v>15167</v>
      </c>
      <c r="G645" s="6"/>
      <c r="H645" s="6" t="s">
        <v>2903</v>
      </c>
      <c r="I645" s="2"/>
      <c r="J645" s="38"/>
      <c r="K645" s="38"/>
      <c r="L645" s="38"/>
      <c r="M645" s="6" t="s">
        <v>149</v>
      </c>
      <c r="N645" s="114">
        <v>100</v>
      </c>
      <c r="O645" s="19">
        <v>0</v>
      </c>
      <c r="P645" s="6">
        <v>65535</v>
      </c>
      <c r="Q645" s="38">
        <v>0</v>
      </c>
      <c r="R645" s="38">
        <v>655.35</v>
      </c>
      <c r="S645" s="34"/>
      <c r="T645" s="34"/>
      <c r="U645" s="34"/>
      <c r="V645" s="33"/>
      <c r="W645" s="33" t="s">
        <v>2904</v>
      </c>
      <c r="X645" s="33"/>
      <c r="Y645" s="34" t="s">
        <v>64</v>
      </c>
      <c r="AA645" s="20"/>
      <c r="AB645" s="9"/>
      <c r="AC645" s="2"/>
      <c r="AD645"/>
      <c r="AE645"/>
      <c r="AF645"/>
      <c r="AG645"/>
    </row>
    <row r="646" spans="1:33" ht="16.149999999999999" customHeight="1" x14ac:dyDescent="0.15">
      <c r="A646" s="6">
        <v>640</v>
      </c>
      <c r="B646" s="18" t="s">
        <v>75</v>
      </c>
      <c r="C646" s="34" t="s">
        <v>2634</v>
      </c>
      <c r="D646" s="43" t="s">
        <v>2905</v>
      </c>
      <c r="E646" s="77" t="s">
        <v>59</v>
      </c>
      <c r="F646" s="19">
        <v>15169</v>
      </c>
      <c r="G646" s="6"/>
      <c r="H646" s="6" t="s">
        <v>2906</v>
      </c>
      <c r="I646" s="2"/>
      <c r="J646" s="38"/>
      <c r="K646" s="38"/>
      <c r="L646" s="38"/>
      <c r="M646" s="6" t="s">
        <v>2907</v>
      </c>
      <c r="N646" s="19">
        <v>0.05</v>
      </c>
      <c r="O646" s="19">
        <v>0</v>
      </c>
      <c r="P646" s="6">
        <v>4294967295</v>
      </c>
      <c r="Q646" s="38">
        <v>0</v>
      </c>
      <c r="R646" s="38">
        <v>85899345900</v>
      </c>
      <c r="S646" s="34"/>
      <c r="T646" s="34"/>
      <c r="U646" s="34"/>
      <c r="V646" s="33"/>
      <c r="W646" s="33" t="s">
        <v>2908</v>
      </c>
      <c r="X646" s="33"/>
      <c r="Y646" s="34" t="s">
        <v>64</v>
      </c>
      <c r="AA646" s="20"/>
      <c r="AB646" s="9"/>
      <c r="AC646" s="2"/>
      <c r="AD646"/>
      <c r="AE646"/>
      <c r="AF646"/>
      <c r="AG646"/>
    </row>
    <row r="647" spans="1:33" ht="16.149999999999999" customHeight="1" x14ac:dyDescent="0.15">
      <c r="A647" s="6">
        <v>641</v>
      </c>
      <c r="B647" s="18" t="s">
        <v>75</v>
      </c>
      <c r="C647" s="34" t="s">
        <v>2634</v>
      </c>
      <c r="D647" s="43" t="s">
        <v>2909</v>
      </c>
      <c r="E647" s="34" t="s">
        <v>77</v>
      </c>
      <c r="F647" s="19">
        <v>15171</v>
      </c>
      <c r="G647" s="6"/>
      <c r="H647" s="6" t="s">
        <v>2910</v>
      </c>
      <c r="I647" s="2"/>
      <c r="J647" s="38"/>
      <c r="K647" s="38"/>
      <c r="L647" s="38"/>
      <c r="M647" s="6" t="s">
        <v>2907</v>
      </c>
      <c r="N647" s="19">
        <v>0.05</v>
      </c>
      <c r="O647" s="19">
        <v>0</v>
      </c>
      <c r="P647" s="6">
        <v>65535</v>
      </c>
      <c r="Q647" s="38">
        <v>0</v>
      </c>
      <c r="R647" s="38">
        <v>1310700</v>
      </c>
      <c r="S647" s="34"/>
      <c r="T647" s="34"/>
      <c r="U647" s="34"/>
      <c r="V647" s="33"/>
      <c r="W647" s="33" t="s">
        <v>2911</v>
      </c>
      <c r="X647" s="33"/>
      <c r="Y647" s="34" t="s">
        <v>64</v>
      </c>
      <c r="AA647" s="20"/>
      <c r="AB647" s="9"/>
      <c r="AC647" s="2"/>
      <c r="AD647"/>
      <c r="AE647"/>
      <c r="AF647"/>
      <c r="AG647"/>
    </row>
    <row r="648" spans="1:33" ht="16.149999999999999" customHeight="1" x14ac:dyDescent="0.15">
      <c r="A648" s="6">
        <v>642</v>
      </c>
      <c r="B648" s="18" t="s">
        <v>75</v>
      </c>
      <c r="C648" s="34" t="s">
        <v>2634</v>
      </c>
      <c r="D648" s="43" t="s">
        <v>2912</v>
      </c>
      <c r="E648" s="77" t="s">
        <v>59</v>
      </c>
      <c r="F648" s="19">
        <v>15173</v>
      </c>
      <c r="G648" s="6"/>
      <c r="H648" s="6" t="s">
        <v>2913</v>
      </c>
      <c r="I648" s="2"/>
      <c r="J648" s="38"/>
      <c r="K648" s="38"/>
      <c r="L648" s="38"/>
      <c r="M648" s="6" t="s">
        <v>2907</v>
      </c>
      <c r="N648" s="19">
        <v>0.05</v>
      </c>
      <c r="O648" s="19">
        <v>0</v>
      </c>
      <c r="P648" s="6">
        <v>4294967295</v>
      </c>
      <c r="Q648" s="38">
        <v>0</v>
      </c>
      <c r="R648" s="38">
        <v>85899345900</v>
      </c>
      <c r="S648" s="34"/>
      <c r="T648" s="34"/>
      <c r="U648" s="34"/>
      <c r="V648" s="33"/>
      <c r="W648" s="33" t="s">
        <v>2914</v>
      </c>
      <c r="X648" s="33"/>
      <c r="Y648" s="34" t="s">
        <v>64</v>
      </c>
      <c r="AA648" s="20"/>
      <c r="AB648" s="9"/>
      <c r="AC648" s="2"/>
      <c r="AD648"/>
      <c r="AE648"/>
      <c r="AF648"/>
      <c r="AG648"/>
    </row>
    <row r="649" spans="1:33" ht="16.149999999999999" customHeight="1" x14ac:dyDescent="0.15">
      <c r="A649" s="6">
        <v>643</v>
      </c>
      <c r="B649" s="18" t="s">
        <v>75</v>
      </c>
      <c r="C649" s="34" t="s">
        <v>2634</v>
      </c>
      <c r="D649" s="43" t="s">
        <v>2915</v>
      </c>
      <c r="E649" s="34" t="s">
        <v>77</v>
      </c>
      <c r="F649" s="19">
        <v>15175</v>
      </c>
      <c r="G649" s="6"/>
      <c r="H649" s="6" t="s">
        <v>2916</v>
      </c>
      <c r="I649" s="2"/>
      <c r="J649" s="38"/>
      <c r="K649" s="38"/>
      <c r="L649" s="38"/>
      <c r="M649" s="6" t="s">
        <v>2907</v>
      </c>
      <c r="N649" s="19">
        <v>0.05</v>
      </c>
      <c r="O649" s="19">
        <v>0</v>
      </c>
      <c r="P649" s="6">
        <v>65535</v>
      </c>
      <c r="Q649" s="38">
        <v>0</v>
      </c>
      <c r="R649" s="38">
        <v>1310700</v>
      </c>
      <c r="S649" s="34"/>
      <c r="T649" s="34"/>
      <c r="U649" s="34"/>
      <c r="V649" s="33"/>
      <c r="W649" s="33" t="s">
        <v>2917</v>
      </c>
      <c r="X649" s="33"/>
      <c r="Y649" s="34" t="s">
        <v>64</v>
      </c>
      <c r="AA649" s="20"/>
      <c r="AB649" s="9"/>
      <c r="AC649" s="2"/>
      <c r="AD649"/>
      <c r="AE649"/>
      <c r="AF649"/>
      <c r="AG649"/>
    </row>
    <row r="650" spans="1:33" ht="16.149999999999999" customHeight="1" x14ac:dyDescent="0.15">
      <c r="A650" s="6">
        <v>644</v>
      </c>
      <c r="B650" s="18" t="s">
        <v>75</v>
      </c>
      <c r="C650" s="34" t="s">
        <v>2634</v>
      </c>
      <c r="D650" s="43" t="s">
        <v>2918</v>
      </c>
      <c r="E650" s="77" t="s">
        <v>59</v>
      </c>
      <c r="F650" s="19">
        <v>15177</v>
      </c>
      <c r="G650" s="6"/>
      <c r="H650" s="6" t="s">
        <v>2919</v>
      </c>
      <c r="I650" s="2"/>
      <c r="J650" s="38"/>
      <c r="K650" s="38"/>
      <c r="L650" s="38"/>
      <c r="M650" s="6" t="s">
        <v>2907</v>
      </c>
      <c r="N650" s="19">
        <v>0.05</v>
      </c>
      <c r="O650" s="19">
        <v>0</v>
      </c>
      <c r="P650" s="6">
        <v>4294967295</v>
      </c>
      <c r="Q650" s="38">
        <v>0</v>
      </c>
      <c r="R650" s="38">
        <v>85899345900</v>
      </c>
      <c r="S650" s="34"/>
      <c r="T650" s="34"/>
      <c r="U650" s="34"/>
      <c r="V650" s="33"/>
      <c r="W650" s="33" t="s">
        <v>2920</v>
      </c>
      <c r="X650" s="33"/>
      <c r="Y650" s="34" t="s">
        <v>64</v>
      </c>
      <c r="AA650" s="20"/>
      <c r="AB650" s="9"/>
      <c r="AC650" s="2"/>
      <c r="AD650"/>
      <c r="AE650"/>
      <c r="AF650"/>
      <c r="AG650"/>
    </row>
    <row r="651" spans="1:33" ht="16.149999999999999" customHeight="1" x14ac:dyDescent="0.15">
      <c r="A651" s="6">
        <v>645</v>
      </c>
      <c r="B651" s="18" t="s">
        <v>75</v>
      </c>
      <c r="C651" s="34" t="s">
        <v>2634</v>
      </c>
      <c r="D651" s="43" t="s">
        <v>2921</v>
      </c>
      <c r="E651" s="34" t="s">
        <v>77</v>
      </c>
      <c r="F651" s="19">
        <v>15179</v>
      </c>
      <c r="G651" s="6"/>
      <c r="H651" s="6" t="s">
        <v>2922</v>
      </c>
      <c r="I651" s="2"/>
      <c r="J651" s="38"/>
      <c r="K651" s="38"/>
      <c r="L651" s="38"/>
      <c r="M651" s="6" t="s">
        <v>2907</v>
      </c>
      <c r="N651" s="19">
        <v>0.05</v>
      </c>
      <c r="O651" s="19">
        <v>0</v>
      </c>
      <c r="P651" s="6">
        <v>65535</v>
      </c>
      <c r="Q651" s="38">
        <v>0</v>
      </c>
      <c r="R651" s="38">
        <v>1310700</v>
      </c>
      <c r="S651" s="34"/>
      <c r="T651" s="34"/>
      <c r="U651" s="34"/>
      <c r="V651" s="33"/>
      <c r="W651" s="33" t="s">
        <v>2923</v>
      </c>
      <c r="X651" s="33"/>
      <c r="Y651" s="34" t="s">
        <v>64</v>
      </c>
      <c r="AA651" s="20"/>
      <c r="AB651" s="9"/>
      <c r="AC651" s="2"/>
      <c r="AD651"/>
      <c r="AE651"/>
      <c r="AF651"/>
      <c r="AG651"/>
    </row>
    <row r="652" spans="1:33" ht="16.149999999999999" customHeight="1" x14ac:dyDescent="0.15">
      <c r="A652" s="6">
        <v>646</v>
      </c>
      <c r="B652" s="18" t="s">
        <v>75</v>
      </c>
      <c r="C652" s="34" t="s">
        <v>2634</v>
      </c>
      <c r="D652" s="43" t="s">
        <v>2924</v>
      </c>
      <c r="E652" s="77" t="s">
        <v>59</v>
      </c>
      <c r="F652" s="19">
        <v>15181</v>
      </c>
      <c r="G652" s="6"/>
      <c r="H652" s="6" t="s">
        <v>2925</v>
      </c>
      <c r="I652" s="2"/>
      <c r="J652" s="38"/>
      <c r="K652" s="38"/>
      <c r="L652" s="38"/>
      <c r="M652" s="6" t="s">
        <v>2907</v>
      </c>
      <c r="N652" s="19">
        <v>0.05</v>
      </c>
      <c r="O652" s="19">
        <v>0</v>
      </c>
      <c r="P652" s="6">
        <v>4294967295</v>
      </c>
      <c r="Q652" s="38">
        <v>0</v>
      </c>
      <c r="R652" s="38">
        <v>85899345900</v>
      </c>
      <c r="S652" s="34"/>
      <c r="T652" s="34"/>
      <c r="U652" s="34"/>
      <c r="V652" s="33"/>
      <c r="W652" s="33" t="s">
        <v>2926</v>
      </c>
      <c r="X652" s="33"/>
      <c r="Y652" s="34" t="s">
        <v>64</v>
      </c>
      <c r="AA652" s="20"/>
      <c r="AB652" s="9"/>
      <c r="AC652" s="2"/>
      <c r="AD652"/>
      <c r="AE652"/>
      <c r="AF652"/>
      <c r="AG652"/>
    </row>
    <row r="653" spans="1:33" ht="16.149999999999999" customHeight="1" x14ac:dyDescent="0.15">
      <c r="A653" s="6">
        <v>647</v>
      </c>
      <c r="B653" s="18" t="s">
        <v>75</v>
      </c>
      <c r="C653" s="34" t="s">
        <v>2634</v>
      </c>
      <c r="D653" s="43" t="s">
        <v>2927</v>
      </c>
      <c r="E653" s="34" t="s">
        <v>77</v>
      </c>
      <c r="F653" s="19">
        <v>15183</v>
      </c>
      <c r="G653" s="6"/>
      <c r="H653" s="6" t="s">
        <v>2928</v>
      </c>
      <c r="I653" s="2"/>
      <c r="J653" s="38"/>
      <c r="K653" s="38"/>
      <c r="L653" s="38"/>
      <c r="M653" s="6" t="s">
        <v>2907</v>
      </c>
      <c r="N653" s="19">
        <v>0.05</v>
      </c>
      <c r="O653" s="19">
        <v>0</v>
      </c>
      <c r="P653" s="6">
        <v>65535</v>
      </c>
      <c r="Q653" s="38">
        <v>0</v>
      </c>
      <c r="R653" s="38">
        <v>1310700</v>
      </c>
      <c r="S653" s="34"/>
      <c r="T653" s="34"/>
      <c r="U653" s="34"/>
      <c r="V653" s="33"/>
      <c r="W653" s="33" t="s">
        <v>2929</v>
      </c>
      <c r="X653" s="33"/>
      <c r="Y653" s="34" t="s">
        <v>64</v>
      </c>
      <c r="AA653" s="20"/>
      <c r="AB653" s="9"/>
      <c r="AC653" s="2"/>
      <c r="AD653"/>
      <c r="AE653"/>
      <c r="AF653"/>
      <c r="AG653"/>
    </row>
    <row r="654" spans="1:33" ht="16.149999999999999" customHeight="1" x14ac:dyDescent="0.15">
      <c r="A654" s="6">
        <v>648</v>
      </c>
      <c r="B654" s="18" t="s">
        <v>75</v>
      </c>
      <c r="C654" s="34" t="s">
        <v>2634</v>
      </c>
      <c r="D654" s="43" t="s">
        <v>2930</v>
      </c>
      <c r="E654" s="77" t="s">
        <v>59</v>
      </c>
      <c r="F654" s="19">
        <v>15185</v>
      </c>
      <c r="G654" s="6"/>
      <c r="H654" s="6" t="s">
        <v>2931</v>
      </c>
      <c r="I654" s="2"/>
      <c r="J654" s="38"/>
      <c r="K654" s="38"/>
      <c r="L654" s="38"/>
      <c r="M654" s="6" t="s">
        <v>2907</v>
      </c>
      <c r="N654" s="19">
        <v>0.05</v>
      </c>
      <c r="O654" s="19">
        <v>0</v>
      </c>
      <c r="P654" s="6">
        <v>4294967295</v>
      </c>
      <c r="Q654" s="38">
        <v>0</v>
      </c>
      <c r="R654" s="38">
        <v>85899345900</v>
      </c>
      <c r="S654" s="34"/>
      <c r="T654" s="34"/>
      <c r="U654" s="34"/>
      <c r="V654" s="33"/>
      <c r="W654" s="33" t="s">
        <v>2932</v>
      </c>
      <c r="X654" s="33"/>
      <c r="Y654" s="34" t="s">
        <v>64</v>
      </c>
      <c r="AA654" s="20"/>
      <c r="AB654" s="9"/>
      <c r="AC654" s="2"/>
      <c r="AD654"/>
      <c r="AE654"/>
      <c r="AF654"/>
      <c r="AG654"/>
    </row>
    <row r="655" spans="1:33" ht="16.149999999999999" customHeight="1" x14ac:dyDescent="0.15">
      <c r="A655" s="6">
        <v>649</v>
      </c>
      <c r="B655" s="18" t="s">
        <v>75</v>
      </c>
      <c r="C655" s="34" t="s">
        <v>2634</v>
      </c>
      <c r="D655" s="43" t="s">
        <v>2933</v>
      </c>
      <c r="E655" s="34" t="s">
        <v>77</v>
      </c>
      <c r="F655" s="19">
        <v>15187</v>
      </c>
      <c r="G655" s="6"/>
      <c r="H655" s="6" t="s">
        <v>2934</v>
      </c>
      <c r="I655" s="2"/>
      <c r="J655" s="38"/>
      <c r="K655" s="38"/>
      <c r="L655" s="38"/>
      <c r="M655" s="6" t="s">
        <v>2907</v>
      </c>
      <c r="N655" s="19">
        <v>0.05</v>
      </c>
      <c r="O655" s="19">
        <v>0</v>
      </c>
      <c r="P655" s="6">
        <v>65535</v>
      </c>
      <c r="Q655" s="38">
        <v>0</v>
      </c>
      <c r="R655" s="38">
        <v>1310700</v>
      </c>
      <c r="S655" s="34"/>
      <c r="T655" s="34"/>
      <c r="U655" s="34"/>
      <c r="V655" s="33"/>
      <c r="W655" s="33" t="s">
        <v>2935</v>
      </c>
      <c r="X655" s="33"/>
      <c r="Y655" s="34" t="s">
        <v>64</v>
      </c>
      <c r="AA655" s="20"/>
      <c r="AB655" s="9"/>
      <c r="AC655" s="2"/>
      <c r="AD655"/>
      <c r="AE655"/>
      <c r="AF655"/>
      <c r="AG655"/>
    </row>
    <row r="656" spans="1:33" ht="16.149999999999999" customHeight="1" x14ac:dyDescent="0.15">
      <c r="A656" s="6">
        <v>650</v>
      </c>
      <c r="B656" s="18" t="s">
        <v>75</v>
      </c>
      <c r="C656" s="34" t="s">
        <v>2634</v>
      </c>
      <c r="D656" s="43" t="s">
        <v>2936</v>
      </c>
      <c r="E656" s="77" t="s">
        <v>59</v>
      </c>
      <c r="F656" s="19">
        <v>15189</v>
      </c>
      <c r="G656" s="6"/>
      <c r="H656" s="6" t="s">
        <v>2937</v>
      </c>
      <c r="I656" s="2"/>
      <c r="J656" s="38"/>
      <c r="K656" s="38"/>
      <c r="L656" s="38"/>
      <c r="M656" s="6" t="s">
        <v>2907</v>
      </c>
      <c r="N656" s="19">
        <v>0.05</v>
      </c>
      <c r="O656" s="19">
        <v>0</v>
      </c>
      <c r="P656" s="6">
        <v>4294967295</v>
      </c>
      <c r="Q656" s="38">
        <v>0</v>
      </c>
      <c r="R656" s="38">
        <v>85899345900</v>
      </c>
      <c r="S656" s="34"/>
      <c r="T656" s="34"/>
      <c r="U656" s="34"/>
      <c r="V656" s="33"/>
      <c r="W656" s="33" t="s">
        <v>2938</v>
      </c>
      <c r="X656" s="33"/>
      <c r="Y656" s="34" t="s">
        <v>64</v>
      </c>
      <c r="AA656" s="20"/>
      <c r="AB656" s="9"/>
      <c r="AC656" s="2"/>
      <c r="AD656"/>
      <c r="AE656"/>
      <c r="AF656"/>
      <c r="AG656"/>
    </row>
    <row r="657" spans="1:33" ht="16.149999999999999" customHeight="1" x14ac:dyDescent="0.15">
      <c r="A657" s="6">
        <v>651</v>
      </c>
      <c r="B657" s="18" t="s">
        <v>75</v>
      </c>
      <c r="C657" s="34" t="s">
        <v>2634</v>
      </c>
      <c r="D657" s="43" t="s">
        <v>2939</v>
      </c>
      <c r="E657" s="77" t="s">
        <v>59</v>
      </c>
      <c r="F657" s="19">
        <v>15191</v>
      </c>
      <c r="G657" s="6"/>
      <c r="H657" s="6" t="s">
        <v>2940</v>
      </c>
      <c r="I657" s="2"/>
      <c r="J657" s="38"/>
      <c r="K657" s="38"/>
      <c r="L657" s="38"/>
      <c r="M657" s="6" t="s">
        <v>2907</v>
      </c>
      <c r="N657" s="19">
        <v>0.05</v>
      </c>
      <c r="O657" s="19">
        <v>0</v>
      </c>
      <c r="P657" s="6">
        <v>4294967295</v>
      </c>
      <c r="Q657" s="38">
        <v>0</v>
      </c>
      <c r="R657" s="38">
        <v>85899345900</v>
      </c>
      <c r="S657" s="34"/>
      <c r="T657" s="34"/>
      <c r="U657" s="34"/>
      <c r="V657" s="33"/>
      <c r="W657" s="33" t="s">
        <v>2941</v>
      </c>
      <c r="X657" s="33"/>
      <c r="Y657" s="34" t="s">
        <v>64</v>
      </c>
      <c r="AA657" s="20"/>
      <c r="AB657" s="9"/>
      <c r="AC657" s="2"/>
      <c r="AD657"/>
      <c r="AE657"/>
      <c r="AF657"/>
      <c r="AG657"/>
    </row>
    <row r="658" spans="1:33" ht="16.149999999999999" customHeight="1" x14ac:dyDescent="0.15">
      <c r="A658" s="6">
        <v>652</v>
      </c>
      <c r="B658" s="18" t="s">
        <v>75</v>
      </c>
      <c r="C658" s="34" t="s">
        <v>2634</v>
      </c>
      <c r="D658" s="43" t="s">
        <v>2942</v>
      </c>
      <c r="E658" s="77" t="s">
        <v>59</v>
      </c>
      <c r="F658" s="19">
        <v>15193</v>
      </c>
      <c r="G658" s="6"/>
      <c r="H658" s="6" t="s">
        <v>2943</v>
      </c>
      <c r="I658" s="2"/>
      <c r="J658" s="38"/>
      <c r="K658" s="38"/>
      <c r="L658" s="38"/>
      <c r="M658" s="6" t="s">
        <v>2907</v>
      </c>
      <c r="N658" s="19">
        <v>0.05</v>
      </c>
      <c r="O658" s="19">
        <v>0</v>
      </c>
      <c r="P658" s="6">
        <v>4294967295</v>
      </c>
      <c r="Q658" s="38">
        <v>0</v>
      </c>
      <c r="R658" s="38">
        <v>85899345900</v>
      </c>
      <c r="S658" s="34"/>
      <c r="T658" s="34"/>
      <c r="U658" s="34"/>
      <c r="V658" s="33"/>
      <c r="W658" s="33" t="s">
        <v>2944</v>
      </c>
      <c r="X658" s="33"/>
      <c r="Y658" s="34" t="s">
        <v>64</v>
      </c>
      <c r="AA658" s="20"/>
      <c r="AB658" s="9"/>
      <c r="AC658" s="2"/>
      <c r="AD658"/>
      <c r="AE658"/>
      <c r="AF658"/>
      <c r="AG658"/>
    </row>
    <row r="659" spans="1:33" ht="16.149999999999999" customHeight="1" x14ac:dyDescent="0.15">
      <c r="A659" s="6">
        <v>653</v>
      </c>
      <c r="B659" s="18" t="s">
        <v>75</v>
      </c>
      <c r="C659" s="34" t="s">
        <v>2634</v>
      </c>
      <c r="D659" s="43" t="s">
        <v>2945</v>
      </c>
      <c r="E659" s="77" t="s">
        <v>59</v>
      </c>
      <c r="F659" s="19">
        <v>15195</v>
      </c>
      <c r="G659" s="6"/>
      <c r="H659" s="6" t="s">
        <v>2946</v>
      </c>
      <c r="I659" s="2"/>
      <c r="J659" s="38"/>
      <c r="K659" s="38"/>
      <c r="L659" s="38"/>
      <c r="M659" s="6" t="s">
        <v>2907</v>
      </c>
      <c r="N659" s="19">
        <v>0.05</v>
      </c>
      <c r="O659" s="19">
        <v>0</v>
      </c>
      <c r="P659" s="6">
        <v>4294967295</v>
      </c>
      <c r="Q659" s="38">
        <v>0</v>
      </c>
      <c r="R659" s="38">
        <v>85899345900</v>
      </c>
      <c r="S659" s="34"/>
      <c r="T659" s="34"/>
      <c r="U659" s="34"/>
      <c r="V659" s="33"/>
      <c r="W659" s="33" t="s">
        <v>2947</v>
      </c>
      <c r="X659" s="33"/>
      <c r="Y659" s="34" t="s">
        <v>64</v>
      </c>
      <c r="AA659" s="20"/>
      <c r="AB659" s="9"/>
      <c r="AC659" s="2"/>
      <c r="AD659"/>
      <c r="AE659"/>
      <c r="AF659"/>
      <c r="AG659"/>
    </row>
    <row r="660" spans="1:33" ht="16.149999999999999" customHeight="1" x14ac:dyDescent="0.15">
      <c r="A660" s="6">
        <v>654</v>
      </c>
      <c r="B660" s="18" t="s">
        <v>75</v>
      </c>
      <c r="C660" s="34" t="s">
        <v>2634</v>
      </c>
      <c r="D660" s="43" t="s">
        <v>2948</v>
      </c>
      <c r="E660" s="77" t="s">
        <v>59</v>
      </c>
      <c r="F660" s="19">
        <v>15197</v>
      </c>
      <c r="G660" s="6"/>
      <c r="H660" s="6" t="s">
        <v>2949</v>
      </c>
      <c r="I660" s="2"/>
      <c r="J660" s="38"/>
      <c r="K660" s="38"/>
      <c r="L660" s="38"/>
      <c r="M660" s="6" t="s">
        <v>2907</v>
      </c>
      <c r="N660" s="19">
        <v>0.05</v>
      </c>
      <c r="O660" s="19">
        <v>0</v>
      </c>
      <c r="P660" s="6">
        <v>4294967295</v>
      </c>
      <c r="Q660" s="38">
        <v>0</v>
      </c>
      <c r="R660" s="38">
        <v>85899345900</v>
      </c>
      <c r="S660" s="34"/>
      <c r="T660" s="34"/>
      <c r="U660" s="34"/>
      <c r="V660" s="33"/>
      <c r="W660" s="33" t="s">
        <v>2950</v>
      </c>
      <c r="X660" s="33"/>
      <c r="Y660" s="34" t="s">
        <v>64</v>
      </c>
      <c r="AA660" s="20"/>
      <c r="AB660" s="9"/>
      <c r="AC660" s="2"/>
      <c r="AD660"/>
      <c r="AE660"/>
      <c r="AF660"/>
      <c r="AG660"/>
    </row>
    <row r="661" spans="1:33" ht="16.149999999999999" customHeight="1" x14ac:dyDescent="0.15">
      <c r="A661" s="6">
        <v>655</v>
      </c>
      <c r="B661" s="18" t="s">
        <v>75</v>
      </c>
      <c r="C661" s="34" t="s">
        <v>2634</v>
      </c>
      <c r="D661" s="43" t="s">
        <v>2951</v>
      </c>
      <c r="E661" s="77" t="s">
        <v>59</v>
      </c>
      <c r="F661" s="19">
        <v>15199</v>
      </c>
      <c r="G661" s="6"/>
      <c r="H661" s="6" t="s">
        <v>2952</v>
      </c>
      <c r="I661" s="2"/>
      <c r="J661" s="38"/>
      <c r="K661" s="38"/>
      <c r="L661" s="38"/>
      <c r="M661" s="6" t="s">
        <v>2907</v>
      </c>
      <c r="N661" s="19">
        <v>0.05</v>
      </c>
      <c r="O661" s="19">
        <v>0</v>
      </c>
      <c r="P661" s="6">
        <v>4294967295</v>
      </c>
      <c r="Q661" s="38">
        <v>0</v>
      </c>
      <c r="R661" s="38">
        <v>85899345900</v>
      </c>
      <c r="S661" s="34"/>
      <c r="T661" s="34"/>
      <c r="U661" s="34"/>
      <c r="V661" s="33"/>
      <c r="W661" s="33" t="s">
        <v>2953</v>
      </c>
      <c r="X661" s="33"/>
      <c r="Y661" s="34" t="s">
        <v>64</v>
      </c>
      <c r="AA661" s="20"/>
      <c r="AB661" s="9"/>
      <c r="AC661" s="2"/>
      <c r="AD661"/>
      <c r="AE661"/>
      <c r="AF661"/>
      <c r="AG661"/>
    </row>
    <row r="662" spans="1:33" ht="16.149999999999999" customHeight="1" x14ac:dyDescent="0.15">
      <c r="A662" s="6">
        <v>656</v>
      </c>
      <c r="B662" s="18" t="s">
        <v>75</v>
      </c>
      <c r="C662" s="34" t="s">
        <v>2634</v>
      </c>
      <c r="D662" s="43" t="s">
        <v>2954</v>
      </c>
      <c r="E662" s="77" t="s">
        <v>59</v>
      </c>
      <c r="F662" s="19">
        <v>15201</v>
      </c>
      <c r="G662" s="6"/>
      <c r="H662" s="6" t="s">
        <v>2955</v>
      </c>
      <c r="I662" s="2"/>
      <c r="J662" s="38"/>
      <c r="K662" s="38"/>
      <c r="L662" s="38"/>
      <c r="M662" s="6" t="s">
        <v>2907</v>
      </c>
      <c r="N662" s="19">
        <v>0.05</v>
      </c>
      <c r="O662" s="19">
        <v>0</v>
      </c>
      <c r="P662" s="6">
        <v>4294967295</v>
      </c>
      <c r="Q662" s="38">
        <v>0</v>
      </c>
      <c r="R662" s="38">
        <v>85899345900</v>
      </c>
      <c r="S662" s="34"/>
      <c r="T662" s="34"/>
      <c r="U662" s="34"/>
      <c r="V662" s="33"/>
      <c r="W662" s="33" t="s">
        <v>2956</v>
      </c>
      <c r="X662" s="33"/>
      <c r="Y662" s="34" t="s">
        <v>64</v>
      </c>
      <c r="AA662" s="20"/>
      <c r="AB662" s="9"/>
      <c r="AC662" s="2"/>
      <c r="AD662"/>
      <c r="AE662"/>
      <c r="AF662"/>
      <c r="AG662"/>
    </row>
    <row r="663" spans="1:33" ht="16.149999999999999" customHeight="1" x14ac:dyDescent="0.15">
      <c r="A663" s="6">
        <v>657</v>
      </c>
      <c r="B663" s="18" t="s">
        <v>75</v>
      </c>
      <c r="C663" s="34" t="s">
        <v>2634</v>
      </c>
      <c r="D663" s="43" t="s">
        <v>2957</v>
      </c>
      <c r="E663" s="77" t="s">
        <v>59</v>
      </c>
      <c r="F663" s="19">
        <v>15203</v>
      </c>
      <c r="G663" s="6"/>
      <c r="H663" s="6" t="s">
        <v>2958</v>
      </c>
      <c r="I663" s="2"/>
      <c r="J663" s="38"/>
      <c r="K663" s="38"/>
      <c r="L663" s="38"/>
      <c r="M663" s="6" t="s">
        <v>2907</v>
      </c>
      <c r="N663" s="19">
        <v>0.05</v>
      </c>
      <c r="O663" s="19">
        <v>0</v>
      </c>
      <c r="P663" s="6">
        <v>4294967295</v>
      </c>
      <c r="Q663" s="38">
        <v>0</v>
      </c>
      <c r="R663" s="38">
        <v>85899345900</v>
      </c>
      <c r="S663" s="34"/>
      <c r="T663" s="34"/>
      <c r="U663" s="34"/>
      <c r="V663" s="33"/>
      <c r="W663" s="33" t="s">
        <v>2959</v>
      </c>
      <c r="X663" s="33"/>
      <c r="Y663" s="34" t="s">
        <v>64</v>
      </c>
      <c r="AA663" s="20"/>
      <c r="AB663" s="9"/>
      <c r="AC663" s="2"/>
      <c r="AD663"/>
      <c r="AE663"/>
      <c r="AF663"/>
      <c r="AG663"/>
    </row>
    <row r="664" spans="1:33" ht="16.149999999999999" customHeight="1" x14ac:dyDescent="0.15">
      <c r="A664" s="6">
        <v>658</v>
      </c>
      <c r="B664" s="18" t="s">
        <v>75</v>
      </c>
      <c r="C664" s="34" t="s">
        <v>2634</v>
      </c>
      <c r="D664" s="43" t="s">
        <v>2960</v>
      </c>
      <c r="E664" s="77" t="s">
        <v>59</v>
      </c>
      <c r="F664" s="19">
        <v>15205</v>
      </c>
      <c r="G664" s="6"/>
      <c r="H664" s="6" t="s">
        <v>2961</v>
      </c>
      <c r="I664" s="2"/>
      <c r="J664" s="38"/>
      <c r="K664" s="38"/>
      <c r="L664" s="38"/>
      <c r="M664" s="6" t="s">
        <v>2907</v>
      </c>
      <c r="N664" s="19">
        <v>0.05</v>
      </c>
      <c r="O664" s="19">
        <v>0</v>
      </c>
      <c r="P664" s="6">
        <v>4294967295</v>
      </c>
      <c r="Q664" s="38">
        <v>0</v>
      </c>
      <c r="R664" s="38">
        <v>85899345900</v>
      </c>
      <c r="S664" s="34"/>
      <c r="T664" s="34"/>
      <c r="U664" s="34"/>
      <c r="V664" s="33"/>
      <c r="W664" s="33" t="s">
        <v>2962</v>
      </c>
      <c r="X664" s="33"/>
      <c r="Y664" s="34" t="s">
        <v>64</v>
      </c>
      <c r="AA664" s="20"/>
      <c r="AB664" s="9"/>
      <c r="AC664" s="2"/>
      <c r="AD664"/>
      <c r="AE664"/>
      <c r="AF664"/>
      <c r="AG664"/>
    </row>
    <row r="665" spans="1:33" ht="16.149999999999999" customHeight="1" x14ac:dyDescent="0.15">
      <c r="A665" s="6">
        <v>659</v>
      </c>
      <c r="B665" s="18" t="s">
        <v>75</v>
      </c>
      <c r="C665" s="34" t="s">
        <v>2634</v>
      </c>
      <c r="D665" s="43" t="s">
        <v>2963</v>
      </c>
      <c r="E665" s="77" t="s">
        <v>59</v>
      </c>
      <c r="F665" s="19">
        <v>15207</v>
      </c>
      <c r="G665" s="6"/>
      <c r="H665" s="6" t="s">
        <v>2964</v>
      </c>
      <c r="I665" s="2"/>
      <c r="J665" s="38"/>
      <c r="K665" s="38"/>
      <c r="L665" s="38"/>
      <c r="M665" s="6" t="s">
        <v>2907</v>
      </c>
      <c r="N665" s="19">
        <v>0.05</v>
      </c>
      <c r="O665" s="19">
        <v>0</v>
      </c>
      <c r="P665" s="6">
        <v>4294967295</v>
      </c>
      <c r="Q665" s="38">
        <v>0</v>
      </c>
      <c r="R665" s="38">
        <v>85899345900</v>
      </c>
      <c r="S665" s="34"/>
      <c r="T665" s="34"/>
      <c r="U665" s="34"/>
      <c r="V665" s="33"/>
      <c r="W665" s="33" t="s">
        <v>2965</v>
      </c>
      <c r="X665" s="33"/>
      <c r="Y665" s="34" t="s">
        <v>64</v>
      </c>
      <c r="AA665" s="20"/>
      <c r="AB665" s="9"/>
      <c r="AC665" s="2"/>
      <c r="AD665"/>
      <c r="AE665"/>
      <c r="AF665"/>
      <c r="AG665"/>
    </row>
    <row r="666" spans="1:33" ht="16.149999999999999" customHeight="1" x14ac:dyDescent="0.15">
      <c r="A666" s="6">
        <v>660</v>
      </c>
      <c r="B666" s="18" t="s">
        <v>75</v>
      </c>
      <c r="C666" s="34" t="s">
        <v>2634</v>
      </c>
      <c r="D666" s="43" t="s">
        <v>2966</v>
      </c>
      <c r="E666" s="34" t="s">
        <v>2348</v>
      </c>
      <c r="F666" s="19">
        <v>15211</v>
      </c>
      <c r="G666" s="6"/>
      <c r="H666" s="6" t="s">
        <v>2967</v>
      </c>
      <c r="I666" s="2"/>
      <c r="J666" s="38"/>
      <c r="K666" s="38"/>
      <c r="L666" s="38"/>
      <c r="M666" s="6" t="s">
        <v>61</v>
      </c>
      <c r="N666" s="114"/>
      <c r="O666" s="19" t="s">
        <v>62</v>
      </c>
      <c r="P666" s="6" t="s">
        <v>62</v>
      </c>
      <c r="Q666" s="38" t="s">
        <v>62</v>
      </c>
      <c r="R666" s="38" t="s">
        <v>62</v>
      </c>
      <c r="S666" s="34"/>
      <c r="T666" s="34"/>
      <c r="U666" s="34"/>
      <c r="V666" s="33"/>
      <c r="W666" s="33" t="s">
        <v>2968</v>
      </c>
      <c r="X666" s="34" t="s">
        <v>2763</v>
      </c>
      <c r="Y666" s="34" t="s">
        <v>64</v>
      </c>
      <c r="AA666" s="20"/>
      <c r="AB666" s="9"/>
      <c r="AC666" s="2"/>
      <c r="AD666"/>
      <c r="AE666"/>
      <c r="AF666"/>
      <c r="AG666"/>
    </row>
    <row r="667" spans="1:33" ht="16.149999999999999" customHeight="1" x14ac:dyDescent="0.15">
      <c r="A667" s="6">
        <v>661</v>
      </c>
      <c r="B667" s="18" t="s">
        <v>75</v>
      </c>
      <c r="C667" s="34" t="s">
        <v>2634</v>
      </c>
      <c r="D667" s="43" t="s">
        <v>2969</v>
      </c>
      <c r="E667" s="34" t="s">
        <v>2348</v>
      </c>
      <c r="F667" s="19">
        <v>15212</v>
      </c>
      <c r="G667" s="6"/>
      <c r="H667" s="6" t="s">
        <v>2970</v>
      </c>
      <c r="I667" s="2"/>
      <c r="J667" s="38"/>
      <c r="K667" s="38"/>
      <c r="L667" s="38"/>
      <c r="M667" s="6" t="s">
        <v>61</v>
      </c>
      <c r="N667" s="114"/>
      <c r="O667" s="19" t="s">
        <v>62</v>
      </c>
      <c r="P667" s="6" t="s">
        <v>62</v>
      </c>
      <c r="Q667" s="38" t="s">
        <v>62</v>
      </c>
      <c r="R667" s="38" t="s">
        <v>62</v>
      </c>
      <c r="S667" s="34"/>
      <c r="T667" s="34"/>
      <c r="U667" s="34"/>
      <c r="V667" s="33"/>
      <c r="W667" s="33" t="s">
        <v>2971</v>
      </c>
      <c r="X667" s="34" t="s">
        <v>2763</v>
      </c>
      <c r="Y667" s="34" t="s">
        <v>64</v>
      </c>
      <c r="AA667" s="20"/>
      <c r="AB667" s="9"/>
      <c r="AC667" s="2"/>
      <c r="AD667"/>
      <c r="AE667"/>
      <c r="AF667"/>
      <c r="AG667"/>
    </row>
    <row r="668" spans="1:33" ht="16.149999999999999" customHeight="1" x14ac:dyDescent="0.15">
      <c r="A668" s="6">
        <v>662</v>
      </c>
      <c r="B668" s="18" t="s">
        <v>75</v>
      </c>
      <c r="C668" s="34" t="s">
        <v>2634</v>
      </c>
      <c r="D668" s="43" t="s">
        <v>2979</v>
      </c>
      <c r="E668" s="34" t="s">
        <v>77</v>
      </c>
      <c r="F668" s="19">
        <v>15223</v>
      </c>
      <c r="G668" s="6"/>
      <c r="H668" s="6" t="s">
        <v>2980</v>
      </c>
      <c r="I668" s="2"/>
      <c r="J668" s="38"/>
      <c r="K668" s="38"/>
      <c r="L668" s="38"/>
      <c r="M668" s="6" t="s">
        <v>582</v>
      </c>
      <c r="N668" s="114">
        <v>10</v>
      </c>
      <c r="O668" s="19">
        <v>0</v>
      </c>
      <c r="P668" s="6">
        <v>65535</v>
      </c>
      <c r="Q668" s="38">
        <v>0</v>
      </c>
      <c r="R668" s="38">
        <v>6553.5</v>
      </c>
      <c r="S668" s="34"/>
      <c r="T668" s="34"/>
      <c r="U668" s="34"/>
      <c r="V668" s="33"/>
      <c r="W668" s="33" t="s">
        <v>2981</v>
      </c>
      <c r="X668" s="33"/>
      <c r="Y668" s="34" t="s">
        <v>64</v>
      </c>
      <c r="AA668" s="20"/>
      <c r="AB668" s="9"/>
      <c r="AC668" s="2"/>
      <c r="AD668"/>
      <c r="AE668"/>
      <c r="AF668"/>
      <c r="AG668"/>
    </row>
    <row r="669" spans="1:33" ht="16.149999999999999" customHeight="1" x14ac:dyDescent="0.15">
      <c r="A669" s="6">
        <v>663</v>
      </c>
      <c r="B669" s="18" t="s">
        <v>75</v>
      </c>
      <c r="C669" s="34" t="s">
        <v>2634</v>
      </c>
      <c r="D669" s="43" t="s">
        <v>2982</v>
      </c>
      <c r="E669" s="77" t="s">
        <v>143</v>
      </c>
      <c r="F669" s="19">
        <v>15224</v>
      </c>
      <c r="G669" s="6"/>
      <c r="H669" s="6" t="s">
        <v>2983</v>
      </c>
      <c r="I669" s="2"/>
      <c r="J669" s="38"/>
      <c r="K669" s="38"/>
      <c r="L669" s="38"/>
      <c r="M669" s="6" t="s">
        <v>145</v>
      </c>
      <c r="N669" s="114">
        <v>1000</v>
      </c>
      <c r="O669" s="19">
        <v>-32768</v>
      </c>
      <c r="P669" s="6">
        <v>32767</v>
      </c>
      <c r="Q669" s="38">
        <v>-32.768000000000001</v>
      </c>
      <c r="R669" s="38">
        <v>32.767000000000003</v>
      </c>
      <c r="S669" s="34"/>
      <c r="T669" s="34"/>
      <c r="U669" s="34"/>
      <c r="V669" s="33"/>
      <c r="W669" s="33" t="s">
        <v>2984</v>
      </c>
      <c r="X669" s="33"/>
      <c r="Y669" s="34" t="s">
        <v>64</v>
      </c>
      <c r="AA669" s="20"/>
      <c r="AB669" s="9"/>
      <c r="AC669" s="2"/>
      <c r="AD669"/>
      <c r="AE669"/>
      <c r="AF669"/>
      <c r="AG669"/>
    </row>
    <row r="670" spans="1:33" ht="16.149999999999999" customHeight="1" x14ac:dyDescent="0.15">
      <c r="A670" s="6">
        <v>664</v>
      </c>
      <c r="B670" s="18" t="s">
        <v>75</v>
      </c>
      <c r="C670" s="34" t="s">
        <v>2634</v>
      </c>
      <c r="D670" s="43" t="s">
        <v>2985</v>
      </c>
      <c r="E670" s="77" t="s">
        <v>143</v>
      </c>
      <c r="F670" s="19">
        <v>15225</v>
      </c>
      <c r="G670" s="6"/>
      <c r="H670" s="6" t="s">
        <v>2986</v>
      </c>
      <c r="I670" s="2"/>
      <c r="J670" s="38"/>
      <c r="K670" s="38"/>
      <c r="L670" s="38"/>
      <c r="M670" s="6" t="s">
        <v>145</v>
      </c>
      <c r="N670" s="114">
        <v>1000</v>
      </c>
      <c r="O670" s="19">
        <v>-32768</v>
      </c>
      <c r="P670" s="6">
        <v>32767</v>
      </c>
      <c r="Q670" s="38">
        <v>-32.768000000000001</v>
      </c>
      <c r="R670" s="38">
        <v>32.767000000000003</v>
      </c>
      <c r="S670" s="34"/>
      <c r="T670" s="34"/>
      <c r="U670" s="34"/>
      <c r="V670" s="33"/>
      <c r="W670" s="33" t="s">
        <v>2987</v>
      </c>
      <c r="X670" s="33"/>
      <c r="Y670" s="34" t="s">
        <v>64</v>
      </c>
      <c r="AA670" s="20"/>
      <c r="AB670" s="9"/>
      <c r="AC670" s="2"/>
      <c r="AD670"/>
      <c r="AE670"/>
      <c r="AF670"/>
      <c r="AG670"/>
    </row>
    <row r="671" spans="1:33" ht="16.149999999999999" customHeight="1" x14ac:dyDescent="0.15">
      <c r="A671" s="6">
        <v>665</v>
      </c>
      <c r="B671" s="18" t="s">
        <v>75</v>
      </c>
      <c r="C671" s="34" t="s">
        <v>2634</v>
      </c>
      <c r="D671" s="43" t="s">
        <v>2988</v>
      </c>
      <c r="E671" s="77" t="s">
        <v>143</v>
      </c>
      <c r="F671" s="19">
        <v>15226</v>
      </c>
      <c r="G671" s="6"/>
      <c r="H671" s="6" t="s">
        <v>2989</v>
      </c>
      <c r="I671" s="2"/>
      <c r="J671" s="38"/>
      <c r="K671" s="38"/>
      <c r="L671" s="38"/>
      <c r="M671" s="6" t="s">
        <v>145</v>
      </c>
      <c r="N671" s="114">
        <v>1000</v>
      </c>
      <c r="O671" s="19">
        <v>-32768</v>
      </c>
      <c r="P671" s="6">
        <v>32767</v>
      </c>
      <c r="Q671" s="38">
        <v>-32.768000000000001</v>
      </c>
      <c r="R671" s="38">
        <v>32.767000000000003</v>
      </c>
      <c r="S671" s="34"/>
      <c r="T671" s="34"/>
      <c r="U671" s="34"/>
      <c r="V671" s="33"/>
      <c r="W671" s="33" t="s">
        <v>2990</v>
      </c>
      <c r="X671" s="33"/>
      <c r="Y671" s="34" t="s">
        <v>64</v>
      </c>
      <c r="AA671" s="20"/>
      <c r="AB671" s="9"/>
      <c r="AC671" s="2"/>
      <c r="AD671"/>
      <c r="AE671"/>
      <c r="AF671"/>
      <c r="AG671"/>
    </row>
    <row r="672" spans="1:33" ht="16.149999999999999" customHeight="1" x14ac:dyDescent="0.15">
      <c r="A672" s="6">
        <v>666</v>
      </c>
      <c r="B672" s="18" t="s">
        <v>75</v>
      </c>
      <c r="C672" s="34" t="s">
        <v>2634</v>
      </c>
      <c r="D672" s="34" t="s">
        <v>2991</v>
      </c>
      <c r="E672" s="34" t="s">
        <v>77</v>
      </c>
      <c r="F672" s="19">
        <v>15227</v>
      </c>
      <c r="G672" s="6"/>
      <c r="H672" s="6" t="s">
        <v>2992</v>
      </c>
      <c r="I672" s="2"/>
      <c r="J672" s="38"/>
      <c r="K672" s="38"/>
      <c r="L672" s="38"/>
      <c r="M672" s="6" t="s">
        <v>145</v>
      </c>
      <c r="N672" s="38">
        <v>10</v>
      </c>
      <c r="O672" s="19">
        <v>0</v>
      </c>
      <c r="P672" s="6">
        <v>65535</v>
      </c>
      <c r="Q672" s="38">
        <v>0</v>
      </c>
      <c r="R672" s="38">
        <v>6553.5</v>
      </c>
      <c r="S672" s="34"/>
      <c r="T672" s="34"/>
      <c r="U672" s="34"/>
      <c r="V672" s="34"/>
      <c r="W672" s="36" t="s">
        <v>2993</v>
      </c>
      <c r="X672" s="34"/>
      <c r="Y672" s="34" t="s">
        <v>64</v>
      </c>
      <c r="AA672" s="20"/>
      <c r="AB672" s="9"/>
      <c r="AC672" s="2"/>
      <c r="AD672"/>
      <c r="AE672"/>
      <c r="AF672"/>
      <c r="AG672"/>
    </row>
    <row r="673" spans="1:33" ht="16.149999999999999" customHeight="1" x14ac:dyDescent="0.15">
      <c r="A673" s="6">
        <v>667</v>
      </c>
      <c r="B673" s="18" t="s">
        <v>75</v>
      </c>
      <c r="C673" s="34" t="s">
        <v>2634</v>
      </c>
      <c r="D673" s="34" t="s">
        <v>2994</v>
      </c>
      <c r="E673" s="34" t="s">
        <v>77</v>
      </c>
      <c r="F673" s="19">
        <v>15228</v>
      </c>
      <c r="G673" s="6"/>
      <c r="H673" s="6" t="s">
        <v>2995</v>
      </c>
      <c r="I673" s="2"/>
      <c r="J673" s="38"/>
      <c r="K673" s="38"/>
      <c r="L673" s="38"/>
      <c r="M673" s="6" t="s">
        <v>145</v>
      </c>
      <c r="N673" s="38">
        <v>10</v>
      </c>
      <c r="O673" s="19">
        <v>0</v>
      </c>
      <c r="P673" s="6">
        <v>65535</v>
      </c>
      <c r="Q673" s="38">
        <v>0</v>
      </c>
      <c r="R673" s="38">
        <v>6553.5</v>
      </c>
      <c r="S673" s="34"/>
      <c r="T673" s="34"/>
      <c r="U673" s="34"/>
      <c r="V673" s="34"/>
      <c r="W673" s="36" t="s">
        <v>2996</v>
      </c>
      <c r="X673" s="34"/>
      <c r="Y673" s="34" t="s">
        <v>64</v>
      </c>
      <c r="AA673" s="20"/>
      <c r="AB673" s="9"/>
      <c r="AC673" s="2"/>
      <c r="AD673"/>
      <c r="AE673"/>
      <c r="AF673"/>
      <c r="AG673"/>
    </row>
    <row r="674" spans="1:33" ht="16.149999999999999" customHeight="1" x14ac:dyDescent="0.15">
      <c r="A674" s="6">
        <v>668</v>
      </c>
      <c r="B674" s="18" t="s">
        <v>75</v>
      </c>
      <c r="C674" s="34" t="s">
        <v>2634</v>
      </c>
      <c r="D674" s="34" t="s">
        <v>2997</v>
      </c>
      <c r="E674" s="34" t="s">
        <v>77</v>
      </c>
      <c r="F674" s="19">
        <v>15229</v>
      </c>
      <c r="G674" s="6"/>
      <c r="H674" s="6" t="s">
        <v>2998</v>
      </c>
      <c r="I674" s="2"/>
      <c r="J674" s="38"/>
      <c r="K674" s="38"/>
      <c r="L674" s="38"/>
      <c r="M674" s="6" t="s">
        <v>145</v>
      </c>
      <c r="N674" s="38">
        <v>10</v>
      </c>
      <c r="O674" s="127">
        <v>0</v>
      </c>
      <c r="P674" s="103">
        <v>65535</v>
      </c>
      <c r="Q674" s="105">
        <v>0</v>
      </c>
      <c r="R674" s="128">
        <v>6553.5</v>
      </c>
      <c r="S674" s="34"/>
      <c r="T674" s="34"/>
      <c r="U674" s="34"/>
      <c r="V674" s="34"/>
      <c r="W674" s="110" t="s">
        <v>2999</v>
      </c>
      <c r="X674" s="34"/>
      <c r="Y674" s="34" t="s">
        <v>64</v>
      </c>
      <c r="AA674" s="20"/>
      <c r="AB674" s="9"/>
      <c r="AC674" s="2"/>
      <c r="AD674"/>
      <c r="AE674"/>
      <c r="AF674"/>
      <c r="AG674"/>
    </row>
    <row r="675" spans="1:33" ht="16.149999999999999" customHeight="1" x14ac:dyDescent="0.15">
      <c r="A675" s="6">
        <v>669</v>
      </c>
      <c r="B675" s="18" t="s">
        <v>75</v>
      </c>
      <c r="C675" s="34" t="s">
        <v>2634</v>
      </c>
      <c r="D675" s="34" t="s">
        <v>3000</v>
      </c>
      <c r="E675" s="34" t="s">
        <v>2348</v>
      </c>
      <c r="F675" s="19">
        <v>15230</v>
      </c>
      <c r="G675" s="6"/>
      <c r="H675" s="6" t="s">
        <v>3001</v>
      </c>
      <c r="I675" s="2"/>
      <c r="J675" s="38"/>
      <c r="K675" s="38"/>
      <c r="L675" s="38"/>
      <c r="M675" s="6" t="s">
        <v>61</v>
      </c>
      <c r="N675" s="38"/>
      <c r="O675" s="127" t="s">
        <v>62</v>
      </c>
      <c r="P675" s="103" t="s">
        <v>62</v>
      </c>
      <c r="Q675" s="105" t="s">
        <v>62</v>
      </c>
      <c r="R675" s="128" t="s">
        <v>62</v>
      </c>
      <c r="S675" s="34"/>
      <c r="T675" s="34"/>
      <c r="U675" s="34"/>
      <c r="V675" s="34"/>
      <c r="W675" s="110" t="s">
        <v>3002</v>
      </c>
      <c r="X675" s="2" t="s">
        <v>3003</v>
      </c>
      <c r="Y675" s="34" t="s">
        <v>64</v>
      </c>
      <c r="AA675" s="20"/>
      <c r="AB675" s="9"/>
      <c r="AC675" s="2"/>
      <c r="AD675"/>
      <c r="AE675"/>
      <c r="AF675"/>
      <c r="AG675"/>
    </row>
    <row r="676" spans="1:33" ht="16.149999999999999" customHeight="1" x14ac:dyDescent="0.15">
      <c r="A676" s="6">
        <v>670</v>
      </c>
      <c r="B676" s="18" t="s">
        <v>75</v>
      </c>
      <c r="C676" s="34" t="s">
        <v>2634</v>
      </c>
      <c r="D676" s="34" t="s">
        <v>7330</v>
      </c>
      <c r="E676" s="34" t="s">
        <v>77</v>
      </c>
      <c r="F676" s="19">
        <v>15247</v>
      </c>
      <c r="G676" s="6"/>
      <c r="H676" s="6" t="s">
        <v>8173</v>
      </c>
      <c r="I676" s="2"/>
      <c r="J676" s="38"/>
      <c r="K676" s="38"/>
      <c r="L676" s="38"/>
      <c r="M676" s="6" t="s">
        <v>2311</v>
      </c>
      <c r="N676" s="38">
        <v>1</v>
      </c>
      <c r="O676" s="127">
        <v>0</v>
      </c>
      <c r="P676" s="103">
        <v>65535</v>
      </c>
      <c r="Q676" s="105">
        <v>0</v>
      </c>
      <c r="R676" s="128">
        <v>65535</v>
      </c>
      <c r="S676" s="34"/>
      <c r="T676" s="34"/>
      <c r="U676" s="34"/>
      <c r="V676" s="34"/>
      <c r="W676" s="110" t="s">
        <v>8374</v>
      </c>
      <c r="X676" s="34"/>
      <c r="Y676" s="34" t="s">
        <v>64</v>
      </c>
      <c r="AA676" s="20"/>
      <c r="AB676" s="9"/>
      <c r="AC676" s="2"/>
      <c r="AD676"/>
      <c r="AE676"/>
      <c r="AF676"/>
      <c r="AG676"/>
    </row>
    <row r="677" spans="1:33" ht="16.149999999999999" customHeight="1" x14ac:dyDescent="0.15">
      <c r="A677" s="6">
        <v>671</v>
      </c>
      <c r="B677" s="18" t="s">
        <v>75</v>
      </c>
      <c r="C677" s="34" t="s">
        <v>2634</v>
      </c>
      <c r="D677" s="34" t="s">
        <v>3004</v>
      </c>
      <c r="E677" s="34" t="s">
        <v>77</v>
      </c>
      <c r="F677" s="19">
        <v>15248</v>
      </c>
      <c r="G677" s="6"/>
      <c r="H677" s="6" t="s">
        <v>3005</v>
      </c>
      <c r="I677" s="2"/>
      <c r="J677" s="38"/>
      <c r="K677" s="38"/>
      <c r="L677" s="38"/>
      <c r="M677" s="6" t="s">
        <v>582</v>
      </c>
      <c r="N677" s="38">
        <v>1</v>
      </c>
      <c r="O677" s="19">
        <v>0</v>
      </c>
      <c r="P677" s="6">
        <v>65535</v>
      </c>
      <c r="Q677" s="38">
        <v>0</v>
      </c>
      <c r="R677" s="38">
        <v>65535</v>
      </c>
      <c r="S677" s="34"/>
      <c r="T677" s="34"/>
      <c r="U677" s="34"/>
      <c r="V677" s="34"/>
      <c r="W677" s="36" t="s">
        <v>3006</v>
      </c>
      <c r="X677" s="34"/>
      <c r="Y677" s="34" t="s">
        <v>64</v>
      </c>
      <c r="AA677" s="20"/>
      <c r="AB677" s="9"/>
      <c r="AC677" s="2"/>
      <c r="AD677"/>
      <c r="AE677"/>
      <c r="AF677"/>
      <c r="AG677"/>
    </row>
    <row r="678" spans="1:33" ht="16.149999999999999" customHeight="1" x14ac:dyDescent="0.15">
      <c r="A678" s="6">
        <v>672</v>
      </c>
      <c r="B678" s="18" t="s">
        <v>75</v>
      </c>
      <c r="C678" s="34" t="s">
        <v>2634</v>
      </c>
      <c r="D678" s="34" t="s">
        <v>3007</v>
      </c>
      <c r="E678" s="34" t="s">
        <v>77</v>
      </c>
      <c r="F678" s="19">
        <v>15256</v>
      </c>
      <c r="G678" s="6"/>
      <c r="H678" s="6" t="s">
        <v>3008</v>
      </c>
      <c r="I678" s="2"/>
      <c r="J678" s="38"/>
      <c r="K678" s="38"/>
      <c r="L678" s="38"/>
      <c r="M678" s="6" t="s">
        <v>560</v>
      </c>
      <c r="N678" s="38">
        <v>10</v>
      </c>
      <c r="O678" s="19">
        <v>0</v>
      </c>
      <c r="P678" s="6">
        <v>65535</v>
      </c>
      <c r="Q678" s="38">
        <v>0</v>
      </c>
      <c r="R678" s="38">
        <v>6553.5</v>
      </c>
      <c r="S678" s="34"/>
      <c r="T678" s="34"/>
      <c r="U678" s="34"/>
      <c r="V678" s="34"/>
      <c r="W678" s="36" t="s">
        <v>3009</v>
      </c>
      <c r="X678" s="34"/>
      <c r="Y678" s="34" t="s">
        <v>64</v>
      </c>
      <c r="AA678" s="20"/>
      <c r="AB678" s="9"/>
      <c r="AC678" s="2"/>
      <c r="AD678"/>
      <c r="AE678"/>
      <c r="AF678"/>
      <c r="AG678"/>
    </row>
    <row r="679" spans="1:33" ht="16.149999999999999" customHeight="1" x14ac:dyDescent="0.15">
      <c r="A679" s="6">
        <v>673</v>
      </c>
      <c r="B679" s="18" t="s">
        <v>75</v>
      </c>
      <c r="C679" s="34" t="s">
        <v>2634</v>
      </c>
      <c r="D679" s="34" t="s">
        <v>3010</v>
      </c>
      <c r="E679" s="34" t="s">
        <v>77</v>
      </c>
      <c r="F679" s="19">
        <v>15257</v>
      </c>
      <c r="G679" s="6"/>
      <c r="H679" s="6" t="s">
        <v>3011</v>
      </c>
      <c r="I679" s="2"/>
      <c r="J679" s="38"/>
      <c r="K679" s="38"/>
      <c r="L679" s="38"/>
      <c r="M679" s="6" t="s">
        <v>560</v>
      </c>
      <c r="N679" s="38">
        <v>10</v>
      </c>
      <c r="O679" s="19">
        <v>0</v>
      </c>
      <c r="P679" s="6">
        <v>65535</v>
      </c>
      <c r="Q679" s="38">
        <v>0</v>
      </c>
      <c r="R679" s="38">
        <v>6553.5</v>
      </c>
      <c r="S679" s="34"/>
      <c r="T679" s="34"/>
      <c r="U679" s="34"/>
      <c r="V679" s="34"/>
      <c r="W679" s="36" t="s">
        <v>3012</v>
      </c>
      <c r="X679" s="34"/>
      <c r="Y679" s="34" t="s">
        <v>64</v>
      </c>
      <c r="AA679" s="20"/>
      <c r="AB679" s="9"/>
      <c r="AC679" s="2"/>
      <c r="AD679"/>
      <c r="AE679"/>
      <c r="AF679"/>
      <c r="AG679"/>
    </row>
    <row r="680" spans="1:33" ht="16.149999999999999" customHeight="1" x14ac:dyDescent="0.15">
      <c r="A680" s="6">
        <v>674</v>
      </c>
      <c r="B680" s="18" t="s">
        <v>75</v>
      </c>
      <c r="C680" s="34" t="s">
        <v>2634</v>
      </c>
      <c r="D680" s="34" t="s">
        <v>3013</v>
      </c>
      <c r="E680" s="34" t="s">
        <v>77</v>
      </c>
      <c r="F680" s="19">
        <v>15258</v>
      </c>
      <c r="G680" s="6"/>
      <c r="H680" s="6" t="s">
        <v>3014</v>
      </c>
      <c r="I680" s="2"/>
      <c r="J680" s="38"/>
      <c r="K680" s="38"/>
      <c r="L680" s="38"/>
      <c r="M680" s="6" t="s">
        <v>149</v>
      </c>
      <c r="N680" s="38">
        <v>100</v>
      </c>
      <c r="O680" s="19">
        <v>0</v>
      </c>
      <c r="P680" s="6">
        <v>65535</v>
      </c>
      <c r="Q680" s="38">
        <v>0</v>
      </c>
      <c r="R680" s="38">
        <v>655.35</v>
      </c>
      <c r="S680" s="34"/>
      <c r="T680" s="34"/>
      <c r="U680" s="34"/>
      <c r="V680" s="34"/>
      <c r="W680" s="36" t="s">
        <v>3015</v>
      </c>
      <c r="X680" s="34"/>
      <c r="Y680" s="34" t="s">
        <v>64</v>
      </c>
      <c r="AA680" s="20"/>
      <c r="AB680" s="9"/>
      <c r="AC680" s="2"/>
      <c r="AD680"/>
      <c r="AE680"/>
      <c r="AF680"/>
      <c r="AG680"/>
    </row>
    <row r="681" spans="1:33" ht="16.149999999999999" customHeight="1" x14ac:dyDescent="0.15">
      <c r="A681" s="6">
        <v>675</v>
      </c>
      <c r="B681" s="18" t="s">
        <v>75</v>
      </c>
      <c r="C681" s="34" t="s">
        <v>2634</v>
      </c>
      <c r="D681" s="34" t="s">
        <v>3016</v>
      </c>
      <c r="E681" s="34" t="s">
        <v>77</v>
      </c>
      <c r="F681" s="19">
        <v>15259</v>
      </c>
      <c r="G681" s="6"/>
      <c r="H681" s="6" t="s">
        <v>3017</v>
      </c>
      <c r="I681" s="2"/>
      <c r="J681" s="38"/>
      <c r="K681" s="38"/>
      <c r="L681" s="38"/>
      <c r="M681" s="6" t="s">
        <v>149</v>
      </c>
      <c r="N681" s="38">
        <v>100</v>
      </c>
      <c r="O681" s="19">
        <v>0</v>
      </c>
      <c r="P681" s="6">
        <v>65535</v>
      </c>
      <c r="Q681" s="38">
        <v>0</v>
      </c>
      <c r="R681" s="38">
        <v>655.35</v>
      </c>
      <c r="S681" s="34"/>
      <c r="T681" s="34"/>
      <c r="U681" s="34"/>
      <c r="V681" s="34"/>
      <c r="W681" s="36" t="s">
        <v>3018</v>
      </c>
      <c r="X681" s="34"/>
      <c r="Y681" s="34" t="s">
        <v>64</v>
      </c>
      <c r="AA681" s="20"/>
      <c r="AB681" s="9"/>
      <c r="AC681" s="2"/>
      <c r="AD681"/>
      <c r="AE681"/>
      <c r="AF681"/>
      <c r="AG681"/>
    </row>
    <row r="682" spans="1:33" ht="16.149999999999999" customHeight="1" x14ac:dyDescent="0.15">
      <c r="A682" s="6">
        <v>676</v>
      </c>
      <c r="B682" s="18" t="s">
        <v>75</v>
      </c>
      <c r="C682" s="34" t="s">
        <v>2634</v>
      </c>
      <c r="D682" s="34" t="s">
        <v>3019</v>
      </c>
      <c r="E682" s="34" t="s">
        <v>77</v>
      </c>
      <c r="F682" s="19">
        <v>15260</v>
      </c>
      <c r="G682" s="6"/>
      <c r="H682" s="6" t="s">
        <v>3020</v>
      </c>
      <c r="I682" s="2"/>
      <c r="J682" s="38"/>
      <c r="K682" s="38"/>
      <c r="L682" s="38"/>
      <c r="M682" s="6" t="s">
        <v>582</v>
      </c>
      <c r="N682" s="38">
        <v>1</v>
      </c>
      <c r="O682" s="19">
        <v>0</v>
      </c>
      <c r="P682" s="6">
        <v>65535</v>
      </c>
      <c r="Q682" s="38">
        <v>0</v>
      </c>
      <c r="R682" s="38">
        <v>65535</v>
      </c>
      <c r="S682" s="34"/>
      <c r="T682" s="34"/>
      <c r="U682" s="34"/>
      <c r="V682" s="34"/>
      <c r="W682" s="36" t="s">
        <v>9385</v>
      </c>
      <c r="X682" s="34"/>
      <c r="Y682" s="34" t="s">
        <v>64</v>
      </c>
      <c r="AA682" s="20"/>
      <c r="AB682" s="9"/>
      <c r="AC682" s="2"/>
      <c r="AD682"/>
      <c r="AE682"/>
      <c r="AF682"/>
      <c r="AG682"/>
    </row>
    <row r="683" spans="1:33" ht="16.149999999999999" customHeight="1" x14ac:dyDescent="0.15">
      <c r="A683" s="6">
        <v>677</v>
      </c>
      <c r="B683" s="18" t="s">
        <v>75</v>
      </c>
      <c r="C683" s="34" t="s">
        <v>2634</v>
      </c>
      <c r="D683" s="34" t="s">
        <v>3022</v>
      </c>
      <c r="E683" s="34" t="s">
        <v>77</v>
      </c>
      <c r="F683" s="19">
        <v>15261</v>
      </c>
      <c r="G683" s="6"/>
      <c r="H683" s="6" t="s">
        <v>3023</v>
      </c>
      <c r="I683" s="2"/>
      <c r="J683" s="38"/>
      <c r="K683" s="38"/>
      <c r="L683" s="38"/>
      <c r="M683" s="6" t="s">
        <v>582</v>
      </c>
      <c r="N683" s="38">
        <v>1</v>
      </c>
      <c r="O683" s="19">
        <v>0</v>
      </c>
      <c r="P683" s="6">
        <v>65535</v>
      </c>
      <c r="Q683" s="38">
        <v>0</v>
      </c>
      <c r="R683" s="38">
        <v>65535</v>
      </c>
      <c r="S683" s="34"/>
      <c r="T683" s="34"/>
      <c r="U683" s="34"/>
      <c r="V683" s="34"/>
      <c r="W683" s="36" t="s">
        <v>9386</v>
      </c>
      <c r="X683" s="34"/>
      <c r="Y683" s="34" t="s">
        <v>64</v>
      </c>
      <c r="AA683" s="20"/>
      <c r="AB683" s="9"/>
      <c r="AC683" s="2"/>
      <c r="AD683"/>
      <c r="AE683"/>
      <c r="AF683"/>
      <c r="AG683"/>
    </row>
    <row r="684" spans="1:33" ht="16.149999999999999" customHeight="1" x14ac:dyDescent="0.15">
      <c r="A684" s="6">
        <v>678</v>
      </c>
      <c r="B684" s="18" t="s">
        <v>75</v>
      </c>
      <c r="C684" s="34" t="s">
        <v>2634</v>
      </c>
      <c r="D684" s="34" t="s">
        <v>3033</v>
      </c>
      <c r="E684" s="34" t="s">
        <v>143</v>
      </c>
      <c r="F684" s="19">
        <v>15264</v>
      </c>
      <c r="G684" s="6"/>
      <c r="H684" s="6" t="s">
        <v>3034</v>
      </c>
      <c r="I684" s="2"/>
      <c r="J684" s="38"/>
      <c r="K684" s="38"/>
      <c r="L684" s="38"/>
      <c r="M684" s="6" t="s">
        <v>145</v>
      </c>
      <c r="N684" s="38">
        <v>1E-3</v>
      </c>
      <c r="O684" s="19">
        <v>-32768</v>
      </c>
      <c r="P684" s="6">
        <v>32767</v>
      </c>
      <c r="Q684" s="38">
        <v>-32768000</v>
      </c>
      <c r="R684" s="38">
        <v>32767000</v>
      </c>
      <c r="S684" s="34"/>
      <c r="T684" s="34"/>
      <c r="U684" s="34"/>
      <c r="V684" s="34"/>
      <c r="W684" s="36" t="s">
        <v>9387</v>
      </c>
      <c r="X684" s="34"/>
      <c r="Y684" s="34" t="s">
        <v>64</v>
      </c>
      <c r="AA684" s="20"/>
      <c r="AB684" s="9"/>
      <c r="AC684" s="2"/>
      <c r="AD684"/>
      <c r="AE684"/>
      <c r="AF684"/>
      <c r="AG684"/>
    </row>
    <row r="685" spans="1:33" ht="16.149999999999999" customHeight="1" x14ac:dyDescent="0.15">
      <c r="A685" s="6">
        <v>679</v>
      </c>
      <c r="B685" s="18" t="s">
        <v>75</v>
      </c>
      <c r="C685" s="34" t="s">
        <v>2634</v>
      </c>
      <c r="D685" s="34" t="s">
        <v>3036</v>
      </c>
      <c r="E685" s="34" t="s">
        <v>143</v>
      </c>
      <c r="F685" s="19">
        <v>15265</v>
      </c>
      <c r="G685" s="6"/>
      <c r="H685" s="6" t="s">
        <v>3037</v>
      </c>
      <c r="I685" s="2"/>
      <c r="J685" s="38"/>
      <c r="K685" s="38"/>
      <c r="L685" s="38"/>
      <c r="M685" s="6" t="s">
        <v>145</v>
      </c>
      <c r="N685" s="38">
        <v>1E-3</v>
      </c>
      <c r="O685" s="19">
        <v>-32768</v>
      </c>
      <c r="P685" s="6">
        <v>32767</v>
      </c>
      <c r="Q685" s="38">
        <v>-32768000</v>
      </c>
      <c r="R685" s="38">
        <v>32767000</v>
      </c>
      <c r="S685" s="34"/>
      <c r="T685" s="34"/>
      <c r="U685" s="34"/>
      <c r="V685" s="34"/>
      <c r="W685" s="36" t="s">
        <v>9388</v>
      </c>
      <c r="X685" s="34"/>
      <c r="Y685" s="34" t="s">
        <v>64</v>
      </c>
      <c r="AA685" s="20"/>
      <c r="AB685" s="9"/>
      <c r="AC685" s="2"/>
      <c r="AD685"/>
      <c r="AE685"/>
      <c r="AF685"/>
      <c r="AG685"/>
    </row>
    <row r="686" spans="1:33" ht="16.149999999999999" customHeight="1" x14ac:dyDescent="0.15">
      <c r="A686" s="6">
        <v>680</v>
      </c>
      <c r="B686" s="18" t="s">
        <v>75</v>
      </c>
      <c r="C686" s="34" t="s">
        <v>2634</v>
      </c>
      <c r="D686" s="34" t="s">
        <v>3039</v>
      </c>
      <c r="E686" s="2" t="s">
        <v>143</v>
      </c>
      <c r="F686" s="19">
        <v>15266</v>
      </c>
      <c r="G686" s="6"/>
      <c r="H686" s="6" t="s">
        <v>3040</v>
      </c>
      <c r="I686" s="2"/>
      <c r="J686" s="38"/>
      <c r="K686" s="38"/>
      <c r="L686" s="38"/>
      <c r="M686" s="6" t="s">
        <v>61</v>
      </c>
      <c r="N686" s="38"/>
      <c r="O686" s="19">
        <v>-32768</v>
      </c>
      <c r="P686" s="6">
        <v>32767</v>
      </c>
      <c r="Q686" s="38" t="s">
        <v>62</v>
      </c>
      <c r="R686" s="38" t="s">
        <v>62</v>
      </c>
      <c r="S686" s="34"/>
      <c r="T686" s="34"/>
      <c r="U686" s="34"/>
      <c r="V686" s="34"/>
      <c r="W686" s="36" t="s">
        <v>3041</v>
      </c>
      <c r="X686" s="34" t="s">
        <v>2763</v>
      </c>
      <c r="Y686" s="34" t="s">
        <v>64</v>
      </c>
      <c r="AA686" s="20"/>
      <c r="AB686" s="9"/>
      <c r="AC686" s="2"/>
      <c r="AD686"/>
      <c r="AE686"/>
      <c r="AF686"/>
      <c r="AG686"/>
    </row>
    <row r="687" spans="1:33" ht="16.149999999999999" customHeight="1" x14ac:dyDescent="0.15">
      <c r="A687" s="6">
        <v>681</v>
      </c>
      <c r="B687" s="18" t="s">
        <v>75</v>
      </c>
      <c r="C687" s="34" t="s">
        <v>2634</v>
      </c>
      <c r="D687" s="34" t="s">
        <v>3042</v>
      </c>
      <c r="E687" s="34" t="s">
        <v>77</v>
      </c>
      <c r="F687" s="19">
        <v>15267</v>
      </c>
      <c r="G687" s="6"/>
      <c r="H687" s="6" t="s">
        <v>3043</v>
      </c>
      <c r="I687" s="2"/>
      <c r="J687" s="38"/>
      <c r="K687" s="38"/>
      <c r="L687" s="38"/>
      <c r="M687" s="6" t="s">
        <v>560</v>
      </c>
      <c r="N687" s="38">
        <v>0.1</v>
      </c>
      <c r="O687" s="19">
        <v>0</v>
      </c>
      <c r="P687" s="6">
        <v>65535</v>
      </c>
      <c r="Q687" s="38">
        <v>0</v>
      </c>
      <c r="R687" s="38">
        <v>655350</v>
      </c>
      <c r="S687" s="34"/>
      <c r="T687" s="34"/>
      <c r="U687" s="34"/>
      <c r="V687" s="34"/>
      <c r="W687" s="36" t="s">
        <v>9389</v>
      </c>
      <c r="X687" s="34"/>
      <c r="Y687" s="34" t="s">
        <v>64</v>
      </c>
      <c r="AA687" s="20"/>
      <c r="AB687" s="9"/>
      <c r="AC687" s="2"/>
      <c r="AD687"/>
      <c r="AE687"/>
      <c r="AF687"/>
      <c r="AG687"/>
    </row>
    <row r="688" spans="1:33" ht="16.149999999999999" customHeight="1" x14ac:dyDescent="0.15">
      <c r="A688" s="6">
        <v>682</v>
      </c>
      <c r="B688" s="18" t="s">
        <v>75</v>
      </c>
      <c r="C688" s="34" t="s">
        <v>2634</v>
      </c>
      <c r="D688" s="34" t="s">
        <v>3045</v>
      </c>
      <c r="E688" s="34" t="s">
        <v>143</v>
      </c>
      <c r="F688" s="19">
        <v>15268</v>
      </c>
      <c r="G688" s="6"/>
      <c r="H688" s="6" t="s">
        <v>3046</v>
      </c>
      <c r="I688" s="2"/>
      <c r="J688" s="38"/>
      <c r="K688" s="38"/>
      <c r="L688" s="38"/>
      <c r="M688" s="6" t="s">
        <v>582</v>
      </c>
      <c r="N688" s="38">
        <v>0.1</v>
      </c>
      <c r="O688" s="127">
        <v>-32768</v>
      </c>
      <c r="P688" s="103">
        <v>32767</v>
      </c>
      <c r="Q688" s="105">
        <v>-327680</v>
      </c>
      <c r="R688" s="128">
        <v>327670</v>
      </c>
      <c r="S688" s="34"/>
      <c r="T688" s="34"/>
      <c r="U688" s="34"/>
      <c r="V688" s="34"/>
      <c r="W688" s="110" t="s">
        <v>9390</v>
      </c>
      <c r="X688" s="34"/>
      <c r="Y688" s="34" t="s">
        <v>64</v>
      </c>
      <c r="AA688" s="20"/>
      <c r="AB688" s="9"/>
      <c r="AC688" s="2"/>
      <c r="AD688"/>
      <c r="AE688"/>
      <c r="AF688"/>
      <c r="AG688"/>
    </row>
    <row r="689" spans="1:33" ht="16.149999999999999" customHeight="1" x14ac:dyDescent="0.15">
      <c r="A689" s="6">
        <v>683</v>
      </c>
      <c r="B689" s="18" t="s">
        <v>75</v>
      </c>
      <c r="C689" s="34" t="s">
        <v>2634</v>
      </c>
      <c r="D689" s="126" t="s">
        <v>3048</v>
      </c>
      <c r="E689" s="34" t="s">
        <v>77</v>
      </c>
      <c r="F689" s="19">
        <v>15269</v>
      </c>
      <c r="G689" s="6"/>
      <c r="H689" s="6" t="s">
        <v>3049</v>
      </c>
      <c r="I689" s="2"/>
      <c r="J689" s="38"/>
      <c r="K689" s="38"/>
      <c r="L689" s="38"/>
      <c r="M689" s="6" t="s">
        <v>560</v>
      </c>
      <c r="N689" s="19">
        <v>10</v>
      </c>
      <c r="O689" s="127">
        <v>0</v>
      </c>
      <c r="P689" s="103">
        <v>65535</v>
      </c>
      <c r="Q689" s="105">
        <v>0</v>
      </c>
      <c r="R689" s="128">
        <v>6553.5</v>
      </c>
      <c r="S689" s="34"/>
      <c r="T689" s="34"/>
      <c r="U689" s="34"/>
      <c r="V689" s="34"/>
      <c r="W689" s="110" t="s">
        <v>3050</v>
      </c>
      <c r="X689" s="34"/>
      <c r="Y689" s="34" t="s">
        <v>64</v>
      </c>
      <c r="AA689" s="20"/>
      <c r="AB689" s="9"/>
      <c r="AC689" s="2"/>
      <c r="AD689"/>
      <c r="AE689"/>
      <c r="AF689"/>
      <c r="AG689"/>
    </row>
    <row r="690" spans="1:33" ht="16.149999999999999" customHeight="1" x14ac:dyDescent="0.15">
      <c r="A690" s="6">
        <v>684</v>
      </c>
      <c r="B690" s="18" t="s">
        <v>75</v>
      </c>
      <c r="C690" s="34" t="s">
        <v>2634</v>
      </c>
      <c r="D690" s="126" t="s">
        <v>3051</v>
      </c>
      <c r="E690" s="34" t="s">
        <v>77</v>
      </c>
      <c r="F690" s="19">
        <v>15270</v>
      </c>
      <c r="G690" s="6"/>
      <c r="H690" s="6" t="s">
        <v>3052</v>
      </c>
      <c r="I690" s="2"/>
      <c r="J690" s="38"/>
      <c r="K690" s="38"/>
      <c r="L690" s="38"/>
      <c r="M690" s="6" t="s">
        <v>560</v>
      </c>
      <c r="N690" s="19">
        <v>10</v>
      </c>
      <c r="O690" s="127">
        <v>0</v>
      </c>
      <c r="P690" s="103">
        <v>65535</v>
      </c>
      <c r="Q690" s="105">
        <v>0</v>
      </c>
      <c r="R690" s="128">
        <v>6553.5</v>
      </c>
      <c r="S690" s="34"/>
      <c r="T690" s="34"/>
      <c r="U690" s="34"/>
      <c r="V690" s="34"/>
      <c r="W690" s="110" t="s">
        <v>3053</v>
      </c>
      <c r="X690" s="34"/>
      <c r="Y690" s="34" t="s">
        <v>64</v>
      </c>
      <c r="AA690" s="20"/>
      <c r="AB690" s="9"/>
      <c r="AC690" s="2"/>
      <c r="AD690"/>
      <c r="AE690"/>
      <c r="AF690"/>
      <c r="AG690"/>
    </row>
    <row r="691" spans="1:33" ht="16.149999999999999" customHeight="1" x14ac:dyDescent="0.15">
      <c r="A691" s="6">
        <v>685</v>
      </c>
      <c r="B691" s="18" t="s">
        <v>75</v>
      </c>
      <c r="C691" s="34" t="s">
        <v>2634</v>
      </c>
      <c r="D691" s="126" t="s">
        <v>3054</v>
      </c>
      <c r="E691" s="34" t="s">
        <v>77</v>
      </c>
      <c r="F691" s="19">
        <v>15271</v>
      </c>
      <c r="G691" s="6"/>
      <c r="H691" s="6" t="s">
        <v>3055</v>
      </c>
      <c r="I691" s="2"/>
      <c r="J691" s="38"/>
      <c r="K691" s="38"/>
      <c r="L691" s="38"/>
      <c r="M691" s="6" t="s">
        <v>560</v>
      </c>
      <c r="N691" s="19">
        <v>10</v>
      </c>
      <c r="O691" s="19">
        <v>0</v>
      </c>
      <c r="P691" s="6">
        <v>65535</v>
      </c>
      <c r="Q691" s="38">
        <v>0</v>
      </c>
      <c r="R691" s="38">
        <v>6553.5</v>
      </c>
      <c r="S691" s="34"/>
      <c r="T691" s="34"/>
      <c r="U691" s="34"/>
      <c r="V691" s="34"/>
      <c r="W691" s="36" t="s">
        <v>3056</v>
      </c>
      <c r="X691" s="34"/>
      <c r="Y691" s="34" t="s">
        <v>64</v>
      </c>
      <c r="AA691" s="20"/>
      <c r="AB691" s="9"/>
      <c r="AC691" s="2"/>
      <c r="AD691"/>
      <c r="AE691"/>
      <c r="AF691"/>
      <c r="AG691"/>
    </row>
    <row r="692" spans="1:33" ht="16.149999999999999" customHeight="1" x14ac:dyDescent="0.15">
      <c r="A692" s="6">
        <v>686</v>
      </c>
      <c r="B692" s="18" t="s">
        <v>75</v>
      </c>
      <c r="C692" s="34" t="s">
        <v>2634</v>
      </c>
      <c r="D692" s="126" t="s">
        <v>3057</v>
      </c>
      <c r="E692" s="34" t="s">
        <v>77</v>
      </c>
      <c r="F692" s="19">
        <v>15272</v>
      </c>
      <c r="G692" s="6"/>
      <c r="H692" s="6" t="s">
        <v>3058</v>
      </c>
      <c r="I692" s="2"/>
      <c r="J692" s="38"/>
      <c r="K692" s="38"/>
      <c r="L692" s="38"/>
      <c r="M692" s="38" t="s">
        <v>560</v>
      </c>
      <c r="N692" s="19">
        <v>10</v>
      </c>
      <c r="O692" s="19">
        <v>0</v>
      </c>
      <c r="P692" s="6">
        <v>65535</v>
      </c>
      <c r="Q692" s="38">
        <v>0</v>
      </c>
      <c r="R692" s="38">
        <v>6553.5</v>
      </c>
      <c r="S692" s="34"/>
      <c r="T692" s="34"/>
      <c r="U692" s="34"/>
      <c r="V692" s="34"/>
      <c r="W692" s="36" t="s">
        <v>3059</v>
      </c>
      <c r="X692" s="34"/>
      <c r="Y692" s="34" t="s">
        <v>64</v>
      </c>
      <c r="AA692" s="20"/>
      <c r="AB692" s="9"/>
      <c r="AC692" s="2"/>
      <c r="AD692"/>
      <c r="AE692"/>
      <c r="AF692"/>
      <c r="AG692"/>
    </row>
    <row r="693" spans="1:33" ht="16.149999999999999" customHeight="1" x14ac:dyDescent="0.15">
      <c r="A693" s="6">
        <v>687</v>
      </c>
      <c r="B693" s="18" t="s">
        <v>75</v>
      </c>
      <c r="C693" s="34" t="s">
        <v>2634</v>
      </c>
      <c r="D693" s="126" t="s">
        <v>3060</v>
      </c>
      <c r="E693" s="34" t="s">
        <v>77</v>
      </c>
      <c r="F693" s="19">
        <v>15273</v>
      </c>
      <c r="G693" s="6"/>
      <c r="H693" s="6" t="s">
        <v>3061</v>
      </c>
      <c r="I693" s="2"/>
      <c r="J693" s="38"/>
      <c r="K693" s="38"/>
      <c r="L693" s="38"/>
      <c r="M693" s="38" t="s">
        <v>582</v>
      </c>
      <c r="N693" s="19">
        <v>10</v>
      </c>
      <c r="O693" s="19">
        <v>0</v>
      </c>
      <c r="P693" s="6">
        <v>65535</v>
      </c>
      <c r="Q693" s="38">
        <v>0</v>
      </c>
      <c r="R693" s="38">
        <v>6553.5</v>
      </c>
      <c r="S693" s="34"/>
      <c r="T693" s="34"/>
      <c r="U693" s="34"/>
      <c r="V693" s="34"/>
      <c r="W693" s="36" t="s">
        <v>3062</v>
      </c>
      <c r="X693" s="34"/>
      <c r="Y693" s="34" t="s">
        <v>64</v>
      </c>
      <c r="AA693" s="20"/>
      <c r="AB693" s="9"/>
      <c r="AC693" s="2"/>
      <c r="AD693"/>
      <c r="AE693"/>
      <c r="AF693"/>
      <c r="AG693"/>
    </row>
    <row r="694" spans="1:33" ht="16.149999999999999" customHeight="1" x14ac:dyDescent="0.15">
      <c r="A694" s="6">
        <v>688</v>
      </c>
      <c r="B694" s="18" t="s">
        <v>75</v>
      </c>
      <c r="C694" s="34" t="s">
        <v>2634</v>
      </c>
      <c r="D694" s="126" t="s">
        <v>3063</v>
      </c>
      <c r="E694" s="34" t="s">
        <v>77</v>
      </c>
      <c r="F694" s="19">
        <v>15274</v>
      </c>
      <c r="G694" s="6"/>
      <c r="H694" s="6" t="s">
        <v>3064</v>
      </c>
      <c r="I694" s="2"/>
      <c r="J694" s="38"/>
      <c r="K694" s="38"/>
      <c r="L694" s="38"/>
      <c r="M694" s="38" t="s">
        <v>582</v>
      </c>
      <c r="N694" s="19">
        <v>10</v>
      </c>
      <c r="O694" s="19">
        <v>0</v>
      </c>
      <c r="P694" s="6">
        <v>65535</v>
      </c>
      <c r="Q694" s="38">
        <v>0</v>
      </c>
      <c r="R694" s="38">
        <v>6553.5</v>
      </c>
      <c r="S694" s="34"/>
      <c r="T694" s="34"/>
      <c r="U694" s="34"/>
      <c r="V694" s="34"/>
      <c r="W694" s="36" t="s">
        <v>3065</v>
      </c>
      <c r="X694" s="34"/>
      <c r="Y694" s="34" t="s">
        <v>64</v>
      </c>
      <c r="AA694" s="20"/>
      <c r="AB694" s="9"/>
      <c r="AC694" s="2"/>
      <c r="AD694"/>
      <c r="AE694"/>
      <c r="AF694"/>
      <c r="AG694"/>
    </row>
    <row r="695" spans="1:33" ht="16.149999999999999" customHeight="1" x14ac:dyDescent="0.15">
      <c r="A695" s="6">
        <v>689</v>
      </c>
      <c r="B695" s="18" t="s">
        <v>75</v>
      </c>
      <c r="C695" s="34" t="s">
        <v>2634</v>
      </c>
      <c r="D695" s="126" t="s">
        <v>3066</v>
      </c>
      <c r="E695" s="34" t="s">
        <v>77</v>
      </c>
      <c r="F695" s="19">
        <v>15275</v>
      </c>
      <c r="G695" s="6"/>
      <c r="H695" s="6" t="s">
        <v>3067</v>
      </c>
      <c r="I695" s="2"/>
      <c r="J695" s="38"/>
      <c r="K695" s="38"/>
      <c r="L695" s="38"/>
      <c r="M695" s="38" t="s">
        <v>582</v>
      </c>
      <c r="N695" s="19">
        <v>10</v>
      </c>
      <c r="O695" s="19">
        <v>0</v>
      </c>
      <c r="P695" s="6">
        <v>65535</v>
      </c>
      <c r="Q695" s="38">
        <v>0</v>
      </c>
      <c r="R695" s="38">
        <v>6553.5</v>
      </c>
      <c r="S695" s="34"/>
      <c r="T695" s="34"/>
      <c r="U695" s="34"/>
      <c r="V695" s="34"/>
      <c r="W695" s="36" t="s">
        <v>3068</v>
      </c>
      <c r="X695" s="34"/>
      <c r="Y695" s="34" t="s">
        <v>64</v>
      </c>
      <c r="AA695" s="20"/>
      <c r="AB695" s="9"/>
      <c r="AC695" s="2"/>
      <c r="AD695"/>
      <c r="AE695"/>
      <c r="AF695"/>
      <c r="AG695"/>
    </row>
    <row r="696" spans="1:33" ht="16.149999999999999" customHeight="1" x14ac:dyDescent="0.15">
      <c r="A696" s="6">
        <v>690</v>
      </c>
      <c r="B696" s="18" t="s">
        <v>75</v>
      </c>
      <c r="C696" s="34" t="s">
        <v>2634</v>
      </c>
      <c r="D696" s="129" t="s">
        <v>3069</v>
      </c>
      <c r="E696" s="34" t="s">
        <v>77</v>
      </c>
      <c r="F696" s="19">
        <v>15280</v>
      </c>
      <c r="G696" s="103"/>
      <c r="H696" s="6" t="s">
        <v>3070</v>
      </c>
      <c r="I696" s="104"/>
      <c r="J696" s="105"/>
      <c r="K696" s="105"/>
      <c r="L696" s="38"/>
      <c r="M696" s="105" t="s">
        <v>2907</v>
      </c>
      <c r="N696" s="19">
        <v>0.05</v>
      </c>
      <c r="O696" s="19">
        <v>0</v>
      </c>
      <c r="P696" s="6">
        <v>65535</v>
      </c>
      <c r="Q696" s="38">
        <v>0</v>
      </c>
      <c r="R696" s="38">
        <v>1310700</v>
      </c>
      <c r="S696" s="34"/>
      <c r="T696" s="108"/>
      <c r="U696" s="34"/>
      <c r="V696" s="34"/>
      <c r="W696" s="36" t="s">
        <v>3071</v>
      </c>
      <c r="X696" s="34"/>
      <c r="Y696" s="34" t="s">
        <v>64</v>
      </c>
      <c r="AA696" s="20"/>
      <c r="AB696" s="9"/>
      <c r="AC696" s="2"/>
      <c r="AD696"/>
      <c r="AE696"/>
      <c r="AF696"/>
      <c r="AG696"/>
    </row>
    <row r="697" spans="1:33" ht="16.149999999999999" customHeight="1" x14ac:dyDescent="0.15">
      <c r="A697" s="6">
        <v>691</v>
      </c>
      <c r="B697" s="18" t="s">
        <v>75</v>
      </c>
      <c r="C697" s="34" t="s">
        <v>2634</v>
      </c>
      <c r="D697" s="129" t="s">
        <v>3072</v>
      </c>
      <c r="E697" s="34" t="s">
        <v>77</v>
      </c>
      <c r="F697" s="19">
        <v>15281</v>
      </c>
      <c r="G697" s="103"/>
      <c r="H697" s="6" t="s">
        <v>3073</v>
      </c>
      <c r="I697" s="104"/>
      <c r="J697" s="105"/>
      <c r="K697" s="105"/>
      <c r="L697" s="38"/>
      <c r="M697" s="105" t="s">
        <v>2907</v>
      </c>
      <c r="N697" s="19">
        <v>0.05</v>
      </c>
      <c r="O697" s="19">
        <v>0</v>
      </c>
      <c r="P697" s="6">
        <v>65535</v>
      </c>
      <c r="Q697" s="38">
        <v>0</v>
      </c>
      <c r="R697" s="38">
        <v>1310700</v>
      </c>
      <c r="S697" s="34"/>
      <c r="T697" s="108"/>
      <c r="U697" s="34"/>
      <c r="V697" s="34"/>
      <c r="W697" s="36" t="s">
        <v>3074</v>
      </c>
      <c r="X697" s="34"/>
      <c r="Y697" s="34" t="s">
        <v>64</v>
      </c>
      <c r="AA697" s="20"/>
      <c r="AB697" s="9"/>
      <c r="AC697" s="2"/>
      <c r="AD697"/>
      <c r="AE697"/>
      <c r="AF697"/>
      <c r="AG697"/>
    </row>
    <row r="698" spans="1:33" ht="16.149999999999999" customHeight="1" x14ac:dyDescent="0.15">
      <c r="A698" s="6">
        <v>692</v>
      </c>
      <c r="B698" s="18" t="s">
        <v>75</v>
      </c>
      <c r="C698" s="34" t="s">
        <v>2634</v>
      </c>
      <c r="D698" s="129" t="s">
        <v>3087</v>
      </c>
      <c r="E698" s="34" t="s">
        <v>77</v>
      </c>
      <c r="F698" s="19">
        <v>15799</v>
      </c>
      <c r="G698" s="103"/>
      <c r="H698" s="6" t="s">
        <v>3088</v>
      </c>
      <c r="I698" s="104"/>
      <c r="J698" s="105" t="s">
        <v>3089</v>
      </c>
      <c r="K698" s="105" t="s">
        <v>3090</v>
      </c>
      <c r="L698" s="38" t="s">
        <v>3091</v>
      </c>
      <c r="M698" s="105" t="s">
        <v>2276</v>
      </c>
      <c r="N698" s="19"/>
      <c r="O698" s="19">
        <v>0</v>
      </c>
      <c r="P698" s="6">
        <v>65535</v>
      </c>
      <c r="Q698" s="38" t="s">
        <v>62</v>
      </c>
      <c r="R698" s="38" t="s">
        <v>62</v>
      </c>
      <c r="S698" s="34"/>
      <c r="T698" s="108"/>
      <c r="U698" s="34"/>
      <c r="V698" s="34"/>
      <c r="W698" s="36" t="s">
        <v>3092</v>
      </c>
      <c r="X698" s="34"/>
      <c r="Y698" s="34" t="s">
        <v>64</v>
      </c>
      <c r="AA698" s="20"/>
      <c r="AB698" s="9"/>
      <c r="AC698" s="2"/>
      <c r="AD698"/>
      <c r="AE698"/>
      <c r="AF698"/>
      <c r="AG698"/>
    </row>
    <row r="699" spans="1:33" ht="16.149999999999999" customHeight="1" x14ac:dyDescent="0.15">
      <c r="A699" s="6">
        <v>693</v>
      </c>
      <c r="B699" s="18" t="s">
        <v>75</v>
      </c>
      <c r="C699" s="34" t="s">
        <v>2634</v>
      </c>
      <c r="D699" s="126" t="s">
        <v>3093</v>
      </c>
      <c r="E699" s="34" t="s">
        <v>77</v>
      </c>
      <c r="F699" s="19">
        <v>15801</v>
      </c>
      <c r="G699" s="6"/>
      <c r="H699" s="6" t="s">
        <v>3094</v>
      </c>
      <c r="I699" s="2"/>
      <c r="J699" s="38"/>
      <c r="K699" s="38"/>
      <c r="L699" s="38"/>
      <c r="M699" s="38" t="s">
        <v>61</v>
      </c>
      <c r="N699" s="19">
        <v>1</v>
      </c>
      <c r="O699" s="19">
        <v>0</v>
      </c>
      <c r="P699" s="6">
        <v>65535</v>
      </c>
      <c r="Q699" s="38">
        <v>0</v>
      </c>
      <c r="R699" s="38">
        <v>65535</v>
      </c>
      <c r="S699" s="34"/>
      <c r="T699" s="34"/>
      <c r="U699" s="34"/>
      <c r="V699" s="34"/>
      <c r="W699" s="36" t="s">
        <v>3095</v>
      </c>
      <c r="X699" s="34"/>
      <c r="Y699" s="34" t="s">
        <v>64</v>
      </c>
      <c r="AA699" s="9"/>
      <c r="AB699" s="9"/>
      <c r="AD699"/>
      <c r="AE699"/>
      <c r="AF699"/>
      <c r="AG699"/>
    </row>
    <row r="700" spans="1:33" ht="16.149999999999999" customHeight="1" x14ac:dyDescent="0.15">
      <c r="A700" s="6">
        <v>694</v>
      </c>
      <c r="B700" s="18" t="s">
        <v>75</v>
      </c>
      <c r="C700" s="34" t="s">
        <v>2634</v>
      </c>
      <c r="D700" s="126" t="s">
        <v>3096</v>
      </c>
      <c r="E700" s="34" t="s">
        <v>77</v>
      </c>
      <c r="F700" s="19">
        <v>15802</v>
      </c>
      <c r="G700" s="6"/>
      <c r="H700" s="6" t="s">
        <v>3097</v>
      </c>
      <c r="I700" s="2"/>
      <c r="J700" s="38" t="s">
        <v>171</v>
      </c>
      <c r="K700" s="38" t="s">
        <v>3098</v>
      </c>
      <c r="L700" s="38" t="s">
        <v>3099</v>
      </c>
      <c r="M700" s="38" t="s">
        <v>2276</v>
      </c>
      <c r="N700" s="19"/>
      <c r="O700" s="19">
        <v>0</v>
      </c>
      <c r="P700" s="6">
        <v>65535</v>
      </c>
      <c r="Q700" s="38" t="s">
        <v>62</v>
      </c>
      <c r="R700" s="38" t="s">
        <v>62</v>
      </c>
      <c r="S700" s="34"/>
      <c r="T700" s="34"/>
      <c r="U700" s="34"/>
      <c r="V700" s="34"/>
      <c r="W700" s="36" t="s">
        <v>3100</v>
      </c>
      <c r="X700" s="34"/>
      <c r="Y700" s="34" t="s">
        <v>64</v>
      </c>
      <c r="AA700" s="9"/>
      <c r="AB700" s="9"/>
      <c r="AD700"/>
      <c r="AE700"/>
      <c r="AF700"/>
      <c r="AG700"/>
    </row>
    <row r="701" spans="1:33" ht="16.149999999999999" customHeight="1" x14ac:dyDescent="0.15">
      <c r="A701" s="6">
        <v>695</v>
      </c>
      <c r="B701" s="18" t="s">
        <v>75</v>
      </c>
      <c r="C701" s="34" t="s">
        <v>2634</v>
      </c>
      <c r="D701" s="126" t="s">
        <v>3101</v>
      </c>
      <c r="E701" s="34" t="s">
        <v>77</v>
      </c>
      <c r="F701" s="19">
        <v>15803</v>
      </c>
      <c r="G701" s="6"/>
      <c r="H701" s="6" t="s">
        <v>3102</v>
      </c>
      <c r="I701" s="2"/>
      <c r="J701" s="38" t="s">
        <v>171</v>
      </c>
      <c r="K701" s="38" t="s">
        <v>3098</v>
      </c>
      <c r="L701" s="38" t="s">
        <v>3099</v>
      </c>
      <c r="M701" s="38" t="s">
        <v>2276</v>
      </c>
      <c r="N701" s="19"/>
      <c r="O701" s="19">
        <v>0</v>
      </c>
      <c r="P701" s="6">
        <v>65535</v>
      </c>
      <c r="Q701" s="38" t="s">
        <v>62</v>
      </c>
      <c r="R701" s="38" t="s">
        <v>62</v>
      </c>
      <c r="S701" s="34"/>
      <c r="T701" s="34"/>
      <c r="U701" s="34"/>
      <c r="V701" s="34"/>
      <c r="W701" s="36" t="s">
        <v>3103</v>
      </c>
      <c r="X701" s="34"/>
      <c r="Y701" s="34" t="s">
        <v>64</v>
      </c>
      <c r="AA701" s="9"/>
      <c r="AB701" s="9"/>
      <c r="AD701"/>
      <c r="AE701"/>
      <c r="AF701"/>
      <c r="AG701"/>
    </row>
    <row r="702" spans="1:33" ht="16.149999999999999" customHeight="1" x14ac:dyDescent="0.15">
      <c r="A702" s="6">
        <v>696</v>
      </c>
      <c r="B702" s="18" t="s">
        <v>75</v>
      </c>
      <c r="C702" s="34" t="s">
        <v>2634</v>
      </c>
      <c r="D702" s="126" t="s">
        <v>3104</v>
      </c>
      <c r="E702" s="34" t="s">
        <v>77</v>
      </c>
      <c r="F702" s="19">
        <v>15804</v>
      </c>
      <c r="G702" s="6"/>
      <c r="H702" s="6" t="s">
        <v>3105</v>
      </c>
      <c r="I702" s="2"/>
      <c r="J702" s="38"/>
      <c r="K702" s="38"/>
      <c r="L702" s="38"/>
      <c r="M702" s="38" t="s">
        <v>2311</v>
      </c>
      <c r="N702" s="19">
        <v>1</v>
      </c>
      <c r="O702" s="19">
        <v>0</v>
      </c>
      <c r="P702" s="6">
        <v>65535</v>
      </c>
      <c r="Q702" s="38">
        <v>0</v>
      </c>
      <c r="R702" s="38">
        <v>65535</v>
      </c>
      <c r="S702" s="34"/>
      <c r="T702" s="34"/>
      <c r="U702" s="34"/>
      <c r="V702" s="34"/>
      <c r="W702" s="36" t="s">
        <v>3106</v>
      </c>
      <c r="X702" s="34"/>
      <c r="Y702" s="34" t="s">
        <v>64</v>
      </c>
      <c r="AA702" s="9"/>
      <c r="AB702" s="9"/>
      <c r="AD702"/>
      <c r="AE702"/>
      <c r="AF702"/>
      <c r="AG702"/>
    </row>
    <row r="703" spans="1:33" ht="16.149999999999999" customHeight="1" x14ac:dyDescent="0.15">
      <c r="A703" s="6">
        <v>697</v>
      </c>
      <c r="B703" s="18" t="s">
        <v>75</v>
      </c>
      <c r="C703" s="34" t="s">
        <v>2634</v>
      </c>
      <c r="D703" s="126" t="s">
        <v>3107</v>
      </c>
      <c r="E703" s="34" t="s">
        <v>77</v>
      </c>
      <c r="F703" s="19">
        <v>15805</v>
      </c>
      <c r="G703" s="6"/>
      <c r="H703" s="6" t="s">
        <v>3108</v>
      </c>
      <c r="I703" s="2"/>
      <c r="J703" s="38"/>
      <c r="K703" s="38"/>
      <c r="L703" s="38"/>
      <c r="M703" s="38" t="s">
        <v>2311</v>
      </c>
      <c r="N703" s="19">
        <v>1</v>
      </c>
      <c r="O703" s="19">
        <v>0</v>
      </c>
      <c r="P703" s="6">
        <v>65535</v>
      </c>
      <c r="Q703" s="38">
        <v>0</v>
      </c>
      <c r="R703" s="38">
        <v>65535</v>
      </c>
      <c r="S703" s="34"/>
      <c r="T703" s="34"/>
      <c r="U703" s="34"/>
      <c r="V703" s="34"/>
      <c r="W703" s="36" t="s">
        <v>3109</v>
      </c>
      <c r="X703" s="34"/>
      <c r="Y703" s="34" t="s">
        <v>64</v>
      </c>
      <c r="AA703" s="9"/>
      <c r="AB703" s="9"/>
      <c r="AD703"/>
      <c r="AE703"/>
      <c r="AF703"/>
      <c r="AG703"/>
    </row>
    <row r="704" spans="1:33" s="9" customFormat="1" ht="16.149999999999999" customHeight="1" x14ac:dyDescent="0.15">
      <c r="A704" s="6">
        <v>698</v>
      </c>
      <c r="B704" s="18" t="s">
        <v>75</v>
      </c>
      <c r="C704" s="34" t="s">
        <v>2634</v>
      </c>
      <c r="D704" s="126" t="s">
        <v>3110</v>
      </c>
      <c r="E704" s="34" t="s">
        <v>77</v>
      </c>
      <c r="F704" s="19">
        <v>15806</v>
      </c>
      <c r="G704" s="6"/>
      <c r="H704" s="6" t="s">
        <v>3111</v>
      </c>
      <c r="I704" s="2"/>
      <c r="J704" s="38"/>
      <c r="K704" s="38"/>
      <c r="L704" s="38"/>
      <c r="M704" s="38" t="s">
        <v>2311</v>
      </c>
      <c r="N704" s="19">
        <v>1</v>
      </c>
      <c r="O704" s="19">
        <v>0</v>
      </c>
      <c r="P704" s="6">
        <v>65535</v>
      </c>
      <c r="Q704" s="38">
        <v>0</v>
      </c>
      <c r="R704" s="38">
        <v>65535</v>
      </c>
      <c r="S704" s="34"/>
      <c r="T704" s="34"/>
      <c r="U704" s="34"/>
      <c r="V704" s="34"/>
      <c r="W704" s="36" t="s">
        <v>3112</v>
      </c>
      <c r="X704" s="34"/>
      <c r="Y704" s="34" t="s">
        <v>64</v>
      </c>
      <c r="AC704"/>
    </row>
    <row r="705" spans="1:29" s="9" customFormat="1" ht="16.149999999999999" customHeight="1" x14ac:dyDescent="0.15">
      <c r="A705" s="6">
        <v>699</v>
      </c>
      <c r="B705" s="18" t="s">
        <v>75</v>
      </c>
      <c r="C705" s="34" t="s">
        <v>2634</v>
      </c>
      <c r="D705" s="126" t="s">
        <v>3113</v>
      </c>
      <c r="E705" s="34" t="s">
        <v>77</v>
      </c>
      <c r="F705" s="19">
        <v>15807</v>
      </c>
      <c r="G705" s="6"/>
      <c r="H705" s="6" t="s">
        <v>3114</v>
      </c>
      <c r="I705" s="2"/>
      <c r="J705" s="38"/>
      <c r="K705" s="38"/>
      <c r="L705" s="38"/>
      <c r="M705" s="38" t="s">
        <v>2311</v>
      </c>
      <c r="N705" s="19">
        <v>1</v>
      </c>
      <c r="O705" s="19">
        <v>0</v>
      </c>
      <c r="P705" s="6">
        <v>65535</v>
      </c>
      <c r="Q705" s="38">
        <v>0</v>
      </c>
      <c r="R705" s="38">
        <v>65535</v>
      </c>
      <c r="S705" s="34"/>
      <c r="T705" s="34"/>
      <c r="U705" s="34"/>
      <c r="V705" s="34"/>
      <c r="W705" s="36" t="s">
        <v>3115</v>
      </c>
      <c r="X705" s="34"/>
      <c r="Y705" s="34" t="s">
        <v>64</v>
      </c>
      <c r="AC705"/>
    </row>
    <row r="706" spans="1:29" s="9" customFormat="1" ht="16.149999999999999" customHeight="1" x14ac:dyDescent="0.15">
      <c r="A706" s="6">
        <v>700</v>
      </c>
      <c r="B706" s="18" t="s">
        <v>75</v>
      </c>
      <c r="C706" s="34" t="s">
        <v>2634</v>
      </c>
      <c r="D706" s="126" t="s">
        <v>3116</v>
      </c>
      <c r="E706" s="34" t="s">
        <v>77</v>
      </c>
      <c r="F706" s="19">
        <v>15808</v>
      </c>
      <c r="G706" s="6"/>
      <c r="H706" s="6" t="s">
        <v>3117</v>
      </c>
      <c r="I706" s="2"/>
      <c r="J706" s="38"/>
      <c r="K706" s="38"/>
      <c r="L706" s="38"/>
      <c r="M706" s="38" t="s">
        <v>2311</v>
      </c>
      <c r="N706" s="19">
        <v>1</v>
      </c>
      <c r="O706" s="19">
        <v>0</v>
      </c>
      <c r="P706" s="6">
        <v>65535</v>
      </c>
      <c r="Q706" s="38">
        <v>0</v>
      </c>
      <c r="R706" s="38">
        <v>65535</v>
      </c>
      <c r="S706" s="34"/>
      <c r="T706" s="34"/>
      <c r="U706" s="34"/>
      <c r="V706" s="34"/>
      <c r="W706" s="36" t="s">
        <v>3118</v>
      </c>
      <c r="X706" s="34"/>
      <c r="Y706" s="34" t="s">
        <v>64</v>
      </c>
      <c r="AC706"/>
    </row>
    <row r="707" spans="1:29" s="9" customFormat="1" ht="16.149999999999999" customHeight="1" x14ac:dyDescent="0.15">
      <c r="A707" s="6">
        <v>701</v>
      </c>
      <c r="B707" s="18" t="s">
        <v>75</v>
      </c>
      <c r="C707" s="34" t="s">
        <v>2634</v>
      </c>
      <c r="D707" s="126" t="s">
        <v>3119</v>
      </c>
      <c r="E707" s="34" t="s">
        <v>77</v>
      </c>
      <c r="F707" s="19">
        <v>15809</v>
      </c>
      <c r="G707" s="6"/>
      <c r="H707" s="6" t="s">
        <v>3120</v>
      </c>
      <c r="I707" s="2"/>
      <c r="J707" s="38"/>
      <c r="K707" s="38"/>
      <c r="L707" s="38"/>
      <c r="M707" s="38" t="s">
        <v>2311</v>
      </c>
      <c r="N707" s="19">
        <v>1</v>
      </c>
      <c r="O707" s="19">
        <v>0</v>
      </c>
      <c r="P707" s="6">
        <v>65535</v>
      </c>
      <c r="Q707" s="38">
        <v>0</v>
      </c>
      <c r="R707" s="38">
        <v>65535</v>
      </c>
      <c r="S707" s="34"/>
      <c r="T707" s="34"/>
      <c r="U707" s="34"/>
      <c r="V707" s="34"/>
      <c r="W707" s="36" t="s">
        <v>3121</v>
      </c>
      <c r="X707" s="34"/>
      <c r="Y707" s="34" t="s">
        <v>64</v>
      </c>
      <c r="AC707"/>
    </row>
    <row r="708" spans="1:29" s="9" customFormat="1" ht="16.149999999999999" customHeight="1" x14ac:dyDescent="0.15">
      <c r="A708" s="6">
        <v>702</v>
      </c>
      <c r="B708" s="18" t="s">
        <v>75</v>
      </c>
      <c r="C708" s="34" t="s">
        <v>2634</v>
      </c>
      <c r="D708" s="126" t="s">
        <v>3122</v>
      </c>
      <c r="E708" s="34" t="s">
        <v>77</v>
      </c>
      <c r="F708" s="19">
        <v>15810</v>
      </c>
      <c r="G708" s="6"/>
      <c r="H708" s="6" t="s">
        <v>3123</v>
      </c>
      <c r="I708" s="2"/>
      <c r="J708" s="38"/>
      <c r="K708" s="38"/>
      <c r="L708" s="38"/>
      <c r="M708" s="38" t="s">
        <v>2311</v>
      </c>
      <c r="N708" s="19">
        <v>1</v>
      </c>
      <c r="O708" s="19">
        <v>0</v>
      </c>
      <c r="P708" s="6">
        <v>65535</v>
      </c>
      <c r="Q708" s="38">
        <v>0</v>
      </c>
      <c r="R708" s="38">
        <v>65535</v>
      </c>
      <c r="S708" s="34"/>
      <c r="T708" s="34"/>
      <c r="U708" s="34"/>
      <c r="V708" s="34"/>
      <c r="W708" s="36" t="s">
        <v>3124</v>
      </c>
      <c r="X708" s="34"/>
      <c r="Y708" s="34" t="s">
        <v>64</v>
      </c>
      <c r="AC708"/>
    </row>
    <row r="709" spans="1:29" s="9" customFormat="1" ht="16.149999999999999" customHeight="1" x14ac:dyDescent="0.15">
      <c r="A709" s="6">
        <v>703</v>
      </c>
      <c r="B709" s="18" t="s">
        <v>75</v>
      </c>
      <c r="C709" s="34" t="s">
        <v>2634</v>
      </c>
      <c r="D709" s="126" t="s">
        <v>7331</v>
      </c>
      <c r="E709" s="34" t="s">
        <v>77</v>
      </c>
      <c r="F709" s="19">
        <v>15811</v>
      </c>
      <c r="G709" s="6"/>
      <c r="H709" s="6" t="s">
        <v>8174</v>
      </c>
      <c r="I709" s="2"/>
      <c r="J709" s="38"/>
      <c r="K709" s="38"/>
      <c r="L709" s="38"/>
      <c r="M709" s="38" t="s">
        <v>2311</v>
      </c>
      <c r="N709" s="19">
        <v>1</v>
      </c>
      <c r="O709" s="19">
        <v>0</v>
      </c>
      <c r="P709" s="6">
        <v>65535</v>
      </c>
      <c r="Q709" s="38">
        <v>0</v>
      </c>
      <c r="R709" s="38">
        <v>65535</v>
      </c>
      <c r="S709" s="34"/>
      <c r="T709" s="34"/>
      <c r="U709" s="34"/>
      <c r="V709" s="34"/>
      <c r="W709" s="36" t="s">
        <v>8375</v>
      </c>
      <c r="X709" s="34"/>
      <c r="Y709" s="34" t="s">
        <v>64</v>
      </c>
      <c r="AC709"/>
    </row>
    <row r="710" spans="1:29" s="9" customFormat="1" ht="16.149999999999999" customHeight="1" x14ac:dyDescent="0.15">
      <c r="A710" s="6">
        <v>704</v>
      </c>
      <c r="B710" s="18" t="s">
        <v>75</v>
      </c>
      <c r="C710" s="34" t="s">
        <v>2634</v>
      </c>
      <c r="D710" s="126" t="s">
        <v>7332</v>
      </c>
      <c r="E710" s="34" t="s">
        <v>77</v>
      </c>
      <c r="F710" s="19">
        <v>15812</v>
      </c>
      <c r="G710" s="103"/>
      <c r="H710" s="6" t="s">
        <v>8175</v>
      </c>
      <c r="I710" s="104"/>
      <c r="J710" s="105"/>
      <c r="K710" s="105"/>
      <c r="L710" s="38"/>
      <c r="M710" s="38" t="s">
        <v>2311</v>
      </c>
      <c r="N710" s="19">
        <v>1</v>
      </c>
      <c r="O710" s="19">
        <v>0</v>
      </c>
      <c r="P710" s="6">
        <v>65535</v>
      </c>
      <c r="Q710" s="38">
        <v>0</v>
      </c>
      <c r="R710" s="38">
        <v>65535</v>
      </c>
      <c r="S710" s="34"/>
      <c r="T710" s="108"/>
      <c r="U710" s="34"/>
      <c r="V710" s="34"/>
      <c r="W710" s="36" t="s">
        <v>8376</v>
      </c>
      <c r="X710" s="34"/>
      <c r="Y710" s="34" t="s">
        <v>64</v>
      </c>
      <c r="AC710"/>
    </row>
    <row r="711" spans="1:29" s="9" customFormat="1" ht="16.149999999999999" customHeight="1" x14ac:dyDescent="0.15">
      <c r="A711" s="6">
        <v>705</v>
      </c>
      <c r="B711" s="18" t="s">
        <v>75</v>
      </c>
      <c r="C711" s="34" t="s">
        <v>2634</v>
      </c>
      <c r="D711" s="126" t="s">
        <v>7333</v>
      </c>
      <c r="E711" s="34" t="s">
        <v>77</v>
      </c>
      <c r="F711" s="19">
        <v>15813</v>
      </c>
      <c r="G711" s="103"/>
      <c r="H711" s="6" t="s">
        <v>8176</v>
      </c>
      <c r="I711" s="104"/>
      <c r="J711" s="105"/>
      <c r="K711" s="105"/>
      <c r="L711" s="38"/>
      <c r="M711" s="38" t="s">
        <v>2311</v>
      </c>
      <c r="N711" s="19">
        <v>1</v>
      </c>
      <c r="O711" s="19">
        <v>0</v>
      </c>
      <c r="P711" s="6">
        <v>65535</v>
      </c>
      <c r="Q711" s="38">
        <v>0</v>
      </c>
      <c r="R711" s="38">
        <v>65535</v>
      </c>
      <c r="S711" s="34"/>
      <c r="T711" s="108"/>
      <c r="U711" s="34"/>
      <c r="V711" s="34"/>
      <c r="W711" s="36" t="s">
        <v>8377</v>
      </c>
      <c r="X711" s="34"/>
      <c r="Y711" s="34" t="s">
        <v>64</v>
      </c>
      <c r="AC711"/>
    </row>
    <row r="712" spans="1:29" s="9" customFormat="1" ht="16.149999999999999" customHeight="1" x14ac:dyDescent="0.15">
      <c r="A712" s="6">
        <v>706</v>
      </c>
      <c r="B712" s="18" t="s">
        <v>75</v>
      </c>
      <c r="C712" s="34" t="s">
        <v>2634</v>
      </c>
      <c r="D712" s="126" t="s">
        <v>7334</v>
      </c>
      <c r="E712" s="34" t="s">
        <v>77</v>
      </c>
      <c r="F712" s="19">
        <v>15814</v>
      </c>
      <c r="G712" s="103"/>
      <c r="H712" s="6" t="s">
        <v>8177</v>
      </c>
      <c r="I712" s="104"/>
      <c r="J712" s="105"/>
      <c r="K712" s="105"/>
      <c r="L712" s="38"/>
      <c r="M712" s="38" t="s">
        <v>2311</v>
      </c>
      <c r="N712" s="19">
        <v>1</v>
      </c>
      <c r="O712" s="19">
        <v>0</v>
      </c>
      <c r="P712" s="6">
        <v>65535</v>
      </c>
      <c r="Q712" s="38">
        <v>0</v>
      </c>
      <c r="R712" s="38">
        <v>65535</v>
      </c>
      <c r="S712" s="34"/>
      <c r="T712" s="108"/>
      <c r="U712" s="34"/>
      <c r="V712" s="34"/>
      <c r="W712" s="36" t="s">
        <v>8378</v>
      </c>
      <c r="X712" s="34"/>
      <c r="Y712" s="34" t="s">
        <v>64</v>
      </c>
      <c r="AC712"/>
    </row>
    <row r="713" spans="1:29" s="9" customFormat="1" ht="16.149999999999999" customHeight="1" x14ac:dyDescent="0.15">
      <c r="A713" s="6">
        <v>707</v>
      </c>
      <c r="B713" s="18" t="s">
        <v>75</v>
      </c>
      <c r="C713" s="34" t="s">
        <v>2634</v>
      </c>
      <c r="D713" s="126" t="s">
        <v>7335</v>
      </c>
      <c r="E713" s="34" t="s">
        <v>77</v>
      </c>
      <c r="F713" s="19">
        <v>15815</v>
      </c>
      <c r="G713" s="103"/>
      <c r="H713" s="6" t="s">
        <v>8178</v>
      </c>
      <c r="I713" s="104"/>
      <c r="J713" s="105"/>
      <c r="K713" s="105"/>
      <c r="L713" s="38"/>
      <c r="M713" s="38" t="s">
        <v>2311</v>
      </c>
      <c r="N713" s="19">
        <v>1</v>
      </c>
      <c r="O713" s="19">
        <v>0</v>
      </c>
      <c r="P713" s="6">
        <v>65535</v>
      </c>
      <c r="Q713" s="38">
        <v>0</v>
      </c>
      <c r="R713" s="38">
        <v>65535</v>
      </c>
      <c r="S713" s="34"/>
      <c r="T713" s="108"/>
      <c r="U713" s="34"/>
      <c r="V713" s="34"/>
      <c r="W713" s="36" t="s">
        <v>8379</v>
      </c>
      <c r="X713" s="34"/>
      <c r="Y713" s="34" t="s">
        <v>64</v>
      </c>
      <c r="AC713"/>
    </row>
    <row r="714" spans="1:29" s="9" customFormat="1" ht="16.149999999999999" customHeight="1" x14ac:dyDescent="0.15">
      <c r="A714" s="6">
        <v>708</v>
      </c>
      <c r="B714" s="18" t="s">
        <v>75</v>
      </c>
      <c r="C714" s="34" t="s">
        <v>2634</v>
      </c>
      <c r="D714" s="126" t="s">
        <v>7336</v>
      </c>
      <c r="E714" s="34" t="s">
        <v>77</v>
      </c>
      <c r="F714" s="19">
        <v>15816</v>
      </c>
      <c r="G714" s="6"/>
      <c r="H714" s="6" t="s">
        <v>8179</v>
      </c>
      <c r="I714" s="2"/>
      <c r="J714" s="38"/>
      <c r="K714" s="38"/>
      <c r="L714" s="38"/>
      <c r="M714" s="38" t="s">
        <v>2311</v>
      </c>
      <c r="N714" s="19">
        <v>1</v>
      </c>
      <c r="O714" s="19">
        <v>0</v>
      </c>
      <c r="P714" s="6">
        <v>65535</v>
      </c>
      <c r="Q714" s="38">
        <v>0</v>
      </c>
      <c r="R714" s="38">
        <v>65535</v>
      </c>
      <c r="S714" s="34"/>
      <c r="T714" s="34"/>
      <c r="U714" s="34"/>
      <c r="V714" s="34"/>
      <c r="W714" s="36" t="s">
        <v>8380</v>
      </c>
      <c r="X714" s="34"/>
      <c r="Y714" s="34" t="s">
        <v>64</v>
      </c>
      <c r="AC714"/>
    </row>
    <row r="715" spans="1:29" s="9" customFormat="1" ht="16.149999999999999" customHeight="1" x14ac:dyDescent="0.15">
      <c r="A715" s="6">
        <v>709</v>
      </c>
      <c r="B715" s="18" t="s">
        <v>75</v>
      </c>
      <c r="C715" s="34" t="s">
        <v>2634</v>
      </c>
      <c r="D715" s="126" t="s">
        <v>7337</v>
      </c>
      <c r="E715" s="34" t="s">
        <v>77</v>
      </c>
      <c r="F715" s="19">
        <v>15817</v>
      </c>
      <c r="G715" s="6"/>
      <c r="H715" s="6" t="s">
        <v>8180</v>
      </c>
      <c r="I715" s="2"/>
      <c r="J715" s="38"/>
      <c r="K715" s="38"/>
      <c r="L715" s="38"/>
      <c r="M715" s="38" t="s">
        <v>2311</v>
      </c>
      <c r="N715" s="19">
        <v>1</v>
      </c>
      <c r="O715" s="19">
        <v>0</v>
      </c>
      <c r="P715" s="6">
        <v>65535</v>
      </c>
      <c r="Q715" s="38">
        <v>0</v>
      </c>
      <c r="R715" s="38">
        <v>65535</v>
      </c>
      <c r="S715" s="34"/>
      <c r="T715" s="34"/>
      <c r="U715" s="34"/>
      <c r="V715" s="34"/>
      <c r="W715" s="36" t="s">
        <v>8381</v>
      </c>
      <c r="X715" s="34"/>
      <c r="Y715" s="34" t="s">
        <v>64</v>
      </c>
      <c r="AC715"/>
    </row>
    <row r="716" spans="1:29" s="9" customFormat="1" ht="16.149999999999999" customHeight="1" x14ac:dyDescent="0.15">
      <c r="A716" s="6">
        <v>710</v>
      </c>
      <c r="B716" s="18" t="s">
        <v>75</v>
      </c>
      <c r="C716" s="34" t="s">
        <v>2634</v>
      </c>
      <c r="D716" s="126" t="s">
        <v>7338</v>
      </c>
      <c r="E716" s="34" t="s">
        <v>77</v>
      </c>
      <c r="F716" s="19">
        <v>15818</v>
      </c>
      <c r="G716" s="6"/>
      <c r="H716" s="6" t="s">
        <v>8181</v>
      </c>
      <c r="I716" s="2"/>
      <c r="J716" s="38"/>
      <c r="K716" s="38"/>
      <c r="L716" s="38"/>
      <c r="M716" s="38" t="s">
        <v>2311</v>
      </c>
      <c r="N716" s="19">
        <v>1</v>
      </c>
      <c r="O716" s="19">
        <v>0</v>
      </c>
      <c r="P716" s="6">
        <v>65535</v>
      </c>
      <c r="Q716" s="38">
        <v>0</v>
      </c>
      <c r="R716" s="38">
        <v>65535</v>
      </c>
      <c r="S716" s="34"/>
      <c r="T716" s="34"/>
      <c r="U716" s="34"/>
      <c r="V716" s="34"/>
      <c r="W716" s="36" t="s">
        <v>8382</v>
      </c>
      <c r="X716" s="34"/>
      <c r="Y716" s="34" t="s">
        <v>64</v>
      </c>
      <c r="AC716"/>
    </row>
    <row r="717" spans="1:29" s="9" customFormat="1" ht="16.149999999999999" customHeight="1" x14ac:dyDescent="0.15">
      <c r="A717" s="6">
        <v>711</v>
      </c>
      <c r="B717" s="18" t="s">
        <v>75</v>
      </c>
      <c r="C717" s="34" t="s">
        <v>2634</v>
      </c>
      <c r="D717" s="126" t="s">
        <v>7339</v>
      </c>
      <c r="E717" s="34" t="s">
        <v>77</v>
      </c>
      <c r="F717" s="19">
        <v>15819</v>
      </c>
      <c r="G717" s="6"/>
      <c r="H717" s="6" t="s">
        <v>8182</v>
      </c>
      <c r="I717" s="2"/>
      <c r="J717" s="38"/>
      <c r="K717" s="38"/>
      <c r="L717" s="38"/>
      <c r="M717" s="38" t="s">
        <v>2311</v>
      </c>
      <c r="N717" s="19">
        <v>1</v>
      </c>
      <c r="O717" s="19">
        <v>0</v>
      </c>
      <c r="P717" s="6">
        <v>65535</v>
      </c>
      <c r="Q717" s="38">
        <v>0</v>
      </c>
      <c r="R717" s="38">
        <v>65535</v>
      </c>
      <c r="S717" s="34"/>
      <c r="T717" s="34"/>
      <c r="U717" s="34"/>
      <c r="V717" s="34"/>
      <c r="W717" s="36" t="s">
        <v>8383</v>
      </c>
      <c r="X717" s="34"/>
      <c r="Y717" s="34" t="s">
        <v>64</v>
      </c>
      <c r="AC717"/>
    </row>
    <row r="718" spans="1:29" s="9" customFormat="1" ht="16.149999999999999" customHeight="1" x14ac:dyDescent="0.15">
      <c r="A718" s="6">
        <v>712</v>
      </c>
      <c r="B718" s="18" t="s">
        <v>75</v>
      </c>
      <c r="C718" s="34" t="s">
        <v>2634</v>
      </c>
      <c r="D718" s="126" t="s">
        <v>3125</v>
      </c>
      <c r="E718" s="34" t="s">
        <v>77</v>
      </c>
      <c r="F718" s="19">
        <v>15820</v>
      </c>
      <c r="G718" s="6"/>
      <c r="H718" s="6" t="s">
        <v>3126</v>
      </c>
      <c r="I718" s="2"/>
      <c r="J718" s="38"/>
      <c r="K718" s="38"/>
      <c r="L718" s="38"/>
      <c r="M718" s="38" t="s">
        <v>2311</v>
      </c>
      <c r="N718" s="19">
        <v>1</v>
      </c>
      <c r="O718" s="19">
        <v>0</v>
      </c>
      <c r="P718" s="6">
        <v>65535</v>
      </c>
      <c r="Q718" s="38">
        <v>0</v>
      </c>
      <c r="R718" s="38">
        <v>65535</v>
      </c>
      <c r="S718" s="34"/>
      <c r="T718" s="34"/>
      <c r="U718" s="34"/>
      <c r="V718" s="34"/>
      <c r="W718" s="36" t="s">
        <v>3127</v>
      </c>
      <c r="X718" s="34"/>
      <c r="Y718" s="34" t="s">
        <v>64</v>
      </c>
      <c r="AC718"/>
    </row>
    <row r="719" spans="1:29" s="9" customFormat="1" ht="16.149999999999999" customHeight="1" x14ac:dyDescent="0.15">
      <c r="A719" s="6">
        <v>713</v>
      </c>
      <c r="B719" s="18" t="s">
        <v>75</v>
      </c>
      <c r="C719" s="34" t="s">
        <v>2634</v>
      </c>
      <c r="D719" s="126" t="s">
        <v>3128</v>
      </c>
      <c r="E719" s="34" t="s">
        <v>77</v>
      </c>
      <c r="F719" s="19">
        <v>15821</v>
      </c>
      <c r="G719" s="6"/>
      <c r="H719" s="6" t="s">
        <v>3129</v>
      </c>
      <c r="I719" s="2"/>
      <c r="J719" s="38"/>
      <c r="K719" s="38"/>
      <c r="L719" s="38"/>
      <c r="M719" s="38" t="s">
        <v>2311</v>
      </c>
      <c r="N719" s="19">
        <v>1</v>
      </c>
      <c r="O719" s="19">
        <v>0</v>
      </c>
      <c r="P719" s="6">
        <v>65535</v>
      </c>
      <c r="Q719" s="38">
        <v>0</v>
      </c>
      <c r="R719" s="38">
        <v>65535</v>
      </c>
      <c r="S719" s="34"/>
      <c r="T719" s="34"/>
      <c r="U719" s="34"/>
      <c r="V719" s="34"/>
      <c r="W719" s="36" t="s">
        <v>3130</v>
      </c>
      <c r="X719" s="34"/>
      <c r="Y719" s="34" t="s">
        <v>64</v>
      </c>
      <c r="AC719"/>
    </row>
    <row r="720" spans="1:29" s="9" customFormat="1" ht="16.149999999999999" customHeight="1" x14ac:dyDescent="0.15">
      <c r="A720" s="6">
        <v>714</v>
      </c>
      <c r="B720" s="18" t="s">
        <v>75</v>
      </c>
      <c r="C720" s="34" t="s">
        <v>2634</v>
      </c>
      <c r="D720" s="126" t="s">
        <v>3131</v>
      </c>
      <c r="E720" s="34" t="s">
        <v>77</v>
      </c>
      <c r="F720" s="19">
        <v>15822</v>
      </c>
      <c r="G720" s="6"/>
      <c r="H720" s="6" t="s">
        <v>3132</v>
      </c>
      <c r="I720" s="2"/>
      <c r="J720" s="38"/>
      <c r="K720" s="38"/>
      <c r="L720" s="38"/>
      <c r="M720" s="38" t="s">
        <v>2311</v>
      </c>
      <c r="N720" s="19">
        <v>1</v>
      </c>
      <c r="O720" s="19">
        <v>0</v>
      </c>
      <c r="P720" s="6">
        <v>65535</v>
      </c>
      <c r="Q720" s="38">
        <v>0</v>
      </c>
      <c r="R720" s="38">
        <v>65535</v>
      </c>
      <c r="S720" s="34"/>
      <c r="T720" s="34"/>
      <c r="U720" s="34"/>
      <c r="V720" s="34"/>
      <c r="W720" s="36" t="s">
        <v>3133</v>
      </c>
      <c r="X720" s="34"/>
      <c r="Y720" s="34" t="s">
        <v>64</v>
      </c>
      <c r="AC720"/>
    </row>
    <row r="721" spans="1:30" s="9" customFormat="1" ht="16.149999999999999" customHeight="1" x14ac:dyDescent="0.15">
      <c r="A721" s="6">
        <v>715</v>
      </c>
      <c r="B721" s="18" t="s">
        <v>75</v>
      </c>
      <c r="C721" s="34" t="s">
        <v>2634</v>
      </c>
      <c r="D721" s="126" t="s">
        <v>3134</v>
      </c>
      <c r="E721" s="34" t="s">
        <v>77</v>
      </c>
      <c r="F721" s="19">
        <v>15823</v>
      </c>
      <c r="G721" s="6"/>
      <c r="H721" s="6" t="s">
        <v>3135</v>
      </c>
      <c r="I721" s="2"/>
      <c r="J721" s="38"/>
      <c r="K721" s="38"/>
      <c r="L721" s="38"/>
      <c r="M721" s="38" t="s">
        <v>2311</v>
      </c>
      <c r="N721" s="19">
        <v>1</v>
      </c>
      <c r="O721" s="19">
        <v>0</v>
      </c>
      <c r="P721" s="6">
        <v>65535</v>
      </c>
      <c r="Q721" s="38">
        <v>0</v>
      </c>
      <c r="R721" s="38">
        <v>65535</v>
      </c>
      <c r="S721" s="34"/>
      <c r="T721" s="34"/>
      <c r="U721" s="34"/>
      <c r="V721" s="34"/>
      <c r="W721" s="36" t="s">
        <v>3136</v>
      </c>
      <c r="X721" s="34"/>
      <c r="Y721" s="34" t="s">
        <v>64</v>
      </c>
      <c r="AC721"/>
    </row>
    <row r="722" spans="1:30" s="9" customFormat="1" ht="16.149999999999999" customHeight="1" x14ac:dyDescent="0.15">
      <c r="A722" s="6">
        <v>716</v>
      </c>
      <c r="B722" s="18" t="s">
        <v>75</v>
      </c>
      <c r="C722" s="34" t="s">
        <v>2634</v>
      </c>
      <c r="D722" s="126" t="s">
        <v>3137</v>
      </c>
      <c r="E722" s="34" t="s">
        <v>77</v>
      </c>
      <c r="F722" s="19">
        <v>15824</v>
      </c>
      <c r="G722" s="6"/>
      <c r="H722" s="6" t="s">
        <v>3138</v>
      </c>
      <c r="I722" s="2"/>
      <c r="J722" s="38"/>
      <c r="K722" s="38"/>
      <c r="L722" s="38"/>
      <c r="M722" s="38" t="s">
        <v>2311</v>
      </c>
      <c r="N722" s="19">
        <v>1</v>
      </c>
      <c r="O722" s="19">
        <v>0</v>
      </c>
      <c r="P722" s="6">
        <v>65535</v>
      </c>
      <c r="Q722" s="38">
        <v>0</v>
      </c>
      <c r="R722" s="38">
        <v>65535</v>
      </c>
      <c r="S722" s="34"/>
      <c r="T722" s="34"/>
      <c r="U722" s="34"/>
      <c r="V722" s="34"/>
      <c r="W722" s="36" t="s">
        <v>3139</v>
      </c>
      <c r="X722" s="34"/>
      <c r="Y722" s="34" t="s">
        <v>64</v>
      </c>
      <c r="AC722"/>
    </row>
    <row r="723" spans="1:30" s="9" customFormat="1" ht="16.149999999999999" customHeight="1" x14ac:dyDescent="0.15">
      <c r="A723" s="6">
        <v>717</v>
      </c>
      <c r="B723" s="18" t="s">
        <v>75</v>
      </c>
      <c r="C723" s="34" t="s">
        <v>2634</v>
      </c>
      <c r="D723" s="126" t="s">
        <v>3140</v>
      </c>
      <c r="E723" s="34" t="s">
        <v>77</v>
      </c>
      <c r="F723" s="19">
        <v>15825</v>
      </c>
      <c r="G723" s="6"/>
      <c r="H723" s="6" t="s">
        <v>3141</v>
      </c>
      <c r="I723" s="2"/>
      <c r="J723" s="38"/>
      <c r="K723" s="38"/>
      <c r="L723" s="38"/>
      <c r="M723" s="38" t="s">
        <v>2311</v>
      </c>
      <c r="N723" s="19">
        <v>1</v>
      </c>
      <c r="O723" s="19">
        <v>0</v>
      </c>
      <c r="P723" s="6">
        <v>65535</v>
      </c>
      <c r="Q723" s="38">
        <v>0</v>
      </c>
      <c r="R723" s="38">
        <v>65535</v>
      </c>
      <c r="S723" s="34"/>
      <c r="T723" s="34"/>
      <c r="U723" s="34"/>
      <c r="V723" s="34"/>
      <c r="W723" s="36" t="s">
        <v>3142</v>
      </c>
      <c r="X723" s="34"/>
      <c r="Y723" s="34" t="s">
        <v>64</v>
      </c>
      <c r="AC723"/>
    </row>
    <row r="724" spans="1:30" s="9" customFormat="1" ht="16.149999999999999" customHeight="1" x14ac:dyDescent="0.15">
      <c r="A724" s="6">
        <v>718</v>
      </c>
      <c r="B724" s="18" t="s">
        <v>75</v>
      </c>
      <c r="C724" s="34" t="s">
        <v>2634</v>
      </c>
      <c r="D724" s="126" t="s">
        <v>3143</v>
      </c>
      <c r="E724" s="34" t="s">
        <v>77</v>
      </c>
      <c r="F724" s="19">
        <v>15826</v>
      </c>
      <c r="G724" s="6"/>
      <c r="H724" s="6" t="s">
        <v>3144</v>
      </c>
      <c r="I724" s="2"/>
      <c r="J724" s="38"/>
      <c r="K724" s="38"/>
      <c r="L724" s="38"/>
      <c r="M724" s="38" t="s">
        <v>2311</v>
      </c>
      <c r="N724" s="19">
        <v>1</v>
      </c>
      <c r="O724" s="19">
        <v>0</v>
      </c>
      <c r="P724" s="6">
        <v>65535</v>
      </c>
      <c r="Q724" s="38">
        <v>0</v>
      </c>
      <c r="R724" s="38">
        <v>65535</v>
      </c>
      <c r="S724" s="34"/>
      <c r="T724" s="34"/>
      <c r="U724" s="34"/>
      <c r="V724" s="34"/>
      <c r="W724" s="36" t="s">
        <v>3145</v>
      </c>
      <c r="X724" s="34"/>
      <c r="Y724" s="34" t="s">
        <v>64</v>
      </c>
      <c r="AC724"/>
    </row>
    <row r="725" spans="1:30" s="9" customFormat="1" ht="16.149999999999999" customHeight="1" x14ac:dyDescent="0.15">
      <c r="A725" s="6">
        <v>719</v>
      </c>
      <c r="B725" s="18" t="s">
        <v>75</v>
      </c>
      <c r="C725" s="34" t="s">
        <v>2634</v>
      </c>
      <c r="D725" s="126" t="s">
        <v>7340</v>
      </c>
      <c r="E725" s="34" t="s">
        <v>77</v>
      </c>
      <c r="F725" s="19">
        <v>15827</v>
      </c>
      <c r="G725" s="6"/>
      <c r="H725" s="6" t="s">
        <v>8183</v>
      </c>
      <c r="I725" s="2"/>
      <c r="J725" s="38"/>
      <c r="K725" s="38"/>
      <c r="L725" s="38"/>
      <c r="M725" s="38" t="s">
        <v>2311</v>
      </c>
      <c r="N725" s="19">
        <v>1</v>
      </c>
      <c r="O725" s="19">
        <v>0</v>
      </c>
      <c r="P725" s="6">
        <v>65535</v>
      </c>
      <c r="Q725" s="38">
        <v>0</v>
      </c>
      <c r="R725" s="38">
        <v>65535</v>
      </c>
      <c r="S725" s="34"/>
      <c r="T725" s="34"/>
      <c r="U725" s="34"/>
      <c r="V725" s="34"/>
      <c r="W725" s="36" t="s">
        <v>8384</v>
      </c>
      <c r="X725" s="34"/>
      <c r="Y725" s="34" t="s">
        <v>64</v>
      </c>
      <c r="AC725"/>
    </row>
    <row r="726" spans="1:30" s="9" customFormat="1" ht="16.149999999999999" customHeight="1" x14ac:dyDescent="0.15">
      <c r="A726" s="6">
        <v>720</v>
      </c>
      <c r="B726" s="18" t="s">
        <v>75</v>
      </c>
      <c r="C726" s="34" t="s">
        <v>2634</v>
      </c>
      <c r="D726" s="126" t="s">
        <v>7341</v>
      </c>
      <c r="E726" s="34" t="s">
        <v>77</v>
      </c>
      <c r="F726" s="19">
        <v>15828</v>
      </c>
      <c r="G726" s="103"/>
      <c r="H726" s="6" t="s">
        <v>8184</v>
      </c>
      <c r="I726" s="104"/>
      <c r="J726" s="105"/>
      <c r="K726" s="105"/>
      <c r="L726" s="38"/>
      <c r="M726" s="38" t="s">
        <v>2311</v>
      </c>
      <c r="N726" s="19">
        <v>1</v>
      </c>
      <c r="O726" s="19">
        <v>0</v>
      </c>
      <c r="P726" s="6">
        <v>65535</v>
      </c>
      <c r="Q726" s="38">
        <v>0</v>
      </c>
      <c r="R726" s="38">
        <v>65535</v>
      </c>
      <c r="S726" s="34"/>
      <c r="T726" s="108"/>
      <c r="U726" s="34"/>
      <c r="V726" s="34"/>
      <c r="W726" s="36" t="s">
        <v>8385</v>
      </c>
      <c r="X726" s="34"/>
      <c r="Y726" s="34" t="s">
        <v>64</v>
      </c>
      <c r="AC726"/>
    </row>
    <row r="727" spans="1:30" s="9" customFormat="1" ht="16.149999999999999" customHeight="1" x14ac:dyDescent="0.15">
      <c r="A727" s="6">
        <v>721</v>
      </c>
      <c r="B727" s="18" t="s">
        <v>75</v>
      </c>
      <c r="C727" s="34" t="s">
        <v>2634</v>
      </c>
      <c r="D727" s="126" t="s">
        <v>7342</v>
      </c>
      <c r="E727" s="34" t="s">
        <v>77</v>
      </c>
      <c r="F727" s="19">
        <v>15829</v>
      </c>
      <c r="G727" s="103"/>
      <c r="H727" s="6" t="s">
        <v>8185</v>
      </c>
      <c r="I727" s="104"/>
      <c r="J727" s="105"/>
      <c r="K727" s="105"/>
      <c r="L727" s="38"/>
      <c r="M727" s="38" t="s">
        <v>2311</v>
      </c>
      <c r="N727" s="19">
        <v>1</v>
      </c>
      <c r="O727" s="19">
        <v>0</v>
      </c>
      <c r="P727" s="6">
        <v>65535</v>
      </c>
      <c r="Q727" s="38">
        <v>0</v>
      </c>
      <c r="R727" s="38">
        <v>65535</v>
      </c>
      <c r="S727" s="34"/>
      <c r="T727" s="108"/>
      <c r="U727" s="34"/>
      <c r="V727" s="34"/>
      <c r="W727" s="36" t="s">
        <v>8386</v>
      </c>
      <c r="X727" s="34"/>
      <c r="Y727" s="34" t="s">
        <v>64</v>
      </c>
      <c r="AC727"/>
    </row>
    <row r="728" spans="1:30" s="9" customFormat="1" ht="16.149999999999999" customHeight="1" x14ac:dyDescent="0.15">
      <c r="A728" s="6">
        <v>722</v>
      </c>
      <c r="B728" s="18" t="s">
        <v>75</v>
      </c>
      <c r="C728" s="34" t="s">
        <v>2634</v>
      </c>
      <c r="D728" s="126" t="s">
        <v>7343</v>
      </c>
      <c r="E728" s="34" t="s">
        <v>77</v>
      </c>
      <c r="F728" s="19">
        <v>15830</v>
      </c>
      <c r="G728" s="103"/>
      <c r="H728" s="6" t="s">
        <v>8186</v>
      </c>
      <c r="I728" s="104"/>
      <c r="J728" s="105"/>
      <c r="K728" s="105"/>
      <c r="L728" s="38"/>
      <c r="M728" s="38" t="s">
        <v>2311</v>
      </c>
      <c r="N728" s="19">
        <v>1</v>
      </c>
      <c r="O728" s="19">
        <v>0</v>
      </c>
      <c r="P728" s="6">
        <v>65535</v>
      </c>
      <c r="Q728" s="38">
        <v>0</v>
      </c>
      <c r="R728" s="38">
        <v>65535</v>
      </c>
      <c r="S728" s="34"/>
      <c r="T728" s="108"/>
      <c r="U728" s="34"/>
      <c r="V728" s="34"/>
      <c r="W728" s="36" t="s">
        <v>8387</v>
      </c>
      <c r="X728" s="34"/>
      <c r="Y728" s="34" t="s">
        <v>64</v>
      </c>
      <c r="AC728"/>
    </row>
    <row r="729" spans="1:30" s="9" customFormat="1" ht="16.149999999999999" customHeight="1" x14ac:dyDescent="0.15">
      <c r="A729" s="6">
        <v>723</v>
      </c>
      <c r="B729" s="18" t="s">
        <v>75</v>
      </c>
      <c r="C729" s="34" t="s">
        <v>2634</v>
      </c>
      <c r="D729" s="126" t="s">
        <v>7344</v>
      </c>
      <c r="E729" s="34" t="s">
        <v>77</v>
      </c>
      <c r="F729" s="19">
        <v>15831</v>
      </c>
      <c r="G729" s="103"/>
      <c r="H729" s="6" t="s">
        <v>8187</v>
      </c>
      <c r="I729" s="104"/>
      <c r="J729" s="105"/>
      <c r="K729" s="105"/>
      <c r="L729" s="38"/>
      <c r="M729" s="38" t="s">
        <v>2311</v>
      </c>
      <c r="N729" s="19">
        <v>1</v>
      </c>
      <c r="O729" s="19">
        <v>0</v>
      </c>
      <c r="P729" s="6">
        <v>65535</v>
      </c>
      <c r="Q729" s="38">
        <v>0</v>
      </c>
      <c r="R729" s="38">
        <v>65535</v>
      </c>
      <c r="S729" s="34"/>
      <c r="T729" s="108"/>
      <c r="U729" s="34"/>
      <c r="V729" s="34"/>
      <c r="W729" s="36" t="s">
        <v>8388</v>
      </c>
      <c r="X729" s="34"/>
      <c r="Y729" s="34" t="s">
        <v>64</v>
      </c>
      <c r="AC729"/>
    </row>
    <row r="730" spans="1:30" s="9" customFormat="1" ht="16.149999999999999" customHeight="1" x14ac:dyDescent="0.15">
      <c r="A730" s="6">
        <v>724</v>
      </c>
      <c r="B730" s="18" t="s">
        <v>75</v>
      </c>
      <c r="C730" s="34" t="s">
        <v>2634</v>
      </c>
      <c r="D730" s="126" t="s">
        <v>7345</v>
      </c>
      <c r="E730" s="34" t="s">
        <v>77</v>
      </c>
      <c r="F730" s="19">
        <v>15832</v>
      </c>
      <c r="G730" s="6"/>
      <c r="H730" s="6" t="s">
        <v>8188</v>
      </c>
      <c r="I730" s="34"/>
      <c r="J730" s="38"/>
      <c r="K730" s="38"/>
      <c r="L730" s="38"/>
      <c r="M730" s="38" t="s">
        <v>2311</v>
      </c>
      <c r="N730" s="19">
        <v>1</v>
      </c>
      <c r="O730" s="118">
        <v>0</v>
      </c>
      <c r="P730" s="6">
        <v>65535</v>
      </c>
      <c r="Q730" s="38">
        <v>0</v>
      </c>
      <c r="R730" s="38">
        <v>65535</v>
      </c>
      <c r="S730" s="34"/>
      <c r="T730" s="34"/>
      <c r="U730" s="34"/>
      <c r="V730" s="33"/>
      <c r="W730" s="36" t="s">
        <v>8389</v>
      </c>
      <c r="X730" s="33"/>
      <c r="Y730" s="34" t="s">
        <v>64</v>
      </c>
      <c r="AC730"/>
    </row>
    <row r="731" spans="1:30" s="9" customFormat="1" ht="16.149999999999999" customHeight="1" x14ac:dyDescent="0.15">
      <c r="A731" s="6">
        <v>725</v>
      </c>
      <c r="B731" s="18" t="s">
        <v>75</v>
      </c>
      <c r="C731" s="34" t="s">
        <v>2634</v>
      </c>
      <c r="D731" s="126" t="s">
        <v>7346</v>
      </c>
      <c r="E731" s="34" t="s">
        <v>77</v>
      </c>
      <c r="F731" s="19">
        <v>15833</v>
      </c>
      <c r="G731" s="6"/>
      <c r="H731" s="6" t="s">
        <v>8189</v>
      </c>
      <c r="I731" s="34"/>
      <c r="J731" s="38"/>
      <c r="K731" s="38"/>
      <c r="L731" s="38"/>
      <c r="M731" s="38" t="s">
        <v>2311</v>
      </c>
      <c r="N731" s="19">
        <v>1</v>
      </c>
      <c r="O731" s="118">
        <v>0</v>
      </c>
      <c r="P731" s="6">
        <v>65535</v>
      </c>
      <c r="Q731" s="38">
        <v>0</v>
      </c>
      <c r="R731" s="38">
        <v>65535</v>
      </c>
      <c r="S731" s="34"/>
      <c r="T731" s="34"/>
      <c r="U731" s="34"/>
      <c r="V731" s="33"/>
      <c r="W731" s="36" t="s">
        <v>8390</v>
      </c>
      <c r="X731" s="33"/>
      <c r="Y731" s="34" t="s">
        <v>64</v>
      </c>
      <c r="AC731"/>
    </row>
    <row r="732" spans="1:30" s="9" customFormat="1" ht="16.149999999999999" customHeight="1" x14ac:dyDescent="0.15">
      <c r="A732" s="6">
        <v>726</v>
      </c>
      <c r="B732" s="18" t="s">
        <v>75</v>
      </c>
      <c r="C732" s="34" t="s">
        <v>2634</v>
      </c>
      <c r="D732" s="126" t="s">
        <v>7347</v>
      </c>
      <c r="E732" s="34" t="s">
        <v>77</v>
      </c>
      <c r="F732" s="19">
        <v>15834</v>
      </c>
      <c r="G732" s="6"/>
      <c r="H732" s="6" t="s">
        <v>8190</v>
      </c>
      <c r="I732" s="34"/>
      <c r="J732" s="38"/>
      <c r="K732" s="38"/>
      <c r="L732" s="38"/>
      <c r="M732" s="38" t="s">
        <v>2311</v>
      </c>
      <c r="N732" s="19">
        <v>1</v>
      </c>
      <c r="O732" s="118">
        <v>0</v>
      </c>
      <c r="P732" s="6">
        <v>65535</v>
      </c>
      <c r="Q732" s="38">
        <v>0</v>
      </c>
      <c r="R732" s="38">
        <v>65535</v>
      </c>
      <c r="S732" s="34"/>
      <c r="T732" s="34"/>
      <c r="U732" s="34"/>
      <c r="V732" s="33"/>
      <c r="W732" s="36" t="s">
        <v>8391</v>
      </c>
      <c r="X732" s="33"/>
      <c r="Y732" s="34" t="s">
        <v>64</v>
      </c>
      <c r="AC732"/>
    </row>
    <row r="733" spans="1:30" s="9" customFormat="1" ht="16.149999999999999" customHeight="1" x14ac:dyDescent="0.15">
      <c r="A733" s="6">
        <v>727</v>
      </c>
      <c r="B733" s="18" t="s">
        <v>75</v>
      </c>
      <c r="C733" s="34" t="s">
        <v>2634</v>
      </c>
      <c r="D733" s="126" t="s">
        <v>7348</v>
      </c>
      <c r="E733" s="34" t="s">
        <v>77</v>
      </c>
      <c r="F733" s="24">
        <v>15835</v>
      </c>
      <c r="G733" s="6"/>
      <c r="H733" s="6" t="s">
        <v>8191</v>
      </c>
      <c r="I733" s="34"/>
      <c r="J733" s="38"/>
      <c r="K733" s="38"/>
      <c r="L733" s="38"/>
      <c r="M733" s="38" t="s">
        <v>2311</v>
      </c>
      <c r="N733" s="19">
        <v>1</v>
      </c>
      <c r="O733" s="118">
        <v>0</v>
      </c>
      <c r="P733" s="6">
        <v>65535</v>
      </c>
      <c r="Q733" s="38">
        <v>0</v>
      </c>
      <c r="R733" s="38">
        <v>65535</v>
      </c>
      <c r="S733" s="34"/>
      <c r="T733" s="34"/>
      <c r="U733" s="34"/>
      <c r="V733" s="35"/>
      <c r="W733" s="36" t="s">
        <v>8392</v>
      </c>
      <c r="X733" s="35"/>
      <c r="Y733" s="34" t="s">
        <v>64</v>
      </c>
      <c r="AC733"/>
    </row>
    <row r="734" spans="1:30" s="9" customFormat="1" ht="16.149999999999999" customHeight="1" x14ac:dyDescent="0.15">
      <c r="A734" s="6"/>
      <c r="B734" s="18"/>
      <c r="C734"/>
      <c r="D734" s="2"/>
      <c r="E734"/>
      <c r="F734"/>
      <c r="G734"/>
      <c r="H734"/>
      <c r="I734" s="2"/>
      <c r="J734"/>
      <c r="L734"/>
      <c r="M734"/>
      <c r="N734"/>
      <c r="O734"/>
      <c r="P734"/>
      <c r="Q734" s="8"/>
      <c r="R734"/>
      <c r="S734"/>
      <c r="T734"/>
      <c r="U734"/>
      <c r="V734"/>
      <c r="W734" s="20"/>
      <c r="X734"/>
      <c r="Y734" s="19"/>
      <c r="Z734" s="19"/>
      <c r="AC734"/>
      <c r="AD734" s="20"/>
    </row>
    <row r="735" spans="1:30" s="9" customFormat="1" ht="16.149999999999999" customHeight="1" x14ac:dyDescent="0.15">
      <c r="A735" s="6"/>
      <c r="B735" s="18"/>
      <c r="C735"/>
      <c r="D735" s="2"/>
      <c r="E735"/>
      <c r="F735"/>
      <c r="G735"/>
      <c r="H735"/>
      <c r="I735" s="2"/>
      <c r="J735"/>
      <c r="L735"/>
      <c r="M735"/>
      <c r="N735"/>
      <c r="O735"/>
      <c r="P735"/>
      <c r="Q735" s="8"/>
      <c r="R735"/>
      <c r="S735"/>
      <c r="T735"/>
      <c r="U735"/>
      <c r="V735"/>
      <c r="W735" s="20"/>
      <c r="X735"/>
      <c r="Y735" s="19"/>
      <c r="Z735" s="19"/>
      <c r="AC735"/>
      <c r="AD735" s="20"/>
    </row>
    <row r="736" spans="1:30" s="9" customFormat="1" ht="16.149999999999999" customHeight="1" x14ac:dyDescent="0.15">
      <c r="A736" s="6"/>
      <c r="B736" s="18"/>
      <c r="C736"/>
      <c r="D736" s="2"/>
      <c r="E736"/>
      <c r="F736"/>
      <c r="G736"/>
      <c r="H736"/>
      <c r="I736" s="2"/>
      <c r="J736"/>
      <c r="L736"/>
      <c r="M736"/>
      <c r="N736"/>
      <c r="O736"/>
      <c r="P736"/>
      <c r="Q736" s="8"/>
      <c r="R736"/>
      <c r="S736"/>
      <c r="T736"/>
      <c r="U736"/>
      <c r="V736"/>
      <c r="W736" s="20"/>
      <c r="X736"/>
      <c r="Y736" s="19"/>
      <c r="Z736" s="19"/>
      <c r="AC736"/>
      <c r="AD736" s="20"/>
    </row>
    <row r="737" spans="1:30" s="9" customFormat="1" ht="16.149999999999999" customHeight="1" x14ac:dyDescent="0.15">
      <c r="A737" s="6"/>
      <c r="B737" s="18"/>
      <c r="C737"/>
      <c r="D737" s="2"/>
      <c r="E737"/>
      <c r="F737"/>
      <c r="G737"/>
      <c r="H737"/>
      <c r="I737" s="2"/>
      <c r="J737"/>
      <c r="L737"/>
      <c r="M737"/>
      <c r="N737"/>
      <c r="O737"/>
      <c r="P737"/>
      <c r="Q737" s="8"/>
      <c r="R737"/>
      <c r="S737"/>
      <c r="T737"/>
      <c r="U737"/>
      <c r="V737"/>
      <c r="W737" s="20"/>
      <c r="X737"/>
      <c r="Y737" s="19"/>
      <c r="Z737" s="19"/>
      <c r="AC737"/>
      <c r="AD737" s="20"/>
    </row>
    <row r="738" spans="1:30" s="9" customFormat="1" ht="16.149999999999999" customHeight="1" x14ac:dyDescent="0.15">
      <c r="A738" s="6"/>
      <c r="B738" s="18"/>
      <c r="C738"/>
      <c r="D738" s="2"/>
      <c r="E738"/>
      <c r="F738"/>
      <c r="G738"/>
      <c r="H738"/>
      <c r="I738" s="2"/>
      <c r="J738"/>
      <c r="L738"/>
      <c r="M738"/>
      <c r="N738"/>
      <c r="O738"/>
      <c r="P738"/>
      <c r="Q738" s="8"/>
      <c r="R738"/>
      <c r="S738"/>
      <c r="T738"/>
      <c r="U738"/>
      <c r="V738"/>
      <c r="W738" s="20"/>
      <c r="X738"/>
      <c r="Y738" s="19"/>
      <c r="Z738" s="19"/>
      <c r="AC738"/>
      <c r="AD738" s="20"/>
    </row>
    <row r="739" spans="1:30" s="9" customFormat="1" ht="16.149999999999999" customHeight="1" x14ac:dyDescent="0.15">
      <c r="A739" s="6"/>
      <c r="B739" s="18"/>
      <c r="C739"/>
      <c r="D739" s="2"/>
      <c r="E739"/>
      <c r="F739"/>
      <c r="G739"/>
      <c r="H739"/>
      <c r="I739" s="2"/>
      <c r="J739"/>
      <c r="L739"/>
      <c r="M739"/>
      <c r="N739"/>
      <c r="O739"/>
      <c r="P739"/>
      <c r="Q739" s="8"/>
      <c r="R739"/>
      <c r="S739"/>
      <c r="T739"/>
      <c r="U739"/>
      <c r="V739"/>
      <c r="W739" s="20"/>
      <c r="X739"/>
      <c r="Y739" s="19"/>
      <c r="Z739" s="19"/>
      <c r="AC739"/>
      <c r="AD739" s="20"/>
    </row>
    <row r="740" spans="1:30" s="9" customFormat="1" ht="16.149999999999999" customHeight="1" x14ac:dyDescent="0.15">
      <c r="A740" s="6"/>
      <c r="B740" s="18"/>
      <c r="C740"/>
      <c r="D740" s="2"/>
      <c r="E740"/>
      <c r="F740"/>
      <c r="G740"/>
      <c r="H740"/>
      <c r="I740" s="2"/>
      <c r="J740"/>
      <c r="L740"/>
      <c r="M740"/>
      <c r="N740"/>
      <c r="O740"/>
      <c r="P740"/>
      <c r="Q740" s="8"/>
      <c r="R740"/>
      <c r="S740"/>
      <c r="T740"/>
      <c r="U740"/>
      <c r="V740"/>
      <c r="W740" s="20"/>
      <c r="X740"/>
      <c r="Y740" s="19"/>
      <c r="Z740" s="19"/>
      <c r="AC740"/>
      <c r="AD740" s="20"/>
    </row>
    <row r="741" spans="1:30" s="9" customFormat="1" ht="16.149999999999999" customHeight="1" x14ac:dyDescent="0.15">
      <c r="A741" s="6"/>
      <c r="B741" s="18"/>
      <c r="C741"/>
      <c r="D741" s="2"/>
      <c r="E741"/>
      <c r="F741"/>
      <c r="G741"/>
      <c r="H741"/>
      <c r="I741" s="2"/>
      <c r="J741"/>
      <c r="L741"/>
      <c r="M741"/>
      <c r="N741"/>
      <c r="O741"/>
      <c r="P741"/>
      <c r="Q741" s="8"/>
      <c r="R741"/>
      <c r="S741"/>
      <c r="T741"/>
      <c r="U741"/>
      <c r="V741"/>
      <c r="W741" s="20"/>
      <c r="X741"/>
      <c r="Y741" s="19"/>
      <c r="Z741" s="19"/>
      <c r="AC741"/>
      <c r="AD741" s="20"/>
    </row>
    <row r="742" spans="1:30" s="9" customFormat="1" ht="16.149999999999999" customHeight="1" x14ac:dyDescent="0.15">
      <c r="A742" s="6"/>
      <c r="B742" s="18"/>
      <c r="C742"/>
      <c r="D742" s="2"/>
      <c r="E742"/>
      <c r="F742"/>
      <c r="G742"/>
      <c r="H742"/>
      <c r="I742" s="2"/>
      <c r="J742"/>
      <c r="L742"/>
      <c r="M742"/>
      <c r="N742"/>
      <c r="O742"/>
      <c r="P742"/>
      <c r="Q742" s="8"/>
      <c r="R742"/>
      <c r="S742"/>
      <c r="T742"/>
      <c r="U742"/>
      <c r="V742"/>
      <c r="W742" s="20"/>
      <c r="X742"/>
      <c r="Y742" s="19"/>
      <c r="Z742" s="19"/>
      <c r="AC742"/>
      <c r="AD742" s="20"/>
    </row>
    <row r="743" spans="1:30" s="9" customFormat="1" ht="16.149999999999999" customHeight="1" x14ac:dyDescent="0.15">
      <c r="A743" s="6"/>
      <c r="B743" s="18"/>
      <c r="C743"/>
      <c r="D743" s="2"/>
      <c r="E743"/>
      <c r="F743"/>
      <c r="G743"/>
      <c r="H743"/>
      <c r="I743" s="2"/>
      <c r="J743"/>
      <c r="L743"/>
      <c r="M743"/>
      <c r="N743"/>
      <c r="O743"/>
      <c r="P743"/>
      <c r="Q743" s="8"/>
      <c r="R743"/>
      <c r="S743"/>
      <c r="T743"/>
      <c r="U743"/>
      <c r="V743"/>
      <c r="W743" s="20"/>
      <c r="X743"/>
      <c r="Y743" s="19"/>
      <c r="Z743" s="19"/>
      <c r="AC743"/>
      <c r="AD743" s="20"/>
    </row>
    <row r="744" spans="1:30" s="9" customFormat="1" ht="16.149999999999999" customHeight="1" x14ac:dyDescent="0.15">
      <c r="A744" s="6"/>
      <c r="B744" s="18"/>
      <c r="C744"/>
      <c r="D744" s="2"/>
      <c r="E744"/>
      <c r="F744"/>
      <c r="G744"/>
      <c r="H744"/>
      <c r="I744" s="2"/>
      <c r="J744"/>
      <c r="L744"/>
      <c r="M744"/>
      <c r="N744"/>
      <c r="O744"/>
      <c r="P744"/>
      <c r="Q744" s="8"/>
      <c r="R744"/>
      <c r="S744"/>
      <c r="T744"/>
      <c r="U744"/>
      <c r="V744"/>
      <c r="W744" s="20"/>
      <c r="X744"/>
      <c r="Y744" s="19"/>
      <c r="Z744" s="19"/>
      <c r="AC744"/>
      <c r="AD744" s="20"/>
    </row>
    <row r="745" spans="1:30" s="9" customFormat="1" ht="16.149999999999999" customHeight="1" x14ac:dyDescent="0.15">
      <c r="A745" s="6"/>
      <c r="B745" s="18"/>
      <c r="C745"/>
      <c r="D745" s="2"/>
      <c r="E745"/>
      <c r="F745"/>
      <c r="G745"/>
      <c r="H745"/>
      <c r="I745" s="2"/>
      <c r="J745"/>
      <c r="L745"/>
      <c r="M745"/>
      <c r="N745"/>
      <c r="O745"/>
      <c r="P745"/>
      <c r="Q745" s="8"/>
      <c r="R745"/>
      <c r="S745"/>
      <c r="T745"/>
      <c r="U745"/>
      <c r="V745"/>
      <c r="W745" s="20"/>
      <c r="X745"/>
      <c r="Y745" s="19"/>
      <c r="Z745" s="19"/>
      <c r="AC745"/>
      <c r="AD745" s="20"/>
    </row>
    <row r="746" spans="1:30" s="9" customFormat="1" ht="16.149999999999999" customHeight="1" x14ac:dyDescent="0.15">
      <c r="A746" s="6"/>
      <c r="B746" s="18"/>
      <c r="C746"/>
      <c r="D746" s="2"/>
      <c r="E746"/>
      <c r="F746"/>
      <c r="G746"/>
      <c r="H746"/>
      <c r="I746" s="2"/>
      <c r="J746"/>
      <c r="L746"/>
      <c r="M746"/>
      <c r="N746"/>
      <c r="O746"/>
      <c r="P746"/>
      <c r="Q746" s="8"/>
      <c r="R746"/>
      <c r="S746"/>
      <c r="T746"/>
      <c r="U746"/>
      <c r="V746"/>
      <c r="W746" s="20"/>
      <c r="X746"/>
      <c r="Y746" s="19"/>
      <c r="Z746" s="19"/>
      <c r="AC746"/>
      <c r="AD746" s="20"/>
    </row>
    <row r="747" spans="1:30" s="9" customFormat="1" ht="16.149999999999999" customHeight="1" x14ac:dyDescent="0.15">
      <c r="A747" s="6"/>
      <c r="B747" s="18"/>
      <c r="C747"/>
      <c r="D747" s="2"/>
      <c r="E747"/>
      <c r="F747"/>
      <c r="G747"/>
      <c r="H747"/>
      <c r="I747" s="2"/>
      <c r="J747"/>
      <c r="L747"/>
      <c r="M747"/>
      <c r="N747"/>
      <c r="O747"/>
      <c r="P747"/>
      <c r="Q747" s="8"/>
      <c r="R747"/>
      <c r="S747"/>
      <c r="T747"/>
      <c r="U747"/>
      <c r="V747"/>
      <c r="W747" s="20"/>
      <c r="X747"/>
      <c r="Y747" s="19"/>
      <c r="Z747" s="19"/>
      <c r="AC747"/>
      <c r="AD747" s="20"/>
    </row>
    <row r="748" spans="1:30" s="9" customFormat="1" ht="16.149999999999999" customHeight="1" x14ac:dyDescent="0.15">
      <c r="A748" s="6"/>
      <c r="B748" s="18"/>
      <c r="C748"/>
      <c r="D748" s="2"/>
      <c r="E748"/>
      <c r="F748"/>
      <c r="G748"/>
      <c r="H748"/>
      <c r="I748" s="2"/>
      <c r="J748"/>
      <c r="L748"/>
      <c r="M748"/>
      <c r="N748"/>
      <c r="O748"/>
      <c r="P748"/>
      <c r="Q748" s="8"/>
      <c r="R748"/>
      <c r="S748"/>
      <c r="T748"/>
      <c r="U748"/>
      <c r="V748"/>
      <c r="W748" s="20"/>
      <c r="X748"/>
      <c r="Y748" s="19"/>
      <c r="Z748" s="19"/>
      <c r="AC748"/>
      <c r="AD748" s="20"/>
    </row>
    <row r="749" spans="1:30" s="9" customFormat="1" ht="16.149999999999999" customHeight="1" x14ac:dyDescent="0.15">
      <c r="A749" s="6"/>
      <c r="B749" s="18"/>
      <c r="C749"/>
      <c r="D749" s="2"/>
      <c r="E749"/>
      <c r="F749"/>
      <c r="G749"/>
      <c r="H749"/>
      <c r="I749" s="2"/>
      <c r="J749"/>
      <c r="L749"/>
      <c r="M749"/>
      <c r="N749"/>
      <c r="O749"/>
      <c r="P749"/>
      <c r="Q749" s="8"/>
      <c r="R749"/>
      <c r="S749"/>
      <c r="T749"/>
      <c r="U749"/>
      <c r="V749"/>
      <c r="W749" s="20"/>
      <c r="X749"/>
      <c r="Y749" s="19"/>
      <c r="Z749" s="19"/>
      <c r="AC749"/>
      <c r="AD749" s="20"/>
    </row>
    <row r="750" spans="1:30" s="9" customFormat="1" ht="16.149999999999999" customHeight="1" x14ac:dyDescent="0.15">
      <c r="A750" s="6"/>
      <c r="B750" s="18"/>
      <c r="C750"/>
      <c r="D750" s="2"/>
      <c r="E750"/>
      <c r="F750"/>
      <c r="G750"/>
      <c r="H750"/>
      <c r="I750" s="2"/>
      <c r="J750"/>
      <c r="L750"/>
      <c r="M750"/>
      <c r="N750"/>
      <c r="O750"/>
      <c r="P750"/>
      <c r="Q750" s="8"/>
      <c r="R750"/>
      <c r="S750"/>
      <c r="T750"/>
      <c r="U750"/>
      <c r="V750"/>
      <c r="W750" s="20"/>
      <c r="X750"/>
      <c r="Y750" s="19"/>
      <c r="Z750" s="19"/>
      <c r="AC750"/>
      <c r="AD750" s="20"/>
    </row>
    <row r="751" spans="1:30" s="9" customFormat="1" ht="16.149999999999999" customHeight="1" x14ac:dyDescent="0.15">
      <c r="A751" s="6"/>
      <c r="B751" s="23"/>
      <c r="C751"/>
      <c r="D751" s="2"/>
      <c r="E751"/>
      <c r="F751"/>
      <c r="G751"/>
      <c r="H751"/>
      <c r="I751" s="2"/>
      <c r="J751"/>
      <c r="L751"/>
      <c r="M751"/>
      <c r="N751"/>
      <c r="O751"/>
      <c r="P751"/>
      <c r="Q751" s="21"/>
      <c r="R751"/>
      <c r="S751"/>
      <c r="T751"/>
      <c r="U751"/>
      <c r="V751"/>
      <c r="W751" s="22"/>
      <c r="X751"/>
      <c r="Y751" s="24"/>
      <c r="Z751" s="24"/>
      <c r="AC751"/>
      <c r="AD751" s="22"/>
    </row>
  </sheetData>
  <mergeCells count="1">
    <mergeCell ref="G1:H1"/>
  </mergeCells>
  <dataValidations count="8">
    <dataValidation type="list" allowBlank="1" showInputMessage="1" showErrorMessage="1" sqref="E7:E733" xr:uid="{F030F6BC-AFFD-462B-84FC-9747E4D7BB11}">
      <formula1>"Boolean, 16-bit signed integer,16-bit unsigned integer,32-bit signed integer,32-bit unsigned integer,32-bit float,String,Enumeration,16-bit bitfield,32-bit bitfield"</formula1>
    </dataValidation>
    <dataValidation type="list" allowBlank="1" showInputMessage="1" showErrorMessage="1" sqref="C7:C733" xr:uid="{9048857B-A22D-4F78-A19E-FC7662DEEC1E}">
      <formula1>"Holding Register, Input Register, Discrete Input, Coil"</formula1>
    </dataValidation>
    <dataValidation type="list" allowBlank="1" showInputMessage="1" showErrorMessage="1" sqref="J7:J733" xr:uid="{884ACB31-DA17-412A-98B5-440985CADF9A}">
      <formula1>"None,On (1),Off (0),State change,Analog"</formula1>
    </dataValidation>
    <dataValidation type="list" allowBlank="1" showInputMessage="1" sqref="K7:L733" xr:uid="{19222CE6-A539-4995-AE33-D813359608FE}">
      <formula1>"Enabled,Disabled,Open,Closed,Normal,Alarm,On,Off"</formula1>
    </dataValidation>
    <dataValidation type="list" allowBlank="1" showInputMessage="1" showErrorMessage="1" sqref="V7:V733" xr:uid="{0A5C1EEA-9B26-4302-9A71-E96EC5FD0AA8}">
      <formula1>"KPI,Primary Detail,Secondary Detail,Analytic,Diagnostic,Not Shown"</formula1>
    </dataValidation>
    <dataValidation allowBlank="1" showErrorMessage="1" errorTitle="Invalid IEC 61131-3 Variable Nam" error="Please enter only alphanumeric and underscore characters." sqref="D7:D157 D187:D314 D344:D733" xr:uid="{FB3A4AFD-E983-4FBD-98B1-35D2279877EE}"/>
    <dataValidation type="custom" allowBlank="1" showErrorMessage="1" errorTitle="Invalid IEC 61131-3 Variable Nam" error="Please enter only alphanumeric and underscore characters." sqref="M3:M5 G32 O734:O751" xr:uid="{352A2CD0-1E71-4B8A-873B-3264FB67C198}">
      <formula1>ISNUMBER(SUMPRODUCT(SEARCH(MID(G3,ROW(INDIRECT("1:"&amp;LEN(G3))),1),"0123456789abcdefghijklmnopqrstuvwxyzABCDEFGHIJKLMNOPQRSTUVWXYZ-_")))</formula1>
    </dataValidation>
    <dataValidation type="whole" errorStyle="warning" allowBlank="1" showInputMessage="1" showErrorMessage="1" errorTitle="Device Modbus Register Base" error="This value is the device register number of the first register in the table.  Typically this value is 1, occasionally it is 0.  " sqref="C4" xr:uid="{0B5DD588-33FA-4FDB-9783-728B40F0079C}">
      <formula1>0</formula1>
      <formula2>1</formula2>
    </dataValidation>
  </dataValidations>
  <pageMargins left="0.25" right="0.25" top="0.75" bottom="0.75" header="0.3" footer="0.3"/>
  <pageSetup paperSize="3" scale="32" fitToHeight="0"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05CD-B05B-47F0-AC46-B985D9C61370}">
  <sheetPr codeName="Sheet51">
    <tabColor rgb="FFFFC000"/>
    <pageSetUpPr fitToPage="1"/>
  </sheetPr>
  <dimension ref="A1:AH2177"/>
  <sheetViews>
    <sheetView zoomScaleNormal="100" workbookViewId="0">
      <selection activeCell="R1" sqref="O1:R1048576"/>
    </sheetView>
  </sheetViews>
  <sheetFormatPr defaultColWidth="14.6640625" defaultRowHeight="16.149999999999999" customHeight="1" x14ac:dyDescent="0.15"/>
  <cols>
    <col min="1" max="1" width="14.1640625" bestFit="1" customWidth="1"/>
    <col min="2" max="2" width="13.1640625" bestFit="1" customWidth="1"/>
    <col min="3" max="3" width="15.83203125" bestFit="1" customWidth="1"/>
    <col min="4" max="4" width="45.5" bestFit="1" customWidth="1"/>
    <col min="5" max="6" width="21.5" bestFit="1" customWidth="1"/>
    <col min="7" max="7" width="13.5" bestFit="1" customWidth="1"/>
    <col min="8" max="8" width="20" bestFit="1" customWidth="1"/>
    <col min="9" max="9" width="17.1640625" hidden="1" customWidth="1"/>
    <col min="10" max="10" width="14.1640625" bestFit="1" customWidth="1"/>
    <col min="11" max="11" width="14.83203125" bestFit="1" customWidth="1"/>
    <col min="12" max="12" width="15.1640625" bestFit="1" customWidth="1"/>
    <col min="13" max="13" width="8.5" bestFit="1" customWidth="1"/>
    <col min="14" max="14" width="9.33203125" bestFit="1" customWidth="1"/>
    <col min="15" max="15" width="12.6640625" hidden="1" customWidth="1"/>
    <col min="16" max="16" width="13.5" hidden="1" customWidth="1"/>
    <col min="17" max="17" width="13.6640625" hidden="1" customWidth="1"/>
    <col min="18" max="18" width="13" hidden="1" customWidth="1"/>
    <col min="19" max="19" width="22.33203125" bestFit="1" customWidth="1"/>
    <col min="20" max="20" width="14.83203125" bestFit="1" customWidth="1"/>
    <col min="21" max="21" width="17.6640625" bestFit="1" customWidth="1"/>
    <col min="22" max="22" width="16" bestFit="1" customWidth="1"/>
    <col min="23" max="23" width="19.33203125" style="9" bestFit="1" customWidth="1"/>
    <col min="24" max="24" width="22.6640625" bestFit="1" customWidth="1"/>
    <col min="25" max="25" width="31.5" bestFit="1" customWidth="1"/>
    <col min="26" max="26" width="48.6640625" style="9" customWidth="1"/>
    <col min="27" max="27" width="5.5" style="9" customWidth="1"/>
    <col min="30" max="30" width="5.5" customWidth="1"/>
    <col min="31" max="31" width="25" style="9" bestFit="1" customWidth="1"/>
    <col min="32" max="32" width="39.6640625" style="9" customWidth="1"/>
    <col min="33" max="33" width="68" style="9" customWidth="1"/>
    <col min="34" max="34" width="5.5" style="9" bestFit="1" customWidth="1"/>
    <col min="35" max="35" width="56.5" customWidth="1"/>
    <col min="36" max="36" width="14.33203125" customWidth="1"/>
    <col min="37" max="37" width="11.33203125" bestFit="1" customWidth="1"/>
    <col min="38" max="38" width="14.6640625" customWidth="1"/>
    <col min="39" max="39" width="48.5" bestFit="1" customWidth="1"/>
  </cols>
  <sheetData>
    <row r="1" spans="1:34" ht="24" customHeight="1" x14ac:dyDescent="0.15">
      <c r="A1" s="25" t="str">
        <f>'Data Flows'!A1</f>
        <v>Site Name</v>
      </c>
      <c r="B1" s="2"/>
      <c r="C1" s="2"/>
      <c r="D1" s="2"/>
      <c r="E1" s="2"/>
      <c r="F1" s="2"/>
      <c r="G1" s="142" t="s">
        <v>19</v>
      </c>
      <c r="H1" s="142"/>
      <c r="K1" s="25" t="s">
        <v>20</v>
      </c>
      <c r="L1" s="25"/>
      <c r="W1" s="6"/>
      <c r="AA1"/>
      <c r="AE1"/>
      <c r="AF1"/>
      <c r="AG1"/>
      <c r="AH1"/>
    </row>
    <row r="2" spans="1:34" ht="16.149999999999999" customHeight="1" x14ac:dyDescent="0.15">
      <c r="A2" s="10" t="s">
        <v>21</v>
      </c>
      <c r="B2" s="2"/>
      <c r="C2" s="11">
        <v>45383</v>
      </c>
      <c r="D2" s="41" t="s">
        <v>22</v>
      </c>
      <c r="E2" t="s">
        <v>23</v>
      </c>
      <c r="K2" t="s">
        <v>24</v>
      </c>
      <c r="W2" s="6"/>
      <c r="AA2"/>
      <c r="AE2"/>
      <c r="AF2"/>
      <c r="AG2"/>
      <c r="AH2"/>
    </row>
    <row r="3" spans="1:34" ht="16.149999999999999" customHeight="1" x14ac:dyDescent="0.15">
      <c r="A3" s="12" t="s">
        <v>25</v>
      </c>
      <c r="C3">
        <v>5</v>
      </c>
      <c r="D3" s="42" t="s">
        <v>26</v>
      </c>
      <c r="E3" t="s">
        <v>27</v>
      </c>
      <c r="M3" s="13"/>
      <c r="N3" s="8"/>
      <c r="W3" s="6"/>
      <c r="Z3" s="37"/>
      <c r="AA3"/>
      <c r="AE3"/>
      <c r="AF3"/>
      <c r="AG3"/>
      <c r="AH3"/>
    </row>
    <row r="4" spans="1:34" ht="16.149999999999999" customHeight="1" x14ac:dyDescent="0.15">
      <c r="A4" s="12" t="s">
        <v>28</v>
      </c>
      <c r="C4" s="9">
        <v>1</v>
      </c>
      <c r="F4" s="3"/>
      <c r="K4" s="55" t="s">
        <v>29</v>
      </c>
      <c r="N4" s="2"/>
      <c r="W4" s="6"/>
      <c r="Z4"/>
      <c r="AA4"/>
      <c r="AE4"/>
      <c r="AF4"/>
      <c r="AG4"/>
      <c r="AH4"/>
    </row>
    <row r="5" spans="1:34" ht="16.149999999999999" customHeight="1" x14ac:dyDescent="0.15">
      <c r="A5" s="12" t="s">
        <v>30</v>
      </c>
      <c r="C5">
        <v>6</v>
      </c>
      <c r="N5" s="2"/>
      <c r="W5" s="6"/>
      <c r="Z5"/>
      <c r="AA5"/>
      <c r="AE5"/>
      <c r="AF5"/>
      <c r="AG5"/>
      <c r="AH5"/>
    </row>
    <row r="6" spans="1:34" ht="55.5" x14ac:dyDescent="0.15">
      <c r="A6" s="14" t="s">
        <v>31</v>
      </c>
      <c r="B6" s="15" t="s">
        <v>32</v>
      </c>
      <c r="C6" s="15" t="s">
        <v>33</v>
      </c>
      <c r="D6" s="15" t="s">
        <v>34</v>
      </c>
      <c r="E6" s="15" t="s">
        <v>35</v>
      </c>
      <c r="F6" s="16" t="s">
        <v>36</v>
      </c>
      <c r="G6" s="16" t="s">
        <v>37</v>
      </c>
      <c r="H6" s="39" t="s">
        <v>38</v>
      </c>
      <c r="I6" s="40" t="s">
        <v>39</v>
      </c>
      <c r="J6" s="17" t="s">
        <v>40</v>
      </c>
      <c r="K6" s="17" t="s">
        <v>41</v>
      </c>
      <c r="L6" s="17" t="s">
        <v>42</v>
      </c>
      <c r="M6" s="17" t="s">
        <v>43</v>
      </c>
      <c r="N6" s="15" t="s">
        <v>44</v>
      </c>
      <c r="O6" s="15" t="s">
        <v>45</v>
      </c>
      <c r="P6" s="15" t="s">
        <v>46</v>
      </c>
      <c r="Q6" s="15" t="s">
        <v>47</v>
      </c>
      <c r="R6" s="15" t="s">
        <v>48</v>
      </c>
      <c r="S6" s="40" t="s">
        <v>49</v>
      </c>
      <c r="T6" s="17" t="s">
        <v>50</v>
      </c>
      <c r="U6" s="15" t="s">
        <v>51</v>
      </c>
      <c r="V6" s="15" t="s">
        <v>52</v>
      </c>
      <c r="W6" t="s">
        <v>53</v>
      </c>
      <c r="X6" s="15" t="s">
        <v>54</v>
      </c>
      <c r="Y6" s="15" t="s">
        <v>55</v>
      </c>
      <c r="Z6"/>
      <c r="AA6"/>
      <c r="AE6"/>
      <c r="AF6"/>
      <c r="AG6"/>
      <c r="AH6"/>
    </row>
    <row r="7" spans="1:34" ht="15.75" customHeight="1" x14ac:dyDescent="0.15">
      <c r="A7" s="6">
        <v>1</v>
      </c>
      <c r="B7" s="18" t="s">
        <v>56</v>
      </c>
      <c r="C7" s="34" t="s">
        <v>57</v>
      </c>
      <c r="D7" s="75" t="s">
        <v>58</v>
      </c>
      <c r="E7" s="2" t="s">
        <v>59</v>
      </c>
      <c r="F7">
        <v>14999</v>
      </c>
      <c r="G7" s="6"/>
      <c r="H7" s="6" t="s">
        <v>60</v>
      </c>
      <c r="I7" s="34"/>
      <c r="J7" s="38"/>
      <c r="K7" s="38"/>
      <c r="L7" s="38"/>
      <c r="M7" s="38" t="s">
        <v>61</v>
      </c>
      <c r="N7" s="19"/>
      <c r="O7" s="76">
        <v>0</v>
      </c>
      <c r="P7" s="6">
        <v>4294967295</v>
      </c>
      <c r="Q7" s="38" t="s">
        <v>62</v>
      </c>
      <c r="R7" s="38" t="s">
        <v>62</v>
      </c>
      <c r="S7" s="34"/>
      <c r="T7" s="34"/>
      <c r="U7" s="34"/>
      <c r="V7" s="8"/>
      <c r="W7" t="s">
        <v>63</v>
      </c>
      <c r="Y7" s="34" t="s">
        <v>64</v>
      </c>
      <c r="Z7"/>
      <c r="AA7"/>
      <c r="AE7"/>
      <c r="AF7"/>
      <c r="AG7"/>
      <c r="AH7"/>
    </row>
    <row r="8" spans="1:34" ht="15.75" customHeight="1" x14ac:dyDescent="0.15">
      <c r="A8" s="6">
        <v>2</v>
      </c>
      <c r="B8" s="18" t="s">
        <v>56</v>
      </c>
      <c r="C8" s="34" t="s">
        <v>57</v>
      </c>
      <c r="D8" s="75" t="s">
        <v>65</v>
      </c>
      <c r="E8" s="2" t="s">
        <v>59</v>
      </c>
      <c r="F8">
        <v>15001</v>
      </c>
      <c r="G8" s="6"/>
      <c r="H8" s="6" t="s">
        <v>66</v>
      </c>
      <c r="I8" s="34"/>
      <c r="J8" s="38"/>
      <c r="K8" s="38"/>
      <c r="L8" s="38"/>
      <c r="M8" s="38" t="s">
        <v>61</v>
      </c>
      <c r="N8" s="19"/>
      <c r="O8" s="76">
        <v>0</v>
      </c>
      <c r="P8" s="6">
        <v>4294967295</v>
      </c>
      <c r="Q8" s="38" t="s">
        <v>62</v>
      </c>
      <c r="R8" s="38" t="s">
        <v>62</v>
      </c>
      <c r="S8" s="34"/>
      <c r="T8" s="34"/>
      <c r="U8" s="34"/>
      <c r="V8" s="8"/>
      <c r="W8" t="s">
        <v>67</v>
      </c>
      <c r="Y8" s="34" t="s">
        <v>64</v>
      </c>
      <c r="Z8"/>
      <c r="AA8"/>
      <c r="AE8"/>
      <c r="AF8"/>
      <c r="AG8"/>
      <c r="AH8"/>
    </row>
    <row r="9" spans="1:34" ht="15.75" customHeight="1" x14ac:dyDescent="0.15">
      <c r="A9" s="6">
        <v>3</v>
      </c>
      <c r="B9" s="18" t="s">
        <v>56</v>
      </c>
      <c r="C9" s="34" t="s">
        <v>57</v>
      </c>
      <c r="D9" s="75" t="s">
        <v>68</v>
      </c>
      <c r="E9" s="2" t="s">
        <v>69</v>
      </c>
      <c r="F9">
        <v>15003</v>
      </c>
      <c r="G9" s="6"/>
      <c r="H9" s="6" t="s">
        <v>70</v>
      </c>
      <c r="I9" s="34"/>
      <c r="J9" s="38"/>
      <c r="K9" s="38"/>
      <c r="L9" s="38"/>
      <c r="M9" s="38"/>
      <c r="N9" s="19"/>
      <c r="O9" s="76" t="s">
        <v>62</v>
      </c>
      <c r="P9" s="6" t="s">
        <v>62</v>
      </c>
      <c r="Q9" s="38" t="s">
        <v>62</v>
      </c>
      <c r="R9" s="38" t="s">
        <v>62</v>
      </c>
      <c r="S9" s="34"/>
      <c r="T9" s="34"/>
      <c r="U9" s="34"/>
      <c r="V9" s="8"/>
      <c r="W9" t="s">
        <v>71</v>
      </c>
      <c r="Y9" s="34" t="s">
        <v>64</v>
      </c>
      <c r="Z9"/>
      <c r="AA9"/>
      <c r="AE9"/>
      <c r="AF9"/>
      <c r="AG9"/>
      <c r="AH9"/>
    </row>
    <row r="10" spans="1:34" ht="15.75" customHeight="1" x14ac:dyDescent="0.15">
      <c r="A10" s="6">
        <v>4</v>
      </c>
      <c r="B10" s="18" t="s">
        <v>56</v>
      </c>
      <c r="C10" s="34" t="s">
        <v>57</v>
      </c>
      <c r="D10" s="75" t="s">
        <v>72</v>
      </c>
      <c r="E10" s="2" t="s">
        <v>69</v>
      </c>
      <c r="F10">
        <v>15011</v>
      </c>
      <c r="G10" s="6"/>
      <c r="H10" s="6" t="s">
        <v>73</v>
      </c>
      <c r="I10" s="34"/>
      <c r="J10" s="38"/>
      <c r="K10" s="38"/>
      <c r="L10" s="38"/>
      <c r="M10" s="38"/>
      <c r="N10" s="19"/>
      <c r="O10" s="76" t="s">
        <v>62</v>
      </c>
      <c r="P10" s="6" t="s">
        <v>62</v>
      </c>
      <c r="Q10" s="38" t="s">
        <v>62</v>
      </c>
      <c r="R10" s="38" t="s">
        <v>62</v>
      </c>
      <c r="S10" s="34"/>
      <c r="T10" s="34"/>
      <c r="U10" s="34"/>
      <c r="V10" s="8"/>
      <c r="W10" t="s">
        <v>74</v>
      </c>
      <c r="Y10" s="34" t="s">
        <v>64</v>
      </c>
      <c r="Z10"/>
      <c r="AA10"/>
      <c r="AE10"/>
      <c r="AF10"/>
      <c r="AG10"/>
      <c r="AH10"/>
    </row>
    <row r="11" spans="1:34" s="59" customFormat="1" ht="15.75" customHeight="1" x14ac:dyDescent="0.15">
      <c r="A11" s="6">
        <v>5</v>
      </c>
      <c r="B11" s="18" t="s">
        <v>75</v>
      </c>
      <c r="C11" s="34" t="s">
        <v>57</v>
      </c>
      <c r="D11" s="75" t="s">
        <v>76</v>
      </c>
      <c r="E11" s="2" t="s">
        <v>77</v>
      </c>
      <c r="F11">
        <v>15069</v>
      </c>
      <c r="G11" s="6"/>
      <c r="H11" s="6" t="s">
        <v>78</v>
      </c>
      <c r="I11" s="34"/>
      <c r="J11" s="38"/>
      <c r="K11" s="38"/>
      <c r="L11" s="38"/>
      <c r="M11" s="38" t="s">
        <v>61</v>
      </c>
      <c r="N11" s="19">
        <v>1</v>
      </c>
      <c r="O11" s="76">
        <v>0</v>
      </c>
      <c r="P11" s="6">
        <v>65535</v>
      </c>
      <c r="Q11" s="38">
        <v>0</v>
      </c>
      <c r="R11" s="38">
        <v>65535</v>
      </c>
      <c r="S11" s="34"/>
      <c r="T11" s="34"/>
      <c r="U11" s="34"/>
      <c r="V11" s="8"/>
      <c r="W11" t="s">
        <v>79</v>
      </c>
      <c r="X11"/>
      <c r="Y11" s="34" t="s">
        <v>64</v>
      </c>
    </row>
    <row r="12" spans="1:34" s="59" customFormat="1" ht="15.75" customHeight="1" x14ac:dyDescent="0.15">
      <c r="A12" s="6">
        <v>6</v>
      </c>
      <c r="B12" s="18" t="s">
        <v>75</v>
      </c>
      <c r="C12" s="34" t="s">
        <v>57</v>
      </c>
      <c r="D12" s="75" t="s">
        <v>80</v>
      </c>
      <c r="E12" s="2" t="s">
        <v>77</v>
      </c>
      <c r="F12">
        <v>15070</v>
      </c>
      <c r="G12" s="6"/>
      <c r="H12" s="6" t="s">
        <v>81</v>
      </c>
      <c r="I12" s="34"/>
      <c r="J12" s="38"/>
      <c r="K12" s="38"/>
      <c r="L12" s="38"/>
      <c r="M12" s="38" t="s">
        <v>82</v>
      </c>
      <c r="N12" s="19">
        <v>10</v>
      </c>
      <c r="O12" s="76">
        <v>0</v>
      </c>
      <c r="P12" s="6">
        <v>65535</v>
      </c>
      <c r="Q12" s="38">
        <v>0</v>
      </c>
      <c r="R12" s="38">
        <v>6553.5</v>
      </c>
      <c r="S12" s="34"/>
      <c r="T12" s="34"/>
      <c r="U12" s="34"/>
      <c r="V12" s="8"/>
      <c r="W12" t="s">
        <v>83</v>
      </c>
      <c r="X12"/>
      <c r="Y12" s="34" t="s">
        <v>64</v>
      </c>
    </row>
    <row r="13" spans="1:34" s="59" customFormat="1" ht="15.75" customHeight="1" x14ac:dyDescent="0.15">
      <c r="A13" s="6">
        <v>7</v>
      </c>
      <c r="B13" s="18" t="s">
        <v>75</v>
      </c>
      <c r="C13" s="34" t="s">
        <v>57</v>
      </c>
      <c r="D13" s="75" t="s">
        <v>84</v>
      </c>
      <c r="E13" s="2" t="s">
        <v>59</v>
      </c>
      <c r="F13">
        <v>15072</v>
      </c>
      <c r="G13" s="6"/>
      <c r="H13" s="6" t="s">
        <v>85</v>
      </c>
      <c r="I13" s="34"/>
      <c r="J13" s="38"/>
      <c r="K13" s="38"/>
      <c r="L13" s="38"/>
      <c r="M13" s="38" t="s">
        <v>86</v>
      </c>
      <c r="N13" s="19">
        <v>10</v>
      </c>
      <c r="O13" s="76">
        <v>0</v>
      </c>
      <c r="P13" s="6">
        <v>4294967295</v>
      </c>
      <c r="Q13" s="38">
        <v>0</v>
      </c>
      <c r="R13" s="38">
        <v>429496729.5</v>
      </c>
      <c r="S13" s="34"/>
      <c r="T13" s="34"/>
      <c r="U13" s="34"/>
      <c r="V13" s="8"/>
      <c r="W13" t="s">
        <v>87</v>
      </c>
      <c r="X13"/>
      <c r="Y13" s="34"/>
    </row>
    <row r="14" spans="1:34" s="59" customFormat="1" ht="15.75" customHeight="1" x14ac:dyDescent="0.15">
      <c r="A14" s="6">
        <v>8</v>
      </c>
      <c r="B14" s="18" t="s">
        <v>75</v>
      </c>
      <c r="C14" s="34" t="s">
        <v>57</v>
      </c>
      <c r="D14" s="75" t="s">
        <v>88</v>
      </c>
      <c r="E14" s="2" t="s">
        <v>59</v>
      </c>
      <c r="F14">
        <v>15074</v>
      </c>
      <c r="G14" s="6"/>
      <c r="H14" s="6" t="s">
        <v>89</v>
      </c>
      <c r="I14" s="34"/>
      <c r="J14" s="38"/>
      <c r="K14" s="38"/>
      <c r="L14" s="38"/>
      <c r="M14" s="38" t="s">
        <v>86</v>
      </c>
      <c r="N14" s="19">
        <v>1</v>
      </c>
      <c r="O14" s="76">
        <v>0</v>
      </c>
      <c r="P14" s="6">
        <v>4294967295</v>
      </c>
      <c r="Q14" s="38">
        <v>0</v>
      </c>
      <c r="R14" s="38">
        <v>4294967295</v>
      </c>
      <c r="S14" s="34"/>
      <c r="T14" s="34"/>
      <c r="U14" s="34"/>
      <c r="V14" s="8"/>
      <c r="W14" t="s">
        <v>90</v>
      </c>
      <c r="X14"/>
      <c r="Y14" s="34" t="s">
        <v>64</v>
      </c>
    </row>
    <row r="15" spans="1:34" s="59" customFormat="1" ht="15.75" customHeight="1" x14ac:dyDescent="0.15">
      <c r="A15" s="6">
        <v>9</v>
      </c>
      <c r="B15" s="18" t="s">
        <v>75</v>
      </c>
      <c r="C15" s="34" t="s">
        <v>57</v>
      </c>
      <c r="D15" s="75" t="s">
        <v>91</v>
      </c>
      <c r="E15" s="2" t="s">
        <v>59</v>
      </c>
      <c r="F15">
        <v>15076</v>
      </c>
      <c r="G15" s="6"/>
      <c r="H15" s="6" t="s">
        <v>92</v>
      </c>
      <c r="I15" s="34"/>
      <c r="J15" s="38"/>
      <c r="K15" s="38"/>
      <c r="L15" s="38"/>
      <c r="M15" s="38" t="s">
        <v>86</v>
      </c>
      <c r="N15" s="19">
        <v>1</v>
      </c>
      <c r="O15" s="76">
        <v>0</v>
      </c>
      <c r="P15" s="6">
        <v>4294967295</v>
      </c>
      <c r="Q15" s="38">
        <v>0</v>
      </c>
      <c r="R15" s="38">
        <v>4294967295</v>
      </c>
      <c r="S15" s="34"/>
      <c r="T15" s="34"/>
      <c r="U15" s="34"/>
      <c r="V15" s="8"/>
      <c r="W15" t="s">
        <v>93</v>
      </c>
      <c r="X15"/>
      <c r="Y15" s="34"/>
    </row>
    <row r="16" spans="1:34" s="59" customFormat="1" ht="15.75" customHeight="1" x14ac:dyDescent="0.15">
      <c r="A16" s="6">
        <v>10</v>
      </c>
      <c r="B16" s="18" t="s">
        <v>75</v>
      </c>
      <c r="C16" s="34" t="s">
        <v>57</v>
      </c>
      <c r="D16" s="75" t="s">
        <v>94</v>
      </c>
      <c r="E16" s="2" t="s">
        <v>59</v>
      </c>
      <c r="F16">
        <v>15078</v>
      </c>
      <c r="G16" s="6"/>
      <c r="H16" s="6" t="s">
        <v>95</v>
      </c>
      <c r="I16" s="34"/>
      <c r="J16" s="38"/>
      <c r="K16" s="38"/>
      <c r="L16" s="38"/>
      <c r="M16" s="38" t="s">
        <v>96</v>
      </c>
      <c r="N16" s="19">
        <v>1</v>
      </c>
      <c r="O16" s="76">
        <v>0</v>
      </c>
      <c r="P16" s="6">
        <v>4294967295</v>
      </c>
      <c r="Q16" s="38">
        <v>0</v>
      </c>
      <c r="R16" s="38">
        <v>4294967295</v>
      </c>
      <c r="S16" s="34"/>
      <c r="T16" s="34"/>
      <c r="U16" s="34"/>
      <c r="V16" s="8"/>
      <c r="W16" t="s">
        <v>97</v>
      </c>
      <c r="X16"/>
      <c r="Y16" s="34" t="s">
        <v>64</v>
      </c>
    </row>
    <row r="17" spans="1:25" s="59" customFormat="1" ht="15.75" customHeight="1" x14ac:dyDescent="0.15">
      <c r="A17" s="6">
        <v>11</v>
      </c>
      <c r="B17" s="18" t="s">
        <v>75</v>
      </c>
      <c r="C17" s="34" t="s">
        <v>57</v>
      </c>
      <c r="D17" s="75" t="s">
        <v>98</v>
      </c>
      <c r="E17" s="2" t="s">
        <v>77</v>
      </c>
      <c r="F17">
        <v>15080</v>
      </c>
      <c r="G17" s="6"/>
      <c r="H17" s="6" t="s">
        <v>99</v>
      </c>
      <c r="I17" s="34"/>
      <c r="J17" s="38"/>
      <c r="K17" s="38"/>
      <c r="L17" s="38"/>
      <c r="M17" s="38" t="s">
        <v>100</v>
      </c>
      <c r="N17" s="19">
        <v>1</v>
      </c>
      <c r="O17" s="76">
        <v>0</v>
      </c>
      <c r="P17" s="6">
        <v>65535</v>
      </c>
      <c r="Q17" s="38">
        <v>0</v>
      </c>
      <c r="R17" s="38">
        <v>65535</v>
      </c>
      <c r="S17" s="34"/>
      <c r="T17" s="34"/>
      <c r="U17" s="34"/>
      <c r="V17" s="8"/>
      <c r="W17" t="s">
        <v>101</v>
      </c>
      <c r="X17"/>
      <c r="Y17" s="34" t="s">
        <v>64</v>
      </c>
    </row>
    <row r="18" spans="1:25" s="59" customFormat="1" ht="15.75" customHeight="1" x14ac:dyDescent="0.15">
      <c r="A18" s="6">
        <v>12</v>
      </c>
      <c r="B18" s="18" t="s">
        <v>75</v>
      </c>
      <c r="C18" s="34" t="s">
        <v>57</v>
      </c>
      <c r="D18" s="75" t="s">
        <v>102</v>
      </c>
      <c r="E18" s="2" t="s">
        <v>59</v>
      </c>
      <c r="F18">
        <v>15081</v>
      </c>
      <c r="G18" s="6"/>
      <c r="H18" s="6" t="s">
        <v>103</v>
      </c>
      <c r="I18" s="34"/>
      <c r="J18" s="38"/>
      <c r="K18" s="38"/>
      <c r="L18" s="38"/>
      <c r="M18" s="38" t="s">
        <v>104</v>
      </c>
      <c r="N18" s="19">
        <v>1</v>
      </c>
      <c r="O18" s="76">
        <v>0</v>
      </c>
      <c r="P18" s="6">
        <v>4294967295</v>
      </c>
      <c r="Q18" s="38">
        <v>0</v>
      </c>
      <c r="R18" s="38">
        <v>4294967295</v>
      </c>
      <c r="S18" s="34"/>
      <c r="T18" s="34"/>
      <c r="U18" s="34"/>
      <c r="V18" s="8"/>
      <c r="W18" t="s">
        <v>105</v>
      </c>
      <c r="X18"/>
      <c r="Y18" s="34"/>
    </row>
    <row r="19" spans="1:25" s="59" customFormat="1" ht="15.75" customHeight="1" x14ac:dyDescent="0.15">
      <c r="A19" s="6">
        <v>13</v>
      </c>
      <c r="B19" s="18" t="s">
        <v>75</v>
      </c>
      <c r="C19" s="34" t="s">
        <v>57</v>
      </c>
      <c r="D19" s="75" t="s">
        <v>106</v>
      </c>
      <c r="E19" s="2" t="s">
        <v>107</v>
      </c>
      <c r="F19">
        <v>15091</v>
      </c>
      <c r="G19" s="6"/>
      <c r="H19" s="6" t="s">
        <v>108</v>
      </c>
      <c r="I19" s="34"/>
      <c r="J19" s="38"/>
      <c r="K19" s="38"/>
      <c r="L19" s="38"/>
      <c r="M19" s="38" t="s">
        <v>109</v>
      </c>
      <c r="N19" s="19">
        <v>1</v>
      </c>
      <c r="O19" s="76">
        <v>-2147483648</v>
      </c>
      <c r="P19" s="6">
        <v>2147483647</v>
      </c>
      <c r="Q19" s="38">
        <v>-2147483648</v>
      </c>
      <c r="R19" s="38">
        <v>2147483647</v>
      </c>
      <c r="S19" s="34"/>
      <c r="T19" s="34"/>
      <c r="U19" s="34"/>
      <c r="V19" s="8"/>
      <c r="W19" t="s">
        <v>110</v>
      </c>
      <c r="X19"/>
      <c r="Y19" s="34"/>
    </row>
    <row r="20" spans="1:25" s="59" customFormat="1" ht="15.75" customHeight="1" x14ac:dyDescent="0.15">
      <c r="A20" s="6">
        <v>14</v>
      </c>
      <c r="B20" s="18" t="s">
        <v>75</v>
      </c>
      <c r="C20" s="34" t="s">
        <v>57</v>
      </c>
      <c r="D20" s="75" t="s">
        <v>111</v>
      </c>
      <c r="E20" s="2" t="s">
        <v>77</v>
      </c>
      <c r="F20">
        <v>15093</v>
      </c>
      <c r="G20" s="6"/>
      <c r="H20" s="6" t="s">
        <v>112</v>
      </c>
      <c r="I20" s="34"/>
      <c r="J20" s="38"/>
      <c r="K20" s="38"/>
      <c r="L20" s="38"/>
      <c r="M20" s="38" t="s">
        <v>113</v>
      </c>
      <c r="N20" s="19">
        <v>10</v>
      </c>
      <c r="O20" s="76">
        <v>0</v>
      </c>
      <c r="P20" s="6">
        <v>65535</v>
      </c>
      <c r="Q20" s="38">
        <v>0</v>
      </c>
      <c r="R20" s="38">
        <v>6553.5</v>
      </c>
      <c r="S20" s="34"/>
      <c r="T20" s="34"/>
      <c r="U20" s="34"/>
      <c r="V20" s="8"/>
      <c r="W20" t="s">
        <v>114</v>
      </c>
      <c r="X20"/>
      <c r="Y20" s="34"/>
    </row>
    <row r="21" spans="1:25" s="59" customFormat="1" ht="15.75" customHeight="1" x14ac:dyDescent="0.15">
      <c r="A21" s="6">
        <v>15</v>
      </c>
      <c r="B21" s="18" t="s">
        <v>75</v>
      </c>
      <c r="C21" s="34" t="s">
        <v>57</v>
      </c>
      <c r="D21" s="75" t="s">
        <v>115</v>
      </c>
      <c r="E21" s="2" t="s">
        <v>77</v>
      </c>
      <c r="F21">
        <v>15094</v>
      </c>
      <c r="G21" s="6"/>
      <c r="H21" s="6" t="s">
        <v>116</v>
      </c>
      <c r="I21" s="34"/>
      <c r="J21" s="38"/>
      <c r="K21" s="38"/>
      <c r="L21" s="38"/>
      <c r="M21" s="38" t="s">
        <v>113</v>
      </c>
      <c r="N21" s="19">
        <v>10</v>
      </c>
      <c r="O21" s="76">
        <v>0</v>
      </c>
      <c r="P21" s="6">
        <v>65535</v>
      </c>
      <c r="Q21" s="38">
        <v>0</v>
      </c>
      <c r="R21" s="38">
        <v>6553.5</v>
      </c>
      <c r="S21" s="34"/>
      <c r="T21" s="34"/>
      <c r="U21" s="34"/>
      <c r="V21" s="8"/>
      <c r="W21" t="s">
        <v>117</v>
      </c>
      <c r="X21"/>
      <c r="Y21" s="34"/>
    </row>
    <row r="22" spans="1:25" s="59" customFormat="1" ht="15.75" customHeight="1" x14ac:dyDescent="0.15">
      <c r="A22" s="6">
        <v>16</v>
      </c>
      <c r="B22" s="18" t="s">
        <v>75</v>
      </c>
      <c r="C22" s="34" t="s">
        <v>57</v>
      </c>
      <c r="D22" s="75" t="s">
        <v>118</v>
      </c>
      <c r="E22" s="2" t="s">
        <v>77</v>
      </c>
      <c r="F22">
        <v>15095</v>
      </c>
      <c r="G22" s="6"/>
      <c r="H22" s="6" t="s">
        <v>119</v>
      </c>
      <c r="I22" s="34"/>
      <c r="J22" s="38"/>
      <c r="K22" s="38"/>
      <c r="L22" s="38"/>
      <c r="M22" s="38" t="s">
        <v>113</v>
      </c>
      <c r="N22" s="19">
        <v>10</v>
      </c>
      <c r="O22" s="76">
        <v>0</v>
      </c>
      <c r="P22" s="6">
        <v>65535</v>
      </c>
      <c r="Q22" s="38">
        <v>0</v>
      </c>
      <c r="R22" s="38">
        <v>6553.5</v>
      </c>
      <c r="S22" s="34"/>
      <c r="T22" s="34"/>
      <c r="U22" s="34"/>
      <c r="V22" s="8"/>
      <c r="W22" t="s">
        <v>120</v>
      </c>
      <c r="X22"/>
      <c r="Y22" s="34"/>
    </row>
    <row r="23" spans="1:25" s="59" customFormat="1" ht="15.75" customHeight="1" x14ac:dyDescent="0.15">
      <c r="A23" s="6">
        <v>17</v>
      </c>
      <c r="B23" s="18" t="s">
        <v>75</v>
      </c>
      <c r="C23" s="34" t="s">
        <v>57</v>
      </c>
      <c r="D23" s="75" t="s">
        <v>121</v>
      </c>
      <c r="E23" s="2" t="s">
        <v>77</v>
      </c>
      <c r="F23">
        <v>15096</v>
      </c>
      <c r="G23" s="6"/>
      <c r="H23" s="6" t="s">
        <v>122</v>
      </c>
      <c r="I23" s="34"/>
      <c r="J23" s="38"/>
      <c r="K23" s="38"/>
      <c r="L23" s="38"/>
      <c r="M23" s="38" t="s">
        <v>123</v>
      </c>
      <c r="N23" s="19">
        <v>10</v>
      </c>
      <c r="O23" s="76">
        <v>0</v>
      </c>
      <c r="P23" s="6">
        <v>65535</v>
      </c>
      <c r="Q23" s="38">
        <v>0</v>
      </c>
      <c r="R23" s="38">
        <v>6553.5</v>
      </c>
      <c r="S23" s="34"/>
      <c r="T23" s="34"/>
      <c r="U23" s="34"/>
      <c r="V23" s="8"/>
      <c r="W23" t="s">
        <v>124</v>
      </c>
      <c r="X23"/>
      <c r="Y23" s="34"/>
    </row>
    <row r="24" spans="1:25" s="59" customFormat="1" ht="15.75" customHeight="1" x14ac:dyDescent="0.15">
      <c r="A24" s="6">
        <v>18</v>
      </c>
      <c r="B24" s="18" t="s">
        <v>75</v>
      </c>
      <c r="C24" s="34" t="s">
        <v>57</v>
      </c>
      <c r="D24" s="75" t="s">
        <v>125</v>
      </c>
      <c r="E24" s="2" t="s">
        <v>77</v>
      </c>
      <c r="F24">
        <v>15097</v>
      </c>
      <c r="G24" s="6"/>
      <c r="H24" s="6" t="s">
        <v>126</v>
      </c>
      <c r="I24" s="34"/>
      <c r="J24" s="38"/>
      <c r="K24" s="38"/>
      <c r="L24" s="38"/>
      <c r="M24" s="38" t="s">
        <v>123</v>
      </c>
      <c r="N24" s="19">
        <v>10</v>
      </c>
      <c r="O24" s="76">
        <v>0</v>
      </c>
      <c r="P24" s="6">
        <v>65535</v>
      </c>
      <c r="Q24" s="38">
        <v>0</v>
      </c>
      <c r="R24" s="38">
        <v>6553.5</v>
      </c>
      <c r="S24" s="34"/>
      <c r="T24" s="34"/>
      <c r="U24" s="34"/>
      <c r="V24" s="8"/>
      <c r="W24" t="s">
        <v>127</v>
      </c>
      <c r="X24"/>
      <c r="Y24" s="34"/>
    </row>
    <row r="25" spans="1:25" s="59" customFormat="1" ht="15.75" customHeight="1" x14ac:dyDescent="0.15">
      <c r="A25" s="6">
        <v>19</v>
      </c>
      <c r="B25" s="18" t="s">
        <v>75</v>
      </c>
      <c r="C25" s="34" t="s">
        <v>57</v>
      </c>
      <c r="D25" s="75" t="s">
        <v>128</v>
      </c>
      <c r="E25" s="2" t="s">
        <v>77</v>
      </c>
      <c r="F25">
        <v>15098</v>
      </c>
      <c r="G25" s="6"/>
      <c r="H25" s="6" t="s">
        <v>129</v>
      </c>
      <c r="I25" s="34"/>
      <c r="J25" s="38"/>
      <c r="K25" s="38"/>
      <c r="L25" s="38"/>
      <c r="M25" s="38" t="s">
        <v>123</v>
      </c>
      <c r="N25" s="19">
        <v>10</v>
      </c>
      <c r="O25" s="76">
        <v>0</v>
      </c>
      <c r="P25" s="6">
        <v>65535</v>
      </c>
      <c r="Q25" s="38">
        <v>0</v>
      </c>
      <c r="R25" s="38">
        <v>6553.5</v>
      </c>
      <c r="S25" s="34"/>
      <c r="T25" s="34"/>
      <c r="U25" s="34"/>
      <c r="V25" s="8"/>
      <c r="W25" t="s">
        <v>130</v>
      </c>
      <c r="X25"/>
      <c r="Y25" s="34"/>
    </row>
    <row r="26" spans="1:25" s="59" customFormat="1" ht="15.75" customHeight="1" x14ac:dyDescent="0.15">
      <c r="A26" s="6">
        <v>20</v>
      </c>
      <c r="B26" s="18" t="s">
        <v>75</v>
      </c>
      <c r="C26" s="34" t="s">
        <v>57</v>
      </c>
      <c r="D26" s="75" t="s">
        <v>131</v>
      </c>
      <c r="E26" s="2" t="s">
        <v>107</v>
      </c>
      <c r="F26">
        <v>15099</v>
      </c>
      <c r="G26" s="6"/>
      <c r="H26" s="6" t="s">
        <v>132</v>
      </c>
      <c r="I26" s="34"/>
      <c r="J26" s="38"/>
      <c r="K26" s="38"/>
      <c r="L26" s="38"/>
      <c r="M26" s="38" t="s">
        <v>109</v>
      </c>
      <c r="N26" s="19">
        <v>1</v>
      </c>
      <c r="O26" s="76">
        <v>-2147483648</v>
      </c>
      <c r="P26" s="6">
        <v>2147483647</v>
      </c>
      <c r="Q26" s="38">
        <v>-2147483648</v>
      </c>
      <c r="R26" s="38">
        <v>2147483647</v>
      </c>
      <c r="S26" s="34"/>
      <c r="T26" s="34"/>
      <c r="U26" s="34"/>
      <c r="V26" s="8"/>
      <c r="W26" t="s">
        <v>133</v>
      </c>
      <c r="X26"/>
      <c r="Y26" s="34"/>
    </row>
    <row r="27" spans="1:25" s="59" customFormat="1" ht="15.75" customHeight="1" x14ac:dyDescent="0.15">
      <c r="A27" s="6">
        <v>21</v>
      </c>
      <c r="B27" s="18" t="s">
        <v>75</v>
      </c>
      <c r="C27" s="34" t="s">
        <v>57</v>
      </c>
      <c r="D27" s="75" t="s">
        <v>134</v>
      </c>
      <c r="E27" s="2" t="s">
        <v>107</v>
      </c>
      <c r="F27">
        <v>15101</v>
      </c>
      <c r="G27" s="6"/>
      <c r="H27" s="6" t="s">
        <v>135</v>
      </c>
      <c r="I27" s="34"/>
      <c r="J27" s="38"/>
      <c r="K27" s="38"/>
      <c r="L27" s="38"/>
      <c r="M27" s="38" t="s">
        <v>136</v>
      </c>
      <c r="N27" s="19">
        <v>1</v>
      </c>
      <c r="O27" s="76">
        <v>-2147483648</v>
      </c>
      <c r="P27" s="6">
        <v>2147483647</v>
      </c>
      <c r="Q27" s="38">
        <v>-2147483648</v>
      </c>
      <c r="R27" s="38">
        <v>2147483647</v>
      </c>
      <c r="S27" s="34"/>
      <c r="T27" s="34"/>
      <c r="U27" s="34"/>
      <c r="V27" s="8"/>
      <c r="W27" t="s">
        <v>137</v>
      </c>
      <c r="X27"/>
      <c r="Y27" s="34"/>
    </row>
    <row r="28" spans="1:25" s="59" customFormat="1" ht="15.75" customHeight="1" x14ac:dyDescent="0.15">
      <c r="A28" s="6">
        <v>22</v>
      </c>
      <c r="B28" s="18" t="s">
        <v>75</v>
      </c>
      <c r="C28" s="34" t="s">
        <v>57</v>
      </c>
      <c r="D28" s="75" t="s">
        <v>138</v>
      </c>
      <c r="E28" s="2" t="s">
        <v>59</v>
      </c>
      <c r="F28">
        <v>15103</v>
      </c>
      <c r="G28" s="6"/>
      <c r="H28" s="6" t="s">
        <v>139</v>
      </c>
      <c r="I28" s="34"/>
      <c r="J28" s="38"/>
      <c r="K28" s="38"/>
      <c r="L28" s="38"/>
      <c r="M28" s="38" t="s">
        <v>140</v>
      </c>
      <c r="N28" s="19">
        <v>1</v>
      </c>
      <c r="O28" s="76">
        <v>0</v>
      </c>
      <c r="P28" s="6">
        <v>4294967295</v>
      </c>
      <c r="Q28" s="38">
        <v>0</v>
      </c>
      <c r="R28" s="38">
        <v>4294967295</v>
      </c>
      <c r="S28" s="34"/>
      <c r="T28" s="34"/>
      <c r="U28" s="34"/>
      <c r="V28" s="8"/>
      <c r="W28" t="s">
        <v>141</v>
      </c>
      <c r="X28"/>
      <c r="Y28" s="34" t="s">
        <v>64</v>
      </c>
    </row>
    <row r="29" spans="1:25" s="59" customFormat="1" ht="15.75" customHeight="1" x14ac:dyDescent="0.15">
      <c r="A29" s="6">
        <v>23</v>
      </c>
      <c r="B29" s="18" t="s">
        <v>75</v>
      </c>
      <c r="C29" s="34" t="s">
        <v>57</v>
      </c>
      <c r="D29" s="75" t="s">
        <v>142</v>
      </c>
      <c r="E29" s="2" t="s">
        <v>143</v>
      </c>
      <c r="F29">
        <v>15105</v>
      </c>
      <c r="G29" s="6"/>
      <c r="H29" s="6" t="s">
        <v>144</v>
      </c>
      <c r="I29" s="34"/>
      <c r="J29" s="38"/>
      <c r="K29" s="38"/>
      <c r="L29" s="38"/>
      <c r="M29" s="38" t="s">
        <v>145</v>
      </c>
      <c r="N29" s="19">
        <v>1000</v>
      </c>
      <c r="O29" s="76">
        <v>-32768</v>
      </c>
      <c r="P29" s="6">
        <v>32767</v>
      </c>
      <c r="Q29" s="38">
        <v>-32.768000000000001</v>
      </c>
      <c r="R29" s="38">
        <v>32.767000000000003</v>
      </c>
      <c r="S29" s="34"/>
      <c r="T29" s="34"/>
      <c r="U29" s="34"/>
      <c r="V29" s="8"/>
      <c r="W29" t="s">
        <v>146</v>
      </c>
      <c r="X29"/>
      <c r="Y29" s="34"/>
    </row>
    <row r="30" spans="1:25" s="59" customFormat="1" ht="15.75" customHeight="1" x14ac:dyDescent="0.15">
      <c r="A30" s="6">
        <v>24</v>
      </c>
      <c r="B30" s="18" t="s">
        <v>75</v>
      </c>
      <c r="C30" s="34" t="s">
        <v>57</v>
      </c>
      <c r="D30" s="75" t="s">
        <v>147</v>
      </c>
      <c r="E30" s="2" t="s">
        <v>77</v>
      </c>
      <c r="F30">
        <v>15106</v>
      </c>
      <c r="G30" s="6"/>
      <c r="H30" s="6" t="s">
        <v>148</v>
      </c>
      <c r="I30" s="34"/>
      <c r="J30" s="38"/>
      <c r="K30" s="38"/>
      <c r="L30" s="38"/>
      <c r="M30" s="38" t="s">
        <v>149</v>
      </c>
      <c r="N30" s="19">
        <v>10</v>
      </c>
      <c r="O30" s="76">
        <v>0</v>
      </c>
      <c r="P30" s="6">
        <v>65535</v>
      </c>
      <c r="Q30" s="38">
        <v>0</v>
      </c>
      <c r="R30" s="38">
        <v>6553.5</v>
      </c>
      <c r="S30" s="34"/>
      <c r="T30" s="34"/>
      <c r="U30" s="34"/>
      <c r="V30" s="8"/>
      <c r="W30" t="s">
        <v>150</v>
      </c>
      <c r="X30"/>
      <c r="Y30" s="34"/>
    </row>
    <row r="31" spans="1:25" s="59" customFormat="1" ht="15.75" customHeight="1" x14ac:dyDescent="0.15">
      <c r="A31" s="6">
        <v>25</v>
      </c>
      <c r="B31" s="18" t="s">
        <v>56</v>
      </c>
      <c r="C31" s="34" t="s">
        <v>57</v>
      </c>
      <c r="D31" s="75" t="s">
        <v>151</v>
      </c>
      <c r="E31" s="2" t="s">
        <v>77</v>
      </c>
      <c r="F31">
        <v>15107</v>
      </c>
      <c r="G31" s="6"/>
      <c r="H31" s="6" t="s">
        <v>152</v>
      </c>
      <c r="I31" s="34"/>
      <c r="J31" s="38"/>
      <c r="K31" s="38"/>
      <c r="L31" s="38"/>
      <c r="M31" s="38" t="s">
        <v>153</v>
      </c>
      <c r="N31" s="19">
        <v>10</v>
      </c>
      <c r="O31" s="76">
        <v>0</v>
      </c>
      <c r="P31" s="6">
        <v>65535</v>
      </c>
      <c r="Q31" s="38">
        <v>0</v>
      </c>
      <c r="R31" s="38">
        <v>6553.5</v>
      </c>
      <c r="S31" s="34"/>
      <c r="T31" s="34"/>
      <c r="U31" s="34"/>
      <c r="V31" s="8"/>
      <c r="W31" t="s">
        <v>154</v>
      </c>
      <c r="X31"/>
      <c r="Y31" s="34" t="s">
        <v>64</v>
      </c>
    </row>
    <row r="32" spans="1:25" s="59" customFormat="1" ht="15.75" customHeight="1" x14ac:dyDescent="0.15">
      <c r="A32" s="6">
        <v>26</v>
      </c>
      <c r="B32" s="18" t="s">
        <v>75</v>
      </c>
      <c r="C32" s="34" t="s">
        <v>57</v>
      </c>
      <c r="D32" s="75" t="s">
        <v>155</v>
      </c>
      <c r="E32" s="2" t="s">
        <v>59</v>
      </c>
      <c r="F32">
        <v>15108</v>
      </c>
      <c r="G32" s="6"/>
      <c r="H32" s="6" t="s">
        <v>156</v>
      </c>
      <c r="I32" s="34"/>
      <c r="J32" s="38"/>
      <c r="K32" s="38"/>
      <c r="L32" s="38"/>
      <c r="M32" s="38" t="s">
        <v>109</v>
      </c>
      <c r="N32" s="19">
        <v>1</v>
      </c>
      <c r="O32" s="76">
        <v>0</v>
      </c>
      <c r="P32" s="6">
        <v>4294967295</v>
      </c>
      <c r="Q32" s="38">
        <v>0</v>
      </c>
      <c r="R32" s="38">
        <v>4294967295</v>
      </c>
      <c r="S32" s="34"/>
      <c r="T32" s="34"/>
      <c r="U32" s="34"/>
      <c r="V32" s="8"/>
      <c r="W32" t="s">
        <v>157</v>
      </c>
      <c r="X32"/>
      <c r="Y32" s="34"/>
    </row>
    <row r="33" spans="1:34" s="59" customFormat="1" ht="15.75" customHeight="1" x14ac:dyDescent="0.15">
      <c r="A33" s="6">
        <v>27</v>
      </c>
      <c r="B33" s="18" t="s">
        <v>75</v>
      </c>
      <c r="C33" s="34" t="s">
        <v>57</v>
      </c>
      <c r="D33" s="75" t="s">
        <v>158</v>
      </c>
      <c r="E33" s="2" t="s">
        <v>107</v>
      </c>
      <c r="F33">
        <v>15110</v>
      </c>
      <c r="G33" s="6"/>
      <c r="H33" s="6" t="s">
        <v>159</v>
      </c>
      <c r="I33" s="34"/>
      <c r="J33" s="38"/>
      <c r="K33" s="38"/>
      <c r="L33" s="38"/>
      <c r="M33" s="38" t="s">
        <v>136</v>
      </c>
      <c r="N33" s="19">
        <v>1</v>
      </c>
      <c r="O33" s="76">
        <v>-2147483648</v>
      </c>
      <c r="P33" s="6">
        <v>2147483647</v>
      </c>
      <c r="Q33" s="38">
        <v>-2147483648</v>
      </c>
      <c r="R33" s="38">
        <v>2147483647</v>
      </c>
      <c r="S33" s="34"/>
      <c r="T33" s="34"/>
      <c r="U33" s="34"/>
      <c r="V33" s="8"/>
      <c r="W33" t="s">
        <v>160</v>
      </c>
      <c r="X33"/>
      <c r="Y33" s="34"/>
    </row>
    <row r="34" spans="1:34" s="59" customFormat="1" ht="15.75" customHeight="1" x14ac:dyDescent="0.15">
      <c r="A34" s="6">
        <v>28</v>
      </c>
      <c r="B34" s="18" t="s">
        <v>75</v>
      </c>
      <c r="C34" s="34" t="s">
        <v>57</v>
      </c>
      <c r="D34" s="75" t="s">
        <v>161</v>
      </c>
      <c r="E34" s="2" t="s">
        <v>143</v>
      </c>
      <c r="F34">
        <v>15112</v>
      </c>
      <c r="G34" s="6"/>
      <c r="H34" s="6" t="s">
        <v>162</v>
      </c>
      <c r="I34" s="34"/>
      <c r="J34" s="38"/>
      <c r="K34" s="38"/>
      <c r="L34" s="38"/>
      <c r="M34" s="38" t="s">
        <v>145</v>
      </c>
      <c r="N34" s="19">
        <v>1000</v>
      </c>
      <c r="O34" s="76">
        <v>-32768</v>
      </c>
      <c r="P34" s="6">
        <v>32767</v>
      </c>
      <c r="Q34" s="38">
        <v>-32.768000000000001</v>
      </c>
      <c r="R34" s="38">
        <v>32.767000000000003</v>
      </c>
      <c r="S34" s="34"/>
      <c r="T34" s="34"/>
      <c r="U34" s="34"/>
      <c r="V34" s="8"/>
      <c r="W34" t="s">
        <v>163</v>
      </c>
      <c r="X34"/>
      <c r="Y34" s="34"/>
    </row>
    <row r="35" spans="1:34" s="59" customFormat="1" ht="15.75" customHeight="1" x14ac:dyDescent="0.15">
      <c r="A35" s="6">
        <v>29</v>
      </c>
      <c r="B35" s="18" t="s">
        <v>75</v>
      </c>
      <c r="C35" s="34" t="s">
        <v>57</v>
      </c>
      <c r="D35" s="75" t="s">
        <v>164</v>
      </c>
      <c r="E35" s="2" t="s">
        <v>165</v>
      </c>
      <c r="F35">
        <v>15113</v>
      </c>
      <c r="G35" s="6"/>
      <c r="H35" s="6" t="s">
        <v>166</v>
      </c>
      <c r="I35" s="34"/>
      <c r="J35" s="38"/>
      <c r="K35" s="38"/>
      <c r="L35" s="38"/>
      <c r="M35" s="38"/>
      <c r="N35" s="19"/>
      <c r="O35" s="76" t="s">
        <v>62</v>
      </c>
      <c r="P35" s="6" t="s">
        <v>62</v>
      </c>
      <c r="Q35" s="38" t="s">
        <v>62</v>
      </c>
      <c r="R35" s="38" t="s">
        <v>62</v>
      </c>
      <c r="S35" s="34"/>
      <c r="T35" s="34"/>
      <c r="U35" s="34"/>
      <c r="V35" s="8"/>
      <c r="W35" t="s">
        <v>167</v>
      </c>
      <c r="X35"/>
      <c r="Y35" s="34"/>
    </row>
    <row r="36" spans="1:34" s="59" customFormat="1" ht="15.75" customHeight="1" x14ac:dyDescent="0.15">
      <c r="A36" s="6">
        <v>30</v>
      </c>
      <c r="B36" s="18" t="s">
        <v>75</v>
      </c>
      <c r="C36" s="34" t="s">
        <v>57</v>
      </c>
      <c r="D36" s="75" t="s">
        <v>168</v>
      </c>
      <c r="E36" s="2" t="s">
        <v>169</v>
      </c>
      <c r="F36">
        <v>15113</v>
      </c>
      <c r="G36" s="6">
        <v>0</v>
      </c>
      <c r="H36" s="6" t="s">
        <v>170</v>
      </c>
      <c r="I36" s="34"/>
      <c r="J36" s="38" t="s">
        <v>171</v>
      </c>
      <c r="K36" s="38" t="s">
        <v>172</v>
      </c>
      <c r="L36" s="38" t="s">
        <v>173</v>
      </c>
      <c r="M36" s="38"/>
      <c r="N36" s="19"/>
      <c r="O36" s="76" t="s">
        <v>62</v>
      </c>
      <c r="P36" s="6" t="s">
        <v>62</v>
      </c>
      <c r="Q36" s="38" t="s">
        <v>62</v>
      </c>
      <c r="R36" s="38" t="s">
        <v>62</v>
      </c>
      <c r="S36" s="34"/>
      <c r="T36" s="34"/>
      <c r="U36" s="34"/>
      <c r="V36" s="8"/>
      <c r="W36" t="s">
        <v>174</v>
      </c>
      <c r="X36"/>
      <c r="Y36" s="34"/>
    </row>
    <row r="37" spans="1:34" s="59" customFormat="1" ht="15.75" customHeight="1" x14ac:dyDescent="0.15">
      <c r="A37" s="6">
        <v>31</v>
      </c>
      <c r="B37" s="18" t="s">
        <v>75</v>
      </c>
      <c r="C37" s="34" t="s">
        <v>57</v>
      </c>
      <c r="D37" s="75" t="s">
        <v>175</v>
      </c>
      <c r="E37" s="2" t="s">
        <v>169</v>
      </c>
      <c r="F37">
        <v>15113</v>
      </c>
      <c r="G37" s="6">
        <v>1</v>
      </c>
      <c r="H37" s="6" t="s">
        <v>176</v>
      </c>
      <c r="I37" s="34"/>
      <c r="J37" s="38" t="s">
        <v>171</v>
      </c>
      <c r="K37" s="38" t="s">
        <v>177</v>
      </c>
      <c r="L37" s="38" t="s">
        <v>173</v>
      </c>
      <c r="M37" s="38"/>
      <c r="N37" s="19"/>
      <c r="O37" s="76" t="s">
        <v>62</v>
      </c>
      <c r="P37" s="6" t="s">
        <v>62</v>
      </c>
      <c r="Q37" s="38" t="s">
        <v>62</v>
      </c>
      <c r="R37" s="38" t="s">
        <v>62</v>
      </c>
      <c r="S37" s="34"/>
      <c r="T37" s="34"/>
      <c r="U37" s="34"/>
      <c r="V37" s="8"/>
      <c r="W37" t="s">
        <v>178</v>
      </c>
      <c r="X37"/>
      <c r="Y37" s="34"/>
    </row>
    <row r="38" spans="1:34" s="59" customFormat="1" ht="15.75" customHeight="1" x14ac:dyDescent="0.15">
      <c r="A38" s="6">
        <v>32</v>
      </c>
      <c r="B38" s="18" t="s">
        <v>75</v>
      </c>
      <c r="C38" s="34" t="s">
        <v>57</v>
      </c>
      <c r="D38" s="75" t="s">
        <v>179</v>
      </c>
      <c r="E38" s="2" t="s">
        <v>169</v>
      </c>
      <c r="F38">
        <v>15113</v>
      </c>
      <c r="G38" s="6">
        <v>2</v>
      </c>
      <c r="H38" s="6" t="s">
        <v>180</v>
      </c>
      <c r="I38" s="34"/>
      <c r="J38" s="38" t="s">
        <v>171</v>
      </c>
      <c r="K38" s="38" t="s">
        <v>177</v>
      </c>
      <c r="L38" s="38" t="s">
        <v>173</v>
      </c>
      <c r="M38" s="38"/>
      <c r="N38" s="19"/>
      <c r="O38" s="76" t="s">
        <v>62</v>
      </c>
      <c r="P38" s="6" t="s">
        <v>62</v>
      </c>
      <c r="Q38" s="38" t="s">
        <v>62</v>
      </c>
      <c r="R38" s="38" t="s">
        <v>62</v>
      </c>
      <c r="S38" s="34"/>
      <c r="T38" s="34"/>
      <c r="U38" s="34"/>
      <c r="V38" s="8"/>
      <c r="W38" t="s">
        <v>181</v>
      </c>
      <c r="X38"/>
      <c r="Y38" s="34"/>
    </row>
    <row r="39" spans="1:34" s="59" customFormat="1" ht="15.75" customHeight="1" x14ac:dyDescent="0.15">
      <c r="A39" s="6">
        <v>33</v>
      </c>
      <c r="B39" s="18" t="s">
        <v>75</v>
      </c>
      <c r="C39" s="34" t="s">
        <v>57</v>
      </c>
      <c r="D39" s="75" t="s">
        <v>182</v>
      </c>
      <c r="E39" s="2" t="s">
        <v>169</v>
      </c>
      <c r="F39">
        <v>15113</v>
      </c>
      <c r="G39" s="6">
        <v>3</v>
      </c>
      <c r="H39" s="6" t="s">
        <v>183</v>
      </c>
      <c r="I39" s="34"/>
      <c r="J39" s="38" t="s">
        <v>171</v>
      </c>
      <c r="K39" s="38" t="s">
        <v>172</v>
      </c>
      <c r="L39" s="38" t="s">
        <v>173</v>
      </c>
      <c r="M39" s="38"/>
      <c r="N39" s="19"/>
      <c r="O39" s="76" t="s">
        <v>62</v>
      </c>
      <c r="P39" s="6" t="s">
        <v>62</v>
      </c>
      <c r="Q39" s="38" t="s">
        <v>62</v>
      </c>
      <c r="R39" s="38" t="s">
        <v>62</v>
      </c>
      <c r="S39" s="34"/>
      <c r="T39" s="34"/>
      <c r="U39" s="34"/>
      <c r="V39" s="8"/>
      <c r="W39" t="s">
        <v>184</v>
      </c>
      <c r="X39"/>
      <c r="Y39" s="34"/>
    </row>
    <row r="40" spans="1:34" s="59" customFormat="1" ht="15.75" customHeight="1" x14ac:dyDescent="0.15">
      <c r="A40" s="6">
        <v>34</v>
      </c>
      <c r="B40" s="18" t="s">
        <v>75</v>
      </c>
      <c r="C40" s="34" t="s">
        <v>57</v>
      </c>
      <c r="D40" s="75" t="s">
        <v>185</v>
      </c>
      <c r="E40" s="2" t="s">
        <v>169</v>
      </c>
      <c r="F40">
        <v>15113</v>
      </c>
      <c r="G40" s="6">
        <v>4</v>
      </c>
      <c r="H40" s="6" t="s">
        <v>186</v>
      </c>
      <c r="I40" s="34"/>
      <c r="J40" s="38" t="s">
        <v>171</v>
      </c>
      <c r="K40" s="38" t="s">
        <v>172</v>
      </c>
      <c r="L40" s="38" t="s">
        <v>173</v>
      </c>
      <c r="M40" s="38"/>
      <c r="N40" s="19"/>
      <c r="O40" s="76" t="s">
        <v>62</v>
      </c>
      <c r="P40" s="6" t="s">
        <v>62</v>
      </c>
      <c r="Q40" s="38" t="s">
        <v>62</v>
      </c>
      <c r="R40" s="38" t="s">
        <v>62</v>
      </c>
      <c r="S40" s="34"/>
      <c r="T40" s="34"/>
      <c r="U40" s="34"/>
      <c r="V40" s="8"/>
      <c r="W40" t="s">
        <v>187</v>
      </c>
      <c r="X40"/>
      <c r="Y40" s="34"/>
    </row>
    <row r="41" spans="1:34" s="59" customFormat="1" ht="15.75" customHeight="1" x14ac:dyDescent="0.15">
      <c r="A41" s="6">
        <v>35</v>
      </c>
      <c r="B41" s="18" t="s">
        <v>75</v>
      </c>
      <c r="C41" s="34" t="s">
        <v>57</v>
      </c>
      <c r="D41" s="75" t="s">
        <v>188</v>
      </c>
      <c r="E41" s="2" t="s">
        <v>169</v>
      </c>
      <c r="F41">
        <v>15113</v>
      </c>
      <c r="G41" s="6">
        <v>5</v>
      </c>
      <c r="H41" s="6" t="s">
        <v>189</v>
      </c>
      <c r="I41" s="34"/>
      <c r="J41" s="38" t="s">
        <v>171</v>
      </c>
      <c r="K41" s="38" t="s">
        <v>177</v>
      </c>
      <c r="L41" s="38" t="s">
        <v>173</v>
      </c>
      <c r="M41" s="38"/>
      <c r="N41" s="19"/>
      <c r="O41" s="76" t="s">
        <v>62</v>
      </c>
      <c r="P41" s="6" t="s">
        <v>62</v>
      </c>
      <c r="Q41" s="38" t="s">
        <v>62</v>
      </c>
      <c r="R41" s="38" t="s">
        <v>62</v>
      </c>
      <c r="S41" s="34"/>
      <c r="T41" s="34"/>
      <c r="U41" s="34"/>
      <c r="V41" s="8"/>
      <c r="W41" t="s">
        <v>190</v>
      </c>
      <c r="X41"/>
      <c r="Y41" s="34"/>
    </row>
    <row r="42" spans="1:34" s="59" customFormat="1" ht="15.75" customHeight="1" x14ac:dyDescent="0.15">
      <c r="A42" s="6">
        <v>36</v>
      </c>
      <c r="B42" s="18" t="s">
        <v>75</v>
      </c>
      <c r="C42" s="34" t="s">
        <v>57</v>
      </c>
      <c r="D42" s="75" t="s">
        <v>191</v>
      </c>
      <c r="E42" s="2" t="s">
        <v>169</v>
      </c>
      <c r="F42">
        <v>15113</v>
      </c>
      <c r="G42" s="6">
        <v>6</v>
      </c>
      <c r="H42" s="6" t="s">
        <v>192</v>
      </c>
      <c r="I42" s="34"/>
      <c r="J42" s="38" t="s">
        <v>171</v>
      </c>
      <c r="K42" s="38" t="s">
        <v>172</v>
      </c>
      <c r="L42" s="38" t="s">
        <v>173</v>
      </c>
      <c r="M42" s="38"/>
      <c r="N42" s="19"/>
      <c r="O42" s="76" t="s">
        <v>62</v>
      </c>
      <c r="P42" s="6" t="s">
        <v>62</v>
      </c>
      <c r="Q42" s="38" t="s">
        <v>62</v>
      </c>
      <c r="R42" s="38" t="s">
        <v>62</v>
      </c>
      <c r="S42" s="34"/>
      <c r="T42" s="34"/>
      <c r="U42" s="34"/>
      <c r="V42" s="8"/>
      <c r="W42" t="s">
        <v>193</v>
      </c>
      <c r="X42"/>
      <c r="Y42" s="34"/>
    </row>
    <row r="43" spans="1:34" ht="15.75" customHeight="1" x14ac:dyDescent="0.15">
      <c r="A43" s="6">
        <v>37</v>
      </c>
      <c r="B43" s="18" t="s">
        <v>75</v>
      </c>
      <c r="C43" s="34" t="s">
        <v>57</v>
      </c>
      <c r="D43" s="75" t="s">
        <v>194</v>
      </c>
      <c r="E43" s="2" t="s">
        <v>169</v>
      </c>
      <c r="F43">
        <v>15113</v>
      </c>
      <c r="G43" s="6">
        <v>8</v>
      </c>
      <c r="H43" s="6" t="s">
        <v>195</v>
      </c>
      <c r="I43" s="34"/>
      <c r="J43" s="38" t="s">
        <v>196</v>
      </c>
      <c r="K43" s="38" t="s">
        <v>197</v>
      </c>
      <c r="L43" s="38" t="s">
        <v>198</v>
      </c>
      <c r="M43" s="38"/>
      <c r="N43" s="19"/>
      <c r="O43" s="76" t="s">
        <v>62</v>
      </c>
      <c r="P43" s="6" t="s">
        <v>62</v>
      </c>
      <c r="Q43" s="38" t="s">
        <v>62</v>
      </c>
      <c r="R43" s="38" t="s">
        <v>62</v>
      </c>
      <c r="S43" s="34"/>
      <c r="T43" s="34"/>
      <c r="U43" s="34"/>
      <c r="V43" s="8"/>
      <c r="W43" t="s">
        <v>199</v>
      </c>
      <c r="Y43" s="34"/>
      <c r="Z43"/>
      <c r="AA43"/>
      <c r="AE43"/>
      <c r="AF43"/>
      <c r="AG43"/>
      <c r="AH43"/>
    </row>
    <row r="44" spans="1:34" ht="15.75" customHeight="1" x14ac:dyDescent="0.15">
      <c r="A44" s="6">
        <v>38</v>
      </c>
      <c r="B44" s="18" t="s">
        <v>75</v>
      </c>
      <c r="C44" s="34" t="s">
        <v>57</v>
      </c>
      <c r="D44" s="75" t="s">
        <v>200</v>
      </c>
      <c r="E44" s="2" t="s">
        <v>169</v>
      </c>
      <c r="F44">
        <v>15113</v>
      </c>
      <c r="G44" s="6">
        <v>9</v>
      </c>
      <c r="H44" s="6" t="s">
        <v>201</v>
      </c>
      <c r="I44" s="34"/>
      <c r="J44" s="38" t="s">
        <v>196</v>
      </c>
      <c r="K44" s="38" t="s">
        <v>197</v>
      </c>
      <c r="L44" s="38" t="s">
        <v>198</v>
      </c>
      <c r="M44" s="38"/>
      <c r="N44" s="19"/>
      <c r="O44" s="76" t="s">
        <v>62</v>
      </c>
      <c r="P44" s="6" t="s">
        <v>62</v>
      </c>
      <c r="Q44" s="38" t="s">
        <v>62</v>
      </c>
      <c r="R44" s="38" t="s">
        <v>62</v>
      </c>
      <c r="S44" s="34"/>
      <c r="T44" s="34"/>
      <c r="U44" s="34"/>
      <c r="V44" s="8"/>
      <c r="W44" t="s">
        <v>202</v>
      </c>
      <c r="Y44" s="34"/>
      <c r="Z44"/>
      <c r="AA44"/>
      <c r="AE44"/>
      <c r="AF44"/>
      <c r="AG44"/>
      <c r="AH44"/>
    </row>
    <row r="45" spans="1:34" ht="15.75" customHeight="1" x14ac:dyDescent="0.15">
      <c r="A45" s="6">
        <v>39</v>
      </c>
      <c r="B45" s="18" t="s">
        <v>75</v>
      </c>
      <c r="C45" s="34" t="s">
        <v>57</v>
      </c>
      <c r="D45" s="75" t="s">
        <v>203</v>
      </c>
      <c r="E45" s="2" t="s">
        <v>169</v>
      </c>
      <c r="F45">
        <v>15113</v>
      </c>
      <c r="G45" s="6">
        <v>11</v>
      </c>
      <c r="H45" s="6" t="s">
        <v>204</v>
      </c>
      <c r="I45" s="34"/>
      <c r="J45" s="38" t="s">
        <v>196</v>
      </c>
      <c r="K45" s="38" t="s">
        <v>197</v>
      </c>
      <c r="L45" s="38" t="s">
        <v>198</v>
      </c>
      <c r="M45" s="38"/>
      <c r="N45" s="19"/>
      <c r="O45" s="76" t="s">
        <v>62</v>
      </c>
      <c r="P45" s="6" t="s">
        <v>62</v>
      </c>
      <c r="Q45" s="38" t="s">
        <v>62</v>
      </c>
      <c r="R45" s="38" t="s">
        <v>62</v>
      </c>
      <c r="S45" s="34"/>
      <c r="T45" s="34"/>
      <c r="U45" s="34"/>
      <c r="V45" s="8"/>
      <c r="W45" t="s">
        <v>205</v>
      </c>
      <c r="Y45" s="34"/>
      <c r="Z45"/>
      <c r="AA45"/>
      <c r="AE45"/>
      <c r="AF45"/>
      <c r="AG45"/>
      <c r="AH45"/>
    </row>
    <row r="46" spans="1:34" ht="15.75" customHeight="1" x14ac:dyDescent="0.15">
      <c r="A46" s="6">
        <v>40</v>
      </c>
      <c r="B46" s="18" t="s">
        <v>75</v>
      </c>
      <c r="C46" s="34" t="s">
        <v>57</v>
      </c>
      <c r="D46" s="75" t="s">
        <v>206</v>
      </c>
      <c r="E46" s="2" t="s">
        <v>169</v>
      </c>
      <c r="F46">
        <v>15113</v>
      </c>
      <c r="G46" s="6">
        <v>13</v>
      </c>
      <c r="H46" s="6" t="s">
        <v>207</v>
      </c>
      <c r="I46" s="34"/>
      <c r="J46" s="38" t="s">
        <v>171</v>
      </c>
      <c r="K46" s="38" t="s">
        <v>177</v>
      </c>
      <c r="L46" s="38" t="s">
        <v>173</v>
      </c>
      <c r="M46" s="38"/>
      <c r="N46" s="19"/>
      <c r="O46" s="76" t="s">
        <v>62</v>
      </c>
      <c r="P46" s="6" t="s">
        <v>62</v>
      </c>
      <c r="Q46" s="38" t="s">
        <v>62</v>
      </c>
      <c r="R46" s="38" t="s">
        <v>62</v>
      </c>
      <c r="S46" s="34"/>
      <c r="T46" s="34"/>
      <c r="U46" s="34"/>
      <c r="V46" s="8"/>
      <c r="W46" t="s">
        <v>208</v>
      </c>
      <c r="Y46" s="34"/>
      <c r="Z46"/>
      <c r="AA46"/>
      <c r="AE46"/>
      <c r="AF46"/>
      <c r="AG46"/>
      <c r="AH46"/>
    </row>
    <row r="47" spans="1:34" ht="15.75" customHeight="1" x14ac:dyDescent="0.15">
      <c r="A47" s="6">
        <v>41</v>
      </c>
      <c r="B47" s="18" t="s">
        <v>75</v>
      </c>
      <c r="C47" s="34" t="s">
        <v>57</v>
      </c>
      <c r="D47" s="75" t="s">
        <v>209</v>
      </c>
      <c r="E47" s="2" t="s">
        <v>169</v>
      </c>
      <c r="F47">
        <v>15113</v>
      </c>
      <c r="G47" s="6">
        <v>14</v>
      </c>
      <c r="H47" s="6" t="s">
        <v>210</v>
      </c>
      <c r="I47" s="34"/>
      <c r="J47" s="38" t="s">
        <v>171</v>
      </c>
      <c r="K47" s="38" t="s">
        <v>172</v>
      </c>
      <c r="L47" s="38" t="s">
        <v>173</v>
      </c>
      <c r="M47" s="38"/>
      <c r="N47" s="19"/>
      <c r="O47" s="76" t="s">
        <v>62</v>
      </c>
      <c r="P47" s="6" t="s">
        <v>62</v>
      </c>
      <c r="Q47" s="38" t="s">
        <v>62</v>
      </c>
      <c r="R47" s="38" t="s">
        <v>62</v>
      </c>
      <c r="S47" s="34"/>
      <c r="T47" s="34"/>
      <c r="U47" s="34"/>
      <c r="V47" s="8"/>
      <c r="W47" t="s">
        <v>211</v>
      </c>
      <c r="Y47" s="34"/>
      <c r="Z47"/>
      <c r="AA47"/>
      <c r="AE47"/>
      <c r="AF47"/>
      <c r="AG47"/>
      <c r="AH47"/>
    </row>
    <row r="48" spans="1:34" ht="15.75" customHeight="1" x14ac:dyDescent="0.15">
      <c r="A48" s="6">
        <v>42</v>
      </c>
      <c r="B48" s="18" t="s">
        <v>75</v>
      </c>
      <c r="C48" s="34" t="s">
        <v>57</v>
      </c>
      <c r="D48" s="75" t="s">
        <v>212</v>
      </c>
      <c r="E48" s="2" t="s">
        <v>169</v>
      </c>
      <c r="F48">
        <v>15113</v>
      </c>
      <c r="G48" s="6">
        <v>15</v>
      </c>
      <c r="H48" s="6" t="s">
        <v>213</v>
      </c>
      <c r="I48" s="34"/>
      <c r="J48" s="38" t="s">
        <v>171</v>
      </c>
      <c r="K48" s="38" t="s">
        <v>177</v>
      </c>
      <c r="L48" s="38" t="s">
        <v>173</v>
      </c>
      <c r="M48" s="38"/>
      <c r="N48" s="19"/>
      <c r="O48" s="76" t="s">
        <v>62</v>
      </c>
      <c r="P48" s="6" t="s">
        <v>62</v>
      </c>
      <c r="Q48" s="38" t="s">
        <v>62</v>
      </c>
      <c r="R48" s="38" t="s">
        <v>62</v>
      </c>
      <c r="S48" s="34"/>
      <c r="T48" s="34"/>
      <c r="U48" s="34"/>
      <c r="V48" s="8"/>
      <c r="W48" t="s">
        <v>214</v>
      </c>
      <c r="Y48" s="34"/>
      <c r="Z48"/>
      <c r="AA48"/>
      <c r="AE48"/>
      <c r="AF48"/>
      <c r="AG48"/>
      <c r="AH48"/>
    </row>
    <row r="49" spans="1:34" ht="15.75" customHeight="1" x14ac:dyDescent="0.15">
      <c r="A49" s="6">
        <v>43</v>
      </c>
      <c r="B49" s="18" t="s">
        <v>75</v>
      </c>
      <c r="C49" s="34" t="s">
        <v>57</v>
      </c>
      <c r="D49" s="75" t="s">
        <v>215</v>
      </c>
      <c r="E49" s="2" t="s">
        <v>59</v>
      </c>
      <c r="F49">
        <v>15114</v>
      </c>
      <c r="G49" s="6"/>
      <c r="H49" s="6" t="s">
        <v>216</v>
      </c>
      <c r="I49" s="34"/>
      <c r="J49" s="38"/>
      <c r="K49" s="38"/>
      <c r="L49" s="38"/>
      <c r="M49" s="38" t="s">
        <v>86</v>
      </c>
      <c r="N49" s="19">
        <v>1</v>
      </c>
      <c r="O49" s="76">
        <v>0</v>
      </c>
      <c r="P49" s="6">
        <v>4294967295</v>
      </c>
      <c r="Q49" s="38">
        <v>0</v>
      </c>
      <c r="R49" s="38">
        <v>4294967295</v>
      </c>
      <c r="S49" s="34"/>
      <c r="T49" s="34"/>
      <c r="U49" s="34"/>
      <c r="V49" s="8"/>
      <c r="W49" t="s">
        <v>217</v>
      </c>
      <c r="Y49" s="34" t="s">
        <v>64</v>
      </c>
      <c r="Z49"/>
      <c r="AA49"/>
      <c r="AE49"/>
      <c r="AF49"/>
      <c r="AG49"/>
      <c r="AH49"/>
    </row>
    <row r="50" spans="1:34" ht="15.75" customHeight="1" x14ac:dyDescent="0.15">
      <c r="A50" s="6">
        <v>44</v>
      </c>
      <c r="B50" s="18" t="s">
        <v>75</v>
      </c>
      <c r="C50" s="34" t="s">
        <v>57</v>
      </c>
      <c r="D50" s="75" t="s">
        <v>218</v>
      </c>
      <c r="E50" s="2" t="s">
        <v>219</v>
      </c>
      <c r="F50">
        <v>15116</v>
      </c>
      <c r="G50" s="6"/>
      <c r="H50" s="6" t="s">
        <v>220</v>
      </c>
      <c r="I50" s="34"/>
      <c r="J50" s="38"/>
      <c r="K50" s="38"/>
      <c r="L50" s="38"/>
      <c r="M50" s="38"/>
      <c r="N50" s="19"/>
      <c r="O50" s="76" t="s">
        <v>62</v>
      </c>
      <c r="P50" s="6" t="s">
        <v>62</v>
      </c>
      <c r="Q50" s="38" t="s">
        <v>62</v>
      </c>
      <c r="R50" s="38" t="s">
        <v>62</v>
      </c>
      <c r="S50" s="34"/>
      <c r="T50" s="34"/>
      <c r="U50" s="34"/>
      <c r="V50" s="8"/>
      <c r="W50" t="s">
        <v>221</v>
      </c>
      <c r="Y50" s="34"/>
      <c r="Z50"/>
      <c r="AA50"/>
      <c r="AE50"/>
      <c r="AF50"/>
      <c r="AG50"/>
      <c r="AH50"/>
    </row>
    <row r="51" spans="1:34" ht="15.75" customHeight="1" x14ac:dyDescent="0.15">
      <c r="A51" s="6">
        <v>45</v>
      </c>
      <c r="B51" s="18" t="s">
        <v>75</v>
      </c>
      <c r="C51" s="34" t="s">
        <v>57</v>
      </c>
      <c r="D51" s="75" t="s">
        <v>222</v>
      </c>
      <c r="E51" s="2" t="s">
        <v>169</v>
      </c>
      <c r="F51">
        <v>15116</v>
      </c>
      <c r="G51" s="6">
        <v>0</v>
      </c>
      <c r="H51" s="6" t="s">
        <v>223</v>
      </c>
      <c r="I51" s="34"/>
      <c r="J51" s="38" t="s">
        <v>196</v>
      </c>
      <c r="K51" s="38" t="s">
        <v>222</v>
      </c>
      <c r="L51" s="38" t="s">
        <v>224</v>
      </c>
      <c r="M51" s="38"/>
      <c r="N51" s="19"/>
      <c r="O51" s="76" t="s">
        <v>62</v>
      </c>
      <c r="P51" s="6" t="s">
        <v>62</v>
      </c>
      <c r="Q51" s="38" t="s">
        <v>62</v>
      </c>
      <c r="R51" s="38" t="s">
        <v>62</v>
      </c>
      <c r="S51" s="34"/>
      <c r="T51" s="34"/>
      <c r="U51" s="34"/>
      <c r="V51" s="8"/>
      <c r="W51" t="s">
        <v>225</v>
      </c>
      <c r="Y51" s="34"/>
      <c r="Z51"/>
      <c r="AA51"/>
      <c r="AE51"/>
      <c r="AF51"/>
      <c r="AG51"/>
      <c r="AH51"/>
    </row>
    <row r="52" spans="1:34" ht="15.75" customHeight="1" x14ac:dyDescent="0.15">
      <c r="A52" s="6">
        <v>46</v>
      </c>
      <c r="B52" s="18" t="s">
        <v>75</v>
      </c>
      <c r="C52" s="34" t="s">
        <v>57</v>
      </c>
      <c r="D52" s="75" t="s">
        <v>226</v>
      </c>
      <c r="E52" s="2" t="s">
        <v>169</v>
      </c>
      <c r="F52">
        <v>15116</v>
      </c>
      <c r="G52" s="6">
        <v>1</v>
      </c>
      <c r="H52" s="6" t="s">
        <v>227</v>
      </c>
      <c r="I52" s="34"/>
      <c r="J52" s="38" t="s">
        <v>196</v>
      </c>
      <c r="K52" s="38" t="s">
        <v>226</v>
      </c>
      <c r="L52" s="38" t="s">
        <v>228</v>
      </c>
      <c r="M52" s="38"/>
      <c r="N52" s="19"/>
      <c r="O52" s="76" t="s">
        <v>62</v>
      </c>
      <c r="P52" s="6" t="s">
        <v>62</v>
      </c>
      <c r="Q52" s="38" t="s">
        <v>62</v>
      </c>
      <c r="R52" s="38" t="s">
        <v>62</v>
      </c>
      <c r="S52" s="34"/>
      <c r="T52" s="34"/>
      <c r="U52" s="34"/>
      <c r="V52" s="8"/>
      <c r="W52" t="s">
        <v>229</v>
      </c>
      <c r="Y52" s="34"/>
      <c r="Z52"/>
      <c r="AA52"/>
      <c r="AE52"/>
      <c r="AF52"/>
      <c r="AG52"/>
      <c r="AH52"/>
    </row>
    <row r="53" spans="1:34" ht="15.75" customHeight="1" x14ac:dyDescent="0.15">
      <c r="A53" s="6">
        <v>47</v>
      </c>
      <c r="B53" s="18" t="s">
        <v>75</v>
      </c>
      <c r="C53" s="34" t="s">
        <v>57</v>
      </c>
      <c r="D53" s="75" t="s">
        <v>230</v>
      </c>
      <c r="E53" s="2" t="s">
        <v>169</v>
      </c>
      <c r="F53">
        <v>15116</v>
      </c>
      <c r="G53" s="6">
        <v>3</v>
      </c>
      <c r="H53" s="6" t="s">
        <v>231</v>
      </c>
      <c r="I53" s="34"/>
      <c r="J53" s="38" t="s">
        <v>171</v>
      </c>
      <c r="K53" s="38" t="s">
        <v>177</v>
      </c>
      <c r="L53" s="38" t="s">
        <v>173</v>
      </c>
      <c r="M53" s="38"/>
      <c r="N53" s="19"/>
      <c r="O53" s="76" t="s">
        <v>62</v>
      </c>
      <c r="P53" s="6" t="s">
        <v>62</v>
      </c>
      <c r="Q53" s="38" t="s">
        <v>62</v>
      </c>
      <c r="R53" s="38" t="s">
        <v>62</v>
      </c>
      <c r="S53" s="34"/>
      <c r="T53" s="34"/>
      <c r="U53" s="34"/>
      <c r="V53" s="8"/>
      <c r="W53" t="s">
        <v>232</v>
      </c>
      <c r="Y53" s="34"/>
      <c r="Z53"/>
      <c r="AA53"/>
      <c r="AE53"/>
      <c r="AF53"/>
      <c r="AG53"/>
      <c r="AH53"/>
    </row>
    <row r="54" spans="1:34" ht="15.75" customHeight="1" x14ac:dyDescent="0.15">
      <c r="A54" s="6">
        <v>48</v>
      </c>
      <c r="B54" s="18" t="s">
        <v>75</v>
      </c>
      <c r="C54" s="34" t="s">
        <v>57</v>
      </c>
      <c r="D54" s="75" t="s">
        <v>233</v>
      </c>
      <c r="E54" s="2" t="s">
        <v>169</v>
      </c>
      <c r="F54">
        <v>15116</v>
      </c>
      <c r="G54" s="6">
        <v>6</v>
      </c>
      <c r="H54" s="6" t="s">
        <v>234</v>
      </c>
      <c r="I54" s="34"/>
      <c r="J54" s="38" t="s">
        <v>171</v>
      </c>
      <c r="K54" s="38" t="s">
        <v>177</v>
      </c>
      <c r="L54" s="38" t="s">
        <v>173</v>
      </c>
      <c r="M54" s="38"/>
      <c r="N54" s="19"/>
      <c r="O54" s="76" t="s">
        <v>62</v>
      </c>
      <c r="P54" s="6" t="s">
        <v>62</v>
      </c>
      <c r="Q54" s="38" t="s">
        <v>62</v>
      </c>
      <c r="R54" s="38" t="s">
        <v>62</v>
      </c>
      <c r="S54" s="34"/>
      <c r="T54" s="34"/>
      <c r="U54" s="34"/>
      <c r="V54" s="8"/>
      <c r="W54" t="s">
        <v>235</v>
      </c>
      <c r="Y54" s="34"/>
      <c r="Z54"/>
      <c r="AA54"/>
      <c r="AE54"/>
      <c r="AF54"/>
      <c r="AG54"/>
      <c r="AH54"/>
    </row>
    <row r="55" spans="1:34" ht="15.75" customHeight="1" x14ac:dyDescent="0.15">
      <c r="A55" s="6">
        <v>49</v>
      </c>
      <c r="B55" s="18" t="s">
        <v>75</v>
      </c>
      <c r="C55" s="34" t="s">
        <v>57</v>
      </c>
      <c r="D55" s="75" t="s">
        <v>236</v>
      </c>
      <c r="E55" s="2" t="s">
        <v>169</v>
      </c>
      <c r="F55">
        <v>15116</v>
      </c>
      <c r="G55" s="6">
        <v>7</v>
      </c>
      <c r="H55" s="6" t="s">
        <v>237</v>
      </c>
      <c r="I55" s="34"/>
      <c r="J55" s="38" t="s">
        <v>171</v>
      </c>
      <c r="K55" s="38" t="s">
        <v>238</v>
      </c>
      <c r="L55" s="38" t="s">
        <v>173</v>
      </c>
      <c r="M55" s="38"/>
      <c r="N55" s="19"/>
      <c r="O55" s="76" t="s">
        <v>62</v>
      </c>
      <c r="P55" s="6" t="s">
        <v>62</v>
      </c>
      <c r="Q55" s="38" t="s">
        <v>62</v>
      </c>
      <c r="R55" s="38" t="s">
        <v>62</v>
      </c>
      <c r="S55" s="34"/>
      <c r="T55" s="34"/>
      <c r="U55" s="34"/>
      <c r="V55" s="8"/>
      <c r="W55" t="s">
        <v>239</v>
      </c>
      <c r="Y55" s="34"/>
      <c r="Z55"/>
      <c r="AA55"/>
      <c r="AE55"/>
      <c r="AF55"/>
      <c r="AG55"/>
      <c r="AH55"/>
    </row>
    <row r="56" spans="1:34" ht="15.75" customHeight="1" x14ac:dyDescent="0.15">
      <c r="A56" s="6">
        <v>50</v>
      </c>
      <c r="B56" s="18" t="s">
        <v>75</v>
      </c>
      <c r="C56" s="34" t="s">
        <v>57</v>
      </c>
      <c r="D56" s="75" t="s">
        <v>222</v>
      </c>
      <c r="E56" s="2" t="s">
        <v>169</v>
      </c>
      <c r="F56">
        <v>15116</v>
      </c>
      <c r="G56" s="6">
        <v>8</v>
      </c>
      <c r="H56" s="6" t="s">
        <v>240</v>
      </c>
      <c r="I56" s="34"/>
      <c r="J56" s="38" t="s">
        <v>196</v>
      </c>
      <c r="K56" s="38" t="s">
        <v>222</v>
      </c>
      <c r="L56" s="38" t="s">
        <v>224</v>
      </c>
      <c r="M56" s="38"/>
      <c r="N56" s="19"/>
      <c r="O56" s="76" t="s">
        <v>62</v>
      </c>
      <c r="P56" s="6" t="s">
        <v>62</v>
      </c>
      <c r="Q56" s="38" t="s">
        <v>62</v>
      </c>
      <c r="R56" s="38" t="s">
        <v>62</v>
      </c>
      <c r="S56" s="34"/>
      <c r="T56" s="34"/>
      <c r="U56" s="34"/>
      <c r="V56" s="8"/>
      <c r="W56" t="s">
        <v>225</v>
      </c>
      <c r="Y56" s="34"/>
      <c r="Z56"/>
      <c r="AA56"/>
      <c r="AE56"/>
      <c r="AF56"/>
      <c r="AG56"/>
      <c r="AH56"/>
    </row>
    <row r="57" spans="1:34" ht="15.75" customHeight="1" x14ac:dyDescent="0.15">
      <c r="A57" s="6">
        <v>51</v>
      </c>
      <c r="B57" s="18" t="s">
        <v>75</v>
      </c>
      <c r="C57" s="34" t="s">
        <v>57</v>
      </c>
      <c r="D57" s="75" t="s">
        <v>241</v>
      </c>
      <c r="E57" s="2" t="s">
        <v>169</v>
      </c>
      <c r="F57">
        <v>15116</v>
      </c>
      <c r="G57" s="6">
        <v>9</v>
      </c>
      <c r="H57" s="6" t="s">
        <v>242</v>
      </c>
      <c r="I57" s="34"/>
      <c r="J57" s="38" t="s">
        <v>196</v>
      </c>
      <c r="K57" s="38" t="s">
        <v>243</v>
      </c>
      <c r="L57" s="38" t="s">
        <v>224</v>
      </c>
      <c r="M57" s="38"/>
      <c r="N57" s="19"/>
      <c r="O57" s="76" t="s">
        <v>62</v>
      </c>
      <c r="P57" s="6" t="s">
        <v>62</v>
      </c>
      <c r="Q57" s="38" t="s">
        <v>62</v>
      </c>
      <c r="R57" s="38" t="s">
        <v>62</v>
      </c>
      <c r="S57" s="34"/>
      <c r="T57" s="34"/>
      <c r="U57" s="34"/>
      <c r="V57" s="8"/>
      <c r="W57" t="s">
        <v>244</v>
      </c>
      <c r="Y57" s="34"/>
      <c r="Z57"/>
      <c r="AA57"/>
      <c r="AE57"/>
      <c r="AF57"/>
      <c r="AG57"/>
      <c r="AH57"/>
    </row>
    <row r="58" spans="1:34" ht="15.75" customHeight="1" x14ac:dyDescent="0.15">
      <c r="A58" s="6">
        <v>52</v>
      </c>
      <c r="B58" s="18" t="s">
        <v>75</v>
      </c>
      <c r="C58" s="34" t="s">
        <v>57</v>
      </c>
      <c r="D58" s="75" t="s">
        <v>238</v>
      </c>
      <c r="E58" s="2" t="s">
        <v>169</v>
      </c>
      <c r="F58">
        <v>15116</v>
      </c>
      <c r="G58" s="6">
        <v>10</v>
      </c>
      <c r="H58" s="6" t="s">
        <v>245</v>
      </c>
      <c r="I58" s="34"/>
      <c r="J58" s="38" t="s">
        <v>196</v>
      </c>
      <c r="K58" s="38" t="s">
        <v>238</v>
      </c>
      <c r="L58" s="38" t="s">
        <v>246</v>
      </c>
      <c r="M58" s="38"/>
      <c r="N58" s="19"/>
      <c r="O58" s="76" t="s">
        <v>62</v>
      </c>
      <c r="P58" s="6" t="s">
        <v>62</v>
      </c>
      <c r="Q58" s="38" t="s">
        <v>62</v>
      </c>
      <c r="R58" s="38" t="s">
        <v>62</v>
      </c>
      <c r="S58" s="34"/>
      <c r="T58" s="34"/>
      <c r="U58" s="34"/>
      <c r="V58" s="8"/>
      <c r="W58" t="s">
        <v>247</v>
      </c>
      <c r="Y58" s="34"/>
      <c r="Z58"/>
      <c r="AA58"/>
      <c r="AE58"/>
      <c r="AF58"/>
      <c r="AG58"/>
      <c r="AH58"/>
    </row>
    <row r="59" spans="1:34" ht="15.75" customHeight="1" x14ac:dyDescent="0.15">
      <c r="A59" s="6">
        <v>53</v>
      </c>
      <c r="B59" s="18" t="s">
        <v>75</v>
      </c>
      <c r="C59" s="34" t="s">
        <v>57</v>
      </c>
      <c r="D59" s="75" t="s">
        <v>226</v>
      </c>
      <c r="E59" s="2" t="s">
        <v>169</v>
      </c>
      <c r="F59">
        <v>15116</v>
      </c>
      <c r="G59" s="6">
        <v>11</v>
      </c>
      <c r="H59" s="6" t="s">
        <v>248</v>
      </c>
      <c r="I59" s="34"/>
      <c r="J59" s="38" t="s">
        <v>196</v>
      </c>
      <c r="K59" s="38" t="s">
        <v>226</v>
      </c>
      <c r="L59" s="38" t="s">
        <v>228</v>
      </c>
      <c r="M59" s="38"/>
      <c r="N59" s="19"/>
      <c r="O59" s="76" t="s">
        <v>62</v>
      </c>
      <c r="P59" s="6" t="s">
        <v>62</v>
      </c>
      <c r="Q59" s="38" t="s">
        <v>62</v>
      </c>
      <c r="R59" s="38" t="s">
        <v>62</v>
      </c>
      <c r="S59" s="34"/>
      <c r="T59" s="34"/>
      <c r="U59" s="34"/>
      <c r="V59" s="8"/>
      <c r="W59" t="s">
        <v>229</v>
      </c>
      <c r="Y59" s="34"/>
      <c r="Z59"/>
      <c r="AA59"/>
      <c r="AE59"/>
      <c r="AF59"/>
      <c r="AG59"/>
      <c r="AH59"/>
    </row>
    <row r="60" spans="1:34" ht="15.75" customHeight="1" x14ac:dyDescent="0.15">
      <c r="A60" s="6">
        <v>54</v>
      </c>
      <c r="B60" s="18" t="s">
        <v>75</v>
      </c>
      <c r="C60" s="34" t="s">
        <v>57</v>
      </c>
      <c r="D60" s="75" t="s">
        <v>249</v>
      </c>
      <c r="E60" s="2" t="s">
        <v>169</v>
      </c>
      <c r="F60">
        <v>15116</v>
      </c>
      <c r="G60" s="6">
        <v>12</v>
      </c>
      <c r="H60" s="6" t="s">
        <v>250</v>
      </c>
      <c r="I60" s="34"/>
      <c r="J60" s="38" t="s">
        <v>171</v>
      </c>
      <c r="K60" s="38" t="s">
        <v>238</v>
      </c>
      <c r="L60" s="38" t="s">
        <v>173</v>
      </c>
      <c r="M60" s="38"/>
      <c r="N60" s="19"/>
      <c r="O60" s="76" t="s">
        <v>62</v>
      </c>
      <c r="P60" s="6" t="s">
        <v>62</v>
      </c>
      <c r="Q60" s="38" t="s">
        <v>62</v>
      </c>
      <c r="R60" s="38" t="s">
        <v>62</v>
      </c>
      <c r="S60" s="34"/>
      <c r="T60" s="34"/>
      <c r="U60" s="34"/>
      <c r="V60" s="8"/>
      <c r="W60" t="s">
        <v>251</v>
      </c>
      <c r="Y60" s="34"/>
      <c r="Z60"/>
      <c r="AA60"/>
      <c r="AE60"/>
      <c r="AF60"/>
      <c r="AG60"/>
      <c r="AH60"/>
    </row>
    <row r="61" spans="1:34" ht="15.75" customHeight="1" x14ac:dyDescent="0.15">
      <c r="A61" s="6">
        <v>55</v>
      </c>
      <c r="B61" s="18" t="s">
        <v>75</v>
      </c>
      <c r="C61" s="34" t="s">
        <v>57</v>
      </c>
      <c r="D61" s="75" t="s">
        <v>252</v>
      </c>
      <c r="E61" s="2" t="s">
        <v>169</v>
      </c>
      <c r="F61">
        <v>15116</v>
      </c>
      <c r="G61" s="6">
        <v>13</v>
      </c>
      <c r="H61" s="6" t="s">
        <v>253</v>
      </c>
      <c r="I61" s="34"/>
      <c r="J61" s="38" t="s">
        <v>171</v>
      </c>
      <c r="K61" s="38" t="s">
        <v>238</v>
      </c>
      <c r="L61" s="38" t="s">
        <v>173</v>
      </c>
      <c r="M61" s="38"/>
      <c r="N61" s="19"/>
      <c r="O61" s="76" t="s">
        <v>62</v>
      </c>
      <c r="P61" s="6" t="s">
        <v>62</v>
      </c>
      <c r="Q61" s="38" t="s">
        <v>62</v>
      </c>
      <c r="R61" s="38" t="s">
        <v>62</v>
      </c>
      <c r="S61" s="34"/>
      <c r="T61" s="34"/>
      <c r="U61" s="34"/>
      <c r="V61" s="8"/>
      <c r="W61" t="s">
        <v>254</v>
      </c>
      <c r="Y61" s="34"/>
      <c r="Z61"/>
      <c r="AA61"/>
      <c r="AE61"/>
      <c r="AF61"/>
      <c r="AG61"/>
      <c r="AH61"/>
    </row>
    <row r="62" spans="1:34" ht="15.75" customHeight="1" x14ac:dyDescent="0.15">
      <c r="A62" s="6">
        <v>56</v>
      </c>
      <c r="B62" s="18" t="s">
        <v>75</v>
      </c>
      <c r="C62" s="34" t="s">
        <v>57</v>
      </c>
      <c r="D62" s="75" t="s">
        <v>255</v>
      </c>
      <c r="E62" s="2" t="s">
        <v>169</v>
      </c>
      <c r="F62">
        <v>15116</v>
      </c>
      <c r="G62" s="6">
        <v>15</v>
      </c>
      <c r="H62" s="6" t="s">
        <v>256</v>
      </c>
      <c r="I62" s="34"/>
      <c r="J62" s="38" t="s">
        <v>171</v>
      </c>
      <c r="K62" s="38" t="s">
        <v>238</v>
      </c>
      <c r="L62" s="38" t="s">
        <v>173</v>
      </c>
      <c r="M62" s="38"/>
      <c r="N62" s="19"/>
      <c r="O62" s="76" t="s">
        <v>62</v>
      </c>
      <c r="P62" s="6" t="s">
        <v>62</v>
      </c>
      <c r="Q62" s="38" t="s">
        <v>62</v>
      </c>
      <c r="R62" s="38" t="s">
        <v>62</v>
      </c>
      <c r="S62" s="34"/>
      <c r="T62" s="34"/>
      <c r="U62" s="34"/>
      <c r="V62" s="8"/>
      <c r="W62" t="s">
        <v>257</v>
      </c>
      <c r="Y62" s="34"/>
      <c r="Z62"/>
      <c r="AA62"/>
      <c r="AE62"/>
      <c r="AF62"/>
      <c r="AG62"/>
      <c r="AH62"/>
    </row>
    <row r="63" spans="1:34" ht="15.75" customHeight="1" x14ac:dyDescent="0.15">
      <c r="A63" s="6">
        <v>57</v>
      </c>
      <c r="B63" s="18" t="s">
        <v>75</v>
      </c>
      <c r="C63" s="34" t="s">
        <v>57</v>
      </c>
      <c r="D63" s="75" t="s">
        <v>258</v>
      </c>
      <c r="E63" s="2" t="s">
        <v>169</v>
      </c>
      <c r="F63">
        <v>15116</v>
      </c>
      <c r="G63" s="6">
        <v>16</v>
      </c>
      <c r="H63" s="6" t="s">
        <v>259</v>
      </c>
      <c r="I63" s="34"/>
      <c r="J63" s="38" t="s">
        <v>171</v>
      </c>
      <c r="K63" s="38" t="s">
        <v>238</v>
      </c>
      <c r="L63" s="38" t="s">
        <v>173</v>
      </c>
      <c r="M63" s="38"/>
      <c r="N63" s="19"/>
      <c r="O63" s="76" t="s">
        <v>62</v>
      </c>
      <c r="P63" s="6" t="s">
        <v>62</v>
      </c>
      <c r="Q63" s="38" t="s">
        <v>62</v>
      </c>
      <c r="R63" s="38" t="s">
        <v>62</v>
      </c>
      <c r="S63" s="34"/>
      <c r="T63" s="34"/>
      <c r="U63" s="34"/>
      <c r="V63" s="8"/>
      <c r="W63" t="s">
        <v>260</v>
      </c>
      <c r="Y63" s="34"/>
      <c r="Z63"/>
      <c r="AA63"/>
      <c r="AE63"/>
      <c r="AF63"/>
      <c r="AG63"/>
      <c r="AH63"/>
    </row>
    <row r="64" spans="1:34" ht="15.75" customHeight="1" x14ac:dyDescent="0.15">
      <c r="A64" s="6">
        <v>58</v>
      </c>
      <c r="B64" s="18" t="s">
        <v>75</v>
      </c>
      <c r="C64" s="34" t="s">
        <v>57</v>
      </c>
      <c r="D64" s="75" t="s">
        <v>261</v>
      </c>
      <c r="E64" s="2" t="s">
        <v>169</v>
      </c>
      <c r="F64">
        <v>15116</v>
      </c>
      <c r="G64" s="6">
        <v>17</v>
      </c>
      <c r="H64" s="6" t="s">
        <v>262</v>
      </c>
      <c r="I64" s="34"/>
      <c r="J64" s="38" t="s">
        <v>171</v>
      </c>
      <c r="K64" s="38" t="s">
        <v>238</v>
      </c>
      <c r="L64" s="38" t="s">
        <v>173</v>
      </c>
      <c r="M64" s="38"/>
      <c r="N64" s="19"/>
      <c r="O64" s="76" t="s">
        <v>62</v>
      </c>
      <c r="P64" s="6" t="s">
        <v>62</v>
      </c>
      <c r="Q64" s="38" t="s">
        <v>62</v>
      </c>
      <c r="R64" s="38" t="s">
        <v>62</v>
      </c>
      <c r="S64" s="34"/>
      <c r="T64" s="34"/>
      <c r="U64" s="34"/>
      <c r="V64" s="8"/>
      <c r="W64" t="s">
        <v>263</v>
      </c>
      <c r="Y64" s="34"/>
      <c r="Z64"/>
      <c r="AA64"/>
      <c r="AE64"/>
      <c r="AF64"/>
      <c r="AG64"/>
      <c r="AH64"/>
    </row>
    <row r="65" spans="1:34" ht="15.75" customHeight="1" x14ac:dyDescent="0.15">
      <c r="A65" s="6">
        <v>59</v>
      </c>
      <c r="B65" s="18" t="s">
        <v>75</v>
      </c>
      <c r="C65" s="34" t="s">
        <v>57</v>
      </c>
      <c r="D65" s="75" t="s">
        <v>264</v>
      </c>
      <c r="E65" s="2" t="s">
        <v>143</v>
      </c>
      <c r="F65">
        <v>15118</v>
      </c>
      <c r="G65" s="6"/>
      <c r="H65" s="6" t="s">
        <v>265</v>
      </c>
      <c r="I65" s="34"/>
      <c r="J65" s="38"/>
      <c r="K65" s="38"/>
      <c r="L65" s="38"/>
      <c r="M65" s="38" t="s">
        <v>266</v>
      </c>
      <c r="N65" s="19">
        <v>10</v>
      </c>
      <c r="O65" s="76">
        <v>-32768</v>
      </c>
      <c r="P65" s="6">
        <v>32767</v>
      </c>
      <c r="Q65" s="38">
        <v>-3276.8</v>
      </c>
      <c r="R65" s="38">
        <v>3276.7</v>
      </c>
      <c r="S65" s="34"/>
      <c r="T65" s="34"/>
      <c r="U65" s="34"/>
      <c r="V65" s="8"/>
      <c r="W65" t="s">
        <v>267</v>
      </c>
      <c r="Y65" s="34"/>
      <c r="Z65"/>
      <c r="AA65"/>
      <c r="AE65"/>
      <c r="AF65"/>
      <c r="AG65"/>
      <c r="AH65"/>
    </row>
    <row r="66" spans="1:34" ht="15.75" customHeight="1" x14ac:dyDescent="0.15">
      <c r="A66" s="6">
        <v>60</v>
      </c>
      <c r="B66" s="18" t="s">
        <v>75</v>
      </c>
      <c r="C66" s="34" t="s">
        <v>57</v>
      </c>
      <c r="D66" s="75" t="s">
        <v>268</v>
      </c>
      <c r="E66" s="2" t="s">
        <v>143</v>
      </c>
      <c r="F66">
        <v>15119</v>
      </c>
      <c r="G66" s="6"/>
      <c r="H66" s="6" t="s">
        <v>269</v>
      </c>
      <c r="I66" s="34"/>
      <c r="J66" s="38"/>
      <c r="K66" s="38"/>
      <c r="L66" s="38"/>
      <c r="M66" s="38" t="s">
        <v>266</v>
      </c>
      <c r="N66" s="19">
        <v>10</v>
      </c>
      <c r="O66" s="76">
        <v>-32768</v>
      </c>
      <c r="P66" s="6">
        <v>32767</v>
      </c>
      <c r="Q66" s="38">
        <v>-3276.8</v>
      </c>
      <c r="R66" s="38">
        <v>3276.7</v>
      </c>
      <c r="S66" s="34"/>
      <c r="T66" s="34"/>
      <c r="U66" s="34"/>
      <c r="V66" s="8"/>
      <c r="W66" t="s">
        <v>270</v>
      </c>
      <c r="Y66" s="34"/>
      <c r="Z66"/>
      <c r="AA66"/>
      <c r="AE66"/>
      <c r="AF66"/>
      <c r="AG66"/>
      <c r="AH66"/>
    </row>
    <row r="67" spans="1:34" ht="15.75" customHeight="1" x14ac:dyDescent="0.15">
      <c r="A67" s="6">
        <v>61</v>
      </c>
      <c r="B67" s="18" t="s">
        <v>75</v>
      </c>
      <c r="C67" s="34" t="s">
        <v>57</v>
      </c>
      <c r="D67" s="75" t="s">
        <v>271</v>
      </c>
      <c r="E67" s="2" t="s">
        <v>165</v>
      </c>
      <c r="F67">
        <v>15125</v>
      </c>
      <c r="G67" s="6"/>
      <c r="H67" s="6" t="s">
        <v>272</v>
      </c>
      <c r="I67" s="34"/>
      <c r="J67" s="38"/>
      <c r="K67" s="38"/>
      <c r="L67" s="38"/>
      <c r="M67" s="38"/>
      <c r="N67" s="19"/>
      <c r="O67" s="76" t="s">
        <v>62</v>
      </c>
      <c r="P67" s="6" t="s">
        <v>62</v>
      </c>
      <c r="Q67" s="38" t="s">
        <v>62</v>
      </c>
      <c r="R67" s="38" t="s">
        <v>62</v>
      </c>
      <c r="S67" s="34"/>
      <c r="T67" s="34"/>
      <c r="U67" s="34"/>
      <c r="V67" s="8"/>
      <c r="W67" t="s">
        <v>273</v>
      </c>
      <c r="Y67" s="34"/>
      <c r="Z67"/>
      <c r="AA67"/>
      <c r="AE67"/>
      <c r="AF67"/>
      <c r="AG67"/>
      <c r="AH67"/>
    </row>
    <row r="68" spans="1:34" ht="15.75" customHeight="1" x14ac:dyDescent="0.15">
      <c r="A68" s="6">
        <v>62</v>
      </c>
      <c r="B68" s="18" t="s">
        <v>75</v>
      </c>
      <c r="C68" s="34" t="s">
        <v>57</v>
      </c>
      <c r="D68" s="75" t="s">
        <v>274</v>
      </c>
      <c r="E68" s="2" t="s">
        <v>169</v>
      </c>
      <c r="F68">
        <v>15125</v>
      </c>
      <c r="G68" s="6">
        <v>11</v>
      </c>
      <c r="H68" s="6" t="s">
        <v>275</v>
      </c>
      <c r="I68" s="34"/>
      <c r="J68" s="38" t="s">
        <v>171</v>
      </c>
      <c r="K68" s="38" t="s">
        <v>177</v>
      </c>
      <c r="L68" s="38" t="s">
        <v>173</v>
      </c>
      <c r="M68" s="38"/>
      <c r="N68" s="19"/>
      <c r="O68" s="76" t="s">
        <v>62</v>
      </c>
      <c r="P68" s="6" t="s">
        <v>62</v>
      </c>
      <c r="Q68" s="38" t="s">
        <v>62</v>
      </c>
      <c r="R68" s="38" t="s">
        <v>62</v>
      </c>
      <c r="S68" s="34"/>
      <c r="T68" s="34"/>
      <c r="U68" s="34"/>
      <c r="V68" s="8"/>
      <c r="W68" t="s">
        <v>276</v>
      </c>
      <c r="Y68" s="34"/>
      <c r="Z68"/>
      <c r="AA68"/>
      <c r="AE68"/>
      <c r="AF68"/>
      <c r="AG68"/>
      <c r="AH68"/>
    </row>
    <row r="69" spans="1:34" ht="15.75" customHeight="1" x14ac:dyDescent="0.15">
      <c r="A69" s="6">
        <v>63</v>
      </c>
      <c r="B69" s="18" t="s">
        <v>75</v>
      </c>
      <c r="C69" s="34" t="s">
        <v>57</v>
      </c>
      <c r="D69" s="75" t="s">
        <v>277</v>
      </c>
      <c r="E69" s="2" t="s">
        <v>169</v>
      </c>
      <c r="F69">
        <v>15125</v>
      </c>
      <c r="G69" s="6">
        <v>12</v>
      </c>
      <c r="H69" s="6" t="s">
        <v>278</v>
      </c>
      <c r="I69" s="34"/>
      <c r="J69" s="38" t="s">
        <v>171</v>
      </c>
      <c r="K69" s="38" t="s">
        <v>177</v>
      </c>
      <c r="L69" s="38" t="s">
        <v>173</v>
      </c>
      <c r="M69" s="38"/>
      <c r="N69" s="19"/>
      <c r="O69" s="76" t="s">
        <v>62</v>
      </c>
      <c r="P69" s="6" t="s">
        <v>62</v>
      </c>
      <c r="Q69" s="38" t="s">
        <v>62</v>
      </c>
      <c r="R69" s="38" t="s">
        <v>62</v>
      </c>
      <c r="S69" s="34"/>
      <c r="T69" s="34"/>
      <c r="U69" s="34"/>
      <c r="V69" s="8"/>
      <c r="W69" t="s">
        <v>279</v>
      </c>
      <c r="Y69" s="34"/>
      <c r="Z69"/>
      <c r="AA69"/>
      <c r="AE69"/>
      <c r="AF69"/>
      <c r="AG69"/>
      <c r="AH69"/>
    </row>
    <row r="70" spans="1:34" ht="15.75" customHeight="1" x14ac:dyDescent="0.15">
      <c r="A70" s="6">
        <v>64</v>
      </c>
      <c r="B70" s="18" t="s">
        <v>75</v>
      </c>
      <c r="C70" s="34" t="s">
        <v>57</v>
      </c>
      <c r="D70" s="75" t="s">
        <v>280</v>
      </c>
      <c r="E70" s="2" t="s">
        <v>169</v>
      </c>
      <c r="F70">
        <v>15125</v>
      </c>
      <c r="G70" s="6">
        <v>13</v>
      </c>
      <c r="H70" s="6" t="s">
        <v>281</v>
      </c>
      <c r="I70" s="34"/>
      <c r="J70" s="38" t="s">
        <v>171</v>
      </c>
      <c r="K70" s="38" t="s">
        <v>177</v>
      </c>
      <c r="L70" s="38" t="s">
        <v>173</v>
      </c>
      <c r="M70" s="38"/>
      <c r="N70" s="19"/>
      <c r="O70" s="76" t="s">
        <v>62</v>
      </c>
      <c r="P70" s="6" t="s">
        <v>62</v>
      </c>
      <c r="Q70" s="38" t="s">
        <v>62</v>
      </c>
      <c r="R70" s="38" t="s">
        <v>62</v>
      </c>
      <c r="S70" s="34"/>
      <c r="T70" s="34"/>
      <c r="U70" s="34"/>
      <c r="V70" s="8"/>
      <c r="W70" t="s">
        <v>282</v>
      </c>
      <c r="Y70" s="34"/>
      <c r="Z70"/>
      <c r="AA70"/>
      <c r="AE70"/>
      <c r="AF70"/>
      <c r="AG70"/>
      <c r="AH70"/>
    </row>
    <row r="71" spans="1:34" ht="15.75" customHeight="1" x14ac:dyDescent="0.15">
      <c r="A71" s="6">
        <v>65</v>
      </c>
      <c r="B71" s="18" t="s">
        <v>75</v>
      </c>
      <c r="C71" s="34" t="s">
        <v>57</v>
      </c>
      <c r="D71" s="75" t="s">
        <v>283</v>
      </c>
      <c r="E71" s="2" t="s">
        <v>169</v>
      </c>
      <c r="F71">
        <v>15125</v>
      </c>
      <c r="G71" s="6">
        <v>14</v>
      </c>
      <c r="H71" s="6" t="s">
        <v>284</v>
      </c>
      <c r="I71" s="34"/>
      <c r="J71" s="38" t="s">
        <v>171</v>
      </c>
      <c r="K71" s="38" t="s">
        <v>285</v>
      </c>
      <c r="L71" s="38" t="s">
        <v>286</v>
      </c>
      <c r="M71" s="38"/>
      <c r="N71" s="19"/>
      <c r="O71" s="76" t="s">
        <v>62</v>
      </c>
      <c r="P71" s="6" t="s">
        <v>62</v>
      </c>
      <c r="Q71" s="38" t="s">
        <v>62</v>
      </c>
      <c r="R71" s="38" t="s">
        <v>62</v>
      </c>
      <c r="S71" s="34"/>
      <c r="T71" s="34"/>
      <c r="U71" s="34"/>
      <c r="V71" s="8"/>
      <c r="W71" t="s">
        <v>287</v>
      </c>
      <c r="Y71" s="34"/>
      <c r="Z71"/>
      <c r="AA71"/>
      <c r="AE71"/>
      <c r="AF71"/>
      <c r="AG71"/>
      <c r="AH71"/>
    </row>
    <row r="72" spans="1:34" ht="15.75" customHeight="1" x14ac:dyDescent="0.15">
      <c r="A72" s="6">
        <v>66</v>
      </c>
      <c r="B72" s="18" t="s">
        <v>75</v>
      </c>
      <c r="C72" s="34" t="s">
        <v>57</v>
      </c>
      <c r="D72" s="75" t="s">
        <v>288</v>
      </c>
      <c r="E72" s="2" t="s">
        <v>165</v>
      </c>
      <c r="F72">
        <v>15126</v>
      </c>
      <c r="G72" s="6"/>
      <c r="H72" s="6" t="s">
        <v>289</v>
      </c>
      <c r="I72" s="34"/>
      <c r="J72" s="38"/>
      <c r="K72" s="38"/>
      <c r="L72" s="38"/>
      <c r="M72" s="38"/>
      <c r="N72" s="19"/>
      <c r="O72" s="76" t="s">
        <v>62</v>
      </c>
      <c r="P72" s="6" t="s">
        <v>62</v>
      </c>
      <c r="Q72" s="38" t="s">
        <v>62</v>
      </c>
      <c r="R72" s="38" t="s">
        <v>62</v>
      </c>
      <c r="S72" s="34"/>
      <c r="T72" s="34"/>
      <c r="U72" s="34"/>
      <c r="V72" s="8"/>
      <c r="W72" t="s">
        <v>290</v>
      </c>
      <c r="Y72" s="34"/>
      <c r="Z72"/>
      <c r="AA72"/>
      <c r="AE72"/>
      <c r="AF72"/>
      <c r="AG72"/>
      <c r="AH72"/>
    </row>
    <row r="73" spans="1:34" ht="15.75" customHeight="1" x14ac:dyDescent="0.15">
      <c r="A73" s="6">
        <v>67</v>
      </c>
      <c r="B73" s="18" t="s">
        <v>75</v>
      </c>
      <c r="C73" s="34" t="s">
        <v>57</v>
      </c>
      <c r="D73" s="75" t="s">
        <v>291</v>
      </c>
      <c r="E73" s="2" t="s">
        <v>169</v>
      </c>
      <c r="F73">
        <v>15126</v>
      </c>
      <c r="G73" s="6">
        <v>1</v>
      </c>
      <c r="H73" s="6" t="s">
        <v>292</v>
      </c>
      <c r="I73" s="34"/>
      <c r="J73" s="38"/>
      <c r="K73" s="38" t="s">
        <v>293</v>
      </c>
      <c r="L73" s="38" t="s">
        <v>173</v>
      </c>
      <c r="M73" s="38"/>
      <c r="N73" s="19"/>
      <c r="O73" s="76" t="s">
        <v>62</v>
      </c>
      <c r="P73" s="6" t="s">
        <v>62</v>
      </c>
      <c r="Q73" s="38" t="s">
        <v>62</v>
      </c>
      <c r="R73" s="38" t="s">
        <v>62</v>
      </c>
      <c r="S73" s="34"/>
      <c r="T73" s="34"/>
      <c r="U73" s="34"/>
      <c r="V73" s="8"/>
      <c r="W73" t="s">
        <v>294</v>
      </c>
      <c r="Y73" s="34"/>
      <c r="Z73"/>
      <c r="AA73"/>
      <c r="AE73"/>
      <c r="AF73"/>
      <c r="AG73"/>
      <c r="AH73"/>
    </row>
    <row r="74" spans="1:34" ht="15.75" customHeight="1" x14ac:dyDescent="0.15">
      <c r="A74" s="6">
        <v>68</v>
      </c>
      <c r="B74" s="18" t="s">
        <v>75</v>
      </c>
      <c r="C74" s="34" t="s">
        <v>57</v>
      </c>
      <c r="D74" s="75" t="s">
        <v>295</v>
      </c>
      <c r="E74" s="2" t="s">
        <v>169</v>
      </c>
      <c r="F74">
        <v>15126</v>
      </c>
      <c r="G74" s="6">
        <v>4</v>
      </c>
      <c r="H74" s="6" t="s">
        <v>296</v>
      </c>
      <c r="I74" s="34"/>
      <c r="J74" s="38"/>
      <c r="K74" s="38" t="s">
        <v>293</v>
      </c>
      <c r="L74" s="38" t="s">
        <v>173</v>
      </c>
      <c r="M74" s="38"/>
      <c r="N74" s="19"/>
      <c r="O74" s="76" t="s">
        <v>62</v>
      </c>
      <c r="P74" s="6" t="s">
        <v>62</v>
      </c>
      <c r="Q74" s="38" t="s">
        <v>62</v>
      </c>
      <c r="R74" s="38" t="s">
        <v>62</v>
      </c>
      <c r="S74" s="34"/>
      <c r="T74" s="34"/>
      <c r="U74" s="34"/>
      <c r="V74" s="8"/>
      <c r="W74" t="s">
        <v>297</v>
      </c>
      <c r="Y74" s="34"/>
      <c r="Z74"/>
      <c r="AA74"/>
      <c r="AE74"/>
      <c r="AF74"/>
      <c r="AG74"/>
      <c r="AH74"/>
    </row>
    <row r="75" spans="1:34" s="64" customFormat="1" ht="15.75" customHeight="1" x14ac:dyDescent="0.15">
      <c r="A75" s="6">
        <v>69</v>
      </c>
      <c r="B75" s="18" t="s">
        <v>75</v>
      </c>
      <c r="C75" s="34" t="s">
        <v>57</v>
      </c>
      <c r="D75" s="75" t="s">
        <v>298</v>
      </c>
      <c r="E75" s="2" t="s">
        <v>169</v>
      </c>
      <c r="F75">
        <v>15126</v>
      </c>
      <c r="G75" s="6">
        <v>6</v>
      </c>
      <c r="H75" s="6" t="s">
        <v>299</v>
      </c>
      <c r="I75" s="34"/>
      <c r="J75" s="38"/>
      <c r="K75" s="38" t="s">
        <v>293</v>
      </c>
      <c r="L75" s="38" t="s">
        <v>173</v>
      </c>
      <c r="M75" s="38"/>
      <c r="N75" s="19"/>
      <c r="O75" s="76" t="s">
        <v>62</v>
      </c>
      <c r="P75" s="6" t="s">
        <v>62</v>
      </c>
      <c r="Q75" s="38" t="s">
        <v>62</v>
      </c>
      <c r="R75" s="38" t="s">
        <v>62</v>
      </c>
      <c r="S75" s="34"/>
      <c r="T75" s="34"/>
      <c r="U75" s="34"/>
      <c r="V75" s="8"/>
      <c r="W75" t="s">
        <v>300</v>
      </c>
      <c r="X75"/>
      <c r="Y75" s="34"/>
    </row>
    <row r="76" spans="1:34" ht="15.75" customHeight="1" x14ac:dyDescent="0.15">
      <c r="A76" s="6">
        <v>70</v>
      </c>
      <c r="B76" s="18" t="s">
        <v>75</v>
      </c>
      <c r="C76" s="34" t="s">
        <v>57</v>
      </c>
      <c r="D76" s="75" t="s">
        <v>301</v>
      </c>
      <c r="E76" s="2" t="s">
        <v>169</v>
      </c>
      <c r="F76">
        <v>15126</v>
      </c>
      <c r="G76" s="6">
        <v>7</v>
      </c>
      <c r="H76" s="6" t="s">
        <v>302</v>
      </c>
      <c r="I76" s="34"/>
      <c r="J76" s="38"/>
      <c r="K76" s="38" t="s">
        <v>293</v>
      </c>
      <c r="L76" s="38" t="s">
        <v>173</v>
      </c>
      <c r="M76" s="38"/>
      <c r="N76" s="19"/>
      <c r="O76" s="76" t="s">
        <v>62</v>
      </c>
      <c r="P76" s="6" t="s">
        <v>62</v>
      </c>
      <c r="Q76" s="38" t="s">
        <v>62</v>
      </c>
      <c r="R76" s="38" t="s">
        <v>62</v>
      </c>
      <c r="S76" s="34"/>
      <c r="T76" s="34"/>
      <c r="U76" s="34"/>
      <c r="V76" s="8"/>
      <c r="W76" t="s">
        <v>303</v>
      </c>
      <c r="Y76" s="34"/>
      <c r="Z76"/>
      <c r="AA76"/>
      <c r="AE76"/>
      <c r="AF76"/>
      <c r="AG76"/>
      <c r="AH76"/>
    </row>
    <row r="77" spans="1:34" ht="15.75" customHeight="1" x14ac:dyDescent="0.15">
      <c r="A77" s="6">
        <v>71</v>
      </c>
      <c r="B77" s="18" t="s">
        <v>75</v>
      </c>
      <c r="C77" s="34" t="s">
        <v>57</v>
      </c>
      <c r="D77" s="75" t="s">
        <v>304</v>
      </c>
      <c r="E77" s="2" t="s">
        <v>169</v>
      </c>
      <c r="F77">
        <v>15126</v>
      </c>
      <c r="G77" s="6">
        <v>8</v>
      </c>
      <c r="H77" s="6" t="s">
        <v>305</v>
      </c>
      <c r="I77" s="34"/>
      <c r="J77" s="38"/>
      <c r="K77" s="38" t="s">
        <v>293</v>
      </c>
      <c r="L77" s="38" t="s">
        <v>173</v>
      </c>
      <c r="M77" s="38"/>
      <c r="N77" s="19"/>
      <c r="O77" s="76" t="s">
        <v>62</v>
      </c>
      <c r="P77" s="6" t="s">
        <v>62</v>
      </c>
      <c r="Q77" s="38" t="s">
        <v>62</v>
      </c>
      <c r="R77" s="38" t="s">
        <v>62</v>
      </c>
      <c r="S77" s="34"/>
      <c r="T77" s="34"/>
      <c r="U77" s="34"/>
      <c r="V77" s="8"/>
      <c r="W77" t="s">
        <v>306</v>
      </c>
      <c r="Y77" s="34"/>
      <c r="Z77"/>
      <c r="AA77"/>
      <c r="AE77"/>
      <c r="AF77"/>
      <c r="AG77"/>
      <c r="AH77"/>
    </row>
    <row r="78" spans="1:34" s="59" customFormat="1" ht="15.75" customHeight="1" x14ac:dyDescent="0.15">
      <c r="A78" s="6">
        <v>72</v>
      </c>
      <c r="B78" s="18" t="s">
        <v>75</v>
      </c>
      <c r="C78" s="34" t="s">
        <v>57</v>
      </c>
      <c r="D78" s="75" t="s">
        <v>307</v>
      </c>
      <c r="E78" s="2" t="s">
        <v>169</v>
      </c>
      <c r="F78">
        <v>15126</v>
      </c>
      <c r="G78" s="6">
        <v>9</v>
      </c>
      <c r="H78" s="6" t="s">
        <v>308</v>
      </c>
      <c r="I78" s="34"/>
      <c r="J78" s="38"/>
      <c r="K78" s="38" t="s">
        <v>293</v>
      </c>
      <c r="L78" s="38" t="s">
        <v>173</v>
      </c>
      <c r="M78" s="38"/>
      <c r="N78" s="19"/>
      <c r="O78" s="76" t="s">
        <v>62</v>
      </c>
      <c r="P78" s="6" t="s">
        <v>62</v>
      </c>
      <c r="Q78" s="38" t="s">
        <v>62</v>
      </c>
      <c r="R78" s="38" t="s">
        <v>62</v>
      </c>
      <c r="S78" s="34"/>
      <c r="T78" s="34"/>
      <c r="U78" s="34"/>
      <c r="V78" s="8"/>
      <c r="W78" t="s">
        <v>309</v>
      </c>
      <c r="X78"/>
      <c r="Y78" s="34"/>
    </row>
    <row r="79" spans="1:34" ht="15.75" customHeight="1" x14ac:dyDescent="0.15">
      <c r="A79" s="6">
        <v>73</v>
      </c>
      <c r="B79" s="18" t="s">
        <v>75</v>
      </c>
      <c r="C79" s="34" t="s">
        <v>57</v>
      </c>
      <c r="D79" s="75" t="s">
        <v>310</v>
      </c>
      <c r="E79" s="2" t="s">
        <v>169</v>
      </c>
      <c r="F79">
        <v>15126</v>
      </c>
      <c r="G79" s="6">
        <v>11</v>
      </c>
      <c r="H79" s="6" t="s">
        <v>311</v>
      </c>
      <c r="I79" s="34"/>
      <c r="J79" s="38"/>
      <c r="K79" s="38" t="s">
        <v>293</v>
      </c>
      <c r="L79" s="38" t="s">
        <v>173</v>
      </c>
      <c r="M79" s="38"/>
      <c r="N79" s="19"/>
      <c r="O79" s="76" t="s">
        <v>62</v>
      </c>
      <c r="P79" s="6" t="s">
        <v>62</v>
      </c>
      <c r="Q79" s="38" t="s">
        <v>62</v>
      </c>
      <c r="R79" s="38" t="s">
        <v>62</v>
      </c>
      <c r="S79" s="34"/>
      <c r="T79" s="34"/>
      <c r="U79" s="34"/>
      <c r="V79" s="8"/>
      <c r="W79" t="s">
        <v>312</v>
      </c>
      <c r="Y79" s="34"/>
      <c r="Z79"/>
      <c r="AA79"/>
      <c r="AE79"/>
      <c r="AF79"/>
      <c r="AG79"/>
      <c r="AH79"/>
    </row>
    <row r="80" spans="1:34" s="59" customFormat="1" ht="15.75" customHeight="1" x14ac:dyDescent="0.15">
      <c r="A80" s="6">
        <v>74</v>
      </c>
      <c r="B80" s="18" t="s">
        <v>75</v>
      </c>
      <c r="C80" s="34" t="s">
        <v>57</v>
      </c>
      <c r="D80" s="75" t="s">
        <v>313</v>
      </c>
      <c r="E80" s="2" t="s">
        <v>169</v>
      </c>
      <c r="F80">
        <v>15126</v>
      </c>
      <c r="G80" s="6">
        <v>14</v>
      </c>
      <c r="H80" s="6" t="s">
        <v>314</v>
      </c>
      <c r="I80" s="34"/>
      <c r="J80" s="38"/>
      <c r="K80" s="38" t="s">
        <v>293</v>
      </c>
      <c r="L80" s="38" t="s">
        <v>173</v>
      </c>
      <c r="M80" s="38"/>
      <c r="N80" s="19"/>
      <c r="O80" s="76" t="s">
        <v>62</v>
      </c>
      <c r="P80" s="6" t="s">
        <v>62</v>
      </c>
      <c r="Q80" s="38" t="s">
        <v>62</v>
      </c>
      <c r="R80" s="38" t="s">
        <v>62</v>
      </c>
      <c r="S80" s="34"/>
      <c r="T80" s="34"/>
      <c r="U80" s="34"/>
      <c r="V80" s="8"/>
      <c r="W80" t="s">
        <v>315</v>
      </c>
      <c r="X80"/>
      <c r="Y80" s="34"/>
    </row>
    <row r="81" spans="1:34" ht="15.75" customHeight="1" x14ac:dyDescent="0.15">
      <c r="A81" s="6">
        <v>75</v>
      </c>
      <c r="B81" s="18" t="s">
        <v>75</v>
      </c>
      <c r="C81" s="34" t="s">
        <v>57</v>
      </c>
      <c r="D81" s="75" t="s">
        <v>316</v>
      </c>
      <c r="E81" s="2" t="s">
        <v>219</v>
      </c>
      <c r="F81">
        <v>15128</v>
      </c>
      <c r="G81" s="6"/>
      <c r="H81" s="6" t="s">
        <v>317</v>
      </c>
      <c r="I81" s="34"/>
      <c r="J81" s="38"/>
      <c r="K81" s="38"/>
      <c r="L81" s="38"/>
      <c r="M81" s="38"/>
      <c r="N81" s="19"/>
      <c r="O81" s="76" t="s">
        <v>62</v>
      </c>
      <c r="P81" s="6" t="s">
        <v>62</v>
      </c>
      <c r="Q81" s="38" t="s">
        <v>62</v>
      </c>
      <c r="R81" s="38" t="s">
        <v>62</v>
      </c>
      <c r="S81" s="34"/>
      <c r="T81" s="34"/>
      <c r="U81" s="34"/>
      <c r="V81" s="8"/>
      <c r="W81" t="s">
        <v>318</v>
      </c>
      <c r="Y81" s="34"/>
      <c r="Z81"/>
      <c r="AA81"/>
      <c r="AE81"/>
      <c r="AF81"/>
      <c r="AG81"/>
      <c r="AH81"/>
    </row>
    <row r="82" spans="1:34" s="55" customFormat="1" ht="15.75" customHeight="1" x14ac:dyDescent="0.15">
      <c r="A82" s="6">
        <v>76</v>
      </c>
      <c r="B82" s="18" t="s">
        <v>75</v>
      </c>
      <c r="C82" s="34" t="s">
        <v>57</v>
      </c>
      <c r="D82" s="75" t="s">
        <v>319</v>
      </c>
      <c r="E82" s="2" t="s">
        <v>169</v>
      </c>
      <c r="F82">
        <v>15128</v>
      </c>
      <c r="G82" s="6">
        <v>0</v>
      </c>
      <c r="H82" s="6" t="s">
        <v>320</v>
      </c>
      <c r="I82" s="34"/>
      <c r="J82" s="38" t="s">
        <v>196</v>
      </c>
      <c r="K82" s="38" t="s">
        <v>197</v>
      </c>
      <c r="L82" s="38" t="s">
        <v>198</v>
      </c>
      <c r="M82" s="38"/>
      <c r="N82" s="19"/>
      <c r="O82" s="76" t="s">
        <v>62</v>
      </c>
      <c r="P82" s="6" t="s">
        <v>62</v>
      </c>
      <c r="Q82" s="38" t="s">
        <v>62</v>
      </c>
      <c r="R82" s="38" t="s">
        <v>62</v>
      </c>
      <c r="S82" s="34"/>
      <c r="T82" s="34"/>
      <c r="U82" s="34"/>
      <c r="V82" s="8"/>
      <c r="W82" t="s">
        <v>321</v>
      </c>
      <c r="X82"/>
      <c r="Y82" s="34"/>
    </row>
    <row r="83" spans="1:34" s="55" customFormat="1" ht="15.75" customHeight="1" x14ac:dyDescent="0.15">
      <c r="A83" s="6">
        <v>77</v>
      </c>
      <c r="B83" s="18" t="s">
        <v>75</v>
      </c>
      <c r="C83" s="34" t="s">
        <v>57</v>
      </c>
      <c r="D83" s="75" t="s">
        <v>322</v>
      </c>
      <c r="E83" s="2" t="s">
        <v>169</v>
      </c>
      <c r="F83">
        <v>15128</v>
      </c>
      <c r="G83" s="6">
        <v>1</v>
      </c>
      <c r="H83" s="6" t="s">
        <v>323</v>
      </c>
      <c r="I83" s="34"/>
      <c r="J83" s="38" t="s">
        <v>196</v>
      </c>
      <c r="K83" s="38" t="s">
        <v>197</v>
      </c>
      <c r="L83" s="38" t="s">
        <v>198</v>
      </c>
      <c r="M83" s="38"/>
      <c r="N83" s="19"/>
      <c r="O83" s="76" t="s">
        <v>62</v>
      </c>
      <c r="P83" s="6" t="s">
        <v>62</v>
      </c>
      <c r="Q83" s="38" t="s">
        <v>62</v>
      </c>
      <c r="R83" s="38" t="s">
        <v>62</v>
      </c>
      <c r="S83" s="34"/>
      <c r="T83" s="34"/>
      <c r="U83" s="34"/>
      <c r="V83" s="8"/>
      <c r="W83" t="s">
        <v>324</v>
      </c>
      <c r="X83"/>
      <c r="Y83" s="34"/>
    </row>
    <row r="84" spans="1:34" ht="15.75" customHeight="1" x14ac:dyDescent="0.15">
      <c r="A84" s="6">
        <v>78</v>
      </c>
      <c r="B84" s="18" t="s">
        <v>75</v>
      </c>
      <c r="C84" s="34" t="s">
        <v>57</v>
      </c>
      <c r="D84" s="75" t="s">
        <v>325</v>
      </c>
      <c r="E84" s="2" t="s">
        <v>169</v>
      </c>
      <c r="F84">
        <v>15128</v>
      </c>
      <c r="G84" s="6">
        <v>2</v>
      </c>
      <c r="H84" s="6" t="s">
        <v>326</v>
      </c>
      <c r="I84" s="34"/>
      <c r="J84" s="38" t="s">
        <v>196</v>
      </c>
      <c r="K84" s="38" t="s">
        <v>197</v>
      </c>
      <c r="L84" s="38" t="s">
        <v>197</v>
      </c>
      <c r="M84" s="38"/>
      <c r="N84" s="19"/>
      <c r="O84" s="76" t="s">
        <v>62</v>
      </c>
      <c r="P84" s="6" t="s">
        <v>62</v>
      </c>
      <c r="Q84" s="38" t="s">
        <v>62</v>
      </c>
      <c r="R84" s="38" t="s">
        <v>62</v>
      </c>
      <c r="S84" s="34"/>
      <c r="T84" s="34"/>
      <c r="U84" s="34"/>
      <c r="V84" s="8"/>
      <c r="W84" t="s">
        <v>327</v>
      </c>
      <c r="Y84" s="34"/>
      <c r="Z84"/>
      <c r="AA84"/>
      <c r="AE84"/>
      <c r="AF84"/>
      <c r="AG84"/>
      <c r="AH84"/>
    </row>
    <row r="85" spans="1:34" ht="15.75" customHeight="1" x14ac:dyDescent="0.15">
      <c r="A85" s="6">
        <v>79</v>
      </c>
      <c r="B85" s="18" t="s">
        <v>75</v>
      </c>
      <c r="C85" s="34" t="s">
        <v>57</v>
      </c>
      <c r="D85" s="75" t="s">
        <v>328</v>
      </c>
      <c r="E85" s="2" t="s">
        <v>169</v>
      </c>
      <c r="F85">
        <v>15128</v>
      </c>
      <c r="G85" s="6">
        <v>3</v>
      </c>
      <c r="H85" s="6" t="s">
        <v>329</v>
      </c>
      <c r="I85" s="34"/>
      <c r="J85" s="38" t="s">
        <v>196</v>
      </c>
      <c r="K85" s="38" t="s">
        <v>197</v>
      </c>
      <c r="L85" s="38" t="s">
        <v>197</v>
      </c>
      <c r="M85" s="38"/>
      <c r="N85" s="19"/>
      <c r="O85" s="76" t="s">
        <v>62</v>
      </c>
      <c r="P85" s="6" t="s">
        <v>62</v>
      </c>
      <c r="Q85" s="38" t="s">
        <v>62</v>
      </c>
      <c r="R85" s="38" t="s">
        <v>62</v>
      </c>
      <c r="S85" s="34"/>
      <c r="T85" s="34"/>
      <c r="U85" s="34"/>
      <c r="V85" s="8"/>
      <c r="W85" t="s">
        <v>330</v>
      </c>
      <c r="Y85" s="34"/>
      <c r="Z85"/>
      <c r="AA85"/>
      <c r="AE85"/>
      <c r="AF85"/>
      <c r="AG85"/>
      <c r="AH85"/>
    </row>
    <row r="86" spans="1:34" ht="15.75" customHeight="1" x14ac:dyDescent="0.15">
      <c r="A86" s="6">
        <v>80</v>
      </c>
      <c r="B86" s="18" t="s">
        <v>75</v>
      </c>
      <c r="C86" s="34" t="s">
        <v>57</v>
      </c>
      <c r="D86" s="75" t="s">
        <v>331</v>
      </c>
      <c r="E86" s="2" t="s">
        <v>169</v>
      </c>
      <c r="F86">
        <v>15128</v>
      </c>
      <c r="G86" s="6">
        <v>4</v>
      </c>
      <c r="H86" s="6" t="s">
        <v>332</v>
      </c>
      <c r="I86" s="34"/>
      <c r="J86" s="38" t="s">
        <v>196</v>
      </c>
      <c r="K86" s="38" t="s">
        <v>197</v>
      </c>
      <c r="L86" s="38" t="s">
        <v>197</v>
      </c>
      <c r="M86" s="38"/>
      <c r="N86" s="19"/>
      <c r="O86" s="76" t="s">
        <v>62</v>
      </c>
      <c r="P86" s="6" t="s">
        <v>62</v>
      </c>
      <c r="Q86" s="38" t="s">
        <v>62</v>
      </c>
      <c r="R86" s="38" t="s">
        <v>62</v>
      </c>
      <c r="S86" s="34"/>
      <c r="T86" s="34"/>
      <c r="U86" s="34"/>
      <c r="V86" s="8"/>
      <c r="W86" t="s">
        <v>333</v>
      </c>
      <c r="Y86" s="34"/>
      <c r="Z86"/>
      <c r="AA86"/>
      <c r="AE86"/>
      <c r="AF86"/>
      <c r="AG86"/>
      <c r="AH86"/>
    </row>
    <row r="87" spans="1:34" ht="15.75" customHeight="1" x14ac:dyDescent="0.15">
      <c r="A87" s="6">
        <v>81</v>
      </c>
      <c r="B87" s="18" t="s">
        <v>75</v>
      </c>
      <c r="C87" s="34" t="s">
        <v>57</v>
      </c>
      <c r="D87" s="75" t="s">
        <v>334</v>
      </c>
      <c r="E87" s="2" t="s">
        <v>169</v>
      </c>
      <c r="F87">
        <v>15128</v>
      </c>
      <c r="G87" s="6">
        <v>5</v>
      </c>
      <c r="H87" s="6" t="s">
        <v>335</v>
      </c>
      <c r="I87" s="34"/>
      <c r="J87" s="38" t="s">
        <v>196</v>
      </c>
      <c r="K87" s="38" t="s">
        <v>197</v>
      </c>
      <c r="L87" s="38" t="s">
        <v>198</v>
      </c>
      <c r="M87" s="38"/>
      <c r="N87" s="19"/>
      <c r="O87" s="76" t="s">
        <v>62</v>
      </c>
      <c r="P87" s="6" t="s">
        <v>62</v>
      </c>
      <c r="Q87" s="38" t="s">
        <v>62</v>
      </c>
      <c r="R87" s="38" t="s">
        <v>62</v>
      </c>
      <c r="S87" s="34"/>
      <c r="T87" s="34"/>
      <c r="U87" s="34"/>
      <c r="V87" s="8"/>
      <c r="W87" t="s">
        <v>336</v>
      </c>
      <c r="Y87" s="34"/>
      <c r="Z87"/>
      <c r="AA87"/>
      <c r="AE87"/>
      <c r="AF87"/>
      <c r="AG87"/>
      <c r="AH87"/>
    </row>
    <row r="88" spans="1:34" s="59" customFormat="1" ht="15.75" customHeight="1" x14ac:dyDescent="0.15">
      <c r="A88" s="6">
        <v>82</v>
      </c>
      <c r="B88" s="18" t="s">
        <v>75</v>
      </c>
      <c r="C88" s="34" t="s">
        <v>57</v>
      </c>
      <c r="D88" s="75" t="s">
        <v>337</v>
      </c>
      <c r="E88" s="2" t="s">
        <v>169</v>
      </c>
      <c r="F88">
        <v>15128</v>
      </c>
      <c r="G88" s="6">
        <v>6</v>
      </c>
      <c r="H88" s="6" t="s">
        <v>338</v>
      </c>
      <c r="I88" s="34"/>
      <c r="J88" s="38" t="s">
        <v>196</v>
      </c>
      <c r="K88" s="38" t="s">
        <v>197</v>
      </c>
      <c r="L88" s="38" t="s">
        <v>198</v>
      </c>
      <c r="M88" s="38"/>
      <c r="N88" s="19"/>
      <c r="O88" s="76" t="s">
        <v>62</v>
      </c>
      <c r="P88" s="6" t="s">
        <v>62</v>
      </c>
      <c r="Q88" s="38" t="s">
        <v>62</v>
      </c>
      <c r="R88" s="38" t="s">
        <v>62</v>
      </c>
      <c r="S88" s="34"/>
      <c r="T88" s="34"/>
      <c r="U88" s="34"/>
      <c r="V88" s="8"/>
      <c r="W88" t="s">
        <v>339</v>
      </c>
      <c r="X88"/>
      <c r="Y88" s="34"/>
    </row>
    <row r="89" spans="1:34" ht="15.75" customHeight="1" x14ac:dyDescent="0.15">
      <c r="A89" s="6">
        <v>83</v>
      </c>
      <c r="B89" s="18" t="s">
        <v>75</v>
      </c>
      <c r="C89" s="34" t="s">
        <v>57</v>
      </c>
      <c r="D89" s="75" t="s">
        <v>340</v>
      </c>
      <c r="E89" s="2" t="s">
        <v>169</v>
      </c>
      <c r="F89">
        <v>15128</v>
      </c>
      <c r="G89" s="6">
        <v>7</v>
      </c>
      <c r="H89" s="6" t="s">
        <v>341</v>
      </c>
      <c r="I89" s="34"/>
      <c r="J89" s="38" t="s">
        <v>196</v>
      </c>
      <c r="K89" s="38" t="s">
        <v>197</v>
      </c>
      <c r="L89" s="38" t="s">
        <v>198</v>
      </c>
      <c r="M89" s="38"/>
      <c r="N89" s="19"/>
      <c r="O89" s="76" t="s">
        <v>62</v>
      </c>
      <c r="P89" s="6" t="s">
        <v>62</v>
      </c>
      <c r="Q89" s="38" t="s">
        <v>62</v>
      </c>
      <c r="R89" s="38" t="s">
        <v>62</v>
      </c>
      <c r="S89" s="34"/>
      <c r="T89" s="34"/>
      <c r="U89" s="34"/>
      <c r="V89" s="8"/>
      <c r="W89" t="s">
        <v>342</v>
      </c>
      <c r="Y89" s="34"/>
      <c r="Z89"/>
      <c r="AA89"/>
      <c r="AE89"/>
      <c r="AF89"/>
      <c r="AG89"/>
      <c r="AH89"/>
    </row>
    <row r="90" spans="1:34" s="59" customFormat="1" ht="15.75" customHeight="1" x14ac:dyDescent="0.15">
      <c r="A90" s="6">
        <v>84</v>
      </c>
      <c r="B90" s="18" t="s">
        <v>75</v>
      </c>
      <c r="C90" s="34" t="s">
        <v>57</v>
      </c>
      <c r="D90" s="75" t="s">
        <v>343</v>
      </c>
      <c r="E90" s="2" t="s">
        <v>169</v>
      </c>
      <c r="F90">
        <v>15128</v>
      </c>
      <c r="G90" s="6">
        <v>8</v>
      </c>
      <c r="H90" s="6" t="s">
        <v>344</v>
      </c>
      <c r="I90" s="34"/>
      <c r="J90" s="38" t="s">
        <v>196</v>
      </c>
      <c r="K90" s="38" t="s">
        <v>197</v>
      </c>
      <c r="L90" s="38" t="s">
        <v>198</v>
      </c>
      <c r="M90" s="38"/>
      <c r="N90" s="19"/>
      <c r="O90" s="76" t="s">
        <v>62</v>
      </c>
      <c r="P90" s="6" t="s">
        <v>62</v>
      </c>
      <c r="Q90" s="38" t="s">
        <v>62</v>
      </c>
      <c r="R90" s="38" t="s">
        <v>62</v>
      </c>
      <c r="S90" s="34"/>
      <c r="T90" s="34"/>
      <c r="U90" s="34"/>
      <c r="V90" s="8"/>
      <c r="W90" t="s">
        <v>345</v>
      </c>
      <c r="X90"/>
      <c r="Y90" s="34"/>
    </row>
    <row r="91" spans="1:34" s="59" customFormat="1" ht="15.75" customHeight="1" x14ac:dyDescent="0.15">
      <c r="A91" s="6">
        <v>85</v>
      </c>
      <c r="B91" s="18" t="s">
        <v>75</v>
      </c>
      <c r="C91" s="34" t="s">
        <v>57</v>
      </c>
      <c r="D91" s="75" t="s">
        <v>346</v>
      </c>
      <c r="E91" s="2" t="s">
        <v>169</v>
      </c>
      <c r="F91">
        <v>15128</v>
      </c>
      <c r="G91" s="6">
        <v>9</v>
      </c>
      <c r="H91" s="6" t="s">
        <v>347</v>
      </c>
      <c r="I91" s="34"/>
      <c r="J91" s="38" t="s">
        <v>196</v>
      </c>
      <c r="K91" s="38" t="s">
        <v>197</v>
      </c>
      <c r="L91" s="38" t="s">
        <v>198</v>
      </c>
      <c r="M91" s="38"/>
      <c r="N91" s="19"/>
      <c r="O91" s="76" t="s">
        <v>62</v>
      </c>
      <c r="P91" s="6" t="s">
        <v>62</v>
      </c>
      <c r="Q91" s="38" t="s">
        <v>62</v>
      </c>
      <c r="R91" s="38" t="s">
        <v>62</v>
      </c>
      <c r="S91" s="34"/>
      <c r="T91" s="34"/>
      <c r="U91" s="34"/>
      <c r="V91" s="8"/>
      <c r="W91" t="s">
        <v>348</v>
      </c>
      <c r="X91"/>
      <c r="Y91" s="34"/>
    </row>
    <row r="92" spans="1:34" ht="15.75" customHeight="1" x14ac:dyDescent="0.15">
      <c r="A92" s="6">
        <v>86</v>
      </c>
      <c r="B92" s="18" t="s">
        <v>75</v>
      </c>
      <c r="C92" s="34" t="s">
        <v>57</v>
      </c>
      <c r="D92" s="75" t="s">
        <v>349</v>
      </c>
      <c r="E92" s="2" t="s">
        <v>169</v>
      </c>
      <c r="F92">
        <v>15128</v>
      </c>
      <c r="G92" s="6">
        <v>10</v>
      </c>
      <c r="H92" s="6" t="s">
        <v>350</v>
      </c>
      <c r="I92" s="34"/>
      <c r="J92" s="38" t="s">
        <v>196</v>
      </c>
      <c r="K92" s="38" t="s">
        <v>197</v>
      </c>
      <c r="L92" s="38" t="s">
        <v>198</v>
      </c>
      <c r="M92" s="38"/>
      <c r="N92" s="19"/>
      <c r="O92" s="76" t="s">
        <v>62</v>
      </c>
      <c r="P92" s="6" t="s">
        <v>62</v>
      </c>
      <c r="Q92" s="38" t="s">
        <v>62</v>
      </c>
      <c r="R92" s="38" t="s">
        <v>62</v>
      </c>
      <c r="S92" s="34"/>
      <c r="T92" s="34"/>
      <c r="U92" s="34"/>
      <c r="V92" s="8"/>
      <c r="W92" t="s">
        <v>351</v>
      </c>
      <c r="Y92" s="34"/>
      <c r="Z92"/>
      <c r="AA92"/>
      <c r="AE92"/>
      <c r="AF92"/>
      <c r="AG92"/>
      <c r="AH92"/>
    </row>
    <row r="93" spans="1:34" s="55" customFormat="1" ht="15.75" customHeight="1" x14ac:dyDescent="0.15">
      <c r="A93" s="6">
        <v>87</v>
      </c>
      <c r="B93" s="18" t="s">
        <v>75</v>
      </c>
      <c r="C93" s="34" t="s">
        <v>57</v>
      </c>
      <c r="D93" s="75" t="s">
        <v>352</v>
      </c>
      <c r="E93" s="2" t="s">
        <v>169</v>
      </c>
      <c r="F93">
        <v>15128</v>
      </c>
      <c r="G93" s="6">
        <v>11</v>
      </c>
      <c r="H93" s="6" t="s">
        <v>353</v>
      </c>
      <c r="I93" s="34"/>
      <c r="J93" s="38" t="s">
        <v>196</v>
      </c>
      <c r="K93" s="38" t="s">
        <v>197</v>
      </c>
      <c r="L93" s="38" t="s">
        <v>198</v>
      </c>
      <c r="M93" s="38"/>
      <c r="N93" s="19"/>
      <c r="O93" s="76" t="s">
        <v>62</v>
      </c>
      <c r="P93" s="6" t="s">
        <v>62</v>
      </c>
      <c r="Q93" s="38" t="s">
        <v>62</v>
      </c>
      <c r="R93" s="38" t="s">
        <v>62</v>
      </c>
      <c r="S93" s="34"/>
      <c r="T93" s="34"/>
      <c r="U93" s="34"/>
      <c r="V93" s="8"/>
      <c r="W93" t="s">
        <v>354</v>
      </c>
      <c r="X93"/>
      <c r="Y93" s="34"/>
    </row>
    <row r="94" spans="1:34" s="55" customFormat="1" ht="15.75" customHeight="1" x14ac:dyDescent="0.15">
      <c r="A94" s="6">
        <v>88</v>
      </c>
      <c r="B94" s="18" t="s">
        <v>75</v>
      </c>
      <c r="C94" s="34" t="s">
        <v>57</v>
      </c>
      <c r="D94" s="75" t="s">
        <v>355</v>
      </c>
      <c r="E94" s="2" t="s">
        <v>169</v>
      </c>
      <c r="F94">
        <v>15128</v>
      </c>
      <c r="G94" s="6">
        <v>12</v>
      </c>
      <c r="H94" s="6" t="s">
        <v>356</v>
      </c>
      <c r="I94" s="34"/>
      <c r="J94" s="38" t="s">
        <v>196</v>
      </c>
      <c r="K94" s="38" t="s">
        <v>197</v>
      </c>
      <c r="L94" s="38" t="s">
        <v>198</v>
      </c>
      <c r="M94" s="38"/>
      <c r="N94" s="19"/>
      <c r="O94" s="76" t="s">
        <v>62</v>
      </c>
      <c r="P94" s="6" t="s">
        <v>62</v>
      </c>
      <c r="Q94" s="38" t="s">
        <v>62</v>
      </c>
      <c r="R94" s="38" t="s">
        <v>62</v>
      </c>
      <c r="S94" s="34"/>
      <c r="T94" s="34"/>
      <c r="U94" s="34"/>
      <c r="V94" s="8"/>
      <c r="W94" t="s">
        <v>357</v>
      </c>
      <c r="X94"/>
      <c r="Y94" s="34"/>
    </row>
    <row r="95" spans="1:34" s="55" customFormat="1" ht="15.75" customHeight="1" x14ac:dyDescent="0.15">
      <c r="A95" s="6">
        <v>89</v>
      </c>
      <c r="B95" s="18" t="s">
        <v>75</v>
      </c>
      <c r="C95" s="34" t="s">
        <v>57</v>
      </c>
      <c r="D95" s="75" t="s">
        <v>358</v>
      </c>
      <c r="E95" s="2" t="s">
        <v>169</v>
      </c>
      <c r="F95">
        <v>15128</v>
      </c>
      <c r="G95" s="6">
        <v>13</v>
      </c>
      <c r="H95" s="6" t="s">
        <v>359</v>
      </c>
      <c r="I95" s="34"/>
      <c r="J95" s="38" t="s">
        <v>196</v>
      </c>
      <c r="K95" s="38" t="s">
        <v>197</v>
      </c>
      <c r="L95" s="38" t="s">
        <v>198</v>
      </c>
      <c r="M95" s="38"/>
      <c r="N95" s="19"/>
      <c r="O95" s="76" t="s">
        <v>62</v>
      </c>
      <c r="P95" s="6" t="s">
        <v>62</v>
      </c>
      <c r="Q95" s="38" t="s">
        <v>62</v>
      </c>
      <c r="R95" s="38" t="s">
        <v>62</v>
      </c>
      <c r="S95" s="34"/>
      <c r="T95" s="34"/>
      <c r="U95" s="34"/>
      <c r="V95" s="8"/>
      <c r="W95" t="s">
        <v>360</v>
      </c>
      <c r="X95"/>
      <c r="Y95" s="34"/>
    </row>
    <row r="96" spans="1:34" s="55" customFormat="1" ht="15.75" customHeight="1" x14ac:dyDescent="0.15">
      <c r="A96" s="6">
        <v>90</v>
      </c>
      <c r="B96" s="18" t="s">
        <v>75</v>
      </c>
      <c r="C96" s="34" t="s">
        <v>57</v>
      </c>
      <c r="D96" s="75" t="s">
        <v>361</v>
      </c>
      <c r="E96" s="2" t="s">
        <v>169</v>
      </c>
      <c r="F96">
        <v>15128</v>
      </c>
      <c r="G96" s="6">
        <v>14</v>
      </c>
      <c r="H96" s="6" t="s">
        <v>362</v>
      </c>
      <c r="I96" s="34"/>
      <c r="J96" s="38" t="s">
        <v>196</v>
      </c>
      <c r="K96" s="38" t="s">
        <v>197</v>
      </c>
      <c r="L96" s="38" t="s">
        <v>198</v>
      </c>
      <c r="M96" s="38"/>
      <c r="N96" s="19"/>
      <c r="O96" s="76" t="s">
        <v>62</v>
      </c>
      <c r="P96" s="6" t="s">
        <v>62</v>
      </c>
      <c r="Q96" s="38" t="s">
        <v>62</v>
      </c>
      <c r="R96" s="38" t="s">
        <v>62</v>
      </c>
      <c r="S96" s="34"/>
      <c r="T96" s="34"/>
      <c r="U96" s="34"/>
      <c r="V96" s="8"/>
      <c r="W96" t="s">
        <v>363</v>
      </c>
      <c r="X96"/>
      <c r="Y96" s="34"/>
    </row>
    <row r="97" spans="1:34" s="55" customFormat="1" ht="15.75" customHeight="1" x14ac:dyDescent="0.15">
      <c r="A97" s="6">
        <v>91</v>
      </c>
      <c r="B97" s="18" t="s">
        <v>75</v>
      </c>
      <c r="C97" s="34" t="s">
        <v>57</v>
      </c>
      <c r="D97" s="75" t="s">
        <v>364</v>
      </c>
      <c r="E97" s="2" t="s">
        <v>169</v>
      </c>
      <c r="F97">
        <v>15128</v>
      </c>
      <c r="G97" s="6">
        <v>15</v>
      </c>
      <c r="H97" s="6" t="s">
        <v>365</v>
      </c>
      <c r="I97" s="34"/>
      <c r="J97" s="38" t="s">
        <v>196</v>
      </c>
      <c r="K97" s="38" t="s">
        <v>197</v>
      </c>
      <c r="L97" s="38" t="s">
        <v>198</v>
      </c>
      <c r="M97" s="38"/>
      <c r="N97" s="19"/>
      <c r="O97" s="76" t="s">
        <v>62</v>
      </c>
      <c r="P97" s="6" t="s">
        <v>62</v>
      </c>
      <c r="Q97" s="38" t="s">
        <v>62</v>
      </c>
      <c r="R97" s="38" t="s">
        <v>62</v>
      </c>
      <c r="S97" s="34"/>
      <c r="T97" s="34"/>
      <c r="U97" s="34"/>
      <c r="V97" s="8"/>
      <c r="W97" t="s">
        <v>366</v>
      </c>
      <c r="X97"/>
      <c r="Y97" s="34"/>
    </row>
    <row r="98" spans="1:34" s="55" customFormat="1" ht="15.75" customHeight="1" x14ac:dyDescent="0.15">
      <c r="A98" s="6">
        <v>92</v>
      </c>
      <c r="B98" s="18" t="s">
        <v>75</v>
      </c>
      <c r="C98" s="34" t="s">
        <v>57</v>
      </c>
      <c r="D98" s="75" t="s">
        <v>367</v>
      </c>
      <c r="E98" s="2" t="s">
        <v>169</v>
      </c>
      <c r="F98">
        <v>15128</v>
      </c>
      <c r="G98" s="6">
        <v>16</v>
      </c>
      <c r="H98" s="6" t="s">
        <v>368</v>
      </c>
      <c r="I98" s="34"/>
      <c r="J98" s="38" t="s">
        <v>196</v>
      </c>
      <c r="K98" s="38" t="s">
        <v>197</v>
      </c>
      <c r="L98" s="38" t="s">
        <v>198</v>
      </c>
      <c r="M98" s="38"/>
      <c r="N98" s="19"/>
      <c r="O98" s="76" t="s">
        <v>62</v>
      </c>
      <c r="P98" s="6" t="s">
        <v>62</v>
      </c>
      <c r="Q98" s="38" t="s">
        <v>62</v>
      </c>
      <c r="R98" s="38" t="s">
        <v>62</v>
      </c>
      <c r="S98" s="34"/>
      <c r="T98" s="34"/>
      <c r="U98" s="34"/>
      <c r="V98" s="8"/>
      <c r="W98" t="s">
        <v>369</v>
      </c>
      <c r="X98"/>
      <c r="Y98" s="34"/>
    </row>
    <row r="99" spans="1:34" s="55" customFormat="1" ht="15.75" customHeight="1" x14ac:dyDescent="0.15">
      <c r="A99" s="6">
        <v>93</v>
      </c>
      <c r="B99" s="18" t="s">
        <v>75</v>
      </c>
      <c r="C99" s="34" t="s">
        <v>57</v>
      </c>
      <c r="D99" s="75" t="s">
        <v>370</v>
      </c>
      <c r="E99" s="2" t="s">
        <v>169</v>
      </c>
      <c r="F99">
        <v>15128</v>
      </c>
      <c r="G99" s="6">
        <v>17</v>
      </c>
      <c r="H99" s="6" t="s">
        <v>371</v>
      </c>
      <c r="I99" s="34"/>
      <c r="J99" s="38" t="s">
        <v>196</v>
      </c>
      <c r="K99" s="38" t="s">
        <v>197</v>
      </c>
      <c r="L99" s="38" t="s">
        <v>198</v>
      </c>
      <c r="M99" s="38"/>
      <c r="N99" s="19"/>
      <c r="O99" s="76" t="s">
        <v>62</v>
      </c>
      <c r="P99" s="6" t="s">
        <v>62</v>
      </c>
      <c r="Q99" s="38" t="s">
        <v>62</v>
      </c>
      <c r="R99" s="38" t="s">
        <v>62</v>
      </c>
      <c r="S99" s="34"/>
      <c r="T99" s="34"/>
      <c r="U99" s="34"/>
      <c r="V99" s="8"/>
      <c r="W99" t="s">
        <v>372</v>
      </c>
      <c r="X99"/>
      <c r="Y99" s="34"/>
    </row>
    <row r="100" spans="1:34" s="55" customFormat="1" ht="15.75" customHeight="1" x14ac:dyDescent="0.15">
      <c r="A100" s="6">
        <v>94</v>
      </c>
      <c r="B100" s="18" t="s">
        <v>75</v>
      </c>
      <c r="C100" s="34" t="s">
        <v>57</v>
      </c>
      <c r="D100" s="75" t="s">
        <v>373</v>
      </c>
      <c r="E100" s="2" t="s">
        <v>169</v>
      </c>
      <c r="F100">
        <v>15128</v>
      </c>
      <c r="G100" s="6">
        <v>18</v>
      </c>
      <c r="H100" s="6" t="s">
        <v>374</v>
      </c>
      <c r="I100" s="34"/>
      <c r="J100" s="38" t="s">
        <v>196</v>
      </c>
      <c r="K100" s="38" t="s">
        <v>197</v>
      </c>
      <c r="L100" s="38" t="s">
        <v>198</v>
      </c>
      <c r="M100" s="38"/>
      <c r="N100" s="19"/>
      <c r="O100" s="76" t="s">
        <v>62</v>
      </c>
      <c r="P100" s="6" t="s">
        <v>62</v>
      </c>
      <c r="Q100" s="38" t="s">
        <v>62</v>
      </c>
      <c r="R100" s="38" t="s">
        <v>62</v>
      </c>
      <c r="S100" s="34"/>
      <c r="T100" s="34"/>
      <c r="U100" s="34"/>
      <c r="V100" s="8"/>
      <c r="W100" t="s">
        <v>375</v>
      </c>
      <c r="X100"/>
      <c r="Y100" s="34"/>
    </row>
    <row r="101" spans="1:34" s="55" customFormat="1" ht="15.75" customHeight="1" x14ac:dyDescent="0.15">
      <c r="A101" s="6">
        <v>95</v>
      </c>
      <c r="B101" s="18" t="s">
        <v>75</v>
      </c>
      <c r="C101" s="34" t="s">
        <v>57</v>
      </c>
      <c r="D101" s="75" t="s">
        <v>376</v>
      </c>
      <c r="E101" s="2" t="s">
        <v>169</v>
      </c>
      <c r="F101">
        <v>15128</v>
      </c>
      <c r="G101" s="6">
        <v>19</v>
      </c>
      <c r="H101" s="6" t="s">
        <v>377</v>
      </c>
      <c r="I101" s="34"/>
      <c r="J101" s="38" t="s">
        <v>196</v>
      </c>
      <c r="K101" s="38" t="s">
        <v>197</v>
      </c>
      <c r="L101" s="38" t="s">
        <v>198</v>
      </c>
      <c r="M101" s="38"/>
      <c r="N101" s="19"/>
      <c r="O101" s="76" t="s">
        <v>62</v>
      </c>
      <c r="P101" s="6" t="s">
        <v>62</v>
      </c>
      <c r="Q101" s="38" t="s">
        <v>62</v>
      </c>
      <c r="R101" s="38" t="s">
        <v>62</v>
      </c>
      <c r="S101" s="34"/>
      <c r="T101" s="34"/>
      <c r="U101" s="34"/>
      <c r="V101" s="8"/>
      <c r="W101" t="s">
        <v>378</v>
      </c>
      <c r="X101"/>
      <c r="Y101" s="34"/>
    </row>
    <row r="102" spans="1:34" s="55" customFormat="1" ht="15.75" customHeight="1" x14ac:dyDescent="0.15">
      <c r="A102" s="6">
        <v>96</v>
      </c>
      <c r="B102" s="18" t="s">
        <v>75</v>
      </c>
      <c r="C102" s="34" t="s">
        <v>57</v>
      </c>
      <c r="D102" s="75" t="s">
        <v>379</v>
      </c>
      <c r="E102" s="2" t="s">
        <v>169</v>
      </c>
      <c r="F102">
        <v>15128</v>
      </c>
      <c r="G102" s="6">
        <v>20</v>
      </c>
      <c r="H102" s="6" t="s">
        <v>380</v>
      </c>
      <c r="I102" s="34"/>
      <c r="J102" s="38" t="s">
        <v>196</v>
      </c>
      <c r="K102" s="38" t="s">
        <v>197</v>
      </c>
      <c r="L102" s="38" t="s">
        <v>198</v>
      </c>
      <c r="M102" s="38"/>
      <c r="N102" s="19"/>
      <c r="O102" s="76" t="s">
        <v>62</v>
      </c>
      <c r="P102" s="6" t="s">
        <v>62</v>
      </c>
      <c r="Q102" s="38" t="s">
        <v>62</v>
      </c>
      <c r="R102" s="38" t="s">
        <v>62</v>
      </c>
      <c r="S102" s="34"/>
      <c r="T102" s="34"/>
      <c r="U102" s="34"/>
      <c r="V102" s="8"/>
      <c r="W102" t="s">
        <v>381</v>
      </c>
      <c r="X102"/>
      <c r="Y102" s="34"/>
    </row>
    <row r="103" spans="1:34" ht="15.75" customHeight="1" x14ac:dyDescent="0.15">
      <c r="A103" s="6">
        <v>97</v>
      </c>
      <c r="B103" s="18" t="s">
        <v>75</v>
      </c>
      <c r="C103" s="34" t="s">
        <v>57</v>
      </c>
      <c r="D103" s="75" t="s">
        <v>382</v>
      </c>
      <c r="E103" s="2" t="s">
        <v>169</v>
      </c>
      <c r="F103">
        <v>15128</v>
      </c>
      <c r="G103" s="6">
        <v>21</v>
      </c>
      <c r="H103" s="6" t="s">
        <v>383</v>
      </c>
      <c r="I103" s="34"/>
      <c r="J103" s="38" t="s">
        <v>196</v>
      </c>
      <c r="K103" s="38" t="s">
        <v>197</v>
      </c>
      <c r="L103" s="38" t="s">
        <v>198</v>
      </c>
      <c r="M103" s="38"/>
      <c r="N103" s="19"/>
      <c r="O103" s="76" t="s">
        <v>62</v>
      </c>
      <c r="P103" s="6" t="s">
        <v>62</v>
      </c>
      <c r="Q103" s="38" t="s">
        <v>62</v>
      </c>
      <c r="R103" s="38" t="s">
        <v>62</v>
      </c>
      <c r="S103" s="34"/>
      <c r="T103" s="34"/>
      <c r="U103" s="34"/>
      <c r="V103" s="8"/>
      <c r="W103" t="s">
        <v>384</v>
      </c>
      <c r="Y103" s="34"/>
      <c r="Z103"/>
      <c r="AA103"/>
      <c r="AE103"/>
      <c r="AF103"/>
      <c r="AG103"/>
      <c r="AH103"/>
    </row>
    <row r="104" spans="1:34" ht="15.75" customHeight="1" x14ac:dyDescent="0.15">
      <c r="A104" s="6">
        <v>98</v>
      </c>
      <c r="B104" s="18" t="s">
        <v>75</v>
      </c>
      <c r="C104" s="34" t="s">
        <v>57</v>
      </c>
      <c r="D104" s="75" t="s">
        <v>385</v>
      </c>
      <c r="E104" s="2" t="s">
        <v>169</v>
      </c>
      <c r="F104">
        <v>15128</v>
      </c>
      <c r="G104" s="6">
        <v>22</v>
      </c>
      <c r="H104" s="6" t="s">
        <v>386</v>
      </c>
      <c r="I104" s="34"/>
      <c r="J104" s="38" t="s">
        <v>196</v>
      </c>
      <c r="K104" s="38" t="s">
        <v>197</v>
      </c>
      <c r="L104" s="38" t="s">
        <v>198</v>
      </c>
      <c r="M104" s="38"/>
      <c r="N104" s="19"/>
      <c r="O104" s="76" t="s">
        <v>62</v>
      </c>
      <c r="P104" s="6" t="s">
        <v>62</v>
      </c>
      <c r="Q104" s="38" t="s">
        <v>62</v>
      </c>
      <c r="R104" s="38" t="s">
        <v>62</v>
      </c>
      <c r="S104" s="34"/>
      <c r="T104" s="34"/>
      <c r="U104" s="34"/>
      <c r="V104" s="8"/>
      <c r="W104" t="s">
        <v>387</v>
      </c>
      <c r="Y104" s="34"/>
      <c r="Z104"/>
      <c r="AA104"/>
      <c r="AE104"/>
      <c r="AF104"/>
      <c r="AG104"/>
      <c r="AH104"/>
    </row>
    <row r="105" spans="1:34" ht="15.75" customHeight="1" x14ac:dyDescent="0.15">
      <c r="A105" s="6">
        <v>99</v>
      </c>
      <c r="B105" s="18" t="s">
        <v>75</v>
      </c>
      <c r="C105" s="34" t="s">
        <v>57</v>
      </c>
      <c r="D105" s="75" t="s">
        <v>388</v>
      </c>
      <c r="E105" s="2" t="s">
        <v>169</v>
      </c>
      <c r="F105">
        <v>15128</v>
      </c>
      <c r="G105" s="6">
        <v>23</v>
      </c>
      <c r="H105" s="6" t="s">
        <v>389</v>
      </c>
      <c r="I105" s="34"/>
      <c r="J105" s="38" t="s">
        <v>196</v>
      </c>
      <c r="K105" s="38" t="s">
        <v>197</v>
      </c>
      <c r="L105" s="38" t="s">
        <v>198</v>
      </c>
      <c r="M105" s="38"/>
      <c r="N105" s="19"/>
      <c r="O105" s="76" t="s">
        <v>62</v>
      </c>
      <c r="P105" s="6" t="s">
        <v>62</v>
      </c>
      <c r="Q105" s="38" t="s">
        <v>62</v>
      </c>
      <c r="R105" s="38" t="s">
        <v>62</v>
      </c>
      <c r="S105" s="34"/>
      <c r="T105" s="34"/>
      <c r="U105" s="34"/>
      <c r="V105" s="8"/>
      <c r="W105" t="s">
        <v>390</v>
      </c>
      <c r="Y105" s="34"/>
      <c r="Z105"/>
      <c r="AA105"/>
      <c r="AE105"/>
      <c r="AF105"/>
      <c r="AG105"/>
      <c r="AH105"/>
    </row>
    <row r="106" spans="1:34" s="59" customFormat="1" ht="15.75" customHeight="1" x14ac:dyDescent="0.15">
      <c r="A106" s="6">
        <v>100</v>
      </c>
      <c r="B106" s="18" t="s">
        <v>75</v>
      </c>
      <c r="C106" s="34" t="s">
        <v>57</v>
      </c>
      <c r="D106" s="75" t="s">
        <v>391</v>
      </c>
      <c r="E106" s="2" t="s">
        <v>219</v>
      </c>
      <c r="F106">
        <v>15130</v>
      </c>
      <c r="G106" s="6"/>
      <c r="H106" s="6" t="s">
        <v>392</v>
      </c>
      <c r="I106" s="34"/>
      <c r="J106" s="38"/>
      <c r="K106" s="38"/>
      <c r="L106" s="38"/>
      <c r="M106" s="38"/>
      <c r="N106" s="19"/>
      <c r="O106" s="76" t="s">
        <v>62</v>
      </c>
      <c r="P106" s="6" t="s">
        <v>62</v>
      </c>
      <c r="Q106" s="38" t="s">
        <v>62</v>
      </c>
      <c r="R106" s="38" t="s">
        <v>62</v>
      </c>
      <c r="S106" s="34"/>
      <c r="T106" s="34"/>
      <c r="U106" s="34"/>
      <c r="V106" s="8"/>
      <c r="W106" t="s">
        <v>393</v>
      </c>
      <c r="X106"/>
      <c r="Y106" s="34"/>
    </row>
    <row r="107" spans="1:34" s="59" customFormat="1" ht="15.75" customHeight="1" x14ac:dyDescent="0.15">
      <c r="A107" s="6">
        <v>101</v>
      </c>
      <c r="B107" s="18" t="s">
        <v>75</v>
      </c>
      <c r="C107" s="34" t="s">
        <v>57</v>
      </c>
      <c r="D107" s="75" t="s">
        <v>394</v>
      </c>
      <c r="E107" s="2" t="s">
        <v>169</v>
      </c>
      <c r="F107">
        <v>15130</v>
      </c>
      <c r="G107" s="6">
        <v>0</v>
      </c>
      <c r="H107" s="6" t="s">
        <v>395</v>
      </c>
      <c r="I107" s="34"/>
      <c r="J107" s="38" t="s">
        <v>196</v>
      </c>
      <c r="K107" s="38" t="s">
        <v>197</v>
      </c>
      <c r="L107" s="38" t="s">
        <v>198</v>
      </c>
      <c r="M107" s="38"/>
      <c r="N107" s="19"/>
      <c r="O107" s="76" t="s">
        <v>62</v>
      </c>
      <c r="P107" s="6" t="s">
        <v>62</v>
      </c>
      <c r="Q107" s="38" t="s">
        <v>62</v>
      </c>
      <c r="R107" s="38" t="s">
        <v>62</v>
      </c>
      <c r="S107" s="34"/>
      <c r="T107" s="34"/>
      <c r="U107" s="34"/>
      <c r="V107" s="8"/>
      <c r="W107" t="s">
        <v>396</v>
      </c>
      <c r="X107"/>
      <c r="Y107" s="34"/>
    </row>
    <row r="108" spans="1:34" ht="15.75" customHeight="1" x14ac:dyDescent="0.15">
      <c r="A108" s="6">
        <v>102</v>
      </c>
      <c r="B108" s="18" t="s">
        <v>75</v>
      </c>
      <c r="C108" s="34" t="s">
        <v>57</v>
      </c>
      <c r="D108" s="75" t="s">
        <v>397</v>
      </c>
      <c r="E108" s="2" t="s">
        <v>169</v>
      </c>
      <c r="F108">
        <v>15130</v>
      </c>
      <c r="G108" s="6">
        <v>1</v>
      </c>
      <c r="H108" s="6" t="s">
        <v>398</v>
      </c>
      <c r="I108" s="34"/>
      <c r="J108" s="38" t="s">
        <v>171</v>
      </c>
      <c r="K108" s="38" t="s">
        <v>172</v>
      </c>
      <c r="L108" s="38" t="s">
        <v>173</v>
      </c>
      <c r="M108" s="38"/>
      <c r="N108" s="19"/>
      <c r="O108" s="76" t="s">
        <v>62</v>
      </c>
      <c r="P108" s="6" t="s">
        <v>62</v>
      </c>
      <c r="Q108" s="38" t="s">
        <v>62</v>
      </c>
      <c r="R108" s="38" t="s">
        <v>62</v>
      </c>
      <c r="S108" s="34"/>
      <c r="T108" s="34"/>
      <c r="U108" s="34"/>
      <c r="V108" s="8"/>
      <c r="W108" t="s">
        <v>399</v>
      </c>
      <c r="Y108" s="34"/>
      <c r="Z108"/>
      <c r="AA108"/>
      <c r="AE108"/>
      <c r="AF108"/>
      <c r="AG108"/>
      <c r="AH108"/>
    </row>
    <row r="109" spans="1:34" ht="15.75" customHeight="1" x14ac:dyDescent="0.15">
      <c r="A109" s="6">
        <v>103</v>
      </c>
      <c r="B109" s="18" t="s">
        <v>75</v>
      </c>
      <c r="C109" s="34" t="s">
        <v>57</v>
      </c>
      <c r="D109" s="75" t="s">
        <v>400</v>
      </c>
      <c r="E109" s="2" t="s">
        <v>169</v>
      </c>
      <c r="F109">
        <v>15130</v>
      </c>
      <c r="G109" s="6">
        <v>6</v>
      </c>
      <c r="H109" s="6" t="s">
        <v>401</v>
      </c>
      <c r="I109" s="34"/>
      <c r="J109" s="38" t="s">
        <v>171</v>
      </c>
      <c r="K109" s="38" t="s">
        <v>197</v>
      </c>
      <c r="L109" s="38" t="s">
        <v>198</v>
      </c>
      <c r="M109" s="38"/>
      <c r="N109" s="19"/>
      <c r="O109" s="76" t="s">
        <v>62</v>
      </c>
      <c r="P109" s="6" t="s">
        <v>62</v>
      </c>
      <c r="Q109" s="38" t="s">
        <v>62</v>
      </c>
      <c r="R109" s="38" t="s">
        <v>62</v>
      </c>
      <c r="S109" s="34"/>
      <c r="T109" s="34"/>
      <c r="U109" s="34"/>
      <c r="V109" s="8"/>
      <c r="W109" t="s">
        <v>402</v>
      </c>
      <c r="Y109" s="34"/>
      <c r="Z109"/>
      <c r="AA109"/>
      <c r="AE109"/>
      <c r="AF109"/>
      <c r="AG109"/>
      <c r="AH109"/>
    </row>
    <row r="110" spans="1:34" ht="15.75" customHeight="1" x14ac:dyDescent="0.15">
      <c r="A110" s="6">
        <v>104</v>
      </c>
      <c r="B110" s="18" t="s">
        <v>75</v>
      </c>
      <c r="C110" s="34" t="s">
        <v>57</v>
      </c>
      <c r="D110" s="75" t="s">
        <v>403</v>
      </c>
      <c r="E110" s="2" t="s">
        <v>169</v>
      </c>
      <c r="F110">
        <v>15130</v>
      </c>
      <c r="G110" s="6">
        <v>7</v>
      </c>
      <c r="H110" s="6" t="s">
        <v>404</v>
      </c>
      <c r="I110" s="34"/>
      <c r="J110" s="38" t="s">
        <v>171</v>
      </c>
      <c r="K110" s="38" t="s">
        <v>198</v>
      </c>
      <c r="L110" s="38" t="s">
        <v>197</v>
      </c>
      <c r="M110" s="38"/>
      <c r="N110" s="19"/>
      <c r="O110" s="76" t="s">
        <v>62</v>
      </c>
      <c r="P110" s="6" t="s">
        <v>62</v>
      </c>
      <c r="Q110" s="38" t="s">
        <v>62</v>
      </c>
      <c r="R110" s="38" t="s">
        <v>62</v>
      </c>
      <c r="S110" s="34"/>
      <c r="T110" s="34"/>
      <c r="U110" s="34"/>
      <c r="V110" s="8"/>
      <c r="W110" t="s">
        <v>405</v>
      </c>
      <c r="Y110" s="34"/>
      <c r="Z110"/>
      <c r="AA110"/>
      <c r="AE110"/>
      <c r="AF110"/>
      <c r="AG110"/>
      <c r="AH110"/>
    </row>
    <row r="111" spans="1:34" ht="15.75" customHeight="1" x14ac:dyDescent="0.15">
      <c r="A111" s="6">
        <v>105</v>
      </c>
      <c r="B111" s="18" t="s">
        <v>75</v>
      </c>
      <c r="C111" s="34" t="s">
        <v>57</v>
      </c>
      <c r="D111" s="75" t="s">
        <v>406</v>
      </c>
      <c r="E111" s="2" t="s">
        <v>169</v>
      </c>
      <c r="F111">
        <v>15130</v>
      </c>
      <c r="G111" s="6">
        <v>8</v>
      </c>
      <c r="H111" s="6" t="s">
        <v>407</v>
      </c>
      <c r="I111" s="34"/>
      <c r="J111" s="38" t="s">
        <v>171</v>
      </c>
      <c r="K111" s="38" t="s">
        <v>177</v>
      </c>
      <c r="L111" s="38" t="s">
        <v>173</v>
      </c>
      <c r="M111" s="38"/>
      <c r="N111" s="19"/>
      <c r="O111" s="76" t="s">
        <v>62</v>
      </c>
      <c r="P111" s="6" t="s">
        <v>62</v>
      </c>
      <c r="Q111" s="38" t="s">
        <v>62</v>
      </c>
      <c r="R111" s="38" t="s">
        <v>62</v>
      </c>
      <c r="S111" s="34"/>
      <c r="T111" s="34"/>
      <c r="U111" s="34"/>
      <c r="V111" s="8"/>
      <c r="W111" t="s">
        <v>408</v>
      </c>
      <c r="Y111" s="34"/>
      <c r="Z111"/>
      <c r="AA111"/>
      <c r="AE111"/>
      <c r="AF111"/>
      <c r="AG111"/>
      <c r="AH111"/>
    </row>
    <row r="112" spans="1:34" ht="15.75" customHeight="1" x14ac:dyDescent="0.15">
      <c r="A112" s="6">
        <v>106</v>
      </c>
      <c r="B112" s="18" t="s">
        <v>75</v>
      </c>
      <c r="C112" s="34" t="s">
        <v>57</v>
      </c>
      <c r="D112" s="75" t="s">
        <v>409</v>
      </c>
      <c r="E112" s="2" t="s">
        <v>169</v>
      </c>
      <c r="F112">
        <v>15130</v>
      </c>
      <c r="G112" s="6">
        <v>9</v>
      </c>
      <c r="H112" s="6" t="s">
        <v>410</v>
      </c>
      <c r="I112" s="34"/>
      <c r="J112" s="38" t="s">
        <v>171</v>
      </c>
      <c r="K112" s="38" t="s">
        <v>177</v>
      </c>
      <c r="L112" s="38" t="s">
        <v>173</v>
      </c>
      <c r="M112" s="38"/>
      <c r="N112" s="19"/>
      <c r="O112" s="76" t="s">
        <v>62</v>
      </c>
      <c r="P112" s="6" t="s">
        <v>62</v>
      </c>
      <c r="Q112" s="38" t="s">
        <v>62</v>
      </c>
      <c r="R112" s="38" t="s">
        <v>62</v>
      </c>
      <c r="S112" s="34"/>
      <c r="T112" s="34"/>
      <c r="U112" s="34"/>
      <c r="V112" s="8"/>
      <c r="W112" t="s">
        <v>411</v>
      </c>
      <c r="Y112" s="34"/>
      <c r="Z112"/>
      <c r="AA112"/>
      <c r="AE112"/>
      <c r="AF112"/>
      <c r="AG112"/>
      <c r="AH112"/>
    </row>
    <row r="113" spans="1:34" s="59" customFormat="1" ht="15.75" customHeight="1" x14ac:dyDescent="0.15">
      <c r="A113" s="6">
        <v>107</v>
      </c>
      <c r="B113" s="18" t="s">
        <v>75</v>
      </c>
      <c r="C113" s="34" t="s">
        <v>57</v>
      </c>
      <c r="D113" s="75" t="s">
        <v>412</v>
      </c>
      <c r="E113" s="2" t="s">
        <v>169</v>
      </c>
      <c r="F113">
        <v>15130</v>
      </c>
      <c r="G113" s="6">
        <v>11</v>
      </c>
      <c r="H113" s="6" t="s">
        <v>413</v>
      </c>
      <c r="I113" s="34"/>
      <c r="J113" s="38" t="s">
        <v>196</v>
      </c>
      <c r="K113" s="38" t="s">
        <v>197</v>
      </c>
      <c r="L113" s="38" t="s">
        <v>198</v>
      </c>
      <c r="M113" s="38"/>
      <c r="N113" s="19"/>
      <c r="O113" s="76" t="s">
        <v>62</v>
      </c>
      <c r="P113" s="6" t="s">
        <v>62</v>
      </c>
      <c r="Q113" s="38" t="s">
        <v>62</v>
      </c>
      <c r="R113" s="38" t="s">
        <v>62</v>
      </c>
      <c r="S113" s="34"/>
      <c r="T113" s="34"/>
      <c r="U113" s="34"/>
      <c r="V113" s="8"/>
      <c r="W113" t="s">
        <v>414</v>
      </c>
      <c r="X113"/>
      <c r="Y113" s="34"/>
    </row>
    <row r="114" spans="1:34" s="59" customFormat="1" ht="15.75" customHeight="1" x14ac:dyDescent="0.15">
      <c r="A114" s="6">
        <v>108</v>
      </c>
      <c r="B114" s="18" t="s">
        <v>75</v>
      </c>
      <c r="C114" s="34" t="s">
        <v>57</v>
      </c>
      <c r="D114" s="75" t="s">
        <v>415</v>
      </c>
      <c r="E114" s="2" t="s">
        <v>169</v>
      </c>
      <c r="F114">
        <v>15130</v>
      </c>
      <c r="G114" s="6">
        <v>12</v>
      </c>
      <c r="H114" s="6" t="s">
        <v>416</v>
      </c>
      <c r="I114" s="34"/>
      <c r="J114" s="38" t="s">
        <v>196</v>
      </c>
      <c r="K114" s="38" t="s">
        <v>197</v>
      </c>
      <c r="L114" s="38" t="s">
        <v>198</v>
      </c>
      <c r="M114" s="38"/>
      <c r="N114" s="19"/>
      <c r="O114" s="76" t="s">
        <v>62</v>
      </c>
      <c r="P114" s="6" t="s">
        <v>62</v>
      </c>
      <c r="Q114" s="38" t="s">
        <v>62</v>
      </c>
      <c r="R114" s="38" t="s">
        <v>62</v>
      </c>
      <c r="S114" s="34"/>
      <c r="T114" s="34"/>
      <c r="U114" s="34"/>
      <c r="V114" s="8"/>
      <c r="W114" t="s">
        <v>417</v>
      </c>
      <c r="X114"/>
      <c r="Y114" s="34"/>
    </row>
    <row r="115" spans="1:34" s="55" customFormat="1" ht="15.75" customHeight="1" x14ac:dyDescent="0.15">
      <c r="A115" s="6">
        <v>109</v>
      </c>
      <c r="B115" s="18" t="s">
        <v>75</v>
      </c>
      <c r="C115" s="34" t="s">
        <v>57</v>
      </c>
      <c r="D115" s="75" t="s">
        <v>418</v>
      </c>
      <c r="E115" s="2" t="s">
        <v>169</v>
      </c>
      <c r="F115">
        <v>15130</v>
      </c>
      <c r="G115" s="6">
        <v>13</v>
      </c>
      <c r="H115" s="6" t="s">
        <v>419</v>
      </c>
      <c r="I115" s="34"/>
      <c r="J115" s="38" t="s">
        <v>196</v>
      </c>
      <c r="K115" s="38" t="s">
        <v>197</v>
      </c>
      <c r="L115" s="38" t="s">
        <v>198</v>
      </c>
      <c r="M115" s="38"/>
      <c r="N115" s="19"/>
      <c r="O115" s="76" t="s">
        <v>62</v>
      </c>
      <c r="P115" s="6" t="s">
        <v>62</v>
      </c>
      <c r="Q115" s="38" t="s">
        <v>62</v>
      </c>
      <c r="R115" s="38" t="s">
        <v>62</v>
      </c>
      <c r="S115" s="34"/>
      <c r="T115" s="34"/>
      <c r="U115" s="34"/>
      <c r="V115" s="8"/>
      <c r="W115" t="s">
        <v>420</v>
      </c>
      <c r="X115"/>
      <c r="Y115" s="34"/>
    </row>
    <row r="116" spans="1:34" s="55" customFormat="1" ht="15.75" customHeight="1" x14ac:dyDescent="0.15">
      <c r="A116" s="6">
        <v>110</v>
      </c>
      <c r="B116" s="18" t="s">
        <v>75</v>
      </c>
      <c r="C116" s="34" t="s">
        <v>57</v>
      </c>
      <c r="D116" s="75" t="s">
        <v>421</v>
      </c>
      <c r="E116" s="2" t="s">
        <v>169</v>
      </c>
      <c r="F116">
        <v>15130</v>
      </c>
      <c r="G116" s="6">
        <v>14</v>
      </c>
      <c r="H116" s="6" t="s">
        <v>422</v>
      </c>
      <c r="I116" s="34"/>
      <c r="J116" s="38" t="s">
        <v>196</v>
      </c>
      <c r="K116" s="38" t="s">
        <v>197</v>
      </c>
      <c r="L116" s="38" t="s">
        <v>198</v>
      </c>
      <c r="M116" s="38"/>
      <c r="N116" s="19"/>
      <c r="O116" s="76" t="s">
        <v>62</v>
      </c>
      <c r="P116" s="6" t="s">
        <v>62</v>
      </c>
      <c r="Q116" s="38" t="s">
        <v>62</v>
      </c>
      <c r="R116" s="38" t="s">
        <v>62</v>
      </c>
      <c r="S116" s="34"/>
      <c r="T116" s="34"/>
      <c r="U116" s="34"/>
      <c r="V116" s="8"/>
      <c r="W116" t="s">
        <v>423</v>
      </c>
      <c r="X116"/>
      <c r="Y116" s="34"/>
    </row>
    <row r="117" spans="1:34" s="55" customFormat="1" ht="15.75" customHeight="1" x14ac:dyDescent="0.15">
      <c r="A117" s="6">
        <v>111</v>
      </c>
      <c r="B117" s="18" t="s">
        <v>75</v>
      </c>
      <c r="C117" s="34" t="s">
        <v>57</v>
      </c>
      <c r="D117" s="75" t="s">
        <v>424</v>
      </c>
      <c r="E117" s="2" t="s">
        <v>169</v>
      </c>
      <c r="F117">
        <v>15130</v>
      </c>
      <c r="G117" s="6">
        <v>15</v>
      </c>
      <c r="H117" s="6" t="s">
        <v>425</v>
      </c>
      <c r="I117" s="34"/>
      <c r="J117" s="38" t="s">
        <v>171</v>
      </c>
      <c r="K117" s="38" t="s">
        <v>172</v>
      </c>
      <c r="L117" s="38" t="s">
        <v>173</v>
      </c>
      <c r="M117" s="38"/>
      <c r="N117" s="19"/>
      <c r="O117" s="76" t="s">
        <v>62</v>
      </c>
      <c r="P117" s="6" t="s">
        <v>62</v>
      </c>
      <c r="Q117" s="38" t="s">
        <v>62</v>
      </c>
      <c r="R117" s="38" t="s">
        <v>62</v>
      </c>
      <c r="S117" s="34"/>
      <c r="T117" s="34"/>
      <c r="U117" s="34"/>
      <c r="V117" s="8"/>
      <c r="W117" t="s">
        <v>426</v>
      </c>
      <c r="X117"/>
      <c r="Y117" s="34"/>
    </row>
    <row r="118" spans="1:34" s="55" customFormat="1" ht="15.75" customHeight="1" x14ac:dyDescent="0.15">
      <c r="A118" s="6">
        <v>112</v>
      </c>
      <c r="B118" s="18" t="s">
        <v>75</v>
      </c>
      <c r="C118" s="34" t="s">
        <v>57</v>
      </c>
      <c r="D118" s="75" t="s">
        <v>427</v>
      </c>
      <c r="E118" s="2" t="s">
        <v>169</v>
      </c>
      <c r="F118">
        <v>15130</v>
      </c>
      <c r="G118" s="6">
        <v>18</v>
      </c>
      <c r="H118" s="6" t="s">
        <v>428</v>
      </c>
      <c r="I118" s="34"/>
      <c r="J118" s="38" t="s">
        <v>196</v>
      </c>
      <c r="K118" s="38" t="s">
        <v>197</v>
      </c>
      <c r="L118" s="38" t="s">
        <v>198</v>
      </c>
      <c r="M118" s="38"/>
      <c r="N118" s="19"/>
      <c r="O118" s="76" t="s">
        <v>62</v>
      </c>
      <c r="P118" s="6" t="s">
        <v>62</v>
      </c>
      <c r="Q118" s="38" t="s">
        <v>62</v>
      </c>
      <c r="R118" s="38" t="s">
        <v>62</v>
      </c>
      <c r="S118" s="34"/>
      <c r="T118" s="34"/>
      <c r="U118" s="34"/>
      <c r="V118" s="8"/>
      <c r="W118" t="s">
        <v>429</v>
      </c>
      <c r="X118"/>
      <c r="Y118" s="34"/>
    </row>
    <row r="119" spans="1:34" s="55" customFormat="1" ht="15.75" customHeight="1" x14ac:dyDescent="0.15">
      <c r="A119" s="6">
        <v>113</v>
      </c>
      <c r="B119" s="18" t="s">
        <v>75</v>
      </c>
      <c r="C119" s="34" t="s">
        <v>57</v>
      </c>
      <c r="D119" s="75" t="s">
        <v>430</v>
      </c>
      <c r="E119" s="2" t="s">
        <v>169</v>
      </c>
      <c r="F119">
        <v>15130</v>
      </c>
      <c r="G119" s="6">
        <v>19</v>
      </c>
      <c r="H119" s="6" t="s">
        <v>431</v>
      </c>
      <c r="I119" s="34"/>
      <c r="J119" s="38" t="s">
        <v>196</v>
      </c>
      <c r="K119" s="38" t="s">
        <v>197</v>
      </c>
      <c r="L119" s="38" t="s">
        <v>198</v>
      </c>
      <c r="M119" s="38"/>
      <c r="N119" s="19"/>
      <c r="O119" s="76" t="s">
        <v>62</v>
      </c>
      <c r="P119" s="6" t="s">
        <v>62</v>
      </c>
      <c r="Q119" s="38" t="s">
        <v>62</v>
      </c>
      <c r="R119" s="38" t="s">
        <v>62</v>
      </c>
      <c r="S119" s="34"/>
      <c r="T119" s="34"/>
      <c r="U119" s="34"/>
      <c r="V119" s="8"/>
      <c r="W119" t="s">
        <v>432</v>
      </c>
      <c r="X119"/>
      <c r="Y119" s="34"/>
    </row>
    <row r="120" spans="1:34" s="55" customFormat="1" ht="15.75" customHeight="1" x14ac:dyDescent="0.15">
      <c r="A120" s="6">
        <v>114</v>
      </c>
      <c r="B120" s="18" t="s">
        <v>75</v>
      </c>
      <c r="C120" s="34" t="s">
        <v>57</v>
      </c>
      <c r="D120" s="75" t="s">
        <v>433</v>
      </c>
      <c r="E120" s="2" t="s">
        <v>169</v>
      </c>
      <c r="F120">
        <v>15130</v>
      </c>
      <c r="G120" s="6">
        <v>20</v>
      </c>
      <c r="H120" s="6" t="s">
        <v>434</v>
      </c>
      <c r="I120" s="34"/>
      <c r="J120" s="38" t="s">
        <v>196</v>
      </c>
      <c r="K120" s="38" t="s">
        <v>197</v>
      </c>
      <c r="L120" s="38" t="s">
        <v>198</v>
      </c>
      <c r="M120" s="38"/>
      <c r="N120" s="19"/>
      <c r="O120" s="76" t="s">
        <v>62</v>
      </c>
      <c r="P120" s="6" t="s">
        <v>62</v>
      </c>
      <c r="Q120" s="38" t="s">
        <v>62</v>
      </c>
      <c r="R120" s="38" t="s">
        <v>62</v>
      </c>
      <c r="S120" s="34"/>
      <c r="T120" s="34"/>
      <c r="U120" s="34"/>
      <c r="V120" s="8"/>
      <c r="W120" t="s">
        <v>435</v>
      </c>
      <c r="X120"/>
      <c r="Y120" s="34"/>
    </row>
    <row r="121" spans="1:34" s="55" customFormat="1" ht="15.75" customHeight="1" x14ac:dyDescent="0.15">
      <c r="A121" s="6">
        <v>115</v>
      </c>
      <c r="B121" s="18" t="s">
        <v>75</v>
      </c>
      <c r="C121" s="34" t="s">
        <v>57</v>
      </c>
      <c r="D121" s="75" t="s">
        <v>436</v>
      </c>
      <c r="E121" s="2" t="s">
        <v>169</v>
      </c>
      <c r="F121">
        <v>15130</v>
      </c>
      <c r="G121" s="6">
        <v>21</v>
      </c>
      <c r="H121" s="6" t="s">
        <v>437</v>
      </c>
      <c r="I121" s="34"/>
      <c r="J121" s="38" t="s">
        <v>196</v>
      </c>
      <c r="K121" s="38" t="s">
        <v>197</v>
      </c>
      <c r="L121" s="38" t="s">
        <v>198</v>
      </c>
      <c r="M121" s="38"/>
      <c r="N121" s="19"/>
      <c r="O121" s="76" t="s">
        <v>62</v>
      </c>
      <c r="P121" s="6" t="s">
        <v>62</v>
      </c>
      <c r="Q121" s="38" t="s">
        <v>62</v>
      </c>
      <c r="R121" s="38" t="s">
        <v>62</v>
      </c>
      <c r="S121" s="34"/>
      <c r="T121" s="34"/>
      <c r="U121" s="34"/>
      <c r="V121" s="8"/>
      <c r="W121" t="s">
        <v>438</v>
      </c>
      <c r="X121"/>
      <c r="Y121" s="34"/>
    </row>
    <row r="122" spans="1:34" s="55" customFormat="1" ht="15.75" customHeight="1" x14ac:dyDescent="0.15">
      <c r="A122" s="6">
        <v>116</v>
      </c>
      <c r="B122" s="18" t="s">
        <v>75</v>
      </c>
      <c r="C122" s="34" t="s">
        <v>57</v>
      </c>
      <c r="D122" s="75" t="s">
        <v>439</v>
      </c>
      <c r="E122" s="2" t="s">
        <v>165</v>
      </c>
      <c r="F122">
        <v>15141</v>
      </c>
      <c r="G122" s="6"/>
      <c r="H122" s="6" t="s">
        <v>440</v>
      </c>
      <c r="I122" s="34"/>
      <c r="J122" s="38"/>
      <c r="K122" s="38"/>
      <c r="L122" s="38"/>
      <c r="M122" s="38"/>
      <c r="N122" s="19"/>
      <c r="O122" s="76" t="s">
        <v>62</v>
      </c>
      <c r="P122" s="6" t="s">
        <v>62</v>
      </c>
      <c r="Q122" s="38" t="s">
        <v>62</v>
      </c>
      <c r="R122" s="38" t="s">
        <v>62</v>
      </c>
      <c r="S122" s="34"/>
      <c r="T122" s="34"/>
      <c r="U122" s="34"/>
      <c r="V122" s="8"/>
      <c r="W122" t="s">
        <v>441</v>
      </c>
      <c r="X122"/>
      <c r="Y122" s="34"/>
    </row>
    <row r="123" spans="1:34" ht="15.75" customHeight="1" x14ac:dyDescent="0.15">
      <c r="A123" s="6">
        <v>117</v>
      </c>
      <c r="B123" s="18" t="s">
        <v>75</v>
      </c>
      <c r="C123" s="34" t="s">
        <v>57</v>
      </c>
      <c r="D123" s="75" t="s">
        <v>442</v>
      </c>
      <c r="E123" s="2" t="s">
        <v>169</v>
      </c>
      <c r="F123">
        <v>15141</v>
      </c>
      <c r="G123" s="6">
        <v>0</v>
      </c>
      <c r="H123" s="6" t="s">
        <v>443</v>
      </c>
      <c r="I123" s="34"/>
      <c r="J123" s="38" t="s">
        <v>196</v>
      </c>
      <c r="K123" s="38" t="s">
        <v>197</v>
      </c>
      <c r="L123" s="38" t="s">
        <v>198</v>
      </c>
      <c r="M123" s="38"/>
      <c r="N123" s="19"/>
      <c r="O123" s="76" t="s">
        <v>62</v>
      </c>
      <c r="P123" s="6" t="s">
        <v>62</v>
      </c>
      <c r="Q123" s="38" t="s">
        <v>62</v>
      </c>
      <c r="R123" s="38" t="s">
        <v>62</v>
      </c>
      <c r="S123" s="34"/>
      <c r="T123" s="34"/>
      <c r="U123" s="34"/>
      <c r="V123" s="8"/>
      <c r="W123" t="s">
        <v>444</v>
      </c>
      <c r="Y123" s="34"/>
      <c r="Z123"/>
      <c r="AA123"/>
      <c r="AE123"/>
      <c r="AF123"/>
      <c r="AG123"/>
      <c r="AH123"/>
    </row>
    <row r="124" spans="1:34" ht="15.75" customHeight="1" x14ac:dyDescent="0.15">
      <c r="A124" s="6">
        <v>118</v>
      </c>
      <c r="B124" s="18" t="s">
        <v>75</v>
      </c>
      <c r="C124" s="34" t="s">
        <v>57</v>
      </c>
      <c r="D124" s="75" t="s">
        <v>445</v>
      </c>
      <c r="E124" s="2" t="s">
        <v>169</v>
      </c>
      <c r="F124">
        <v>15141</v>
      </c>
      <c r="G124" s="6">
        <v>1</v>
      </c>
      <c r="H124" s="6" t="s">
        <v>446</v>
      </c>
      <c r="I124" s="34"/>
      <c r="J124" s="38" t="s">
        <v>196</v>
      </c>
      <c r="K124" s="38" t="s">
        <v>197</v>
      </c>
      <c r="L124" s="38" t="s">
        <v>198</v>
      </c>
      <c r="M124" s="38"/>
      <c r="N124" s="19"/>
      <c r="O124" s="76" t="s">
        <v>62</v>
      </c>
      <c r="P124" s="6" t="s">
        <v>62</v>
      </c>
      <c r="Q124" s="38" t="s">
        <v>62</v>
      </c>
      <c r="R124" s="38" t="s">
        <v>62</v>
      </c>
      <c r="S124" s="34"/>
      <c r="T124" s="34"/>
      <c r="U124" s="34"/>
      <c r="V124" s="8"/>
      <c r="W124" t="s">
        <v>447</v>
      </c>
      <c r="Y124" s="34"/>
      <c r="Z124"/>
      <c r="AA124"/>
      <c r="AE124"/>
      <c r="AF124"/>
      <c r="AG124"/>
      <c r="AH124"/>
    </row>
    <row r="125" spans="1:34" ht="15.75" customHeight="1" x14ac:dyDescent="0.15">
      <c r="A125" s="6">
        <v>119</v>
      </c>
      <c r="B125" s="18" t="s">
        <v>75</v>
      </c>
      <c r="C125" s="34" t="s">
        <v>57</v>
      </c>
      <c r="D125" s="75" t="s">
        <v>448</v>
      </c>
      <c r="E125" s="2" t="s">
        <v>169</v>
      </c>
      <c r="F125">
        <v>15141</v>
      </c>
      <c r="G125" s="6">
        <v>2</v>
      </c>
      <c r="H125" s="6" t="s">
        <v>449</v>
      </c>
      <c r="I125" s="34"/>
      <c r="J125" s="38" t="s">
        <v>196</v>
      </c>
      <c r="K125" s="38" t="s">
        <v>197</v>
      </c>
      <c r="L125" s="38" t="s">
        <v>198</v>
      </c>
      <c r="M125" s="38"/>
      <c r="N125" s="19"/>
      <c r="O125" s="76" t="s">
        <v>62</v>
      </c>
      <c r="P125" s="6" t="s">
        <v>62</v>
      </c>
      <c r="Q125" s="38" t="s">
        <v>62</v>
      </c>
      <c r="R125" s="38" t="s">
        <v>62</v>
      </c>
      <c r="S125" s="34"/>
      <c r="T125" s="34"/>
      <c r="U125" s="34"/>
      <c r="V125" s="8"/>
      <c r="W125" t="s">
        <v>450</v>
      </c>
      <c r="Y125" s="34"/>
      <c r="Z125"/>
      <c r="AA125"/>
      <c r="AE125"/>
      <c r="AF125"/>
      <c r="AG125"/>
      <c r="AH125"/>
    </row>
    <row r="126" spans="1:34" ht="15.75" customHeight="1" x14ac:dyDescent="0.15">
      <c r="A126" s="6">
        <v>120</v>
      </c>
      <c r="B126" s="18" t="s">
        <v>75</v>
      </c>
      <c r="C126" s="34" t="s">
        <v>57</v>
      </c>
      <c r="D126" s="75" t="s">
        <v>451</v>
      </c>
      <c r="E126" s="2" t="s">
        <v>169</v>
      </c>
      <c r="F126">
        <v>15141</v>
      </c>
      <c r="G126" s="6">
        <v>3</v>
      </c>
      <c r="H126" s="6" t="s">
        <v>452</v>
      </c>
      <c r="I126" s="34"/>
      <c r="J126" s="38" t="s">
        <v>196</v>
      </c>
      <c r="K126" s="38" t="s">
        <v>197</v>
      </c>
      <c r="L126" s="38" t="s">
        <v>198</v>
      </c>
      <c r="M126" s="38"/>
      <c r="N126" s="19"/>
      <c r="O126" s="76" t="s">
        <v>62</v>
      </c>
      <c r="P126" s="6" t="s">
        <v>62</v>
      </c>
      <c r="Q126" s="38" t="s">
        <v>62</v>
      </c>
      <c r="R126" s="38" t="s">
        <v>62</v>
      </c>
      <c r="S126" s="34"/>
      <c r="T126" s="34"/>
      <c r="U126" s="34"/>
      <c r="V126" s="8"/>
      <c r="W126" t="s">
        <v>453</v>
      </c>
      <c r="Y126" s="34"/>
      <c r="Z126"/>
      <c r="AA126"/>
      <c r="AE126"/>
      <c r="AF126"/>
      <c r="AG126"/>
      <c r="AH126"/>
    </row>
    <row r="127" spans="1:34" ht="15.75" customHeight="1" x14ac:dyDescent="0.15">
      <c r="A127" s="6">
        <v>121</v>
      </c>
      <c r="B127" s="18" t="s">
        <v>75</v>
      </c>
      <c r="C127" s="34" t="s">
        <v>57</v>
      </c>
      <c r="D127" s="75" t="s">
        <v>454</v>
      </c>
      <c r="E127" s="2" t="s">
        <v>169</v>
      </c>
      <c r="F127">
        <v>15141</v>
      </c>
      <c r="G127" s="6">
        <v>4</v>
      </c>
      <c r="H127" s="6" t="s">
        <v>455</v>
      </c>
      <c r="I127" s="34"/>
      <c r="J127" s="38" t="s">
        <v>196</v>
      </c>
      <c r="K127" s="38" t="s">
        <v>197</v>
      </c>
      <c r="L127" s="38" t="s">
        <v>198</v>
      </c>
      <c r="M127" s="38"/>
      <c r="N127" s="19"/>
      <c r="O127" s="76" t="s">
        <v>62</v>
      </c>
      <c r="P127" s="6" t="s">
        <v>62</v>
      </c>
      <c r="Q127" s="38" t="s">
        <v>62</v>
      </c>
      <c r="R127" s="38" t="s">
        <v>62</v>
      </c>
      <c r="S127" s="34"/>
      <c r="T127" s="34"/>
      <c r="U127" s="34"/>
      <c r="V127" s="8"/>
      <c r="W127" t="s">
        <v>456</v>
      </c>
      <c r="Y127" s="34"/>
      <c r="Z127"/>
      <c r="AA127"/>
      <c r="AE127"/>
      <c r="AF127"/>
      <c r="AG127"/>
      <c r="AH127"/>
    </row>
    <row r="128" spans="1:34" ht="15.75" customHeight="1" x14ac:dyDescent="0.15">
      <c r="A128" s="6">
        <v>122</v>
      </c>
      <c r="B128" s="18" t="s">
        <v>75</v>
      </c>
      <c r="C128" s="34" t="s">
        <v>57</v>
      </c>
      <c r="D128" s="75" t="s">
        <v>457</v>
      </c>
      <c r="E128" s="2" t="s">
        <v>169</v>
      </c>
      <c r="F128">
        <v>15141</v>
      </c>
      <c r="G128" s="6">
        <v>5</v>
      </c>
      <c r="H128" s="6" t="s">
        <v>458</v>
      </c>
      <c r="I128" s="34"/>
      <c r="J128" s="38" t="s">
        <v>196</v>
      </c>
      <c r="K128" s="38" t="s">
        <v>197</v>
      </c>
      <c r="L128" s="38" t="s">
        <v>198</v>
      </c>
      <c r="M128" s="38"/>
      <c r="N128" s="19"/>
      <c r="O128" s="76" t="s">
        <v>62</v>
      </c>
      <c r="P128" s="6" t="s">
        <v>62</v>
      </c>
      <c r="Q128" s="38" t="s">
        <v>62</v>
      </c>
      <c r="R128" s="38" t="s">
        <v>62</v>
      </c>
      <c r="S128" s="34"/>
      <c r="T128" s="34"/>
      <c r="U128" s="34"/>
      <c r="V128" s="8"/>
      <c r="W128" t="s">
        <v>459</v>
      </c>
      <c r="Y128" s="34"/>
      <c r="Z128"/>
      <c r="AA128"/>
      <c r="AE128"/>
      <c r="AF128"/>
      <c r="AG128"/>
      <c r="AH128"/>
    </row>
    <row r="129" spans="1:34" ht="15.75" customHeight="1" x14ac:dyDescent="0.15">
      <c r="A129" s="6">
        <v>123</v>
      </c>
      <c r="B129" s="18" t="s">
        <v>75</v>
      </c>
      <c r="C129" s="34" t="s">
        <v>57</v>
      </c>
      <c r="D129" s="75" t="s">
        <v>460</v>
      </c>
      <c r="E129" s="2" t="s">
        <v>169</v>
      </c>
      <c r="F129">
        <v>15141</v>
      </c>
      <c r="G129" s="6">
        <v>6</v>
      </c>
      <c r="H129" s="6" t="s">
        <v>461</v>
      </c>
      <c r="I129" s="34"/>
      <c r="J129" s="38" t="s">
        <v>196</v>
      </c>
      <c r="K129" s="38" t="s">
        <v>197</v>
      </c>
      <c r="L129" s="38" t="s">
        <v>198</v>
      </c>
      <c r="M129" s="38"/>
      <c r="N129" s="19"/>
      <c r="O129" s="76" t="s">
        <v>62</v>
      </c>
      <c r="P129" s="6" t="s">
        <v>62</v>
      </c>
      <c r="Q129" s="38" t="s">
        <v>62</v>
      </c>
      <c r="R129" s="38" t="s">
        <v>62</v>
      </c>
      <c r="S129" s="34"/>
      <c r="T129" s="34"/>
      <c r="U129" s="34"/>
      <c r="V129" s="8"/>
      <c r="W129" t="s">
        <v>462</v>
      </c>
      <c r="Y129" s="34"/>
      <c r="Z129"/>
      <c r="AA129"/>
      <c r="AE129"/>
      <c r="AF129"/>
      <c r="AG129"/>
      <c r="AH129"/>
    </row>
    <row r="130" spans="1:34" ht="15.75" customHeight="1" x14ac:dyDescent="0.15">
      <c r="A130" s="6">
        <v>124</v>
      </c>
      <c r="B130" s="18" t="s">
        <v>75</v>
      </c>
      <c r="C130" s="34" t="s">
        <v>57</v>
      </c>
      <c r="D130" s="75" t="s">
        <v>463</v>
      </c>
      <c r="E130" s="2" t="s">
        <v>169</v>
      </c>
      <c r="F130">
        <v>15141</v>
      </c>
      <c r="G130" s="6">
        <v>7</v>
      </c>
      <c r="H130" s="6" t="s">
        <v>464</v>
      </c>
      <c r="I130" s="34"/>
      <c r="J130" s="38" t="s">
        <v>196</v>
      </c>
      <c r="K130" s="38" t="s">
        <v>197</v>
      </c>
      <c r="L130" s="38" t="s">
        <v>198</v>
      </c>
      <c r="M130" s="38"/>
      <c r="N130" s="19"/>
      <c r="O130" s="76" t="s">
        <v>62</v>
      </c>
      <c r="P130" s="6" t="s">
        <v>62</v>
      </c>
      <c r="Q130" s="38" t="s">
        <v>62</v>
      </c>
      <c r="R130" s="38" t="s">
        <v>62</v>
      </c>
      <c r="S130" s="34"/>
      <c r="T130" s="34"/>
      <c r="U130" s="34"/>
      <c r="V130" s="8"/>
      <c r="W130" t="s">
        <v>465</v>
      </c>
      <c r="Y130" s="34"/>
      <c r="Z130"/>
      <c r="AA130"/>
      <c r="AE130"/>
      <c r="AF130"/>
      <c r="AG130"/>
      <c r="AH130"/>
    </row>
    <row r="131" spans="1:34" ht="15.75" customHeight="1" x14ac:dyDescent="0.15">
      <c r="A131" s="6">
        <v>125</v>
      </c>
      <c r="B131" s="18" t="s">
        <v>75</v>
      </c>
      <c r="C131" s="34" t="s">
        <v>57</v>
      </c>
      <c r="D131" s="75" t="s">
        <v>466</v>
      </c>
      <c r="E131" s="2" t="s">
        <v>169</v>
      </c>
      <c r="F131">
        <v>15141</v>
      </c>
      <c r="G131" s="6">
        <v>8</v>
      </c>
      <c r="H131" s="6" t="s">
        <v>467</v>
      </c>
      <c r="I131" s="34"/>
      <c r="J131" s="38" t="s">
        <v>196</v>
      </c>
      <c r="K131" s="38" t="s">
        <v>197</v>
      </c>
      <c r="L131" s="38" t="s">
        <v>198</v>
      </c>
      <c r="M131" s="38"/>
      <c r="N131" s="19"/>
      <c r="O131" s="76" t="s">
        <v>62</v>
      </c>
      <c r="P131" s="6" t="s">
        <v>62</v>
      </c>
      <c r="Q131" s="38" t="s">
        <v>62</v>
      </c>
      <c r="R131" s="38" t="s">
        <v>62</v>
      </c>
      <c r="S131" s="34"/>
      <c r="T131" s="34"/>
      <c r="U131" s="34"/>
      <c r="V131" s="8"/>
      <c r="W131" t="s">
        <v>468</v>
      </c>
      <c r="Y131" s="34"/>
      <c r="Z131"/>
      <c r="AA131"/>
      <c r="AE131"/>
      <c r="AF131"/>
      <c r="AG131"/>
      <c r="AH131"/>
    </row>
    <row r="132" spans="1:34" ht="15.75" customHeight="1" x14ac:dyDescent="0.15">
      <c r="A132" s="6">
        <v>126</v>
      </c>
      <c r="B132" s="18" t="s">
        <v>75</v>
      </c>
      <c r="C132" s="34" t="s">
        <v>57</v>
      </c>
      <c r="D132" s="75" t="s">
        <v>469</v>
      </c>
      <c r="E132" s="2" t="s">
        <v>169</v>
      </c>
      <c r="F132">
        <v>15141</v>
      </c>
      <c r="G132" s="6">
        <v>9</v>
      </c>
      <c r="H132" s="6" t="s">
        <v>470</v>
      </c>
      <c r="I132" s="34"/>
      <c r="J132" s="38" t="s">
        <v>196</v>
      </c>
      <c r="K132" s="38" t="s">
        <v>197</v>
      </c>
      <c r="L132" s="38" t="s">
        <v>198</v>
      </c>
      <c r="M132" s="38"/>
      <c r="N132" s="19"/>
      <c r="O132" s="76" t="s">
        <v>62</v>
      </c>
      <c r="P132" s="6" t="s">
        <v>62</v>
      </c>
      <c r="Q132" s="38" t="s">
        <v>62</v>
      </c>
      <c r="R132" s="38" t="s">
        <v>62</v>
      </c>
      <c r="S132" s="34"/>
      <c r="T132" s="34"/>
      <c r="U132" s="34"/>
      <c r="V132" s="8"/>
      <c r="W132" t="s">
        <v>471</v>
      </c>
      <c r="Y132" s="34"/>
      <c r="Z132"/>
      <c r="AA132"/>
      <c r="AE132"/>
      <c r="AF132"/>
      <c r="AG132"/>
      <c r="AH132"/>
    </row>
    <row r="133" spans="1:34" ht="15.75" customHeight="1" x14ac:dyDescent="0.15">
      <c r="A133" s="6">
        <v>127</v>
      </c>
      <c r="B133" s="18" t="s">
        <v>75</v>
      </c>
      <c r="C133" s="34" t="s">
        <v>57</v>
      </c>
      <c r="D133" s="75" t="s">
        <v>472</v>
      </c>
      <c r="E133" s="2" t="s">
        <v>169</v>
      </c>
      <c r="F133">
        <v>15141</v>
      </c>
      <c r="G133" s="6">
        <v>10</v>
      </c>
      <c r="H133" s="6" t="s">
        <v>473</v>
      </c>
      <c r="I133" s="34"/>
      <c r="J133" s="38" t="s">
        <v>196</v>
      </c>
      <c r="K133" s="38" t="s">
        <v>197</v>
      </c>
      <c r="L133" s="38" t="s">
        <v>198</v>
      </c>
      <c r="M133" s="38"/>
      <c r="N133" s="19"/>
      <c r="O133" s="76" t="s">
        <v>62</v>
      </c>
      <c r="P133" s="6" t="s">
        <v>62</v>
      </c>
      <c r="Q133" s="38" t="s">
        <v>62</v>
      </c>
      <c r="R133" s="38" t="s">
        <v>62</v>
      </c>
      <c r="S133" s="34"/>
      <c r="T133" s="34"/>
      <c r="U133" s="34"/>
      <c r="V133" s="8"/>
      <c r="W133" t="s">
        <v>474</v>
      </c>
      <c r="Y133" s="34"/>
      <c r="Z133"/>
      <c r="AA133"/>
      <c r="AE133"/>
      <c r="AF133"/>
      <c r="AG133"/>
      <c r="AH133"/>
    </row>
    <row r="134" spans="1:34" ht="15.75" customHeight="1" x14ac:dyDescent="0.15">
      <c r="A134" s="6">
        <v>128</v>
      </c>
      <c r="B134" s="18" t="s">
        <v>75</v>
      </c>
      <c r="C134" s="34" t="s">
        <v>57</v>
      </c>
      <c r="D134" s="75" t="s">
        <v>475</v>
      </c>
      <c r="E134" s="2" t="s">
        <v>169</v>
      </c>
      <c r="F134">
        <v>15141</v>
      </c>
      <c r="G134" s="6">
        <v>11</v>
      </c>
      <c r="H134" s="6" t="s">
        <v>476</v>
      </c>
      <c r="I134" s="34"/>
      <c r="J134" s="38" t="s">
        <v>196</v>
      </c>
      <c r="K134" s="38" t="s">
        <v>197</v>
      </c>
      <c r="L134" s="38" t="s">
        <v>198</v>
      </c>
      <c r="M134" s="38"/>
      <c r="N134" s="19"/>
      <c r="O134" s="76" t="s">
        <v>62</v>
      </c>
      <c r="P134" s="6" t="s">
        <v>62</v>
      </c>
      <c r="Q134" s="38" t="s">
        <v>62</v>
      </c>
      <c r="R134" s="38" t="s">
        <v>62</v>
      </c>
      <c r="S134" s="34"/>
      <c r="T134" s="34"/>
      <c r="U134" s="34"/>
      <c r="V134" s="8"/>
      <c r="W134" t="s">
        <v>477</v>
      </c>
      <c r="Y134" s="34"/>
      <c r="Z134"/>
      <c r="AA134"/>
      <c r="AE134"/>
      <c r="AF134"/>
      <c r="AG134"/>
      <c r="AH134"/>
    </row>
    <row r="135" spans="1:34" ht="15.75" customHeight="1" x14ac:dyDescent="0.15">
      <c r="A135" s="6">
        <v>129</v>
      </c>
      <c r="B135" s="18" t="s">
        <v>75</v>
      </c>
      <c r="C135" s="34" t="s">
        <v>57</v>
      </c>
      <c r="D135" s="75" t="s">
        <v>478</v>
      </c>
      <c r="E135" s="2" t="s">
        <v>165</v>
      </c>
      <c r="F135">
        <v>15145</v>
      </c>
      <c r="G135" s="6"/>
      <c r="H135" s="6" t="s">
        <v>479</v>
      </c>
      <c r="I135" s="34"/>
      <c r="J135" s="38"/>
      <c r="K135" s="38"/>
      <c r="L135" s="38"/>
      <c r="M135" s="38"/>
      <c r="N135" s="19"/>
      <c r="O135" s="76" t="s">
        <v>62</v>
      </c>
      <c r="P135" s="6" t="s">
        <v>62</v>
      </c>
      <c r="Q135" s="38" t="s">
        <v>62</v>
      </c>
      <c r="R135" s="38" t="s">
        <v>62</v>
      </c>
      <c r="S135" s="34"/>
      <c r="T135" s="34"/>
      <c r="U135" s="34"/>
      <c r="V135" s="8"/>
      <c r="W135" t="s">
        <v>480</v>
      </c>
      <c r="Y135" s="34"/>
      <c r="Z135"/>
      <c r="AA135"/>
      <c r="AE135"/>
      <c r="AF135"/>
      <c r="AG135"/>
      <c r="AH135"/>
    </row>
    <row r="136" spans="1:34" ht="15.75" customHeight="1" x14ac:dyDescent="0.15">
      <c r="A136" s="6">
        <v>130</v>
      </c>
      <c r="B136" s="18" t="s">
        <v>75</v>
      </c>
      <c r="C136" s="34" t="s">
        <v>57</v>
      </c>
      <c r="D136" s="75" t="s">
        <v>481</v>
      </c>
      <c r="E136" s="2" t="s">
        <v>169</v>
      </c>
      <c r="F136">
        <v>15145</v>
      </c>
      <c r="G136" s="6">
        <v>0</v>
      </c>
      <c r="H136" s="6" t="s">
        <v>482</v>
      </c>
      <c r="I136" s="34"/>
      <c r="J136" s="38" t="s">
        <v>196</v>
      </c>
      <c r="K136" s="38" t="s">
        <v>483</v>
      </c>
      <c r="L136" s="38" t="s">
        <v>484</v>
      </c>
      <c r="M136" s="38"/>
      <c r="N136" s="19"/>
      <c r="O136" s="76" t="s">
        <v>62</v>
      </c>
      <c r="P136" s="6" t="s">
        <v>62</v>
      </c>
      <c r="Q136" s="38" t="s">
        <v>62</v>
      </c>
      <c r="R136" s="38" t="s">
        <v>62</v>
      </c>
      <c r="S136" s="34"/>
      <c r="T136" s="34"/>
      <c r="U136" s="34"/>
      <c r="V136" s="8"/>
      <c r="W136" t="s">
        <v>485</v>
      </c>
      <c r="Y136" s="34"/>
      <c r="Z136"/>
      <c r="AA136"/>
      <c r="AE136"/>
      <c r="AF136"/>
      <c r="AG136"/>
      <c r="AH136"/>
    </row>
    <row r="137" spans="1:34" ht="15.75" customHeight="1" x14ac:dyDescent="0.15">
      <c r="A137" s="6">
        <v>131</v>
      </c>
      <c r="B137" s="18" t="s">
        <v>75</v>
      </c>
      <c r="C137" s="34" t="s">
        <v>57</v>
      </c>
      <c r="D137" s="75" t="s">
        <v>486</v>
      </c>
      <c r="E137" s="2" t="s">
        <v>165</v>
      </c>
      <c r="F137">
        <v>15146</v>
      </c>
      <c r="G137" s="6"/>
      <c r="H137" s="6" t="s">
        <v>487</v>
      </c>
      <c r="I137" s="34"/>
      <c r="J137" s="38"/>
      <c r="K137" s="38"/>
      <c r="L137" s="38"/>
      <c r="M137" s="38"/>
      <c r="N137" s="19"/>
      <c r="O137" s="76" t="s">
        <v>62</v>
      </c>
      <c r="P137" s="6" t="s">
        <v>62</v>
      </c>
      <c r="Q137" s="38" t="s">
        <v>62</v>
      </c>
      <c r="R137" s="38" t="s">
        <v>62</v>
      </c>
      <c r="S137" s="34"/>
      <c r="T137" s="34"/>
      <c r="U137" s="34"/>
      <c r="V137" s="8"/>
      <c r="W137" t="s">
        <v>488</v>
      </c>
      <c r="Y137" s="34"/>
      <c r="Z137"/>
      <c r="AA137"/>
      <c r="AE137"/>
      <c r="AF137"/>
      <c r="AG137"/>
      <c r="AH137"/>
    </row>
    <row r="138" spans="1:34" ht="15.75" customHeight="1" x14ac:dyDescent="0.15">
      <c r="A138" s="6">
        <v>132</v>
      </c>
      <c r="B138" s="18" t="s">
        <v>75</v>
      </c>
      <c r="C138" s="34" t="s">
        <v>57</v>
      </c>
      <c r="D138" s="75" t="s">
        <v>489</v>
      </c>
      <c r="E138" s="2" t="s">
        <v>169</v>
      </c>
      <c r="F138">
        <v>15146</v>
      </c>
      <c r="G138" s="6">
        <v>0</v>
      </c>
      <c r="H138" s="6" t="s">
        <v>490</v>
      </c>
      <c r="I138" s="34"/>
      <c r="J138" s="38" t="s">
        <v>171</v>
      </c>
      <c r="K138" s="38" t="s">
        <v>177</v>
      </c>
      <c r="L138" s="38" t="s">
        <v>173</v>
      </c>
      <c r="M138" s="38"/>
      <c r="N138" s="19"/>
      <c r="O138" s="76" t="s">
        <v>62</v>
      </c>
      <c r="P138" s="6" t="s">
        <v>62</v>
      </c>
      <c r="Q138" s="38" t="s">
        <v>62</v>
      </c>
      <c r="R138" s="38" t="s">
        <v>62</v>
      </c>
      <c r="S138" s="34"/>
      <c r="T138" s="34"/>
      <c r="U138" s="34"/>
      <c r="V138" s="8"/>
      <c r="W138" t="s">
        <v>491</v>
      </c>
      <c r="Y138" s="34"/>
      <c r="Z138"/>
      <c r="AA138"/>
      <c r="AE138"/>
      <c r="AF138"/>
      <c r="AG138"/>
      <c r="AH138"/>
    </row>
    <row r="139" spans="1:34" ht="15.75" customHeight="1" x14ac:dyDescent="0.15">
      <c r="A139" s="6">
        <v>133</v>
      </c>
      <c r="B139" s="18" t="s">
        <v>75</v>
      </c>
      <c r="C139" s="34" t="s">
        <v>57</v>
      </c>
      <c r="D139" s="75" t="s">
        <v>492</v>
      </c>
      <c r="E139" s="2" t="s">
        <v>169</v>
      </c>
      <c r="F139">
        <v>15146</v>
      </c>
      <c r="G139" s="6">
        <v>1</v>
      </c>
      <c r="H139" s="6" t="s">
        <v>493</v>
      </c>
      <c r="I139" s="34"/>
      <c r="J139" s="38" t="s">
        <v>171</v>
      </c>
      <c r="K139" s="38" t="s">
        <v>177</v>
      </c>
      <c r="L139" s="38" t="s">
        <v>173</v>
      </c>
      <c r="M139" s="38"/>
      <c r="N139" s="19"/>
      <c r="O139" s="76" t="s">
        <v>62</v>
      </c>
      <c r="P139" s="6" t="s">
        <v>62</v>
      </c>
      <c r="Q139" s="38" t="s">
        <v>62</v>
      </c>
      <c r="R139" s="38" t="s">
        <v>62</v>
      </c>
      <c r="S139" s="34"/>
      <c r="T139" s="34"/>
      <c r="U139" s="34"/>
      <c r="V139" s="8"/>
      <c r="W139" t="s">
        <v>494</v>
      </c>
      <c r="Y139" s="34"/>
      <c r="Z139"/>
      <c r="AA139"/>
      <c r="AE139"/>
      <c r="AF139"/>
      <c r="AG139"/>
      <c r="AH139"/>
    </row>
    <row r="140" spans="1:34" ht="15.75" customHeight="1" x14ac:dyDescent="0.15">
      <c r="A140" s="6">
        <v>134</v>
      </c>
      <c r="B140" s="18" t="s">
        <v>75</v>
      </c>
      <c r="C140" s="34" t="s">
        <v>57</v>
      </c>
      <c r="D140" s="75" t="s">
        <v>495</v>
      </c>
      <c r="E140" s="2" t="s">
        <v>169</v>
      </c>
      <c r="F140">
        <v>15146</v>
      </c>
      <c r="G140" s="6">
        <v>2</v>
      </c>
      <c r="H140" s="6" t="s">
        <v>496</v>
      </c>
      <c r="I140" s="34"/>
      <c r="J140" s="38" t="s">
        <v>171</v>
      </c>
      <c r="K140" s="38" t="s">
        <v>177</v>
      </c>
      <c r="L140" s="38" t="s">
        <v>173</v>
      </c>
      <c r="M140" s="38"/>
      <c r="N140" s="19"/>
      <c r="O140" s="76" t="s">
        <v>62</v>
      </c>
      <c r="P140" s="6" t="s">
        <v>62</v>
      </c>
      <c r="Q140" s="38" t="s">
        <v>62</v>
      </c>
      <c r="R140" s="38" t="s">
        <v>62</v>
      </c>
      <c r="S140" s="34"/>
      <c r="T140" s="34"/>
      <c r="U140" s="34"/>
      <c r="V140" s="8"/>
      <c r="W140" t="s">
        <v>497</v>
      </c>
      <c r="Y140" s="34"/>
      <c r="Z140"/>
      <c r="AA140"/>
      <c r="AE140"/>
      <c r="AF140"/>
      <c r="AG140"/>
      <c r="AH140"/>
    </row>
    <row r="141" spans="1:34" ht="15.75" customHeight="1" x14ac:dyDescent="0.15">
      <c r="A141" s="6">
        <v>135</v>
      </c>
      <c r="B141" s="18" t="s">
        <v>75</v>
      </c>
      <c r="C141" s="34" t="s">
        <v>57</v>
      </c>
      <c r="D141" s="75" t="s">
        <v>498</v>
      </c>
      <c r="E141" s="2" t="s">
        <v>169</v>
      </c>
      <c r="F141">
        <v>15146</v>
      </c>
      <c r="G141" s="6">
        <v>4</v>
      </c>
      <c r="H141" s="6" t="s">
        <v>499</v>
      </c>
      <c r="I141" s="34"/>
      <c r="J141" s="38" t="s">
        <v>171</v>
      </c>
      <c r="K141" s="38" t="s">
        <v>177</v>
      </c>
      <c r="L141" s="38" t="s">
        <v>173</v>
      </c>
      <c r="M141" s="38"/>
      <c r="N141" s="19"/>
      <c r="O141" s="76" t="s">
        <v>62</v>
      </c>
      <c r="P141" s="6" t="s">
        <v>62</v>
      </c>
      <c r="Q141" s="38" t="s">
        <v>62</v>
      </c>
      <c r="R141" s="38" t="s">
        <v>62</v>
      </c>
      <c r="S141" s="34"/>
      <c r="T141" s="34"/>
      <c r="U141" s="34"/>
      <c r="V141" s="8"/>
      <c r="W141" t="s">
        <v>500</v>
      </c>
      <c r="Y141" s="34"/>
      <c r="Z141"/>
      <c r="AA141"/>
      <c r="AE141"/>
      <c r="AF141"/>
      <c r="AG141"/>
      <c r="AH141"/>
    </row>
    <row r="142" spans="1:34" ht="15.75" customHeight="1" x14ac:dyDescent="0.15">
      <c r="A142" s="6">
        <v>136</v>
      </c>
      <c r="B142" s="18" t="s">
        <v>75</v>
      </c>
      <c r="C142" s="34" t="s">
        <v>57</v>
      </c>
      <c r="D142" s="75" t="s">
        <v>501</v>
      </c>
      <c r="E142" s="2" t="s">
        <v>59</v>
      </c>
      <c r="F142">
        <v>15149</v>
      </c>
      <c r="G142" s="6"/>
      <c r="H142" s="6" t="s">
        <v>502</v>
      </c>
      <c r="I142" s="34"/>
      <c r="J142" s="38"/>
      <c r="K142" s="38"/>
      <c r="L142" s="38"/>
      <c r="M142" s="38" t="s">
        <v>86</v>
      </c>
      <c r="N142" s="19">
        <v>10</v>
      </c>
      <c r="O142" s="76">
        <v>0</v>
      </c>
      <c r="P142" s="6">
        <v>4294967295</v>
      </c>
      <c r="Q142" s="38">
        <v>0</v>
      </c>
      <c r="R142" s="38">
        <v>429496729.5</v>
      </c>
      <c r="S142" s="34"/>
      <c r="T142" s="34"/>
      <c r="U142" s="34"/>
      <c r="V142" s="8"/>
      <c r="W142" t="s">
        <v>503</v>
      </c>
      <c r="Y142" s="34"/>
      <c r="Z142"/>
      <c r="AA142"/>
      <c r="AE142"/>
      <c r="AF142"/>
      <c r="AG142"/>
      <c r="AH142"/>
    </row>
    <row r="143" spans="1:34" ht="15.75" customHeight="1" x14ac:dyDescent="0.15">
      <c r="A143" s="6">
        <v>137</v>
      </c>
      <c r="B143" s="18" t="s">
        <v>75</v>
      </c>
      <c r="C143" s="34" t="s">
        <v>57</v>
      </c>
      <c r="D143" s="75" t="s">
        <v>504</v>
      </c>
      <c r="E143" s="2" t="s">
        <v>59</v>
      </c>
      <c r="F143">
        <v>15151</v>
      </c>
      <c r="G143" s="6"/>
      <c r="H143" s="6" t="s">
        <v>505</v>
      </c>
      <c r="I143" s="34"/>
      <c r="J143" s="38"/>
      <c r="K143" s="38"/>
      <c r="L143" s="38"/>
      <c r="M143" s="38" t="s">
        <v>86</v>
      </c>
      <c r="N143" s="19">
        <v>1</v>
      </c>
      <c r="O143" s="76">
        <v>0</v>
      </c>
      <c r="P143" s="6">
        <v>4294967295</v>
      </c>
      <c r="Q143" s="38">
        <v>0</v>
      </c>
      <c r="R143" s="38">
        <v>4294967295</v>
      </c>
      <c r="S143" s="34"/>
      <c r="T143" s="34"/>
      <c r="U143" s="34"/>
      <c r="V143" s="8"/>
      <c r="W143" t="s">
        <v>506</v>
      </c>
      <c r="Y143" s="34" t="s">
        <v>64</v>
      </c>
      <c r="Z143"/>
      <c r="AA143"/>
      <c r="AE143"/>
      <c r="AF143"/>
      <c r="AG143"/>
      <c r="AH143"/>
    </row>
    <row r="144" spans="1:34" ht="15.75" customHeight="1" x14ac:dyDescent="0.15">
      <c r="A144" s="6">
        <v>138</v>
      </c>
      <c r="B144" s="18" t="s">
        <v>75</v>
      </c>
      <c r="C144" s="34" t="s">
        <v>57</v>
      </c>
      <c r="D144" s="75" t="s">
        <v>507</v>
      </c>
      <c r="E144" s="2" t="s">
        <v>59</v>
      </c>
      <c r="F144">
        <v>15153</v>
      </c>
      <c r="G144" s="6"/>
      <c r="H144" s="6" t="s">
        <v>508</v>
      </c>
      <c r="I144" s="34"/>
      <c r="J144" s="38"/>
      <c r="K144" s="38"/>
      <c r="L144" s="38"/>
      <c r="M144" s="38" t="s">
        <v>86</v>
      </c>
      <c r="N144" s="19">
        <v>1</v>
      </c>
      <c r="O144" s="76">
        <v>0</v>
      </c>
      <c r="P144" s="6">
        <v>4294967295</v>
      </c>
      <c r="Q144" s="38">
        <v>0</v>
      </c>
      <c r="R144" s="38">
        <v>4294967295</v>
      </c>
      <c r="S144" s="34"/>
      <c r="T144" s="34"/>
      <c r="U144" s="34"/>
      <c r="V144" s="8"/>
      <c r="W144" t="s">
        <v>509</v>
      </c>
      <c r="Y144" s="34"/>
      <c r="Z144"/>
      <c r="AA144"/>
      <c r="AE144"/>
      <c r="AF144"/>
      <c r="AG144"/>
      <c r="AH144"/>
    </row>
    <row r="145" spans="1:34" s="55" customFormat="1" ht="15.75" customHeight="1" x14ac:dyDescent="0.15">
      <c r="A145" s="6">
        <v>139</v>
      </c>
      <c r="B145" s="18" t="s">
        <v>75</v>
      </c>
      <c r="C145" s="34" t="s">
        <v>57</v>
      </c>
      <c r="D145" s="75" t="s">
        <v>510</v>
      </c>
      <c r="E145" s="2" t="s">
        <v>77</v>
      </c>
      <c r="F145">
        <v>15155</v>
      </c>
      <c r="G145" s="6"/>
      <c r="H145" s="6" t="s">
        <v>511</v>
      </c>
      <c r="I145" s="34"/>
      <c r="J145" s="38"/>
      <c r="K145" s="38"/>
      <c r="L145" s="38"/>
      <c r="M145" s="38" t="s">
        <v>100</v>
      </c>
      <c r="N145" s="19">
        <v>1</v>
      </c>
      <c r="O145" s="76">
        <v>0</v>
      </c>
      <c r="P145" s="6">
        <v>65535</v>
      </c>
      <c r="Q145" s="38">
        <v>0</v>
      </c>
      <c r="R145" s="38">
        <v>65535</v>
      </c>
      <c r="S145" s="34"/>
      <c r="T145" s="34"/>
      <c r="U145" s="34"/>
      <c r="V145" s="8"/>
      <c r="W145" t="s">
        <v>512</v>
      </c>
      <c r="X145"/>
      <c r="Y145" s="34"/>
    </row>
    <row r="146" spans="1:34" s="55" customFormat="1" ht="15.75" customHeight="1" x14ac:dyDescent="0.15">
      <c r="A146" s="6">
        <v>140</v>
      </c>
      <c r="B146" s="18" t="s">
        <v>75</v>
      </c>
      <c r="C146" s="34" t="s">
        <v>57</v>
      </c>
      <c r="D146" s="75" t="s">
        <v>513</v>
      </c>
      <c r="E146" s="2" t="s">
        <v>59</v>
      </c>
      <c r="F146">
        <v>15156</v>
      </c>
      <c r="G146" s="6"/>
      <c r="H146" s="6" t="s">
        <v>514</v>
      </c>
      <c r="I146" s="34"/>
      <c r="J146" s="38"/>
      <c r="K146" s="38"/>
      <c r="L146" s="38"/>
      <c r="M146" s="38" t="s">
        <v>104</v>
      </c>
      <c r="N146" s="19">
        <v>1</v>
      </c>
      <c r="O146" s="76">
        <v>0</v>
      </c>
      <c r="P146" s="6">
        <v>4294967295</v>
      </c>
      <c r="Q146" s="38">
        <v>0</v>
      </c>
      <c r="R146" s="38">
        <v>4294967295</v>
      </c>
      <c r="S146" s="34"/>
      <c r="T146" s="34"/>
      <c r="U146" s="34"/>
      <c r="V146" s="8"/>
      <c r="W146" t="s">
        <v>515</v>
      </c>
      <c r="X146"/>
      <c r="Y146" s="34"/>
    </row>
    <row r="147" spans="1:34" s="55" customFormat="1" ht="15.75" customHeight="1" x14ac:dyDescent="0.15">
      <c r="A147" s="6">
        <v>141</v>
      </c>
      <c r="B147" s="18" t="s">
        <v>75</v>
      </c>
      <c r="C147" s="34" t="s">
        <v>57</v>
      </c>
      <c r="D147" s="75" t="s">
        <v>516</v>
      </c>
      <c r="E147" s="2" t="s">
        <v>143</v>
      </c>
      <c r="F147">
        <v>15158</v>
      </c>
      <c r="G147" s="6"/>
      <c r="H147" s="6" t="s">
        <v>517</v>
      </c>
      <c r="I147" s="34"/>
      <c r="J147" s="38"/>
      <c r="K147" s="38"/>
      <c r="L147" s="38"/>
      <c r="M147" s="38" t="s">
        <v>266</v>
      </c>
      <c r="N147" s="19">
        <v>10</v>
      </c>
      <c r="O147" s="76">
        <v>-32768</v>
      </c>
      <c r="P147" s="6">
        <v>32767</v>
      </c>
      <c r="Q147" s="38">
        <v>-3276.8</v>
      </c>
      <c r="R147" s="38">
        <v>3276.7</v>
      </c>
      <c r="S147" s="34"/>
      <c r="T147" s="34"/>
      <c r="U147" s="34"/>
      <c r="V147" s="8"/>
      <c r="W147" t="s">
        <v>518</v>
      </c>
      <c r="X147"/>
      <c r="Y147" s="34"/>
    </row>
    <row r="148" spans="1:34" ht="15.75" customHeight="1" x14ac:dyDescent="0.15">
      <c r="A148" s="6">
        <v>142</v>
      </c>
      <c r="B148" s="18" t="s">
        <v>75</v>
      </c>
      <c r="C148" s="34" t="s">
        <v>57</v>
      </c>
      <c r="D148" s="75" t="s">
        <v>519</v>
      </c>
      <c r="E148" s="2" t="s">
        <v>77</v>
      </c>
      <c r="F148">
        <v>15159</v>
      </c>
      <c r="G148" s="6"/>
      <c r="H148" s="6" t="s">
        <v>520</v>
      </c>
      <c r="I148" s="34"/>
      <c r="J148" s="38"/>
      <c r="K148" s="38"/>
      <c r="L148" s="38"/>
      <c r="M148" s="38" t="s">
        <v>113</v>
      </c>
      <c r="N148" s="19">
        <v>10</v>
      </c>
      <c r="O148" s="76">
        <v>0</v>
      </c>
      <c r="P148" s="6">
        <v>65535</v>
      </c>
      <c r="Q148" s="38">
        <v>0</v>
      </c>
      <c r="R148" s="38">
        <v>6553.5</v>
      </c>
      <c r="S148" s="34"/>
      <c r="T148" s="34"/>
      <c r="U148" s="34"/>
      <c r="V148" s="8"/>
      <c r="W148" t="s">
        <v>521</v>
      </c>
      <c r="Y148" s="34"/>
      <c r="Z148"/>
      <c r="AA148"/>
      <c r="AE148"/>
      <c r="AF148"/>
      <c r="AG148"/>
      <c r="AH148"/>
    </row>
    <row r="149" spans="1:34" s="34" customFormat="1" ht="15.75" customHeight="1" x14ac:dyDescent="0.15">
      <c r="A149" s="6">
        <v>143</v>
      </c>
      <c r="B149" s="18" t="s">
        <v>75</v>
      </c>
      <c r="C149" s="34" t="s">
        <v>57</v>
      </c>
      <c r="D149" s="75" t="s">
        <v>522</v>
      </c>
      <c r="E149" s="2" t="s">
        <v>77</v>
      </c>
      <c r="F149">
        <v>15160</v>
      </c>
      <c r="G149" s="6"/>
      <c r="H149" s="6" t="s">
        <v>523</v>
      </c>
      <c r="J149" s="38"/>
      <c r="K149" s="38"/>
      <c r="L149" s="38"/>
      <c r="M149" s="38" t="s">
        <v>123</v>
      </c>
      <c r="N149" s="19">
        <v>10</v>
      </c>
      <c r="O149" s="76">
        <v>0</v>
      </c>
      <c r="P149" s="6">
        <v>65535</v>
      </c>
      <c r="Q149" s="38">
        <v>0</v>
      </c>
      <c r="R149" s="38">
        <v>6553.5</v>
      </c>
      <c r="V149" s="8"/>
      <c r="W149" t="s">
        <v>524</v>
      </c>
      <c r="X149"/>
    </row>
    <row r="150" spans="1:34" s="34" customFormat="1" ht="15.75" customHeight="1" x14ac:dyDescent="0.15">
      <c r="A150" s="6">
        <v>144</v>
      </c>
      <c r="B150" s="18" t="s">
        <v>75</v>
      </c>
      <c r="C150" s="34" t="s">
        <v>57</v>
      </c>
      <c r="D150" s="75" t="s">
        <v>525</v>
      </c>
      <c r="E150" s="2" t="s">
        <v>107</v>
      </c>
      <c r="F150">
        <v>15161</v>
      </c>
      <c r="G150" s="6"/>
      <c r="H150" s="6" t="s">
        <v>526</v>
      </c>
      <c r="J150" s="38"/>
      <c r="K150" s="38"/>
      <c r="L150" s="38"/>
      <c r="M150" s="38" t="s">
        <v>109</v>
      </c>
      <c r="N150" s="19">
        <v>1</v>
      </c>
      <c r="O150" s="76">
        <v>-2147483648</v>
      </c>
      <c r="P150" s="6">
        <v>2147483647</v>
      </c>
      <c r="Q150" s="38">
        <v>-2147483648</v>
      </c>
      <c r="R150" s="38">
        <v>2147483647</v>
      </c>
      <c r="V150" s="8"/>
      <c r="W150" t="s">
        <v>527</v>
      </c>
      <c r="X150"/>
    </row>
    <row r="151" spans="1:34" s="55" customFormat="1" ht="15.75" customHeight="1" x14ac:dyDescent="0.15">
      <c r="A151" s="6">
        <v>145</v>
      </c>
      <c r="B151" s="18" t="s">
        <v>75</v>
      </c>
      <c r="C151" s="34" t="s">
        <v>57</v>
      </c>
      <c r="D151" s="75" t="s">
        <v>528</v>
      </c>
      <c r="E151" s="2" t="s">
        <v>77</v>
      </c>
      <c r="F151">
        <v>15163</v>
      </c>
      <c r="G151" s="6"/>
      <c r="H151" s="6" t="s">
        <v>529</v>
      </c>
      <c r="I151" s="34"/>
      <c r="J151" s="38"/>
      <c r="K151" s="38"/>
      <c r="L151" s="38"/>
      <c r="M151" s="38" t="s">
        <v>113</v>
      </c>
      <c r="N151" s="19">
        <v>10</v>
      </c>
      <c r="O151" s="76">
        <v>0</v>
      </c>
      <c r="P151" s="6">
        <v>65535</v>
      </c>
      <c r="Q151" s="38">
        <v>0</v>
      </c>
      <c r="R151" s="38">
        <v>6553.5</v>
      </c>
      <c r="S151" s="34"/>
      <c r="T151" s="34"/>
      <c r="U151" s="34"/>
      <c r="V151" s="8"/>
      <c r="W151" t="s">
        <v>530</v>
      </c>
      <c r="X151"/>
      <c r="Y151" s="34"/>
    </row>
    <row r="152" spans="1:34" s="34" customFormat="1" ht="15.75" customHeight="1" x14ac:dyDescent="0.15">
      <c r="A152" s="6">
        <v>146</v>
      </c>
      <c r="B152" s="18" t="s">
        <v>75</v>
      </c>
      <c r="C152" s="34" t="s">
        <v>57</v>
      </c>
      <c r="D152" s="75" t="s">
        <v>531</v>
      </c>
      <c r="E152" s="2" t="s">
        <v>77</v>
      </c>
      <c r="F152">
        <v>15164</v>
      </c>
      <c r="G152" s="6"/>
      <c r="H152" s="6" t="s">
        <v>532</v>
      </c>
      <c r="J152" s="38"/>
      <c r="K152" s="38"/>
      <c r="L152" s="38"/>
      <c r="M152" s="38" t="s">
        <v>113</v>
      </c>
      <c r="N152" s="19">
        <v>10</v>
      </c>
      <c r="O152" s="76">
        <v>0</v>
      </c>
      <c r="P152" s="6">
        <v>65535</v>
      </c>
      <c r="Q152" s="38">
        <v>0</v>
      </c>
      <c r="R152" s="38">
        <v>6553.5</v>
      </c>
      <c r="V152" s="8"/>
      <c r="W152" t="s">
        <v>533</v>
      </c>
      <c r="X152"/>
    </row>
    <row r="153" spans="1:34" s="34" customFormat="1" ht="15.75" customHeight="1" x14ac:dyDescent="0.15">
      <c r="A153" s="6">
        <v>147</v>
      </c>
      <c r="B153" s="18" t="s">
        <v>75</v>
      </c>
      <c r="C153" s="34" t="s">
        <v>57</v>
      </c>
      <c r="D153" s="75" t="s">
        <v>534</v>
      </c>
      <c r="E153" s="2" t="s">
        <v>77</v>
      </c>
      <c r="F153">
        <v>15165</v>
      </c>
      <c r="G153" s="6"/>
      <c r="H153" s="6" t="s">
        <v>535</v>
      </c>
      <c r="J153" s="38"/>
      <c r="K153" s="38"/>
      <c r="L153" s="38"/>
      <c r="M153" s="38" t="s">
        <v>113</v>
      </c>
      <c r="N153" s="19">
        <v>10</v>
      </c>
      <c r="O153" s="76">
        <v>0</v>
      </c>
      <c r="P153" s="6">
        <v>65535</v>
      </c>
      <c r="Q153" s="38">
        <v>0</v>
      </c>
      <c r="R153" s="38">
        <v>6553.5</v>
      </c>
      <c r="V153" s="8"/>
      <c r="W153" t="s">
        <v>536</v>
      </c>
      <c r="X153"/>
    </row>
    <row r="154" spans="1:34" s="34" customFormat="1" ht="15.75" customHeight="1" x14ac:dyDescent="0.15">
      <c r="A154" s="6">
        <v>148</v>
      </c>
      <c r="B154" s="18" t="s">
        <v>75</v>
      </c>
      <c r="C154" s="34" t="s">
        <v>57</v>
      </c>
      <c r="D154" s="75" t="s">
        <v>537</v>
      </c>
      <c r="E154" s="2" t="s">
        <v>77</v>
      </c>
      <c r="F154">
        <v>15166</v>
      </c>
      <c r="G154" s="6"/>
      <c r="H154" s="6" t="s">
        <v>538</v>
      </c>
      <c r="J154" s="38"/>
      <c r="K154" s="38"/>
      <c r="L154" s="38"/>
      <c r="M154" s="38" t="s">
        <v>123</v>
      </c>
      <c r="N154" s="19">
        <v>10</v>
      </c>
      <c r="O154" s="76">
        <v>0</v>
      </c>
      <c r="P154" s="6">
        <v>65535</v>
      </c>
      <c r="Q154" s="38">
        <v>0</v>
      </c>
      <c r="R154" s="38">
        <v>6553.5</v>
      </c>
      <c r="V154" s="8"/>
      <c r="W154" t="s">
        <v>539</v>
      </c>
      <c r="X154"/>
    </row>
    <row r="155" spans="1:34" s="55" customFormat="1" ht="15.75" customHeight="1" x14ac:dyDescent="0.15">
      <c r="A155" s="6">
        <v>149</v>
      </c>
      <c r="B155" s="18" t="s">
        <v>75</v>
      </c>
      <c r="C155" s="34" t="s">
        <v>57</v>
      </c>
      <c r="D155" s="75" t="s">
        <v>540</v>
      </c>
      <c r="E155" s="2" t="s">
        <v>77</v>
      </c>
      <c r="F155">
        <v>15167</v>
      </c>
      <c r="G155" s="6"/>
      <c r="H155" s="6" t="s">
        <v>541</v>
      </c>
      <c r="I155" s="34"/>
      <c r="J155" s="38"/>
      <c r="K155" s="38"/>
      <c r="L155" s="38"/>
      <c r="M155" s="38" t="s">
        <v>123</v>
      </c>
      <c r="N155" s="19">
        <v>10</v>
      </c>
      <c r="O155" s="76">
        <v>0</v>
      </c>
      <c r="P155" s="6">
        <v>65535</v>
      </c>
      <c r="Q155" s="38">
        <v>0</v>
      </c>
      <c r="R155" s="38">
        <v>6553.5</v>
      </c>
      <c r="S155" s="34"/>
      <c r="T155" s="34"/>
      <c r="U155" s="34"/>
      <c r="V155" s="8"/>
      <c r="W155" t="s">
        <v>542</v>
      </c>
      <c r="X155"/>
      <c r="Y155" s="34"/>
    </row>
    <row r="156" spans="1:34" s="55" customFormat="1" ht="15.75" customHeight="1" x14ac:dyDescent="0.15">
      <c r="A156" s="6">
        <v>150</v>
      </c>
      <c r="B156" s="18" t="s">
        <v>75</v>
      </c>
      <c r="C156" s="34" t="s">
        <v>57</v>
      </c>
      <c r="D156" s="75" t="s">
        <v>543</v>
      </c>
      <c r="E156" s="2" t="s">
        <v>77</v>
      </c>
      <c r="F156">
        <v>15168</v>
      </c>
      <c r="G156" s="6"/>
      <c r="H156" s="6" t="s">
        <v>544</v>
      </c>
      <c r="I156" s="34"/>
      <c r="J156" s="38"/>
      <c r="K156" s="38"/>
      <c r="L156" s="38"/>
      <c r="M156" s="38" t="s">
        <v>123</v>
      </c>
      <c r="N156" s="19">
        <v>10</v>
      </c>
      <c r="O156" s="76">
        <v>0</v>
      </c>
      <c r="P156" s="6">
        <v>65535</v>
      </c>
      <c r="Q156" s="38">
        <v>0</v>
      </c>
      <c r="R156" s="38">
        <v>6553.5</v>
      </c>
      <c r="S156" s="34"/>
      <c r="T156" s="34"/>
      <c r="U156" s="34"/>
      <c r="V156" s="8"/>
      <c r="W156" t="s">
        <v>545</v>
      </c>
      <c r="X156"/>
      <c r="Y156" s="34"/>
    </row>
    <row r="157" spans="1:34" s="55" customFormat="1" ht="15.75" customHeight="1" x14ac:dyDescent="0.15">
      <c r="A157" s="6">
        <v>151</v>
      </c>
      <c r="B157" s="18" t="s">
        <v>75</v>
      </c>
      <c r="C157" s="34" t="s">
        <v>57</v>
      </c>
      <c r="D157" s="75" t="s">
        <v>546</v>
      </c>
      <c r="E157" s="2" t="s">
        <v>107</v>
      </c>
      <c r="F157">
        <v>15169</v>
      </c>
      <c r="G157" s="6"/>
      <c r="H157" s="6" t="s">
        <v>547</v>
      </c>
      <c r="I157" s="34"/>
      <c r="J157" s="38"/>
      <c r="K157" s="38"/>
      <c r="L157" s="38"/>
      <c r="M157" s="38" t="s">
        <v>109</v>
      </c>
      <c r="N157" s="19">
        <v>1</v>
      </c>
      <c r="O157" s="76">
        <v>-2147483648</v>
      </c>
      <c r="P157" s="6">
        <v>2147483647</v>
      </c>
      <c r="Q157" s="38">
        <v>-2147483648</v>
      </c>
      <c r="R157" s="38">
        <v>2147483647</v>
      </c>
      <c r="S157" s="34"/>
      <c r="T157" s="34"/>
      <c r="U157" s="34"/>
      <c r="V157" s="8"/>
      <c r="W157" t="s">
        <v>548</v>
      </c>
      <c r="X157"/>
      <c r="Y157" s="34"/>
    </row>
    <row r="158" spans="1:34" s="55" customFormat="1" ht="15.75" customHeight="1" x14ac:dyDescent="0.15">
      <c r="A158" s="6">
        <v>152</v>
      </c>
      <c r="B158" s="18" t="s">
        <v>75</v>
      </c>
      <c r="C158" s="34" t="s">
        <v>57</v>
      </c>
      <c r="D158" s="75" t="s">
        <v>549</v>
      </c>
      <c r="E158" s="2" t="s">
        <v>107</v>
      </c>
      <c r="F158">
        <v>15171</v>
      </c>
      <c r="G158" s="6"/>
      <c r="H158" s="6" t="s">
        <v>550</v>
      </c>
      <c r="I158" s="34"/>
      <c r="J158" s="38"/>
      <c r="K158" s="38"/>
      <c r="L158" s="38"/>
      <c r="M158" s="38" t="s">
        <v>136</v>
      </c>
      <c r="N158" s="19">
        <v>1</v>
      </c>
      <c r="O158" s="76">
        <v>-2147483648</v>
      </c>
      <c r="P158" s="6">
        <v>2147483647</v>
      </c>
      <c r="Q158" s="38">
        <v>-2147483648</v>
      </c>
      <c r="R158" s="38">
        <v>2147483647</v>
      </c>
      <c r="S158" s="34"/>
      <c r="T158" s="34"/>
      <c r="U158" s="34"/>
      <c r="V158" s="8"/>
      <c r="W158" t="s">
        <v>551</v>
      </c>
      <c r="X158"/>
      <c r="Y158" s="34"/>
    </row>
    <row r="159" spans="1:34" s="55" customFormat="1" ht="15.75" customHeight="1" x14ac:dyDescent="0.15">
      <c r="A159" s="6">
        <v>153</v>
      </c>
      <c r="B159" s="18" t="s">
        <v>75</v>
      </c>
      <c r="C159" s="34" t="s">
        <v>57</v>
      </c>
      <c r="D159" s="75" t="s">
        <v>552</v>
      </c>
      <c r="E159" s="2" t="s">
        <v>143</v>
      </c>
      <c r="F159">
        <v>15173</v>
      </c>
      <c r="G159" s="6"/>
      <c r="H159" s="6" t="s">
        <v>553</v>
      </c>
      <c r="I159" s="34"/>
      <c r="J159" s="38"/>
      <c r="K159" s="38"/>
      <c r="L159" s="38"/>
      <c r="M159" s="38" t="s">
        <v>145</v>
      </c>
      <c r="N159" s="19">
        <v>1000</v>
      </c>
      <c r="O159" s="76">
        <v>-32768</v>
      </c>
      <c r="P159" s="6">
        <v>32767</v>
      </c>
      <c r="Q159" s="38">
        <v>-32.768000000000001</v>
      </c>
      <c r="R159" s="38">
        <v>32.767000000000003</v>
      </c>
      <c r="S159" s="34"/>
      <c r="T159" s="34"/>
      <c r="U159" s="34"/>
      <c r="V159" s="8"/>
      <c r="W159" t="s">
        <v>554</v>
      </c>
      <c r="X159"/>
      <c r="Y159" s="34"/>
    </row>
    <row r="160" spans="1:34" s="55" customFormat="1" ht="15.75" customHeight="1" x14ac:dyDescent="0.15">
      <c r="A160" s="6">
        <v>154</v>
      </c>
      <c r="B160" s="18" t="s">
        <v>75</v>
      </c>
      <c r="C160" s="34" t="s">
        <v>57</v>
      </c>
      <c r="D160" s="75" t="s">
        <v>555</v>
      </c>
      <c r="E160" s="2" t="s">
        <v>77</v>
      </c>
      <c r="F160">
        <v>15174</v>
      </c>
      <c r="G160" s="6"/>
      <c r="H160" s="6" t="s">
        <v>556</v>
      </c>
      <c r="I160" s="34"/>
      <c r="J160" s="38"/>
      <c r="K160" s="38"/>
      <c r="L160" s="38"/>
      <c r="M160" s="38" t="s">
        <v>149</v>
      </c>
      <c r="N160" s="19">
        <v>10</v>
      </c>
      <c r="O160" s="76">
        <v>0</v>
      </c>
      <c r="P160" s="6">
        <v>65535</v>
      </c>
      <c r="Q160" s="38">
        <v>0</v>
      </c>
      <c r="R160" s="38">
        <v>6553.5</v>
      </c>
      <c r="S160" s="34"/>
      <c r="T160" s="34"/>
      <c r="U160" s="34"/>
      <c r="V160" s="8"/>
      <c r="W160" t="s">
        <v>557</v>
      </c>
      <c r="X160"/>
      <c r="Y160" s="34"/>
    </row>
    <row r="161" spans="1:25" s="55" customFormat="1" ht="15.75" customHeight="1" x14ac:dyDescent="0.15">
      <c r="A161" s="6">
        <v>155</v>
      </c>
      <c r="B161" s="18" t="s">
        <v>75</v>
      </c>
      <c r="C161" s="34" t="s">
        <v>57</v>
      </c>
      <c r="D161" s="75" t="s">
        <v>558</v>
      </c>
      <c r="E161" s="2" t="s">
        <v>77</v>
      </c>
      <c r="F161">
        <v>15175</v>
      </c>
      <c r="G161" s="6"/>
      <c r="H161" s="6" t="s">
        <v>559</v>
      </c>
      <c r="I161" s="34"/>
      <c r="J161" s="38"/>
      <c r="K161" s="38"/>
      <c r="L161" s="38"/>
      <c r="M161" s="38" t="s">
        <v>560</v>
      </c>
      <c r="N161" s="19">
        <v>10</v>
      </c>
      <c r="O161" s="76">
        <v>0</v>
      </c>
      <c r="P161" s="6">
        <v>65535</v>
      </c>
      <c r="Q161" s="38">
        <v>0</v>
      </c>
      <c r="R161" s="38">
        <v>6553.5</v>
      </c>
      <c r="S161" s="34"/>
      <c r="T161" s="34"/>
      <c r="U161" s="34"/>
      <c r="V161" s="8"/>
      <c r="W161" t="s">
        <v>561</v>
      </c>
      <c r="X161"/>
      <c r="Y161" s="34"/>
    </row>
    <row r="162" spans="1:25" s="55" customFormat="1" ht="15.75" customHeight="1" x14ac:dyDescent="0.15">
      <c r="A162" s="6">
        <v>156</v>
      </c>
      <c r="B162" s="18" t="s">
        <v>75</v>
      </c>
      <c r="C162" s="34" t="s">
        <v>57</v>
      </c>
      <c r="D162" s="75" t="s">
        <v>562</v>
      </c>
      <c r="E162" s="2" t="s">
        <v>77</v>
      </c>
      <c r="F162">
        <v>15177</v>
      </c>
      <c r="G162" s="6"/>
      <c r="H162" s="6" t="s">
        <v>563</v>
      </c>
      <c r="I162" s="34"/>
      <c r="J162" s="38"/>
      <c r="K162" s="38"/>
      <c r="L162" s="38"/>
      <c r="M162" s="38" t="s">
        <v>564</v>
      </c>
      <c r="N162" s="19">
        <v>1</v>
      </c>
      <c r="O162" s="76">
        <v>0</v>
      </c>
      <c r="P162" s="6">
        <v>65535</v>
      </c>
      <c r="Q162" s="38">
        <v>0</v>
      </c>
      <c r="R162" s="38">
        <v>65535</v>
      </c>
      <c r="S162" s="34"/>
      <c r="T162" s="34"/>
      <c r="U162" s="34"/>
      <c r="V162" s="8"/>
      <c r="W162" t="s">
        <v>565</v>
      </c>
      <c r="X162"/>
      <c r="Y162" s="34" t="s">
        <v>64</v>
      </c>
    </row>
    <row r="163" spans="1:25" s="55" customFormat="1" ht="15.75" customHeight="1" x14ac:dyDescent="0.15">
      <c r="A163" s="6">
        <v>157</v>
      </c>
      <c r="B163" s="18" t="s">
        <v>75</v>
      </c>
      <c r="C163" s="34" t="s">
        <v>57</v>
      </c>
      <c r="D163" s="75" t="s">
        <v>566</v>
      </c>
      <c r="E163" s="2" t="s">
        <v>77</v>
      </c>
      <c r="F163">
        <v>15178</v>
      </c>
      <c r="G163" s="6"/>
      <c r="H163" s="6" t="s">
        <v>567</v>
      </c>
      <c r="I163" s="34"/>
      <c r="J163" s="38"/>
      <c r="K163" s="38"/>
      <c r="L163" s="38"/>
      <c r="M163" s="38" t="s">
        <v>568</v>
      </c>
      <c r="N163" s="19">
        <v>1</v>
      </c>
      <c r="O163" s="76">
        <v>0</v>
      </c>
      <c r="P163" s="6">
        <v>65535</v>
      </c>
      <c r="Q163" s="38">
        <v>0</v>
      </c>
      <c r="R163" s="38">
        <v>65535</v>
      </c>
      <c r="S163" s="34"/>
      <c r="T163" s="34"/>
      <c r="U163" s="34"/>
      <c r="V163" s="8"/>
      <c r="W163" t="s">
        <v>569</v>
      </c>
      <c r="X163"/>
      <c r="Y163" s="34" t="s">
        <v>64</v>
      </c>
    </row>
    <row r="164" spans="1:25" s="55" customFormat="1" ht="15.75" customHeight="1" x14ac:dyDescent="0.15">
      <c r="A164" s="6">
        <v>158</v>
      </c>
      <c r="B164" s="18" t="s">
        <v>75</v>
      </c>
      <c r="C164" s="34" t="s">
        <v>57</v>
      </c>
      <c r="D164" s="75" t="s">
        <v>570</v>
      </c>
      <c r="E164" s="2" t="s">
        <v>77</v>
      </c>
      <c r="F164">
        <v>15179</v>
      </c>
      <c r="G164" s="6"/>
      <c r="H164" s="6" t="s">
        <v>571</v>
      </c>
      <c r="I164" s="34"/>
      <c r="J164" s="38"/>
      <c r="K164" s="38"/>
      <c r="L164" s="38"/>
      <c r="M164" s="38" t="s">
        <v>572</v>
      </c>
      <c r="N164" s="19">
        <v>1</v>
      </c>
      <c r="O164" s="76">
        <v>0</v>
      </c>
      <c r="P164" s="6">
        <v>65535</v>
      </c>
      <c r="Q164" s="38">
        <v>0</v>
      </c>
      <c r="R164" s="38">
        <v>65535</v>
      </c>
      <c r="S164" s="34"/>
      <c r="T164" s="34"/>
      <c r="U164" s="34"/>
      <c r="V164" s="8"/>
      <c r="W164" t="s">
        <v>573</v>
      </c>
      <c r="X164"/>
      <c r="Y164" s="34" t="s">
        <v>64</v>
      </c>
    </row>
    <row r="165" spans="1:25" s="55" customFormat="1" ht="15.75" customHeight="1" x14ac:dyDescent="0.15">
      <c r="A165" s="6">
        <v>159</v>
      </c>
      <c r="B165" s="18" t="s">
        <v>75</v>
      </c>
      <c r="C165" s="34" t="s">
        <v>57</v>
      </c>
      <c r="D165" s="75" t="s">
        <v>574</v>
      </c>
      <c r="E165" s="2" t="s">
        <v>77</v>
      </c>
      <c r="F165">
        <v>15180</v>
      </c>
      <c r="G165" s="6"/>
      <c r="H165" s="6" t="s">
        <v>575</v>
      </c>
      <c r="I165" s="34"/>
      <c r="J165" s="38"/>
      <c r="K165" s="38"/>
      <c r="L165" s="38"/>
      <c r="M165" s="38" t="s">
        <v>104</v>
      </c>
      <c r="N165" s="19">
        <v>1</v>
      </c>
      <c r="O165" s="76">
        <v>0</v>
      </c>
      <c r="P165" s="6">
        <v>65535</v>
      </c>
      <c r="Q165" s="38">
        <v>0</v>
      </c>
      <c r="R165" s="38">
        <v>65535</v>
      </c>
      <c r="S165" s="34"/>
      <c r="T165" s="34"/>
      <c r="U165" s="34"/>
      <c r="V165" s="8"/>
      <c r="W165" t="s">
        <v>576</v>
      </c>
      <c r="X165"/>
      <c r="Y165" s="34" t="s">
        <v>64</v>
      </c>
    </row>
    <row r="166" spans="1:25" s="55" customFormat="1" ht="15.75" customHeight="1" x14ac:dyDescent="0.15">
      <c r="A166" s="6">
        <v>160</v>
      </c>
      <c r="B166" s="18" t="s">
        <v>75</v>
      </c>
      <c r="C166" s="34" t="s">
        <v>57</v>
      </c>
      <c r="D166" s="75" t="s">
        <v>577</v>
      </c>
      <c r="E166" s="2" t="s">
        <v>77</v>
      </c>
      <c r="F166">
        <v>15181</v>
      </c>
      <c r="G166" s="6"/>
      <c r="H166" s="6" t="s">
        <v>578</v>
      </c>
      <c r="I166" s="34"/>
      <c r="J166" s="38"/>
      <c r="K166" s="38"/>
      <c r="L166" s="38"/>
      <c r="M166" s="38" t="s">
        <v>100</v>
      </c>
      <c r="N166" s="19">
        <v>1</v>
      </c>
      <c r="O166" s="76">
        <v>0</v>
      </c>
      <c r="P166" s="6">
        <v>65535</v>
      </c>
      <c r="Q166" s="38">
        <v>0</v>
      </c>
      <c r="R166" s="38">
        <v>65535</v>
      </c>
      <c r="S166" s="34"/>
      <c r="T166" s="34"/>
      <c r="U166" s="34"/>
      <c r="V166" s="8"/>
      <c r="W166" t="s">
        <v>579</v>
      </c>
      <c r="X166"/>
      <c r="Y166" s="34" t="s">
        <v>64</v>
      </c>
    </row>
    <row r="167" spans="1:25" s="55" customFormat="1" ht="15.75" customHeight="1" x14ac:dyDescent="0.15">
      <c r="A167" s="6">
        <v>161</v>
      </c>
      <c r="B167" s="18" t="s">
        <v>75</v>
      </c>
      <c r="C167" s="34" t="s">
        <v>57</v>
      </c>
      <c r="D167" s="75" t="s">
        <v>580</v>
      </c>
      <c r="E167" s="2" t="s">
        <v>77</v>
      </c>
      <c r="F167">
        <v>15182</v>
      </c>
      <c r="G167" s="6"/>
      <c r="H167" s="6" t="s">
        <v>581</v>
      </c>
      <c r="I167" s="34"/>
      <c r="J167" s="38"/>
      <c r="K167" s="38"/>
      <c r="L167" s="38"/>
      <c r="M167" s="38" t="s">
        <v>582</v>
      </c>
      <c r="N167" s="19">
        <v>1</v>
      </c>
      <c r="O167" s="76">
        <v>0</v>
      </c>
      <c r="P167" s="6">
        <v>65535</v>
      </c>
      <c r="Q167" s="38">
        <v>0</v>
      </c>
      <c r="R167" s="38">
        <v>65535</v>
      </c>
      <c r="S167" s="34"/>
      <c r="T167" s="34"/>
      <c r="U167" s="34"/>
      <c r="V167" s="8"/>
      <c r="W167" t="s">
        <v>583</v>
      </c>
      <c r="X167"/>
      <c r="Y167" s="34" t="s">
        <v>64</v>
      </c>
    </row>
    <row r="168" spans="1:25" s="55" customFormat="1" ht="15.75" customHeight="1" x14ac:dyDescent="0.15">
      <c r="A168" s="6">
        <v>162</v>
      </c>
      <c r="B168" s="18" t="s">
        <v>75</v>
      </c>
      <c r="C168" s="34" t="s">
        <v>57</v>
      </c>
      <c r="D168" s="75" t="s">
        <v>584</v>
      </c>
      <c r="E168" s="2" t="s">
        <v>219</v>
      </c>
      <c r="F168">
        <v>15185</v>
      </c>
      <c r="G168" s="6"/>
      <c r="H168" s="6" t="s">
        <v>585</v>
      </c>
      <c r="I168" s="34"/>
      <c r="J168" s="38"/>
      <c r="K168" s="38"/>
      <c r="L168" s="38"/>
      <c r="M168" s="38"/>
      <c r="N168" s="19"/>
      <c r="O168" s="76" t="s">
        <v>62</v>
      </c>
      <c r="P168" s="6" t="s">
        <v>62</v>
      </c>
      <c r="Q168" s="38" t="s">
        <v>62</v>
      </c>
      <c r="R168" s="38" t="s">
        <v>62</v>
      </c>
      <c r="S168" s="34"/>
      <c r="T168" s="34"/>
      <c r="U168" s="34"/>
      <c r="V168" s="8"/>
      <c r="W168" t="s">
        <v>586</v>
      </c>
      <c r="X168"/>
      <c r="Y168" s="34"/>
    </row>
    <row r="169" spans="1:25" s="55" customFormat="1" ht="15.75" customHeight="1" x14ac:dyDescent="0.15">
      <c r="A169" s="6">
        <v>163</v>
      </c>
      <c r="B169" s="18" t="s">
        <v>75</v>
      </c>
      <c r="C169" s="34" t="s">
        <v>57</v>
      </c>
      <c r="D169" s="75" t="s">
        <v>587</v>
      </c>
      <c r="E169" s="2" t="s">
        <v>169</v>
      </c>
      <c r="F169">
        <v>15185</v>
      </c>
      <c r="G169" s="6">
        <v>0</v>
      </c>
      <c r="H169" s="6" t="s">
        <v>588</v>
      </c>
      <c r="I169" s="34"/>
      <c r="J169" s="38" t="s">
        <v>171</v>
      </c>
      <c r="K169" s="38" t="s">
        <v>177</v>
      </c>
      <c r="L169" s="38" t="s">
        <v>173</v>
      </c>
      <c r="M169" s="38"/>
      <c r="N169" s="19"/>
      <c r="O169" s="76" t="s">
        <v>62</v>
      </c>
      <c r="P169" s="6" t="s">
        <v>62</v>
      </c>
      <c r="Q169" s="38" t="s">
        <v>62</v>
      </c>
      <c r="R169" s="38" t="s">
        <v>62</v>
      </c>
      <c r="S169" s="34"/>
      <c r="T169" s="34"/>
      <c r="U169" s="34"/>
      <c r="V169" s="8"/>
      <c r="W169" t="s">
        <v>589</v>
      </c>
      <c r="X169"/>
      <c r="Y169" s="34"/>
    </row>
    <row r="170" spans="1:25" s="55" customFormat="1" ht="15.75" customHeight="1" x14ac:dyDescent="0.15">
      <c r="A170" s="6">
        <v>164</v>
      </c>
      <c r="B170" s="18" t="s">
        <v>75</v>
      </c>
      <c r="C170" s="34" t="s">
        <v>57</v>
      </c>
      <c r="D170" s="75" t="s">
        <v>590</v>
      </c>
      <c r="E170" s="2" t="s">
        <v>169</v>
      </c>
      <c r="F170">
        <v>15185</v>
      </c>
      <c r="G170" s="6">
        <v>1</v>
      </c>
      <c r="H170" s="6" t="s">
        <v>591</v>
      </c>
      <c r="I170" s="34"/>
      <c r="J170" s="38" t="s">
        <v>171</v>
      </c>
      <c r="K170" s="38" t="s">
        <v>177</v>
      </c>
      <c r="L170" s="38" t="s">
        <v>173</v>
      </c>
      <c r="M170" s="38"/>
      <c r="N170" s="19"/>
      <c r="O170" s="76" t="s">
        <v>62</v>
      </c>
      <c r="P170" s="6" t="s">
        <v>62</v>
      </c>
      <c r="Q170" s="38" t="s">
        <v>62</v>
      </c>
      <c r="R170" s="38" t="s">
        <v>62</v>
      </c>
      <c r="S170" s="34"/>
      <c r="T170" s="34"/>
      <c r="U170" s="34"/>
      <c r="V170" s="8"/>
      <c r="W170" t="s">
        <v>592</v>
      </c>
      <c r="X170"/>
      <c r="Y170" s="34"/>
    </row>
    <row r="171" spans="1:25" s="55" customFormat="1" ht="15.75" customHeight="1" x14ac:dyDescent="0.15">
      <c r="A171" s="6">
        <v>165</v>
      </c>
      <c r="B171" s="18" t="s">
        <v>75</v>
      </c>
      <c r="C171" s="34" t="s">
        <v>57</v>
      </c>
      <c r="D171" s="75" t="s">
        <v>593</v>
      </c>
      <c r="E171" s="2" t="s">
        <v>169</v>
      </c>
      <c r="F171">
        <v>15185</v>
      </c>
      <c r="G171" s="6">
        <v>2</v>
      </c>
      <c r="H171" s="6" t="s">
        <v>594</v>
      </c>
      <c r="I171" s="34"/>
      <c r="J171" s="38" t="s">
        <v>171</v>
      </c>
      <c r="K171" s="38" t="s">
        <v>177</v>
      </c>
      <c r="L171" s="38" t="s">
        <v>173</v>
      </c>
      <c r="M171" s="38"/>
      <c r="N171" s="19"/>
      <c r="O171" s="76" t="s">
        <v>62</v>
      </c>
      <c r="P171" s="6" t="s">
        <v>62</v>
      </c>
      <c r="Q171" s="38" t="s">
        <v>62</v>
      </c>
      <c r="R171" s="38" t="s">
        <v>62</v>
      </c>
      <c r="S171" s="34"/>
      <c r="T171" s="34"/>
      <c r="U171" s="34"/>
      <c r="V171" s="8"/>
      <c r="W171" t="s">
        <v>595</v>
      </c>
      <c r="X171"/>
      <c r="Y171" s="34"/>
    </row>
    <row r="172" spans="1:25" s="55" customFormat="1" ht="15.75" customHeight="1" x14ac:dyDescent="0.15">
      <c r="A172" s="6">
        <v>166</v>
      </c>
      <c r="B172" s="18" t="s">
        <v>75</v>
      </c>
      <c r="C172" s="34" t="s">
        <v>57</v>
      </c>
      <c r="D172" s="75" t="s">
        <v>596</v>
      </c>
      <c r="E172" s="2" t="s">
        <v>169</v>
      </c>
      <c r="F172">
        <v>15185</v>
      </c>
      <c r="G172" s="6">
        <v>3</v>
      </c>
      <c r="H172" s="6" t="s">
        <v>597</v>
      </c>
      <c r="I172" s="34"/>
      <c r="J172" s="38" t="s">
        <v>171</v>
      </c>
      <c r="K172" s="38" t="s">
        <v>177</v>
      </c>
      <c r="L172" s="38" t="s">
        <v>173</v>
      </c>
      <c r="M172" s="38"/>
      <c r="N172" s="19"/>
      <c r="O172" s="76" t="s">
        <v>62</v>
      </c>
      <c r="P172" s="6" t="s">
        <v>62</v>
      </c>
      <c r="Q172" s="38" t="s">
        <v>62</v>
      </c>
      <c r="R172" s="38" t="s">
        <v>62</v>
      </c>
      <c r="S172" s="34"/>
      <c r="T172" s="34"/>
      <c r="U172" s="34"/>
      <c r="V172" s="8"/>
      <c r="W172" t="s">
        <v>598</v>
      </c>
      <c r="X172"/>
      <c r="Y172" s="34"/>
    </row>
    <row r="173" spans="1:25" s="55" customFormat="1" ht="15.75" customHeight="1" x14ac:dyDescent="0.15">
      <c r="A173" s="6">
        <v>167</v>
      </c>
      <c r="B173" s="18" t="s">
        <v>75</v>
      </c>
      <c r="C173" s="34" t="s">
        <v>57</v>
      </c>
      <c r="D173" s="75" t="s">
        <v>599</v>
      </c>
      <c r="E173" s="2" t="s">
        <v>169</v>
      </c>
      <c r="F173">
        <v>15185</v>
      </c>
      <c r="G173" s="6">
        <v>7</v>
      </c>
      <c r="H173" s="6" t="s">
        <v>600</v>
      </c>
      <c r="I173" s="34"/>
      <c r="J173" s="38" t="s">
        <v>171</v>
      </c>
      <c r="K173" s="38" t="s">
        <v>177</v>
      </c>
      <c r="L173" s="38" t="s">
        <v>173</v>
      </c>
      <c r="M173" s="38"/>
      <c r="N173" s="19"/>
      <c r="O173" s="76" t="s">
        <v>62</v>
      </c>
      <c r="P173" s="6" t="s">
        <v>62</v>
      </c>
      <c r="Q173" s="38" t="s">
        <v>62</v>
      </c>
      <c r="R173" s="38" t="s">
        <v>62</v>
      </c>
      <c r="S173" s="34"/>
      <c r="T173" s="34"/>
      <c r="U173" s="34"/>
      <c r="V173" s="8"/>
      <c r="W173" t="s">
        <v>601</v>
      </c>
      <c r="X173"/>
      <c r="Y173" s="34"/>
    </row>
    <row r="174" spans="1:25" s="55" customFormat="1" ht="15.75" customHeight="1" x14ac:dyDescent="0.15">
      <c r="A174" s="6">
        <v>168</v>
      </c>
      <c r="B174" s="18" t="s">
        <v>75</v>
      </c>
      <c r="C174" s="34" t="s">
        <v>57</v>
      </c>
      <c r="D174" s="75" t="s">
        <v>602</v>
      </c>
      <c r="E174" s="2" t="s">
        <v>169</v>
      </c>
      <c r="F174">
        <v>15185</v>
      </c>
      <c r="G174" s="6">
        <v>9</v>
      </c>
      <c r="H174" s="6" t="s">
        <v>603</v>
      </c>
      <c r="I174" s="34"/>
      <c r="J174" s="38" t="s">
        <v>171</v>
      </c>
      <c r="K174" s="38" t="s">
        <v>177</v>
      </c>
      <c r="L174" s="38" t="s">
        <v>173</v>
      </c>
      <c r="M174" s="38"/>
      <c r="N174" s="19"/>
      <c r="O174" s="76" t="s">
        <v>62</v>
      </c>
      <c r="P174" s="6" t="s">
        <v>62</v>
      </c>
      <c r="Q174" s="38" t="s">
        <v>62</v>
      </c>
      <c r="R174" s="38" t="s">
        <v>62</v>
      </c>
      <c r="S174" s="34"/>
      <c r="T174" s="34"/>
      <c r="U174" s="34"/>
      <c r="V174" s="8"/>
      <c r="W174" t="s">
        <v>604</v>
      </c>
      <c r="X174"/>
      <c r="Y174" s="34"/>
    </row>
    <row r="175" spans="1:25" s="55" customFormat="1" ht="15.75" customHeight="1" x14ac:dyDescent="0.15">
      <c r="A175" s="6">
        <v>169</v>
      </c>
      <c r="B175" s="18" t="s">
        <v>75</v>
      </c>
      <c r="C175" s="34" t="s">
        <v>57</v>
      </c>
      <c r="D175" s="75" t="s">
        <v>605</v>
      </c>
      <c r="E175" s="2" t="s">
        <v>169</v>
      </c>
      <c r="F175">
        <v>15185</v>
      </c>
      <c r="G175" s="6">
        <v>10</v>
      </c>
      <c r="H175" s="6" t="s">
        <v>606</v>
      </c>
      <c r="I175" s="34"/>
      <c r="J175" s="38" t="s">
        <v>171</v>
      </c>
      <c r="K175" s="38" t="s">
        <v>177</v>
      </c>
      <c r="L175" s="38" t="s">
        <v>173</v>
      </c>
      <c r="M175" s="38"/>
      <c r="N175" s="19"/>
      <c r="O175" s="76" t="s">
        <v>62</v>
      </c>
      <c r="P175" s="6" t="s">
        <v>62</v>
      </c>
      <c r="Q175" s="38" t="s">
        <v>62</v>
      </c>
      <c r="R175" s="38" t="s">
        <v>62</v>
      </c>
      <c r="S175" s="34"/>
      <c r="T175" s="34"/>
      <c r="U175" s="34"/>
      <c r="V175" s="8"/>
      <c r="W175" t="s">
        <v>607</v>
      </c>
      <c r="X175"/>
      <c r="Y175" s="34"/>
    </row>
    <row r="176" spans="1:25" s="55" customFormat="1" ht="15.75" customHeight="1" x14ac:dyDescent="0.15">
      <c r="A176" s="6">
        <v>170</v>
      </c>
      <c r="B176" s="18" t="s">
        <v>75</v>
      </c>
      <c r="C176" s="34" t="s">
        <v>57</v>
      </c>
      <c r="D176" s="75" t="s">
        <v>608</v>
      </c>
      <c r="E176" s="2" t="s">
        <v>169</v>
      </c>
      <c r="F176">
        <v>15185</v>
      </c>
      <c r="G176" s="6">
        <v>11</v>
      </c>
      <c r="H176" s="6" t="s">
        <v>609</v>
      </c>
      <c r="I176" s="34"/>
      <c r="J176" s="38" t="s">
        <v>171</v>
      </c>
      <c r="K176" s="38" t="s">
        <v>177</v>
      </c>
      <c r="L176" s="38" t="s">
        <v>173</v>
      </c>
      <c r="M176" s="38"/>
      <c r="N176" s="19"/>
      <c r="O176" s="76" t="s">
        <v>62</v>
      </c>
      <c r="P176" s="6" t="s">
        <v>62</v>
      </c>
      <c r="Q176" s="38" t="s">
        <v>62</v>
      </c>
      <c r="R176" s="38" t="s">
        <v>62</v>
      </c>
      <c r="S176" s="34"/>
      <c r="T176" s="34"/>
      <c r="U176" s="34"/>
      <c r="V176" s="8"/>
      <c r="W176" t="s">
        <v>610</v>
      </c>
      <c r="X176"/>
      <c r="Y176" s="34"/>
    </row>
    <row r="177" spans="1:34" s="55" customFormat="1" ht="15.75" customHeight="1" x14ac:dyDescent="0.15">
      <c r="A177" s="6">
        <v>171</v>
      </c>
      <c r="B177" s="18" t="s">
        <v>75</v>
      </c>
      <c r="C177" s="34" t="s">
        <v>57</v>
      </c>
      <c r="D177" s="75" t="s">
        <v>611</v>
      </c>
      <c r="E177" s="2" t="s">
        <v>169</v>
      </c>
      <c r="F177">
        <v>15185</v>
      </c>
      <c r="G177" s="6">
        <v>14</v>
      </c>
      <c r="H177" s="6" t="s">
        <v>612</v>
      </c>
      <c r="I177" s="34"/>
      <c r="J177" s="38" t="s">
        <v>171</v>
      </c>
      <c r="K177" s="38" t="s">
        <v>177</v>
      </c>
      <c r="L177" s="38" t="s">
        <v>173</v>
      </c>
      <c r="M177" s="38"/>
      <c r="N177" s="19"/>
      <c r="O177" s="76" t="s">
        <v>62</v>
      </c>
      <c r="P177" s="6" t="s">
        <v>62</v>
      </c>
      <c r="Q177" s="38" t="s">
        <v>62</v>
      </c>
      <c r="R177" s="38" t="s">
        <v>62</v>
      </c>
      <c r="S177" s="34"/>
      <c r="T177" s="34"/>
      <c r="U177" s="34"/>
      <c r="V177" s="8"/>
      <c r="W177" t="s">
        <v>613</v>
      </c>
      <c r="X177"/>
      <c r="Y177" s="34"/>
    </row>
    <row r="178" spans="1:34" s="55" customFormat="1" ht="15.75" customHeight="1" x14ac:dyDescent="0.15">
      <c r="A178" s="6">
        <v>172</v>
      </c>
      <c r="B178" s="18" t="s">
        <v>75</v>
      </c>
      <c r="C178" s="34" t="s">
        <v>57</v>
      </c>
      <c r="D178" s="75" t="s">
        <v>614</v>
      </c>
      <c r="E178" s="2" t="s">
        <v>169</v>
      </c>
      <c r="F178">
        <v>15185</v>
      </c>
      <c r="G178" s="6">
        <v>17</v>
      </c>
      <c r="H178" s="6" t="s">
        <v>615</v>
      </c>
      <c r="I178" s="34"/>
      <c r="J178" s="38" t="s">
        <v>171</v>
      </c>
      <c r="K178" s="38" t="s">
        <v>177</v>
      </c>
      <c r="L178" s="38" t="s">
        <v>173</v>
      </c>
      <c r="M178" s="38"/>
      <c r="N178" s="19"/>
      <c r="O178" s="76" t="s">
        <v>62</v>
      </c>
      <c r="P178" s="6" t="s">
        <v>62</v>
      </c>
      <c r="Q178" s="38" t="s">
        <v>62</v>
      </c>
      <c r="R178" s="38" t="s">
        <v>62</v>
      </c>
      <c r="S178" s="34"/>
      <c r="T178" s="34"/>
      <c r="U178" s="34"/>
      <c r="V178" s="8"/>
      <c r="W178" t="s">
        <v>616</v>
      </c>
      <c r="X178"/>
      <c r="Y178" s="34"/>
    </row>
    <row r="179" spans="1:34" s="55" customFormat="1" ht="15.75" customHeight="1" x14ac:dyDescent="0.15">
      <c r="A179" s="6">
        <v>173</v>
      </c>
      <c r="B179" s="18" t="s">
        <v>75</v>
      </c>
      <c r="C179" s="34" t="s">
        <v>57</v>
      </c>
      <c r="D179" s="75" t="s">
        <v>617</v>
      </c>
      <c r="E179" s="2" t="s">
        <v>169</v>
      </c>
      <c r="F179">
        <v>15185</v>
      </c>
      <c r="G179" s="6">
        <v>18</v>
      </c>
      <c r="H179" s="6" t="s">
        <v>618</v>
      </c>
      <c r="I179" s="34"/>
      <c r="J179" s="38" t="s">
        <v>171</v>
      </c>
      <c r="K179" s="38" t="s">
        <v>177</v>
      </c>
      <c r="L179" s="38" t="s">
        <v>173</v>
      </c>
      <c r="M179" s="38"/>
      <c r="N179" s="19"/>
      <c r="O179" s="76" t="s">
        <v>62</v>
      </c>
      <c r="P179" s="6" t="s">
        <v>62</v>
      </c>
      <c r="Q179" s="38" t="s">
        <v>62</v>
      </c>
      <c r="R179" s="38" t="s">
        <v>62</v>
      </c>
      <c r="S179" s="34"/>
      <c r="T179" s="34"/>
      <c r="U179" s="34"/>
      <c r="V179" s="8"/>
      <c r="W179" t="s">
        <v>619</v>
      </c>
      <c r="X179"/>
      <c r="Y179" s="34"/>
    </row>
    <row r="180" spans="1:34" s="55" customFormat="1" ht="15.75" customHeight="1" x14ac:dyDescent="0.15">
      <c r="A180" s="6">
        <v>174</v>
      </c>
      <c r="B180" s="18" t="s">
        <v>75</v>
      </c>
      <c r="C180" s="34" t="s">
        <v>57</v>
      </c>
      <c r="D180" s="75" t="s">
        <v>620</v>
      </c>
      <c r="E180" s="2" t="s">
        <v>169</v>
      </c>
      <c r="F180">
        <v>15185</v>
      </c>
      <c r="G180" s="6">
        <v>21</v>
      </c>
      <c r="H180" s="6" t="s">
        <v>621</v>
      </c>
      <c r="I180" s="34"/>
      <c r="J180" s="38" t="s">
        <v>171</v>
      </c>
      <c r="K180" s="38" t="s">
        <v>177</v>
      </c>
      <c r="L180" s="38" t="s">
        <v>173</v>
      </c>
      <c r="M180" s="38"/>
      <c r="N180" s="19"/>
      <c r="O180" s="76" t="s">
        <v>62</v>
      </c>
      <c r="P180" s="6" t="s">
        <v>62</v>
      </c>
      <c r="Q180" s="38" t="s">
        <v>62</v>
      </c>
      <c r="R180" s="38" t="s">
        <v>62</v>
      </c>
      <c r="S180" s="34"/>
      <c r="T180" s="34"/>
      <c r="U180" s="34"/>
      <c r="V180" s="8"/>
      <c r="W180" t="s">
        <v>622</v>
      </c>
      <c r="X180"/>
      <c r="Y180" s="34"/>
    </row>
    <row r="181" spans="1:34" s="55" customFormat="1" ht="15.75" customHeight="1" x14ac:dyDescent="0.15">
      <c r="A181" s="6">
        <v>175</v>
      </c>
      <c r="B181" s="18" t="s">
        <v>75</v>
      </c>
      <c r="C181" s="34" t="s">
        <v>57</v>
      </c>
      <c r="D181" s="75" t="s">
        <v>623</v>
      </c>
      <c r="E181" s="2" t="s">
        <v>169</v>
      </c>
      <c r="F181">
        <v>15185</v>
      </c>
      <c r="G181" s="6">
        <v>22</v>
      </c>
      <c r="H181" s="6" t="s">
        <v>624</v>
      </c>
      <c r="I181" s="34"/>
      <c r="J181" s="38" t="s">
        <v>171</v>
      </c>
      <c r="K181" s="38" t="s">
        <v>177</v>
      </c>
      <c r="L181" s="38" t="s">
        <v>173</v>
      </c>
      <c r="M181" s="38"/>
      <c r="N181" s="19"/>
      <c r="O181" s="76" t="s">
        <v>62</v>
      </c>
      <c r="P181" s="6" t="s">
        <v>62</v>
      </c>
      <c r="Q181" s="38" t="s">
        <v>62</v>
      </c>
      <c r="R181" s="38" t="s">
        <v>62</v>
      </c>
      <c r="S181" s="34"/>
      <c r="T181" s="34"/>
      <c r="U181" s="34"/>
      <c r="V181" s="8"/>
      <c r="W181" t="s">
        <v>625</v>
      </c>
      <c r="X181"/>
      <c r="Y181" s="34"/>
    </row>
    <row r="182" spans="1:34" s="55" customFormat="1" ht="15.75" customHeight="1" x14ac:dyDescent="0.15">
      <c r="A182" s="6">
        <v>176</v>
      </c>
      <c r="B182" s="18" t="s">
        <v>75</v>
      </c>
      <c r="C182" s="34" t="s">
        <v>57</v>
      </c>
      <c r="D182" s="75" t="s">
        <v>626</v>
      </c>
      <c r="E182" s="2" t="s">
        <v>169</v>
      </c>
      <c r="F182">
        <v>15185</v>
      </c>
      <c r="G182" s="6">
        <v>23</v>
      </c>
      <c r="H182" s="6" t="s">
        <v>627</v>
      </c>
      <c r="I182" s="34"/>
      <c r="J182" s="38" t="s">
        <v>171</v>
      </c>
      <c r="K182" s="38" t="s">
        <v>177</v>
      </c>
      <c r="L182" s="38" t="s">
        <v>173</v>
      </c>
      <c r="M182" s="38"/>
      <c r="N182" s="19"/>
      <c r="O182" s="76" t="s">
        <v>62</v>
      </c>
      <c r="P182" s="6" t="s">
        <v>62</v>
      </c>
      <c r="Q182" s="38" t="s">
        <v>62</v>
      </c>
      <c r="R182" s="38" t="s">
        <v>62</v>
      </c>
      <c r="S182" s="34"/>
      <c r="T182" s="34"/>
      <c r="U182" s="34"/>
      <c r="V182" s="8"/>
      <c r="W182" t="s">
        <v>628</v>
      </c>
      <c r="X182"/>
      <c r="Y182" s="34"/>
    </row>
    <row r="183" spans="1:34" s="55" customFormat="1" ht="15.75" customHeight="1" x14ac:dyDescent="0.15">
      <c r="A183" s="6">
        <v>177</v>
      </c>
      <c r="B183" s="18" t="s">
        <v>75</v>
      </c>
      <c r="C183" s="34" t="s">
        <v>57</v>
      </c>
      <c r="D183" s="75" t="s">
        <v>629</v>
      </c>
      <c r="E183" s="2" t="s">
        <v>169</v>
      </c>
      <c r="F183">
        <v>15185</v>
      </c>
      <c r="G183" s="6">
        <v>24</v>
      </c>
      <c r="H183" s="6" t="s">
        <v>630</v>
      </c>
      <c r="I183" s="34"/>
      <c r="J183" s="38" t="s">
        <v>171</v>
      </c>
      <c r="K183" s="38" t="s">
        <v>177</v>
      </c>
      <c r="L183" s="38" t="s">
        <v>173</v>
      </c>
      <c r="M183" s="38"/>
      <c r="N183" s="19"/>
      <c r="O183" s="76" t="s">
        <v>62</v>
      </c>
      <c r="P183" s="6" t="s">
        <v>62</v>
      </c>
      <c r="Q183" s="38" t="s">
        <v>62</v>
      </c>
      <c r="R183" s="38" t="s">
        <v>62</v>
      </c>
      <c r="S183" s="34"/>
      <c r="T183" s="34"/>
      <c r="U183" s="34"/>
      <c r="V183" s="8"/>
      <c r="W183" t="s">
        <v>631</v>
      </c>
      <c r="X183"/>
      <c r="Y183" s="34"/>
    </row>
    <row r="184" spans="1:34" ht="15.75" customHeight="1" x14ac:dyDescent="0.15">
      <c r="A184" s="6">
        <v>178</v>
      </c>
      <c r="B184" s="18" t="s">
        <v>75</v>
      </c>
      <c r="C184" s="34" t="s">
        <v>57</v>
      </c>
      <c r="D184" s="75" t="s">
        <v>632</v>
      </c>
      <c r="E184" s="2" t="s">
        <v>169</v>
      </c>
      <c r="F184">
        <v>15185</v>
      </c>
      <c r="G184" s="6">
        <v>25</v>
      </c>
      <c r="H184" s="6" t="s">
        <v>633</v>
      </c>
      <c r="I184" s="34"/>
      <c r="J184" s="38" t="s">
        <v>171</v>
      </c>
      <c r="K184" s="38" t="s">
        <v>177</v>
      </c>
      <c r="L184" s="38" t="s">
        <v>173</v>
      </c>
      <c r="M184" s="38"/>
      <c r="N184" s="19"/>
      <c r="O184" s="76" t="s">
        <v>62</v>
      </c>
      <c r="P184" s="6" t="s">
        <v>62</v>
      </c>
      <c r="Q184" s="38" t="s">
        <v>62</v>
      </c>
      <c r="R184" s="38" t="s">
        <v>62</v>
      </c>
      <c r="S184" s="34"/>
      <c r="T184" s="34"/>
      <c r="U184" s="34"/>
      <c r="V184" s="8"/>
      <c r="W184" t="s">
        <v>634</v>
      </c>
      <c r="Y184" s="34"/>
      <c r="Z184"/>
      <c r="AA184"/>
      <c r="AE184"/>
      <c r="AF184"/>
      <c r="AG184"/>
      <c r="AH184"/>
    </row>
    <row r="185" spans="1:34" ht="15.75" customHeight="1" x14ac:dyDescent="0.15">
      <c r="A185" s="6">
        <v>179</v>
      </c>
      <c r="B185" s="18" t="s">
        <v>75</v>
      </c>
      <c r="C185" s="34" t="s">
        <v>57</v>
      </c>
      <c r="D185" s="75" t="s">
        <v>635</v>
      </c>
      <c r="E185" s="2" t="s">
        <v>169</v>
      </c>
      <c r="F185">
        <v>15185</v>
      </c>
      <c r="G185" s="6">
        <v>26</v>
      </c>
      <c r="H185" s="6" t="s">
        <v>636</v>
      </c>
      <c r="I185" s="34"/>
      <c r="J185" s="38" t="s">
        <v>171</v>
      </c>
      <c r="K185" s="38" t="s">
        <v>177</v>
      </c>
      <c r="L185" s="38" t="s">
        <v>173</v>
      </c>
      <c r="M185" s="38"/>
      <c r="N185" s="19"/>
      <c r="O185" s="76" t="s">
        <v>62</v>
      </c>
      <c r="P185" s="6" t="s">
        <v>62</v>
      </c>
      <c r="Q185" s="38" t="s">
        <v>62</v>
      </c>
      <c r="R185" s="38" t="s">
        <v>62</v>
      </c>
      <c r="S185" s="34"/>
      <c r="T185" s="34"/>
      <c r="U185" s="34"/>
      <c r="V185" s="8"/>
      <c r="W185" t="s">
        <v>637</v>
      </c>
      <c r="Y185" s="34"/>
      <c r="Z185"/>
      <c r="AA185"/>
      <c r="AE185"/>
      <c r="AF185"/>
      <c r="AG185"/>
      <c r="AH185"/>
    </row>
    <row r="186" spans="1:34" ht="15.75" customHeight="1" x14ac:dyDescent="0.15">
      <c r="A186" s="6">
        <v>180</v>
      </c>
      <c r="B186" s="18" t="s">
        <v>75</v>
      </c>
      <c r="C186" s="34" t="s">
        <v>57</v>
      </c>
      <c r="D186" s="75" t="s">
        <v>638</v>
      </c>
      <c r="E186" s="2" t="s">
        <v>169</v>
      </c>
      <c r="F186">
        <v>15185</v>
      </c>
      <c r="G186" s="6">
        <v>27</v>
      </c>
      <c r="H186" s="6" t="s">
        <v>639</v>
      </c>
      <c r="I186" s="34"/>
      <c r="J186" s="38" t="s">
        <v>171</v>
      </c>
      <c r="K186" s="38" t="s">
        <v>177</v>
      </c>
      <c r="L186" s="38" t="s">
        <v>173</v>
      </c>
      <c r="M186" s="38"/>
      <c r="N186" s="19"/>
      <c r="O186" s="76" t="s">
        <v>62</v>
      </c>
      <c r="P186" s="6" t="s">
        <v>62</v>
      </c>
      <c r="Q186" s="38" t="s">
        <v>62</v>
      </c>
      <c r="R186" s="38" t="s">
        <v>62</v>
      </c>
      <c r="S186" s="34"/>
      <c r="T186" s="34"/>
      <c r="U186" s="34"/>
      <c r="V186" s="8"/>
      <c r="W186" t="s">
        <v>640</v>
      </c>
      <c r="Y186" s="34"/>
      <c r="Z186"/>
      <c r="AA186"/>
      <c r="AE186"/>
      <c r="AF186"/>
      <c r="AG186"/>
      <c r="AH186"/>
    </row>
    <row r="187" spans="1:34" ht="15.75" customHeight="1" x14ac:dyDescent="0.15">
      <c r="A187" s="6">
        <v>181</v>
      </c>
      <c r="B187" s="18" t="s">
        <v>75</v>
      </c>
      <c r="C187" s="34" t="s">
        <v>57</v>
      </c>
      <c r="D187" s="75" t="s">
        <v>641</v>
      </c>
      <c r="E187" s="2" t="s">
        <v>169</v>
      </c>
      <c r="F187">
        <v>15185</v>
      </c>
      <c r="G187" s="6">
        <v>28</v>
      </c>
      <c r="H187" s="6" t="s">
        <v>642</v>
      </c>
      <c r="I187" s="34"/>
      <c r="J187" s="38" t="s">
        <v>171</v>
      </c>
      <c r="K187" s="38" t="s">
        <v>177</v>
      </c>
      <c r="L187" s="38" t="s">
        <v>173</v>
      </c>
      <c r="M187" s="38"/>
      <c r="N187" s="19"/>
      <c r="O187" s="76" t="s">
        <v>62</v>
      </c>
      <c r="P187" s="6" t="s">
        <v>62</v>
      </c>
      <c r="Q187" s="38" t="s">
        <v>62</v>
      </c>
      <c r="R187" s="38" t="s">
        <v>62</v>
      </c>
      <c r="S187" s="34"/>
      <c r="T187" s="34"/>
      <c r="U187" s="34"/>
      <c r="V187" s="8"/>
      <c r="W187" t="s">
        <v>643</v>
      </c>
      <c r="Y187" s="34"/>
      <c r="Z187"/>
      <c r="AA187"/>
      <c r="AE187"/>
      <c r="AF187"/>
      <c r="AG187"/>
      <c r="AH187"/>
    </row>
    <row r="188" spans="1:34" ht="15.75" customHeight="1" x14ac:dyDescent="0.15">
      <c r="A188" s="6">
        <v>182</v>
      </c>
      <c r="B188" s="18" t="s">
        <v>75</v>
      </c>
      <c r="C188" s="34" t="s">
        <v>57</v>
      </c>
      <c r="D188" s="75" t="s">
        <v>644</v>
      </c>
      <c r="E188" s="2" t="s">
        <v>169</v>
      </c>
      <c r="F188">
        <v>15185</v>
      </c>
      <c r="G188" s="6">
        <v>29</v>
      </c>
      <c r="H188" s="6" t="s">
        <v>645</v>
      </c>
      <c r="I188" s="34"/>
      <c r="J188" s="38" t="s">
        <v>171</v>
      </c>
      <c r="K188" s="38" t="s">
        <v>177</v>
      </c>
      <c r="L188" s="38" t="s">
        <v>173</v>
      </c>
      <c r="M188" s="38"/>
      <c r="N188" s="19"/>
      <c r="O188" s="76" t="s">
        <v>62</v>
      </c>
      <c r="P188" s="6" t="s">
        <v>62</v>
      </c>
      <c r="Q188" s="38" t="s">
        <v>62</v>
      </c>
      <c r="R188" s="38" t="s">
        <v>62</v>
      </c>
      <c r="S188" s="34"/>
      <c r="T188" s="34"/>
      <c r="U188" s="34"/>
      <c r="V188" s="8"/>
      <c r="W188" t="s">
        <v>646</v>
      </c>
      <c r="Y188" s="34"/>
      <c r="Z188"/>
      <c r="AA188"/>
      <c r="AE188"/>
      <c r="AF188"/>
      <c r="AG188"/>
      <c r="AH188"/>
    </row>
    <row r="189" spans="1:34" ht="15.75" customHeight="1" x14ac:dyDescent="0.15">
      <c r="A189" s="6">
        <v>183</v>
      </c>
      <c r="B189" s="18" t="s">
        <v>75</v>
      </c>
      <c r="C189" s="34" t="s">
        <v>57</v>
      </c>
      <c r="D189" s="75" t="s">
        <v>647</v>
      </c>
      <c r="E189" s="2" t="s">
        <v>219</v>
      </c>
      <c r="F189">
        <v>15187</v>
      </c>
      <c r="G189" s="6"/>
      <c r="H189" s="6" t="s">
        <v>648</v>
      </c>
      <c r="I189" s="34"/>
      <c r="J189" s="38"/>
      <c r="K189" s="38"/>
      <c r="L189" s="38"/>
      <c r="M189" s="38"/>
      <c r="N189" s="19"/>
      <c r="O189" s="76" t="s">
        <v>62</v>
      </c>
      <c r="P189" s="6" t="s">
        <v>62</v>
      </c>
      <c r="Q189" s="38" t="s">
        <v>62</v>
      </c>
      <c r="R189" s="38" t="s">
        <v>62</v>
      </c>
      <c r="S189" s="34"/>
      <c r="T189" s="34"/>
      <c r="U189" s="34"/>
      <c r="V189" s="8"/>
      <c r="W189" t="s">
        <v>649</v>
      </c>
      <c r="Y189" s="34"/>
      <c r="Z189"/>
      <c r="AA189"/>
      <c r="AE189"/>
      <c r="AF189"/>
      <c r="AG189"/>
      <c r="AH189"/>
    </row>
    <row r="190" spans="1:34" ht="15.75" customHeight="1" x14ac:dyDescent="0.15">
      <c r="A190" s="6">
        <v>184</v>
      </c>
      <c r="B190" s="18" t="s">
        <v>75</v>
      </c>
      <c r="C190" s="34" t="s">
        <v>57</v>
      </c>
      <c r="D190" s="75" t="s">
        <v>650</v>
      </c>
      <c r="E190" s="2" t="s">
        <v>169</v>
      </c>
      <c r="F190">
        <v>15187</v>
      </c>
      <c r="G190" s="6">
        <v>0</v>
      </c>
      <c r="H190" s="6" t="s">
        <v>651</v>
      </c>
      <c r="I190" s="34"/>
      <c r="J190" s="38" t="s">
        <v>171</v>
      </c>
      <c r="K190" s="38" t="s">
        <v>177</v>
      </c>
      <c r="L190" s="38" t="s">
        <v>173</v>
      </c>
      <c r="M190" s="38"/>
      <c r="N190" s="19"/>
      <c r="O190" s="76" t="s">
        <v>62</v>
      </c>
      <c r="P190" s="6" t="s">
        <v>62</v>
      </c>
      <c r="Q190" s="38" t="s">
        <v>62</v>
      </c>
      <c r="R190" s="38" t="s">
        <v>62</v>
      </c>
      <c r="S190" s="34"/>
      <c r="T190" s="34"/>
      <c r="U190" s="34"/>
      <c r="V190" s="8"/>
      <c r="W190" t="s">
        <v>652</v>
      </c>
      <c r="Y190" s="34"/>
      <c r="Z190"/>
      <c r="AA190"/>
      <c r="AE190"/>
      <c r="AF190"/>
      <c r="AG190"/>
      <c r="AH190"/>
    </row>
    <row r="191" spans="1:34" ht="15.75" customHeight="1" x14ac:dyDescent="0.15">
      <c r="A191" s="6">
        <v>185</v>
      </c>
      <c r="B191" s="18" t="s">
        <v>75</v>
      </c>
      <c r="C191" s="34" t="s">
        <v>57</v>
      </c>
      <c r="D191" s="75" t="s">
        <v>653</v>
      </c>
      <c r="E191" s="2" t="s">
        <v>169</v>
      </c>
      <c r="F191">
        <v>15187</v>
      </c>
      <c r="G191" s="6">
        <v>1</v>
      </c>
      <c r="H191" s="6" t="s">
        <v>654</v>
      </c>
      <c r="I191" s="34"/>
      <c r="J191" s="38" t="s">
        <v>171</v>
      </c>
      <c r="K191" s="38" t="s">
        <v>177</v>
      </c>
      <c r="L191" s="38" t="s">
        <v>173</v>
      </c>
      <c r="M191" s="38"/>
      <c r="N191" s="19"/>
      <c r="O191" s="76" t="s">
        <v>62</v>
      </c>
      <c r="P191" s="6" t="s">
        <v>62</v>
      </c>
      <c r="Q191" s="38" t="s">
        <v>62</v>
      </c>
      <c r="R191" s="38" t="s">
        <v>62</v>
      </c>
      <c r="S191" s="34"/>
      <c r="T191" s="34"/>
      <c r="U191" s="34"/>
      <c r="V191" s="8"/>
      <c r="W191" t="s">
        <v>655</v>
      </c>
      <c r="Y191" s="34"/>
      <c r="Z191"/>
      <c r="AA191"/>
      <c r="AE191"/>
      <c r="AF191"/>
      <c r="AG191"/>
      <c r="AH191"/>
    </row>
    <row r="192" spans="1:34" ht="15.75" customHeight="1" x14ac:dyDescent="0.15">
      <c r="A192" s="6">
        <v>186</v>
      </c>
      <c r="B192" s="18" t="s">
        <v>75</v>
      </c>
      <c r="C192" s="34" t="s">
        <v>57</v>
      </c>
      <c r="D192" s="75" t="s">
        <v>656</v>
      </c>
      <c r="E192" s="2" t="s">
        <v>169</v>
      </c>
      <c r="F192">
        <v>15187</v>
      </c>
      <c r="G192" s="6">
        <v>2</v>
      </c>
      <c r="H192" s="6" t="s">
        <v>657</v>
      </c>
      <c r="I192" s="34"/>
      <c r="J192" s="38" t="s">
        <v>171</v>
      </c>
      <c r="K192" s="38" t="s">
        <v>177</v>
      </c>
      <c r="L192" s="38" t="s">
        <v>173</v>
      </c>
      <c r="M192" s="38"/>
      <c r="N192" s="19"/>
      <c r="O192" s="76" t="s">
        <v>62</v>
      </c>
      <c r="P192" s="6" t="s">
        <v>62</v>
      </c>
      <c r="Q192" s="38" t="s">
        <v>62</v>
      </c>
      <c r="R192" s="38" t="s">
        <v>62</v>
      </c>
      <c r="S192" s="34"/>
      <c r="T192" s="34"/>
      <c r="U192" s="34"/>
      <c r="V192" s="8"/>
      <c r="W192" t="s">
        <v>658</v>
      </c>
      <c r="Y192" s="34"/>
      <c r="Z192"/>
      <c r="AA192"/>
      <c r="AE192"/>
      <c r="AF192"/>
      <c r="AG192"/>
      <c r="AH192"/>
    </row>
    <row r="193" spans="1:34" ht="15.75" customHeight="1" x14ac:dyDescent="0.15">
      <c r="A193" s="6">
        <v>187</v>
      </c>
      <c r="B193" s="18" t="s">
        <v>75</v>
      </c>
      <c r="C193" s="34" t="s">
        <v>57</v>
      </c>
      <c r="D193" s="75" t="s">
        <v>659</v>
      </c>
      <c r="E193" s="2" t="s">
        <v>169</v>
      </c>
      <c r="F193">
        <v>15187</v>
      </c>
      <c r="G193" s="6">
        <v>3</v>
      </c>
      <c r="H193" s="6" t="s">
        <v>660</v>
      </c>
      <c r="I193" s="34"/>
      <c r="J193" s="38" t="s">
        <v>171</v>
      </c>
      <c r="K193" s="38" t="s">
        <v>177</v>
      </c>
      <c r="L193" s="38" t="s">
        <v>173</v>
      </c>
      <c r="M193" s="38"/>
      <c r="N193" s="19"/>
      <c r="O193" s="76" t="s">
        <v>62</v>
      </c>
      <c r="P193" s="6" t="s">
        <v>62</v>
      </c>
      <c r="Q193" s="38" t="s">
        <v>62</v>
      </c>
      <c r="R193" s="38" t="s">
        <v>62</v>
      </c>
      <c r="S193" s="34"/>
      <c r="T193" s="34"/>
      <c r="U193" s="34"/>
      <c r="V193" s="8"/>
      <c r="W193" t="s">
        <v>661</v>
      </c>
      <c r="Y193" s="34"/>
      <c r="Z193"/>
      <c r="AA193"/>
      <c r="AE193"/>
      <c r="AF193"/>
      <c r="AG193"/>
      <c r="AH193"/>
    </row>
    <row r="194" spans="1:34" ht="15.75" customHeight="1" x14ac:dyDescent="0.15">
      <c r="A194" s="6">
        <v>188</v>
      </c>
      <c r="B194" s="18" t="s">
        <v>75</v>
      </c>
      <c r="C194" s="34" t="s">
        <v>57</v>
      </c>
      <c r="D194" s="75" t="s">
        <v>662</v>
      </c>
      <c r="E194" s="2" t="s">
        <v>169</v>
      </c>
      <c r="F194">
        <v>15187</v>
      </c>
      <c r="G194" s="6">
        <v>4</v>
      </c>
      <c r="H194" s="6" t="s">
        <v>663</v>
      </c>
      <c r="I194" s="34"/>
      <c r="J194" s="38" t="s">
        <v>171</v>
      </c>
      <c r="K194" s="38" t="s">
        <v>177</v>
      </c>
      <c r="L194" s="38" t="s">
        <v>173</v>
      </c>
      <c r="M194" s="38"/>
      <c r="N194" s="19"/>
      <c r="O194" s="76" t="s">
        <v>62</v>
      </c>
      <c r="P194" s="6" t="s">
        <v>62</v>
      </c>
      <c r="Q194" s="38" t="s">
        <v>62</v>
      </c>
      <c r="R194" s="38" t="s">
        <v>62</v>
      </c>
      <c r="S194" s="34"/>
      <c r="T194" s="34"/>
      <c r="U194" s="34"/>
      <c r="V194" s="8"/>
      <c r="W194" t="s">
        <v>664</v>
      </c>
      <c r="Y194" s="34"/>
      <c r="Z194"/>
      <c r="AA194"/>
      <c r="AE194"/>
      <c r="AF194"/>
      <c r="AG194"/>
      <c r="AH194"/>
    </row>
    <row r="195" spans="1:34" ht="15.75" customHeight="1" x14ac:dyDescent="0.15">
      <c r="A195" s="6">
        <v>189</v>
      </c>
      <c r="B195" s="18" t="s">
        <v>75</v>
      </c>
      <c r="C195" s="34" t="s">
        <v>57</v>
      </c>
      <c r="D195" s="75" t="s">
        <v>665</v>
      </c>
      <c r="E195" s="2" t="s">
        <v>169</v>
      </c>
      <c r="F195">
        <v>15187</v>
      </c>
      <c r="G195" s="6">
        <v>5</v>
      </c>
      <c r="H195" s="6" t="s">
        <v>666</v>
      </c>
      <c r="I195" s="34"/>
      <c r="J195" s="38" t="s">
        <v>171</v>
      </c>
      <c r="K195" s="38" t="s">
        <v>177</v>
      </c>
      <c r="L195" s="38" t="s">
        <v>173</v>
      </c>
      <c r="M195" s="38"/>
      <c r="N195" s="19"/>
      <c r="O195" s="76" t="s">
        <v>62</v>
      </c>
      <c r="P195" s="6" t="s">
        <v>62</v>
      </c>
      <c r="Q195" s="38" t="s">
        <v>62</v>
      </c>
      <c r="R195" s="38" t="s">
        <v>62</v>
      </c>
      <c r="S195" s="34"/>
      <c r="T195" s="34"/>
      <c r="U195" s="34"/>
      <c r="V195" s="8"/>
      <c r="W195" t="s">
        <v>667</v>
      </c>
      <c r="Y195" s="34"/>
      <c r="Z195"/>
      <c r="AA195"/>
      <c r="AE195"/>
      <c r="AF195"/>
      <c r="AG195"/>
      <c r="AH195"/>
    </row>
    <row r="196" spans="1:34" ht="15.75" customHeight="1" x14ac:dyDescent="0.15">
      <c r="A196" s="6">
        <v>190</v>
      </c>
      <c r="B196" s="18" t="s">
        <v>75</v>
      </c>
      <c r="C196" s="34" t="s">
        <v>57</v>
      </c>
      <c r="D196" s="75" t="s">
        <v>668</v>
      </c>
      <c r="E196" s="2" t="s">
        <v>169</v>
      </c>
      <c r="F196">
        <v>15187</v>
      </c>
      <c r="G196" s="6">
        <v>6</v>
      </c>
      <c r="H196" s="6" t="s">
        <v>669</v>
      </c>
      <c r="I196" s="34"/>
      <c r="J196" s="38" t="s">
        <v>171</v>
      </c>
      <c r="K196" s="38" t="s">
        <v>177</v>
      </c>
      <c r="L196" s="38" t="s">
        <v>173</v>
      </c>
      <c r="M196" s="38"/>
      <c r="N196" s="19"/>
      <c r="O196" s="76" t="s">
        <v>62</v>
      </c>
      <c r="P196" s="6" t="s">
        <v>62</v>
      </c>
      <c r="Q196" s="38" t="s">
        <v>62</v>
      </c>
      <c r="R196" s="38" t="s">
        <v>62</v>
      </c>
      <c r="S196" s="34"/>
      <c r="T196" s="34"/>
      <c r="U196" s="34"/>
      <c r="V196" s="8"/>
      <c r="W196" t="s">
        <v>670</v>
      </c>
      <c r="Y196" s="34"/>
      <c r="Z196"/>
      <c r="AA196"/>
      <c r="AE196"/>
      <c r="AF196"/>
      <c r="AG196"/>
      <c r="AH196"/>
    </row>
    <row r="197" spans="1:34" ht="15.75" customHeight="1" x14ac:dyDescent="0.15">
      <c r="A197" s="6">
        <v>191</v>
      </c>
      <c r="B197" s="18" t="s">
        <v>75</v>
      </c>
      <c r="C197" s="34" t="s">
        <v>57</v>
      </c>
      <c r="D197" s="75" t="s">
        <v>671</v>
      </c>
      <c r="E197" s="2" t="s">
        <v>169</v>
      </c>
      <c r="F197">
        <v>15187</v>
      </c>
      <c r="G197" s="6">
        <v>7</v>
      </c>
      <c r="H197" s="6" t="s">
        <v>672</v>
      </c>
      <c r="I197" s="34"/>
      <c r="J197" s="38" t="s">
        <v>171</v>
      </c>
      <c r="K197" s="38" t="s">
        <v>177</v>
      </c>
      <c r="L197" s="38" t="s">
        <v>173</v>
      </c>
      <c r="M197" s="38"/>
      <c r="N197" s="19"/>
      <c r="O197" s="76" t="s">
        <v>62</v>
      </c>
      <c r="P197" s="6" t="s">
        <v>62</v>
      </c>
      <c r="Q197" s="38" t="s">
        <v>62</v>
      </c>
      <c r="R197" s="38" t="s">
        <v>62</v>
      </c>
      <c r="S197" s="34"/>
      <c r="T197" s="34"/>
      <c r="U197" s="34"/>
      <c r="V197" s="8"/>
      <c r="W197" t="s">
        <v>673</v>
      </c>
      <c r="Y197" s="34"/>
      <c r="Z197"/>
      <c r="AA197"/>
      <c r="AE197"/>
      <c r="AF197"/>
      <c r="AG197"/>
      <c r="AH197"/>
    </row>
    <row r="198" spans="1:34" ht="15.75" customHeight="1" x14ac:dyDescent="0.15">
      <c r="A198" s="6">
        <v>192</v>
      </c>
      <c r="B198" s="18" t="s">
        <v>75</v>
      </c>
      <c r="C198" s="34" t="s">
        <v>57</v>
      </c>
      <c r="D198" s="75" t="s">
        <v>674</v>
      </c>
      <c r="E198" s="2" t="s">
        <v>169</v>
      </c>
      <c r="F198">
        <v>15187</v>
      </c>
      <c r="G198" s="6">
        <v>8</v>
      </c>
      <c r="H198" s="6" t="s">
        <v>675</v>
      </c>
      <c r="I198" s="34"/>
      <c r="J198" s="38" t="s">
        <v>171</v>
      </c>
      <c r="K198" s="38" t="s">
        <v>177</v>
      </c>
      <c r="L198" s="38" t="s">
        <v>173</v>
      </c>
      <c r="M198" s="38"/>
      <c r="N198" s="19"/>
      <c r="O198" s="76" t="s">
        <v>62</v>
      </c>
      <c r="P198" s="6" t="s">
        <v>62</v>
      </c>
      <c r="Q198" s="38" t="s">
        <v>62</v>
      </c>
      <c r="R198" s="38" t="s">
        <v>62</v>
      </c>
      <c r="S198" s="34"/>
      <c r="T198" s="34"/>
      <c r="U198" s="34"/>
      <c r="V198" s="8"/>
      <c r="W198" t="s">
        <v>676</v>
      </c>
      <c r="Y198" s="34"/>
      <c r="Z198"/>
      <c r="AA198"/>
      <c r="AE198"/>
      <c r="AF198"/>
      <c r="AG198"/>
      <c r="AH198"/>
    </row>
    <row r="199" spans="1:34" ht="15.75" customHeight="1" x14ac:dyDescent="0.15">
      <c r="A199" s="6">
        <v>193</v>
      </c>
      <c r="B199" s="18" t="s">
        <v>75</v>
      </c>
      <c r="C199" s="34" t="s">
        <v>57</v>
      </c>
      <c r="D199" s="75" t="s">
        <v>677</v>
      </c>
      <c r="E199" s="2" t="s">
        <v>169</v>
      </c>
      <c r="F199">
        <v>15187</v>
      </c>
      <c r="G199" s="6">
        <v>9</v>
      </c>
      <c r="H199" s="6" t="s">
        <v>678</v>
      </c>
      <c r="I199" s="34"/>
      <c r="J199" s="38" t="s">
        <v>171</v>
      </c>
      <c r="K199" s="38" t="s">
        <v>177</v>
      </c>
      <c r="L199" s="38" t="s">
        <v>173</v>
      </c>
      <c r="M199" s="38"/>
      <c r="N199" s="19"/>
      <c r="O199" s="76" t="s">
        <v>62</v>
      </c>
      <c r="P199" s="6" t="s">
        <v>62</v>
      </c>
      <c r="Q199" s="38" t="s">
        <v>62</v>
      </c>
      <c r="R199" s="38" t="s">
        <v>62</v>
      </c>
      <c r="S199" s="34"/>
      <c r="T199" s="34"/>
      <c r="U199" s="34"/>
      <c r="V199" s="8"/>
      <c r="W199" t="s">
        <v>679</v>
      </c>
      <c r="Y199" s="34"/>
      <c r="Z199"/>
      <c r="AA199"/>
      <c r="AE199"/>
      <c r="AF199"/>
      <c r="AG199"/>
      <c r="AH199"/>
    </row>
    <row r="200" spans="1:34" ht="15.75" customHeight="1" x14ac:dyDescent="0.15">
      <c r="A200" s="6">
        <v>194</v>
      </c>
      <c r="B200" s="18" t="s">
        <v>75</v>
      </c>
      <c r="C200" s="34" t="s">
        <v>57</v>
      </c>
      <c r="D200" s="75" t="s">
        <v>680</v>
      </c>
      <c r="E200" s="2" t="s">
        <v>169</v>
      </c>
      <c r="F200">
        <v>15187</v>
      </c>
      <c r="G200" s="6">
        <v>10</v>
      </c>
      <c r="H200" s="6" t="s">
        <v>681</v>
      </c>
      <c r="I200" s="34"/>
      <c r="J200" s="38" t="s">
        <v>171</v>
      </c>
      <c r="K200" s="38" t="s">
        <v>177</v>
      </c>
      <c r="L200" s="38" t="s">
        <v>173</v>
      </c>
      <c r="M200" s="38"/>
      <c r="N200" s="19"/>
      <c r="O200" s="76" t="s">
        <v>62</v>
      </c>
      <c r="P200" s="6" t="s">
        <v>62</v>
      </c>
      <c r="Q200" s="38" t="s">
        <v>62</v>
      </c>
      <c r="R200" s="38" t="s">
        <v>62</v>
      </c>
      <c r="S200" s="34"/>
      <c r="T200" s="34"/>
      <c r="U200" s="34"/>
      <c r="V200" s="8"/>
      <c r="W200" t="s">
        <v>682</v>
      </c>
      <c r="Y200" s="34"/>
      <c r="Z200"/>
      <c r="AA200"/>
      <c r="AE200"/>
      <c r="AF200"/>
      <c r="AG200"/>
      <c r="AH200"/>
    </row>
    <row r="201" spans="1:34" ht="15.75" customHeight="1" x14ac:dyDescent="0.15">
      <c r="A201" s="6">
        <v>195</v>
      </c>
      <c r="B201" s="18" t="s">
        <v>75</v>
      </c>
      <c r="C201" s="34" t="s">
        <v>57</v>
      </c>
      <c r="D201" s="75" t="s">
        <v>683</v>
      </c>
      <c r="E201" s="2" t="s">
        <v>169</v>
      </c>
      <c r="F201">
        <v>15187</v>
      </c>
      <c r="G201" s="6">
        <v>11</v>
      </c>
      <c r="H201" s="6" t="s">
        <v>684</v>
      </c>
      <c r="I201" s="34"/>
      <c r="J201" s="38" t="s">
        <v>171</v>
      </c>
      <c r="K201" s="38" t="s">
        <v>177</v>
      </c>
      <c r="L201" s="38" t="s">
        <v>173</v>
      </c>
      <c r="M201" s="38"/>
      <c r="N201" s="19"/>
      <c r="O201" s="76" t="s">
        <v>62</v>
      </c>
      <c r="P201" s="6" t="s">
        <v>62</v>
      </c>
      <c r="Q201" s="38" t="s">
        <v>62</v>
      </c>
      <c r="R201" s="38" t="s">
        <v>62</v>
      </c>
      <c r="S201" s="34"/>
      <c r="T201" s="34"/>
      <c r="U201" s="34"/>
      <c r="V201" s="8"/>
      <c r="W201" t="s">
        <v>685</v>
      </c>
      <c r="Y201" s="34"/>
      <c r="Z201"/>
      <c r="AA201"/>
      <c r="AE201"/>
      <c r="AF201"/>
      <c r="AG201"/>
      <c r="AH201"/>
    </row>
    <row r="202" spans="1:34" ht="15.75" customHeight="1" x14ac:dyDescent="0.15">
      <c r="A202" s="6">
        <v>196</v>
      </c>
      <c r="B202" s="18" t="s">
        <v>75</v>
      </c>
      <c r="C202" s="34" t="s">
        <v>57</v>
      </c>
      <c r="D202" s="75" t="s">
        <v>686</v>
      </c>
      <c r="E202" s="2" t="s">
        <v>169</v>
      </c>
      <c r="F202">
        <v>15187</v>
      </c>
      <c r="G202" s="6">
        <v>12</v>
      </c>
      <c r="H202" s="6" t="s">
        <v>687</v>
      </c>
      <c r="I202" s="34"/>
      <c r="J202" s="38" t="s">
        <v>171</v>
      </c>
      <c r="K202" s="38" t="s">
        <v>177</v>
      </c>
      <c r="L202" s="38" t="s">
        <v>173</v>
      </c>
      <c r="M202" s="38"/>
      <c r="N202" s="19"/>
      <c r="O202" s="76" t="s">
        <v>62</v>
      </c>
      <c r="P202" s="6" t="s">
        <v>62</v>
      </c>
      <c r="Q202" s="38" t="s">
        <v>62</v>
      </c>
      <c r="R202" s="38" t="s">
        <v>62</v>
      </c>
      <c r="S202" s="34"/>
      <c r="T202" s="34"/>
      <c r="U202" s="34"/>
      <c r="V202" s="8"/>
      <c r="W202" t="s">
        <v>688</v>
      </c>
      <c r="Y202" s="34"/>
      <c r="Z202"/>
      <c r="AA202"/>
      <c r="AE202"/>
      <c r="AF202"/>
      <c r="AG202"/>
      <c r="AH202"/>
    </row>
    <row r="203" spans="1:34" ht="15.75" customHeight="1" x14ac:dyDescent="0.15">
      <c r="A203" s="6">
        <v>197</v>
      </c>
      <c r="B203" s="18" t="s">
        <v>75</v>
      </c>
      <c r="C203" s="34" t="s">
        <v>57</v>
      </c>
      <c r="D203" s="75" t="s">
        <v>689</v>
      </c>
      <c r="E203" s="2" t="s">
        <v>169</v>
      </c>
      <c r="F203">
        <v>15187</v>
      </c>
      <c r="G203" s="6">
        <v>13</v>
      </c>
      <c r="H203" s="6" t="s">
        <v>690</v>
      </c>
      <c r="I203" s="34"/>
      <c r="J203" s="38" t="s">
        <v>171</v>
      </c>
      <c r="K203" s="38" t="s">
        <v>177</v>
      </c>
      <c r="L203" s="38" t="s">
        <v>173</v>
      </c>
      <c r="M203" s="38"/>
      <c r="N203" s="19"/>
      <c r="O203" s="76" t="s">
        <v>62</v>
      </c>
      <c r="P203" s="6" t="s">
        <v>62</v>
      </c>
      <c r="Q203" s="38" t="s">
        <v>62</v>
      </c>
      <c r="R203" s="38" t="s">
        <v>62</v>
      </c>
      <c r="S203" s="34"/>
      <c r="T203" s="34"/>
      <c r="U203" s="34"/>
      <c r="V203" s="8"/>
      <c r="W203" t="s">
        <v>691</v>
      </c>
      <c r="Y203" s="34"/>
      <c r="Z203"/>
      <c r="AA203"/>
      <c r="AE203"/>
      <c r="AF203"/>
      <c r="AG203"/>
      <c r="AH203"/>
    </row>
    <row r="204" spans="1:34" ht="15.75" customHeight="1" x14ac:dyDescent="0.15">
      <c r="A204" s="6">
        <v>198</v>
      </c>
      <c r="B204" s="18" t="s">
        <v>75</v>
      </c>
      <c r="C204" s="34" t="s">
        <v>57</v>
      </c>
      <c r="D204" s="75" t="s">
        <v>692</v>
      </c>
      <c r="E204" s="2" t="s">
        <v>169</v>
      </c>
      <c r="F204">
        <v>15187</v>
      </c>
      <c r="G204" s="6">
        <v>14</v>
      </c>
      <c r="H204" s="6" t="s">
        <v>693</v>
      </c>
      <c r="I204" s="34"/>
      <c r="J204" s="38" t="s">
        <v>171</v>
      </c>
      <c r="K204" s="38" t="s">
        <v>177</v>
      </c>
      <c r="L204" s="38" t="s">
        <v>173</v>
      </c>
      <c r="M204" s="38"/>
      <c r="N204" s="19"/>
      <c r="O204" s="76" t="s">
        <v>62</v>
      </c>
      <c r="P204" s="6" t="s">
        <v>62</v>
      </c>
      <c r="Q204" s="38" t="s">
        <v>62</v>
      </c>
      <c r="R204" s="38" t="s">
        <v>62</v>
      </c>
      <c r="S204" s="34"/>
      <c r="T204" s="34"/>
      <c r="U204" s="34"/>
      <c r="V204" s="8"/>
      <c r="W204" t="s">
        <v>694</v>
      </c>
      <c r="Y204" s="34"/>
      <c r="Z204"/>
      <c r="AA204"/>
      <c r="AE204"/>
      <c r="AF204"/>
      <c r="AG204"/>
      <c r="AH204"/>
    </row>
    <row r="205" spans="1:34" ht="15.75" customHeight="1" x14ac:dyDescent="0.15">
      <c r="A205" s="6">
        <v>199</v>
      </c>
      <c r="B205" s="18" t="s">
        <v>75</v>
      </c>
      <c r="C205" s="34" t="s">
        <v>57</v>
      </c>
      <c r="D205" s="75" t="s">
        <v>695</v>
      </c>
      <c r="E205" s="2" t="s">
        <v>169</v>
      </c>
      <c r="F205">
        <v>15187</v>
      </c>
      <c r="G205" s="6">
        <v>15</v>
      </c>
      <c r="H205" s="6" t="s">
        <v>696</v>
      </c>
      <c r="I205" s="34"/>
      <c r="J205" s="38" t="s">
        <v>171</v>
      </c>
      <c r="K205" s="38" t="s">
        <v>177</v>
      </c>
      <c r="L205" s="38" t="s">
        <v>173</v>
      </c>
      <c r="M205" s="38"/>
      <c r="N205" s="19"/>
      <c r="O205" s="76" t="s">
        <v>62</v>
      </c>
      <c r="P205" s="6" t="s">
        <v>62</v>
      </c>
      <c r="Q205" s="38" t="s">
        <v>62</v>
      </c>
      <c r="R205" s="38" t="s">
        <v>62</v>
      </c>
      <c r="S205" s="34"/>
      <c r="T205" s="34"/>
      <c r="U205" s="34"/>
      <c r="V205" s="8"/>
      <c r="W205" t="s">
        <v>697</v>
      </c>
      <c r="Y205" s="34"/>
      <c r="Z205"/>
      <c r="AA205"/>
      <c r="AE205"/>
      <c r="AF205"/>
      <c r="AG205"/>
      <c r="AH205"/>
    </row>
    <row r="206" spans="1:34" ht="15.75" customHeight="1" x14ac:dyDescent="0.15">
      <c r="A206" s="6">
        <v>200</v>
      </c>
      <c r="B206" s="18" t="s">
        <v>75</v>
      </c>
      <c r="C206" s="34" t="s">
        <v>57</v>
      </c>
      <c r="D206" s="75" t="s">
        <v>698</v>
      </c>
      <c r="E206" s="2" t="s">
        <v>169</v>
      </c>
      <c r="F206">
        <v>15187</v>
      </c>
      <c r="G206" s="6">
        <v>16</v>
      </c>
      <c r="H206" s="6" t="s">
        <v>699</v>
      </c>
      <c r="I206" s="34"/>
      <c r="J206" s="38" t="s">
        <v>171</v>
      </c>
      <c r="K206" s="38" t="s">
        <v>177</v>
      </c>
      <c r="L206" s="38" t="s">
        <v>173</v>
      </c>
      <c r="M206" s="38"/>
      <c r="N206" s="19"/>
      <c r="O206" s="76" t="s">
        <v>62</v>
      </c>
      <c r="P206" s="6" t="s">
        <v>62</v>
      </c>
      <c r="Q206" s="38" t="s">
        <v>62</v>
      </c>
      <c r="R206" s="38" t="s">
        <v>62</v>
      </c>
      <c r="S206" s="34"/>
      <c r="T206" s="34"/>
      <c r="U206" s="34"/>
      <c r="V206" s="8"/>
      <c r="W206" t="s">
        <v>700</v>
      </c>
      <c r="Y206" s="34"/>
      <c r="Z206"/>
      <c r="AA206"/>
      <c r="AE206"/>
      <c r="AF206"/>
      <c r="AG206"/>
      <c r="AH206"/>
    </row>
    <row r="207" spans="1:34" ht="15.75" customHeight="1" x14ac:dyDescent="0.15">
      <c r="A207" s="6">
        <v>201</v>
      </c>
      <c r="B207" s="18" t="s">
        <v>75</v>
      </c>
      <c r="C207" s="34" t="s">
        <v>57</v>
      </c>
      <c r="D207" s="75" t="s">
        <v>701</v>
      </c>
      <c r="E207" s="2" t="s">
        <v>169</v>
      </c>
      <c r="F207">
        <v>15187</v>
      </c>
      <c r="G207" s="6">
        <v>17</v>
      </c>
      <c r="H207" s="6" t="s">
        <v>702</v>
      </c>
      <c r="I207" s="34"/>
      <c r="J207" s="38" t="s">
        <v>171</v>
      </c>
      <c r="K207" s="38" t="s">
        <v>177</v>
      </c>
      <c r="L207" s="38" t="s">
        <v>173</v>
      </c>
      <c r="M207" s="38"/>
      <c r="N207" s="19"/>
      <c r="O207" s="76" t="s">
        <v>62</v>
      </c>
      <c r="P207" s="6" t="s">
        <v>62</v>
      </c>
      <c r="Q207" s="38" t="s">
        <v>62</v>
      </c>
      <c r="R207" s="38" t="s">
        <v>62</v>
      </c>
      <c r="S207" s="34"/>
      <c r="T207" s="34"/>
      <c r="U207" s="34"/>
      <c r="V207" s="8"/>
      <c r="W207" t="s">
        <v>703</v>
      </c>
      <c r="Y207" s="34"/>
      <c r="Z207"/>
      <c r="AA207"/>
      <c r="AE207"/>
      <c r="AF207"/>
      <c r="AG207"/>
      <c r="AH207"/>
    </row>
    <row r="208" spans="1:34" ht="15.75" customHeight="1" x14ac:dyDescent="0.15">
      <c r="A208" s="6">
        <v>202</v>
      </c>
      <c r="B208" s="18" t="s">
        <v>75</v>
      </c>
      <c r="C208" s="34" t="s">
        <v>57</v>
      </c>
      <c r="D208" s="75" t="s">
        <v>704</v>
      </c>
      <c r="E208" s="2" t="s">
        <v>169</v>
      </c>
      <c r="F208">
        <v>15187</v>
      </c>
      <c r="G208" s="6">
        <v>19</v>
      </c>
      <c r="H208" s="6" t="s">
        <v>705</v>
      </c>
      <c r="I208" s="34"/>
      <c r="J208" s="38" t="s">
        <v>171</v>
      </c>
      <c r="K208" s="38" t="s">
        <v>177</v>
      </c>
      <c r="L208" s="38" t="s">
        <v>173</v>
      </c>
      <c r="M208" s="38"/>
      <c r="N208" s="19"/>
      <c r="O208" s="76" t="s">
        <v>62</v>
      </c>
      <c r="P208" s="6" t="s">
        <v>62</v>
      </c>
      <c r="Q208" s="38" t="s">
        <v>62</v>
      </c>
      <c r="R208" s="38" t="s">
        <v>62</v>
      </c>
      <c r="S208" s="34"/>
      <c r="T208" s="34"/>
      <c r="U208" s="34"/>
      <c r="V208" s="8"/>
      <c r="W208" t="s">
        <v>706</v>
      </c>
      <c r="Y208" s="34"/>
      <c r="Z208"/>
      <c r="AA208"/>
      <c r="AE208"/>
      <c r="AF208"/>
      <c r="AG208"/>
      <c r="AH208"/>
    </row>
    <row r="209" spans="1:34" ht="15.75" customHeight="1" x14ac:dyDescent="0.15">
      <c r="A209" s="6">
        <v>203</v>
      </c>
      <c r="B209" s="18" t="s">
        <v>75</v>
      </c>
      <c r="C209" s="34" t="s">
        <v>57</v>
      </c>
      <c r="D209" s="75" t="s">
        <v>707</v>
      </c>
      <c r="E209" s="2" t="s">
        <v>169</v>
      </c>
      <c r="F209">
        <v>15187</v>
      </c>
      <c r="G209" s="6">
        <v>20</v>
      </c>
      <c r="H209" s="6" t="s">
        <v>708</v>
      </c>
      <c r="I209" s="34"/>
      <c r="J209" s="38" t="s">
        <v>171</v>
      </c>
      <c r="K209" s="38" t="s">
        <v>177</v>
      </c>
      <c r="L209" s="38" t="s">
        <v>173</v>
      </c>
      <c r="M209" s="38"/>
      <c r="N209" s="19"/>
      <c r="O209" s="76" t="s">
        <v>62</v>
      </c>
      <c r="P209" s="6" t="s">
        <v>62</v>
      </c>
      <c r="Q209" s="38" t="s">
        <v>62</v>
      </c>
      <c r="R209" s="38" t="s">
        <v>62</v>
      </c>
      <c r="S209" s="34"/>
      <c r="T209" s="34"/>
      <c r="U209" s="34"/>
      <c r="V209" s="8"/>
      <c r="W209" t="s">
        <v>709</v>
      </c>
      <c r="Y209" s="34"/>
      <c r="Z209"/>
      <c r="AA209"/>
      <c r="AE209"/>
      <c r="AF209"/>
      <c r="AG209"/>
      <c r="AH209"/>
    </row>
    <row r="210" spans="1:34" ht="15.75" customHeight="1" x14ac:dyDescent="0.15">
      <c r="A210" s="6">
        <v>204</v>
      </c>
      <c r="B210" s="18" t="s">
        <v>75</v>
      </c>
      <c r="C210" s="34" t="s">
        <v>57</v>
      </c>
      <c r="D210" s="75" t="s">
        <v>710</v>
      </c>
      <c r="E210" s="2" t="s">
        <v>169</v>
      </c>
      <c r="F210">
        <v>15187</v>
      </c>
      <c r="G210" s="6">
        <v>21</v>
      </c>
      <c r="H210" s="6" t="s">
        <v>711</v>
      </c>
      <c r="I210" s="34"/>
      <c r="J210" s="38" t="s">
        <v>171</v>
      </c>
      <c r="K210" s="38" t="s">
        <v>177</v>
      </c>
      <c r="L210" s="38" t="s">
        <v>173</v>
      </c>
      <c r="M210" s="38"/>
      <c r="N210" s="19"/>
      <c r="O210" s="76" t="s">
        <v>62</v>
      </c>
      <c r="P210" s="6" t="s">
        <v>62</v>
      </c>
      <c r="Q210" s="38" t="s">
        <v>62</v>
      </c>
      <c r="R210" s="38" t="s">
        <v>62</v>
      </c>
      <c r="S210" s="34"/>
      <c r="T210" s="34"/>
      <c r="U210" s="34"/>
      <c r="V210" s="8"/>
      <c r="W210" t="s">
        <v>712</v>
      </c>
      <c r="Y210" s="34"/>
      <c r="Z210"/>
      <c r="AA210"/>
      <c r="AE210"/>
      <c r="AF210"/>
      <c r="AG210"/>
      <c r="AH210"/>
    </row>
    <row r="211" spans="1:34" ht="15.75" customHeight="1" x14ac:dyDescent="0.15">
      <c r="A211" s="6">
        <v>205</v>
      </c>
      <c r="B211" s="18" t="s">
        <v>75</v>
      </c>
      <c r="C211" s="34" t="s">
        <v>57</v>
      </c>
      <c r="D211" s="75" t="s">
        <v>713</v>
      </c>
      <c r="E211" s="2" t="s">
        <v>169</v>
      </c>
      <c r="F211">
        <v>15187</v>
      </c>
      <c r="G211" s="6">
        <v>22</v>
      </c>
      <c r="H211" s="6" t="s">
        <v>714</v>
      </c>
      <c r="I211" s="34"/>
      <c r="J211" s="38" t="s">
        <v>171</v>
      </c>
      <c r="K211" s="38" t="s">
        <v>177</v>
      </c>
      <c r="L211" s="38" t="s">
        <v>173</v>
      </c>
      <c r="M211" s="38"/>
      <c r="N211" s="19"/>
      <c r="O211" s="76" t="s">
        <v>62</v>
      </c>
      <c r="P211" s="6" t="s">
        <v>62</v>
      </c>
      <c r="Q211" s="38" t="s">
        <v>62</v>
      </c>
      <c r="R211" s="38" t="s">
        <v>62</v>
      </c>
      <c r="S211" s="34"/>
      <c r="T211" s="34"/>
      <c r="U211" s="34"/>
      <c r="V211" s="8"/>
      <c r="W211" t="s">
        <v>715</v>
      </c>
      <c r="Y211" s="34"/>
      <c r="Z211"/>
      <c r="AA211"/>
      <c r="AE211"/>
      <c r="AF211"/>
      <c r="AG211"/>
      <c r="AH211"/>
    </row>
    <row r="212" spans="1:34" ht="15.75" customHeight="1" x14ac:dyDescent="0.15">
      <c r="A212" s="6">
        <v>206</v>
      </c>
      <c r="B212" s="18" t="s">
        <v>75</v>
      </c>
      <c r="C212" s="34" t="s">
        <v>57</v>
      </c>
      <c r="D212" s="75" t="s">
        <v>716</v>
      </c>
      <c r="E212" s="2" t="s">
        <v>169</v>
      </c>
      <c r="F212">
        <v>15187</v>
      </c>
      <c r="G212" s="6">
        <v>23</v>
      </c>
      <c r="H212" s="6" t="s">
        <v>717</v>
      </c>
      <c r="I212" s="34"/>
      <c r="J212" s="38" t="s">
        <v>171</v>
      </c>
      <c r="K212" s="38" t="s">
        <v>177</v>
      </c>
      <c r="L212" s="38" t="s">
        <v>173</v>
      </c>
      <c r="M212" s="38"/>
      <c r="N212" s="19"/>
      <c r="O212" s="76" t="s">
        <v>62</v>
      </c>
      <c r="P212" s="6" t="s">
        <v>62</v>
      </c>
      <c r="Q212" s="38" t="s">
        <v>62</v>
      </c>
      <c r="R212" s="38" t="s">
        <v>62</v>
      </c>
      <c r="S212" s="34"/>
      <c r="T212" s="34"/>
      <c r="U212" s="34"/>
      <c r="V212" s="8"/>
      <c r="W212" t="s">
        <v>718</v>
      </c>
      <c r="Y212" s="34"/>
      <c r="Z212"/>
      <c r="AA212"/>
      <c r="AE212"/>
      <c r="AF212"/>
      <c r="AG212"/>
      <c r="AH212"/>
    </row>
    <row r="213" spans="1:34" ht="15.75" customHeight="1" x14ac:dyDescent="0.15">
      <c r="A213" s="6">
        <v>207</v>
      </c>
      <c r="B213" s="18" t="s">
        <v>75</v>
      </c>
      <c r="C213" s="34" t="s">
        <v>57</v>
      </c>
      <c r="D213" s="75" t="s">
        <v>719</v>
      </c>
      <c r="E213" s="2" t="s">
        <v>169</v>
      </c>
      <c r="F213">
        <v>15187</v>
      </c>
      <c r="G213" s="6">
        <v>24</v>
      </c>
      <c r="H213" s="6" t="s">
        <v>720</v>
      </c>
      <c r="I213" s="34"/>
      <c r="J213" s="38" t="s">
        <v>171</v>
      </c>
      <c r="K213" s="38" t="s">
        <v>177</v>
      </c>
      <c r="L213" s="38" t="s">
        <v>173</v>
      </c>
      <c r="M213" s="38"/>
      <c r="N213" s="19"/>
      <c r="O213" s="76" t="s">
        <v>62</v>
      </c>
      <c r="P213" s="6" t="s">
        <v>62</v>
      </c>
      <c r="Q213" s="38" t="s">
        <v>62</v>
      </c>
      <c r="R213" s="38" t="s">
        <v>62</v>
      </c>
      <c r="S213" s="34"/>
      <c r="T213" s="34"/>
      <c r="U213" s="34"/>
      <c r="V213" s="8"/>
      <c r="W213" t="s">
        <v>721</v>
      </c>
      <c r="Y213" s="34"/>
      <c r="Z213"/>
      <c r="AA213"/>
      <c r="AE213"/>
      <c r="AF213"/>
      <c r="AG213"/>
      <c r="AH213"/>
    </row>
    <row r="214" spans="1:34" ht="15.75" customHeight="1" x14ac:dyDescent="0.15">
      <c r="A214" s="6">
        <v>208</v>
      </c>
      <c r="B214" s="18" t="s">
        <v>75</v>
      </c>
      <c r="C214" s="34" t="s">
        <v>57</v>
      </c>
      <c r="D214" s="75" t="s">
        <v>722</v>
      </c>
      <c r="E214" s="2" t="s">
        <v>169</v>
      </c>
      <c r="F214">
        <v>15187</v>
      </c>
      <c r="G214" s="6">
        <v>25</v>
      </c>
      <c r="H214" s="6" t="s">
        <v>723</v>
      </c>
      <c r="I214" s="34"/>
      <c r="J214" s="38" t="s">
        <v>171</v>
      </c>
      <c r="K214" s="38" t="s">
        <v>177</v>
      </c>
      <c r="L214" s="38" t="s">
        <v>173</v>
      </c>
      <c r="M214" s="38"/>
      <c r="N214" s="19"/>
      <c r="O214" s="76" t="s">
        <v>62</v>
      </c>
      <c r="P214" s="6" t="s">
        <v>62</v>
      </c>
      <c r="Q214" s="38" t="s">
        <v>62</v>
      </c>
      <c r="R214" s="38" t="s">
        <v>62</v>
      </c>
      <c r="S214" s="34"/>
      <c r="T214" s="34"/>
      <c r="U214" s="34"/>
      <c r="V214" s="8"/>
      <c r="W214" t="s">
        <v>724</v>
      </c>
      <c r="Y214" s="34"/>
      <c r="Z214"/>
      <c r="AA214"/>
      <c r="AE214"/>
      <c r="AF214"/>
      <c r="AG214"/>
      <c r="AH214"/>
    </row>
    <row r="215" spans="1:34" s="59" customFormat="1" ht="15.75" customHeight="1" x14ac:dyDescent="0.15">
      <c r="A215" s="6">
        <v>209</v>
      </c>
      <c r="B215" s="18" t="s">
        <v>75</v>
      </c>
      <c r="C215" s="34" t="s">
        <v>57</v>
      </c>
      <c r="D215" s="75" t="s">
        <v>725</v>
      </c>
      <c r="E215" s="2" t="s">
        <v>169</v>
      </c>
      <c r="F215">
        <v>15187</v>
      </c>
      <c r="G215" s="6">
        <v>26</v>
      </c>
      <c r="H215" s="6" t="s">
        <v>726</v>
      </c>
      <c r="I215" s="34"/>
      <c r="J215" s="38" t="s">
        <v>171</v>
      </c>
      <c r="K215" s="38" t="s">
        <v>177</v>
      </c>
      <c r="L215" s="38" t="s">
        <v>173</v>
      </c>
      <c r="M215" s="38"/>
      <c r="N215" s="19"/>
      <c r="O215" s="76" t="s">
        <v>62</v>
      </c>
      <c r="P215" s="6" t="s">
        <v>62</v>
      </c>
      <c r="Q215" s="38" t="s">
        <v>62</v>
      </c>
      <c r="R215" s="38" t="s">
        <v>62</v>
      </c>
      <c r="S215" s="34"/>
      <c r="T215" s="34"/>
      <c r="U215" s="34"/>
      <c r="V215" s="8"/>
      <c r="W215" t="s">
        <v>727</v>
      </c>
      <c r="X215"/>
      <c r="Y215" s="34"/>
    </row>
    <row r="216" spans="1:34" s="59" customFormat="1" ht="15.75" customHeight="1" x14ac:dyDescent="0.15">
      <c r="A216" s="6">
        <v>210</v>
      </c>
      <c r="B216" s="18" t="s">
        <v>75</v>
      </c>
      <c r="C216" s="34" t="s">
        <v>57</v>
      </c>
      <c r="D216" s="75" t="s">
        <v>728</v>
      </c>
      <c r="E216" s="2" t="s">
        <v>169</v>
      </c>
      <c r="F216">
        <v>15187</v>
      </c>
      <c r="G216" s="6">
        <v>27</v>
      </c>
      <c r="H216" s="6" t="s">
        <v>729</v>
      </c>
      <c r="I216" s="34"/>
      <c r="J216" s="38" t="s">
        <v>171</v>
      </c>
      <c r="K216" s="38" t="s">
        <v>177</v>
      </c>
      <c r="L216" s="38" t="s">
        <v>173</v>
      </c>
      <c r="M216" s="38"/>
      <c r="N216" s="19"/>
      <c r="O216" s="76" t="s">
        <v>62</v>
      </c>
      <c r="P216" s="6" t="s">
        <v>62</v>
      </c>
      <c r="Q216" s="38" t="s">
        <v>62</v>
      </c>
      <c r="R216" s="38" t="s">
        <v>62</v>
      </c>
      <c r="S216" s="34"/>
      <c r="T216" s="34"/>
      <c r="U216" s="34"/>
      <c r="V216" s="8"/>
      <c r="W216" t="s">
        <v>730</v>
      </c>
      <c r="X216"/>
      <c r="Y216" s="34"/>
    </row>
    <row r="217" spans="1:34" s="59" customFormat="1" ht="15.75" customHeight="1" x14ac:dyDescent="0.15">
      <c r="A217" s="6">
        <v>211</v>
      </c>
      <c r="B217" s="18" t="s">
        <v>75</v>
      </c>
      <c r="C217" s="34" t="s">
        <v>57</v>
      </c>
      <c r="D217" s="75" t="s">
        <v>731</v>
      </c>
      <c r="E217" s="2" t="s">
        <v>169</v>
      </c>
      <c r="F217">
        <v>15187</v>
      </c>
      <c r="G217" s="6">
        <v>29</v>
      </c>
      <c r="H217" s="6" t="s">
        <v>732</v>
      </c>
      <c r="I217" s="34"/>
      <c r="J217" s="38" t="s">
        <v>171</v>
      </c>
      <c r="K217" s="38" t="s">
        <v>177</v>
      </c>
      <c r="L217" s="38" t="s">
        <v>173</v>
      </c>
      <c r="M217" s="38"/>
      <c r="N217" s="19"/>
      <c r="O217" s="76" t="s">
        <v>62</v>
      </c>
      <c r="P217" s="6" t="s">
        <v>62</v>
      </c>
      <c r="Q217" s="38" t="s">
        <v>62</v>
      </c>
      <c r="R217" s="38" t="s">
        <v>62</v>
      </c>
      <c r="S217" s="34"/>
      <c r="T217" s="34"/>
      <c r="U217" s="34"/>
      <c r="V217" s="8"/>
      <c r="W217" t="s">
        <v>733</v>
      </c>
      <c r="X217"/>
      <c r="Y217" s="34"/>
    </row>
    <row r="218" spans="1:34" ht="15.75" customHeight="1" x14ac:dyDescent="0.15">
      <c r="A218" s="6">
        <v>212</v>
      </c>
      <c r="B218" s="18" t="s">
        <v>75</v>
      </c>
      <c r="C218" s="34" t="s">
        <v>57</v>
      </c>
      <c r="D218" s="75" t="s">
        <v>734</v>
      </c>
      <c r="E218" s="2" t="s">
        <v>169</v>
      </c>
      <c r="F218">
        <v>15187</v>
      </c>
      <c r="G218" s="6">
        <v>30</v>
      </c>
      <c r="H218" s="6" t="s">
        <v>735</v>
      </c>
      <c r="I218" s="34"/>
      <c r="J218" s="38" t="s">
        <v>171</v>
      </c>
      <c r="K218" s="38" t="s">
        <v>177</v>
      </c>
      <c r="L218" s="38" t="s">
        <v>173</v>
      </c>
      <c r="M218" s="38"/>
      <c r="N218" s="19"/>
      <c r="O218" s="76" t="s">
        <v>62</v>
      </c>
      <c r="P218" s="6" t="s">
        <v>62</v>
      </c>
      <c r="Q218" s="38" t="s">
        <v>62</v>
      </c>
      <c r="R218" s="38" t="s">
        <v>62</v>
      </c>
      <c r="S218" s="34"/>
      <c r="T218" s="34"/>
      <c r="U218" s="34"/>
      <c r="V218" s="8"/>
      <c r="W218" t="s">
        <v>736</v>
      </c>
      <c r="Y218" s="34"/>
      <c r="Z218"/>
      <c r="AA218"/>
      <c r="AE218"/>
      <c r="AF218"/>
      <c r="AG218"/>
      <c r="AH218"/>
    </row>
    <row r="219" spans="1:34" s="59" customFormat="1" ht="15.75" customHeight="1" x14ac:dyDescent="0.15">
      <c r="A219" s="6">
        <v>213</v>
      </c>
      <c r="B219" s="18" t="s">
        <v>75</v>
      </c>
      <c r="C219" s="34" t="s">
        <v>57</v>
      </c>
      <c r="D219" s="75" t="s">
        <v>737</v>
      </c>
      <c r="E219" s="2" t="s">
        <v>169</v>
      </c>
      <c r="F219">
        <v>15187</v>
      </c>
      <c r="G219" s="6">
        <v>31</v>
      </c>
      <c r="H219" s="6" t="s">
        <v>738</v>
      </c>
      <c r="I219" s="34"/>
      <c r="J219" s="38" t="s">
        <v>171</v>
      </c>
      <c r="K219" s="38" t="s">
        <v>177</v>
      </c>
      <c r="L219" s="38" t="s">
        <v>173</v>
      </c>
      <c r="M219" s="38"/>
      <c r="N219" s="19"/>
      <c r="O219" s="76" t="s">
        <v>62</v>
      </c>
      <c r="P219" s="6" t="s">
        <v>62</v>
      </c>
      <c r="Q219" s="38" t="s">
        <v>62</v>
      </c>
      <c r="R219" s="38" t="s">
        <v>62</v>
      </c>
      <c r="S219" s="34"/>
      <c r="T219" s="34"/>
      <c r="U219" s="34"/>
      <c r="V219" s="8"/>
      <c r="W219" t="s">
        <v>739</v>
      </c>
      <c r="X219"/>
      <c r="Y219" s="34"/>
    </row>
    <row r="220" spans="1:34" ht="15.75" customHeight="1" x14ac:dyDescent="0.15">
      <c r="A220" s="6">
        <v>214</v>
      </c>
      <c r="B220" s="18" t="s">
        <v>75</v>
      </c>
      <c r="C220" s="34" t="s">
        <v>57</v>
      </c>
      <c r="D220" s="75" t="s">
        <v>740</v>
      </c>
      <c r="E220" s="2" t="s">
        <v>219</v>
      </c>
      <c r="F220">
        <v>15189</v>
      </c>
      <c r="G220" s="6"/>
      <c r="H220" s="6" t="s">
        <v>741</v>
      </c>
      <c r="I220" s="34"/>
      <c r="J220" s="38"/>
      <c r="K220" s="38"/>
      <c r="L220" s="38"/>
      <c r="M220" s="38"/>
      <c r="N220" s="19"/>
      <c r="O220" s="76" t="s">
        <v>62</v>
      </c>
      <c r="P220" s="6" t="s">
        <v>62</v>
      </c>
      <c r="Q220" s="38" t="s">
        <v>62</v>
      </c>
      <c r="R220" s="38" t="s">
        <v>62</v>
      </c>
      <c r="S220" s="34"/>
      <c r="T220" s="34"/>
      <c r="U220" s="34"/>
      <c r="V220" s="8"/>
      <c r="W220" t="s">
        <v>742</v>
      </c>
      <c r="Y220" s="34"/>
      <c r="Z220"/>
      <c r="AA220"/>
      <c r="AE220"/>
      <c r="AF220"/>
      <c r="AG220"/>
      <c r="AH220"/>
    </row>
    <row r="221" spans="1:34" ht="15.75" customHeight="1" x14ac:dyDescent="0.15">
      <c r="A221" s="6">
        <v>215</v>
      </c>
      <c r="B221" s="18" t="s">
        <v>75</v>
      </c>
      <c r="C221" s="34" t="s">
        <v>57</v>
      </c>
      <c r="D221" s="75" t="s">
        <v>743</v>
      </c>
      <c r="E221" s="2" t="s">
        <v>169</v>
      </c>
      <c r="F221">
        <v>15189</v>
      </c>
      <c r="G221" s="6">
        <v>0</v>
      </c>
      <c r="H221" s="6" t="s">
        <v>744</v>
      </c>
      <c r="I221" s="34"/>
      <c r="J221" s="38" t="s">
        <v>171</v>
      </c>
      <c r="K221" s="38" t="s">
        <v>177</v>
      </c>
      <c r="L221" s="38" t="s">
        <v>173</v>
      </c>
      <c r="M221" s="38"/>
      <c r="N221" s="19"/>
      <c r="O221" s="76" t="s">
        <v>62</v>
      </c>
      <c r="P221" s="6" t="s">
        <v>62</v>
      </c>
      <c r="Q221" s="38" t="s">
        <v>62</v>
      </c>
      <c r="R221" s="38" t="s">
        <v>62</v>
      </c>
      <c r="S221" s="34"/>
      <c r="T221" s="34"/>
      <c r="U221" s="34"/>
      <c r="V221" s="8"/>
      <c r="W221" t="s">
        <v>745</v>
      </c>
      <c r="Y221" s="34"/>
      <c r="Z221"/>
      <c r="AA221"/>
      <c r="AE221"/>
      <c r="AF221"/>
      <c r="AG221"/>
      <c r="AH221"/>
    </row>
    <row r="222" spans="1:34" ht="15.75" customHeight="1" x14ac:dyDescent="0.15">
      <c r="A222" s="6">
        <v>216</v>
      </c>
      <c r="B222" s="18" t="s">
        <v>75</v>
      </c>
      <c r="C222" s="34" t="s">
        <v>57</v>
      </c>
      <c r="D222" s="75" t="s">
        <v>746</v>
      </c>
      <c r="E222" s="2" t="s">
        <v>169</v>
      </c>
      <c r="F222">
        <v>15189</v>
      </c>
      <c r="G222" s="6">
        <v>1</v>
      </c>
      <c r="H222" s="6" t="s">
        <v>747</v>
      </c>
      <c r="I222" s="34"/>
      <c r="J222" s="38" t="s">
        <v>171</v>
      </c>
      <c r="K222" s="38" t="s">
        <v>177</v>
      </c>
      <c r="L222" s="38" t="s">
        <v>173</v>
      </c>
      <c r="M222" s="38"/>
      <c r="N222" s="19"/>
      <c r="O222" s="76" t="s">
        <v>62</v>
      </c>
      <c r="P222" s="6" t="s">
        <v>62</v>
      </c>
      <c r="Q222" s="38" t="s">
        <v>62</v>
      </c>
      <c r="R222" s="38" t="s">
        <v>62</v>
      </c>
      <c r="S222" s="34"/>
      <c r="T222" s="34"/>
      <c r="U222" s="34"/>
      <c r="V222" s="8"/>
      <c r="W222" t="s">
        <v>748</v>
      </c>
      <c r="Y222" s="34"/>
      <c r="Z222"/>
      <c r="AA222"/>
      <c r="AE222"/>
      <c r="AF222"/>
      <c r="AG222"/>
      <c r="AH222"/>
    </row>
    <row r="223" spans="1:34" s="59" customFormat="1" ht="15.75" customHeight="1" x14ac:dyDescent="0.15">
      <c r="A223" s="6">
        <v>217</v>
      </c>
      <c r="B223" s="18" t="s">
        <v>75</v>
      </c>
      <c r="C223" s="34" t="s">
        <v>57</v>
      </c>
      <c r="D223" s="75" t="s">
        <v>749</v>
      </c>
      <c r="E223" s="2" t="s">
        <v>169</v>
      </c>
      <c r="F223">
        <v>15189</v>
      </c>
      <c r="G223" s="6">
        <v>2</v>
      </c>
      <c r="H223" s="6" t="s">
        <v>750</v>
      </c>
      <c r="I223" s="34"/>
      <c r="J223" s="38" t="s">
        <v>171</v>
      </c>
      <c r="K223" s="38" t="s">
        <v>177</v>
      </c>
      <c r="L223" s="38" t="s">
        <v>173</v>
      </c>
      <c r="M223" s="38"/>
      <c r="N223" s="19"/>
      <c r="O223" s="76" t="s">
        <v>62</v>
      </c>
      <c r="P223" s="6" t="s">
        <v>62</v>
      </c>
      <c r="Q223" s="38" t="s">
        <v>62</v>
      </c>
      <c r="R223" s="38" t="s">
        <v>62</v>
      </c>
      <c r="S223" s="34"/>
      <c r="T223" s="34"/>
      <c r="U223" s="34"/>
      <c r="V223" s="8"/>
      <c r="W223" t="s">
        <v>751</v>
      </c>
      <c r="X223"/>
      <c r="Y223" s="34"/>
    </row>
    <row r="224" spans="1:34" s="59" customFormat="1" ht="15.75" customHeight="1" x14ac:dyDescent="0.15">
      <c r="A224" s="6">
        <v>218</v>
      </c>
      <c r="B224" s="18" t="s">
        <v>75</v>
      </c>
      <c r="C224" s="34" t="s">
        <v>57</v>
      </c>
      <c r="D224" s="75" t="s">
        <v>752</v>
      </c>
      <c r="E224" s="2" t="s">
        <v>219</v>
      </c>
      <c r="F224">
        <v>15193</v>
      </c>
      <c r="G224" s="6"/>
      <c r="H224" s="6" t="s">
        <v>753</v>
      </c>
      <c r="I224" s="34"/>
      <c r="J224" s="38"/>
      <c r="K224" s="38"/>
      <c r="L224" s="38"/>
      <c r="M224" s="38"/>
      <c r="N224" s="19"/>
      <c r="O224" s="76" t="s">
        <v>62</v>
      </c>
      <c r="P224" s="6" t="s">
        <v>62</v>
      </c>
      <c r="Q224" s="38" t="s">
        <v>62</v>
      </c>
      <c r="R224" s="38" t="s">
        <v>62</v>
      </c>
      <c r="S224" s="34"/>
      <c r="T224" s="34"/>
      <c r="U224" s="34"/>
      <c r="V224" s="8"/>
      <c r="W224" t="s">
        <v>754</v>
      </c>
      <c r="X224"/>
      <c r="Y224" s="34"/>
    </row>
    <row r="225" spans="1:34" ht="15.75" customHeight="1" x14ac:dyDescent="0.15">
      <c r="A225" s="6">
        <v>219</v>
      </c>
      <c r="B225" s="18" t="s">
        <v>75</v>
      </c>
      <c r="C225" s="34" t="s">
        <v>57</v>
      </c>
      <c r="D225" s="75" t="s">
        <v>755</v>
      </c>
      <c r="E225" s="2" t="s">
        <v>169</v>
      </c>
      <c r="F225">
        <v>15193</v>
      </c>
      <c r="G225" s="6">
        <v>0</v>
      </c>
      <c r="H225" s="6" t="s">
        <v>756</v>
      </c>
      <c r="I225" s="34"/>
      <c r="J225" s="38" t="s">
        <v>196</v>
      </c>
      <c r="K225" s="38" t="s">
        <v>197</v>
      </c>
      <c r="L225" s="38" t="s">
        <v>198</v>
      </c>
      <c r="M225" s="38"/>
      <c r="N225" s="19"/>
      <c r="O225" s="76" t="s">
        <v>62</v>
      </c>
      <c r="P225" s="6" t="s">
        <v>62</v>
      </c>
      <c r="Q225" s="38" t="s">
        <v>62</v>
      </c>
      <c r="R225" s="38" t="s">
        <v>62</v>
      </c>
      <c r="S225" s="34"/>
      <c r="T225" s="34"/>
      <c r="U225" s="34"/>
      <c r="V225" s="8"/>
      <c r="W225" t="s">
        <v>757</v>
      </c>
      <c r="Y225" s="34"/>
      <c r="Z225"/>
      <c r="AA225"/>
      <c r="AE225"/>
      <c r="AF225"/>
      <c r="AG225"/>
      <c r="AH225"/>
    </row>
    <row r="226" spans="1:34" s="59" customFormat="1" ht="15.75" customHeight="1" x14ac:dyDescent="0.15">
      <c r="A226" s="6">
        <v>220</v>
      </c>
      <c r="B226" s="18" t="s">
        <v>75</v>
      </c>
      <c r="C226" s="34" t="s">
        <v>57</v>
      </c>
      <c r="D226" s="75" t="s">
        <v>758</v>
      </c>
      <c r="E226" s="2" t="s">
        <v>169</v>
      </c>
      <c r="F226">
        <v>15193</v>
      </c>
      <c r="G226" s="6">
        <v>3</v>
      </c>
      <c r="H226" s="6" t="s">
        <v>759</v>
      </c>
      <c r="I226" s="34"/>
      <c r="J226" s="38" t="s">
        <v>196</v>
      </c>
      <c r="K226" s="38" t="s">
        <v>197</v>
      </c>
      <c r="L226" s="38" t="s">
        <v>198</v>
      </c>
      <c r="M226" s="38"/>
      <c r="N226" s="19"/>
      <c r="O226" s="76" t="s">
        <v>62</v>
      </c>
      <c r="P226" s="6" t="s">
        <v>62</v>
      </c>
      <c r="Q226" s="38" t="s">
        <v>62</v>
      </c>
      <c r="R226" s="38" t="s">
        <v>62</v>
      </c>
      <c r="S226" s="34"/>
      <c r="T226" s="34"/>
      <c r="U226" s="34"/>
      <c r="V226" s="8"/>
      <c r="W226" t="s">
        <v>760</v>
      </c>
      <c r="X226"/>
      <c r="Y226" s="34"/>
    </row>
    <row r="227" spans="1:34" ht="15.75" customHeight="1" x14ac:dyDescent="0.15">
      <c r="A227" s="6">
        <v>221</v>
      </c>
      <c r="B227" s="18" t="s">
        <v>75</v>
      </c>
      <c r="C227" s="34" t="s">
        <v>57</v>
      </c>
      <c r="D227" s="75" t="s">
        <v>761</v>
      </c>
      <c r="E227" s="2" t="s">
        <v>169</v>
      </c>
      <c r="F227">
        <v>15193</v>
      </c>
      <c r="G227" s="6">
        <v>17</v>
      </c>
      <c r="H227" s="6" t="s">
        <v>762</v>
      </c>
      <c r="I227" s="34"/>
      <c r="J227" s="38" t="s">
        <v>171</v>
      </c>
      <c r="K227" s="38" t="s">
        <v>177</v>
      </c>
      <c r="L227" s="38" t="s">
        <v>173</v>
      </c>
      <c r="M227" s="38"/>
      <c r="N227" s="19"/>
      <c r="O227" s="76" t="s">
        <v>62</v>
      </c>
      <c r="P227" s="6" t="s">
        <v>62</v>
      </c>
      <c r="Q227" s="38" t="s">
        <v>62</v>
      </c>
      <c r="R227" s="38" t="s">
        <v>62</v>
      </c>
      <c r="S227" s="34"/>
      <c r="T227" s="34"/>
      <c r="U227" s="34"/>
      <c r="V227" s="8"/>
      <c r="W227" t="s">
        <v>763</v>
      </c>
      <c r="Y227" s="34"/>
      <c r="Z227"/>
      <c r="AA227"/>
      <c r="AE227"/>
      <c r="AF227"/>
      <c r="AG227"/>
      <c r="AH227"/>
    </row>
    <row r="228" spans="1:34" ht="15.75" customHeight="1" x14ac:dyDescent="0.15">
      <c r="A228" s="6">
        <v>222</v>
      </c>
      <c r="B228" s="18" t="s">
        <v>75</v>
      </c>
      <c r="C228" s="34" t="s">
        <v>57</v>
      </c>
      <c r="D228" s="75" t="s">
        <v>764</v>
      </c>
      <c r="E228" s="2" t="s">
        <v>169</v>
      </c>
      <c r="F228">
        <v>15193</v>
      </c>
      <c r="G228" s="6">
        <v>18</v>
      </c>
      <c r="H228" s="6" t="s">
        <v>765</v>
      </c>
      <c r="I228" s="34"/>
      <c r="J228" s="38" t="s">
        <v>171</v>
      </c>
      <c r="K228" s="38" t="s">
        <v>177</v>
      </c>
      <c r="L228" s="38" t="s">
        <v>173</v>
      </c>
      <c r="M228" s="38"/>
      <c r="N228" s="19"/>
      <c r="O228" s="76" t="s">
        <v>62</v>
      </c>
      <c r="P228" s="6" t="s">
        <v>62</v>
      </c>
      <c r="Q228" s="38" t="s">
        <v>62</v>
      </c>
      <c r="R228" s="38" t="s">
        <v>62</v>
      </c>
      <c r="S228" s="34"/>
      <c r="T228" s="34"/>
      <c r="U228" s="34"/>
      <c r="V228" s="8"/>
      <c r="W228" t="s">
        <v>766</v>
      </c>
      <c r="Y228" s="34"/>
      <c r="Z228"/>
      <c r="AA228"/>
      <c r="AE228"/>
      <c r="AF228"/>
      <c r="AG228"/>
      <c r="AH228"/>
    </row>
    <row r="229" spans="1:34" s="59" customFormat="1" ht="15.75" customHeight="1" x14ac:dyDescent="0.15">
      <c r="A229" s="6">
        <v>223</v>
      </c>
      <c r="B229" s="18" t="s">
        <v>75</v>
      </c>
      <c r="C229" s="34" t="s">
        <v>57</v>
      </c>
      <c r="D229" s="75" t="s">
        <v>767</v>
      </c>
      <c r="E229" s="2" t="s">
        <v>169</v>
      </c>
      <c r="F229">
        <v>15193</v>
      </c>
      <c r="G229" s="6">
        <v>19</v>
      </c>
      <c r="H229" s="6" t="s">
        <v>768</v>
      </c>
      <c r="I229" s="34"/>
      <c r="J229" s="38" t="s">
        <v>171</v>
      </c>
      <c r="K229" s="38" t="s">
        <v>177</v>
      </c>
      <c r="L229" s="38" t="s">
        <v>173</v>
      </c>
      <c r="M229" s="38"/>
      <c r="N229" s="19"/>
      <c r="O229" s="76" t="s">
        <v>62</v>
      </c>
      <c r="P229" s="6" t="s">
        <v>62</v>
      </c>
      <c r="Q229" s="38" t="s">
        <v>62</v>
      </c>
      <c r="R229" s="38" t="s">
        <v>62</v>
      </c>
      <c r="S229" s="34"/>
      <c r="T229" s="34"/>
      <c r="U229" s="34"/>
      <c r="V229" s="8"/>
      <c r="W229" t="s">
        <v>769</v>
      </c>
      <c r="X229"/>
      <c r="Y229" s="34"/>
    </row>
    <row r="230" spans="1:34" s="59" customFormat="1" ht="15.75" customHeight="1" x14ac:dyDescent="0.15">
      <c r="A230" s="6">
        <v>224</v>
      </c>
      <c r="B230" s="18" t="s">
        <v>75</v>
      </c>
      <c r="C230" s="34" t="s">
        <v>57</v>
      </c>
      <c r="D230" s="75" t="s">
        <v>770</v>
      </c>
      <c r="E230" s="2" t="s">
        <v>143</v>
      </c>
      <c r="F230">
        <v>15197</v>
      </c>
      <c r="G230" s="6"/>
      <c r="H230" s="6" t="s">
        <v>771</v>
      </c>
      <c r="I230" s="34"/>
      <c r="J230" s="38"/>
      <c r="K230" s="38"/>
      <c r="L230" s="38"/>
      <c r="M230" s="38" t="s">
        <v>266</v>
      </c>
      <c r="N230" s="19">
        <v>10</v>
      </c>
      <c r="O230" s="76">
        <v>-32768</v>
      </c>
      <c r="P230" s="6">
        <v>32767</v>
      </c>
      <c r="Q230" s="38">
        <v>-3276.8</v>
      </c>
      <c r="R230" s="38">
        <v>3276.7</v>
      </c>
      <c r="S230" s="34"/>
      <c r="T230" s="34"/>
      <c r="U230" s="34"/>
      <c r="V230" s="8"/>
      <c r="W230" t="s">
        <v>772</v>
      </c>
      <c r="X230"/>
      <c r="Y230" s="34"/>
    </row>
    <row r="231" spans="1:34" ht="15.75" customHeight="1" x14ac:dyDescent="0.15">
      <c r="A231" s="6">
        <v>225</v>
      </c>
      <c r="B231" s="18" t="s">
        <v>75</v>
      </c>
      <c r="C231" s="34" t="s">
        <v>57</v>
      </c>
      <c r="D231" s="75" t="s">
        <v>773</v>
      </c>
      <c r="E231" s="2" t="s">
        <v>143</v>
      </c>
      <c r="F231">
        <v>15199</v>
      </c>
      <c r="G231" s="6"/>
      <c r="H231" s="6" t="s">
        <v>774</v>
      </c>
      <c r="I231" s="34"/>
      <c r="J231" s="38"/>
      <c r="K231" s="38"/>
      <c r="L231" s="38"/>
      <c r="M231" s="38" t="s">
        <v>266</v>
      </c>
      <c r="N231" s="19">
        <v>10</v>
      </c>
      <c r="O231" s="76">
        <v>-32768</v>
      </c>
      <c r="P231" s="6">
        <v>32767</v>
      </c>
      <c r="Q231" s="38">
        <v>-3276.8</v>
      </c>
      <c r="R231" s="38">
        <v>3276.7</v>
      </c>
      <c r="S231" s="34"/>
      <c r="T231" s="34"/>
      <c r="U231" s="34"/>
      <c r="V231" s="8"/>
      <c r="W231" t="s">
        <v>775</v>
      </c>
      <c r="Y231" s="34"/>
      <c r="Z231"/>
      <c r="AA231"/>
      <c r="AE231"/>
      <c r="AF231"/>
      <c r="AG231"/>
      <c r="AH231"/>
    </row>
    <row r="232" spans="1:34" ht="15.75" customHeight="1" x14ac:dyDescent="0.15">
      <c r="A232" s="6">
        <v>226</v>
      </c>
      <c r="B232" s="18" t="s">
        <v>75</v>
      </c>
      <c r="C232" s="34" t="s">
        <v>57</v>
      </c>
      <c r="D232" s="75" t="s">
        <v>776</v>
      </c>
      <c r="E232" s="2" t="s">
        <v>143</v>
      </c>
      <c r="F232">
        <v>15201</v>
      </c>
      <c r="G232" s="6"/>
      <c r="H232" s="6" t="s">
        <v>777</v>
      </c>
      <c r="I232" s="34"/>
      <c r="J232" s="38"/>
      <c r="K232" s="38"/>
      <c r="L232" s="38"/>
      <c r="M232" s="38" t="s">
        <v>266</v>
      </c>
      <c r="N232" s="19">
        <v>10</v>
      </c>
      <c r="O232" s="76">
        <v>-32768</v>
      </c>
      <c r="P232" s="6">
        <v>32767</v>
      </c>
      <c r="Q232" s="38">
        <v>-3276.8</v>
      </c>
      <c r="R232" s="38">
        <v>3276.7</v>
      </c>
      <c r="S232" s="34"/>
      <c r="T232" s="34"/>
      <c r="U232" s="34"/>
      <c r="V232" s="8"/>
      <c r="W232" t="s">
        <v>778</v>
      </c>
      <c r="Y232" s="34"/>
      <c r="Z232"/>
      <c r="AA232"/>
      <c r="AE232"/>
      <c r="AF232"/>
      <c r="AG232"/>
      <c r="AH232"/>
    </row>
    <row r="233" spans="1:34" ht="15.75" customHeight="1" x14ac:dyDescent="0.15">
      <c r="A233" s="6">
        <v>227</v>
      </c>
      <c r="B233" s="18" t="s">
        <v>75</v>
      </c>
      <c r="C233" s="34" t="s">
        <v>57</v>
      </c>
      <c r="D233" s="75" t="s">
        <v>779</v>
      </c>
      <c r="E233" s="2" t="s">
        <v>59</v>
      </c>
      <c r="F233">
        <v>15203</v>
      </c>
      <c r="G233" s="6"/>
      <c r="H233" s="6" t="s">
        <v>780</v>
      </c>
      <c r="I233" s="34"/>
      <c r="J233" s="38"/>
      <c r="K233" s="38"/>
      <c r="L233" s="38"/>
      <c r="M233" s="38" t="s">
        <v>781</v>
      </c>
      <c r="N233" s="19">
        <v>100</v>
      </c>
      <c r="O233" s="76">
        <v>0</v>
      </c>
      <c r="P233" s="6">
        <v>4294967295</v>
      </c>
      <c r="Q233" s="38">
        <v>0</v>
      </c>
      <c r="R233" s="38">
        <v>42949672.950000003</v>
      </c>
      <c r="S233" s="34"/>
      <c r="T233" s="34"/>
      <c r="U233" s="34"/>
      <c r="V233" s="8"/>
      <c r="W233" t="s">
        <v>782</v>
      </c>
      <c r="Y233" s="34"/>
      <c r="Z233"/>
      <c r="AA233"/>
      <c r="AE233"/>
      <c r="AF233"/>
      <c r="AG233"/>
      <c r="AH233"/>
    </row>
    <row r="234" spans="1:34" ht="15.75" customHeight="1" x14ac:dyDescent="0.15">
      <c r="A234" s="6">
        <v>228</v>
      </c>
      <c r="B234" s="18" t="s">
        <v>75</v>
      </c>
      <c r="C234" s="34" t="s">
        <v>57</v>
      </c>
      <c r="D234" s="75" t="s">
        <v>783</v>
      </c>
      <c r="E234" s="2" t="s">
        <v>59</v>
      </c>
      <c r="F234">
        <v>15205</v>
      </c>
      <c r="G234" s="6"/>
      <c r="H234" s="6" t="s">
        <v>784</v>
      </c>
      <c r="I234" s="34"/>
      <c r="J234" s="38"/>
      <c r="K234" s="38"/>
      <c r="L234" s="38"/>
      <c r="M234" s="38" t="s">
        <v>781</v>
      </c>
      <c r="N234" s="19">
        <v>100</v>
      </c>
      <c r="O234" s="76">
        <v>0</v>
      </c>
      <c r="P234" s="6">
        <v>4294967295</v>
      </c>
      <c r="Q234" s="38">
        <v>0</v>
      </c>
      <c r="R234" s="38">
        <v>42949672.950000003</v>
      </c>
      <c r="S234" s="34"/>
      <c r="T234" s="34"/>
      <c r="U234" s="34"/>
      <c r="V234" s="8"/>
      <c r="W234" t="s">
        <v>785</v>
      </c>
      <c r="Y234" s="34"/>
      <c r="Z234"/>
      <c r="AA234"/>
      <c r="AE234"/>
      <c r="AF234"/>
      <c r="AG234"/>
      <c r="AH234"/>
    </row>
    <row r="235" spans="1:34" ht="15.75" customHeight="1" x14ac:dyDescent="0.15">
      <c r="A235" s="6">
        <v>229</v>
      </c>
      <c r="B235" s="18" t="s">
        <v>75</v>
      </c>
      <c r="C235" s="34" t="s">
        <v>57</v>
      </c>
      <c r="D235" s="75" t="s">
        <v>786</v>
      </c>
      <c r="E235" s="2" t="s">
        <v>219</v>
      </c>
      <c r="F235">
        <v>15207</v>
      </c>
      <c r="G235" s="6"/>
      <c r="H235" s="6" t="s">
        <v>787</v>
      </c>
      <c r="I235" s="34"/>
      <c r="J235" s="38"/>
      <c r="K235" s="38"/>
      <c r="L235" s="38"/>
      <c r="M235" s="38"/>
      <c r="N235" s="19"/>
      <c r="O235" s="76" t="s">
        <v>62</v>
      </c>
      <c r="P235" s="6" t="s">
        <v>62</v>
      </c>
      <c r="Q235" s="38" t="s">
        <v>62</v>
      </c>
      <c r="R235" s="38" t="s">
        <v>62</v>
      </c>
      <c r="S235" s="34"/>
      <c r="T235" s="34"/>
      <c r="U235" s="34"/>
      <c r="V235" s="8"/>
      <c r="W235" t="s">
        <v>788</v>
      </c>
      <c r="Y235" s="34"/>
      <c r="Z235"/>
      <c r="AA235"/>
      <c r="AE235"/>
      <c r="AF235"/>
      <c r="AG235"/>
      <c r="AH235"/>
    </row>
    <row r="236" spans="1:34" ht="15.75" customHeight="1" x14ac:dyDescent="0.15">
      <c r="A236" s="6">
        <v>230</v>
      </c>
      <c r="B236" s="18" t="s">
        <v>75</v>
      </c>
      <c r="C236" s="34" t="s">
        <v>57</v>
      </c>
      <c r="D236" s="75" t="s">
        <v>789</v>
      </c>
      <c r="E236" s="2" t="s">
        <v>169</v>
      </c>
      <c r="F236">
        <v>15207</v>
      </c>
      <c r="G236" s="6">
        <v>0</v>
      </c>
      <c r="H236" s="6" t="s">
        <v>790</v>
      </c>
      <c r="I236" s="34"/>
      <c r="J236" s="38" t="s">
        <v>196</v>
      </c>
      <c r="K236" s="38" t="s">
        <v>222</v>
      </c>
      <c r="L236" s="38" t="s">
        <v>224</v>
      </c>
      <c r="M236" s="38"/>
      <c r="N236" s="19"/>
      <c r="O236" s="76" t="s">
        <v>62</v>
      </c>
      <c r="P236" s="6" t="s">
        <v>62</v>
      </c>
      <c r="Q236" s="38" t="s">
        <v>62</v>
      </c>
      <c r="R236" s="38" t="s">
        <v>62</v>
      </c>
      <c r="S236" s="34"/>
      <c r="T236" s="34"/>
      <c r="U236" s="34"/>
      <c r="V236" s="8"/>
      <c r="W236" t="s">
        <v>791</v>
      </c>
      <c r="Y236" s="34"/>
      <c r="Z236"/>
      <c r="AA236"/>
      <c r="AE236"/>
      <c r="AF236"/>
      <c r="AG236"/>
      <c r="AH236"/>
    </row>
    <row r="237" spans="1:34" ht="15.75" customHeight="1" x14ac:dyDescent="0.15">
      <c r="A237" s="6">
        <v>231</v>
      </c>
      <c r="B237" s="18" t="s">
        <v>75</v>
      </c>
      <c r="C237" s="34" t="s">
        <v>57</v>
      </c>
      <c r="D237" s="75" t="s">
        <v>792</v>
      </c>
      <c r="E237" s="2" t="s">
        <v>169</v>
      </c>
      <c r="F237">
        <v>15207</v>
      </c>
      <c r="G237" s="6">
        <v>1</v>
      </c>
      <c r="H237" s="6" t="s">
        <v>793</v>
      </c>
      <c r="I237" s="34"/>
      <c r="J237" s="38" t="s">
        <v>196</v>
      </c>
      <c r="K237" s="38" t="s">
        <v>226</v>
      </c>
      <c r="L237" s="38" t="s">
        <v>228</v>
      </c>
      <c r="M237" s="38"/>
      <c r="N237" s="19"/>
      <c r="O237" s="76" t="s">
        <v>62</v>
      </c>
      <c r="P237" s="6" t="s">
        <v>62</v>
      </c>
      <c r="Q237" s="38" t="s">
        <v>62</v>
      </c>
      <c r="R237" s="38" t="s">
        <v>62</v>
      </c>
      <c r="S237" s="34"/>
      <c r="T237" s="34"/>
      <c r="U237" s="34"/>
      <c r="V237" s="8"/>
      <c r="W237" t="s">
        <v>794</v>
      </c>
      <c r="Y237" s="34"/>
      <c r="Z237"/>
      <c r="AA237"/>
      <c r="AE237"/>
      <c r="AF237"/>
      <c r="AG237"/>
      <c r="AH237"/>
    </row>
    <row r="238" spans="1:34" ht="15.75" customHeight="1" x14ac:dyDescent="0.15">
      <c r="A238" s="6">
        <v>232</v>
      </c>
      <c r="B238" s="18" t="s">
        <v>75</v>
      </c>
      <c r="C238" s="34" t="s">
        <v>57</v>
      </c>
      <c r="D238" s="75" t="s">
        <v>795</v>
      </c>
      <c r="E238" s="2" t="s">
        <v>169</v>
      </c>
      <c r="F238">
        <v>15207</v>
      </c>
      <c r="G238" s="6">
        <v>2</v>
      </c>
      <c r="H238" s="6" t="s">
        <v>796</v>
      </c>
      <c r="I238" s="34"/>
      <c r="J238" s="38" t="s">
        <v>196</v>
      </c>
      <c r="K238" s="38" t="s">
        <v>797</v>
      </c>
      <c r="L238" s="38" t="s">
        <v>798</v>
      </c>
      <c r="M238" s="38"/>
      <c r="N238" s="19"/>
      <c r="O238" s="76" t="s">
        <v>62</v>
      </c>
      <c r="P238" s="6" t="s">
        <v>62</v>
      </c>
      <c r="Q238" s="38" t="s">
        <v>62</v>
      </c>
      <c r="R238" s="38" t="s">
        <v>62</v>
      </c>
      <c r="S238" s="34"/>
      <c r="T238" s="34"/>
      <c r="U238" s="34"/>
      <c r="V238" s="8"/>
      <c r="W238" t="s">
        <v>799</v>
      </c>
      <c r="Y238" s="34"/>
      <c r="Z238"/>
      <c r="AA238"/>
      <c r="AE238"/>
      <c r="AF238"/>
      <c r="AG238"/>
      <c r="AH238"/>
    </row>
    <row r="239" spans="1:34" ht="15.75" customHeight="1" x14ac:dyDescent="0.15">
      <c r="A239" s="6">
        <v>233</v>
      </c>
      <c r="B239" s="18" t="s">
        <v>75</v>
      </c>
      <c r="C239" s="34" t="s">
        <v>57</v>
      </c>
      <c r="D239" s="75" t="s">
        <v>800</v>
      </c>
      <c r="E239" s="2" t="s">
        <v>169</v>
      </c>
      <c r="F239">
        <v>15207</v>
      </c>
      <c r="G239" s="6">
        <v>3</v>
      </c>
      <c r="H239" s="6" t="s">
        <v>801</v>
      </c>
      <c r="I239" s="34"/>
      <c r="J239" s="38" t="s">
        <v>196</v>
      </c>
      <c r="K239" s="38" t="s">
        <v>226</v>
      </c>
      <c r="L239" s="38" t="s">
        <v>228</v>
      </c>
      <c r="M239" s="38"/>
      <c r="N239" s="19"/>
      <c r="O239" s="76" t="s">
        <v>62</v>
      </c>
      <c r="P239" s="6" t="s">
        <v>62</v>
      </c>
      <c r="Q239" s="38" t="s">
        <v>62</v>
      </c>
      <c r="R239" s="38" t="s">
        <v>62</v>
      </c>
      <c r="S239" s="34"/>
      <c r="T239" s="34"/>
      <c r="U239" s="34"/>
      <c r="V239" s="8"/>
      <c r="W239" t="s">
        <v>802</v>
      </c>
      <c r="Y239" s="34"/>
      <c r="Z239"/>
      <c r="AA239"/>
      <c r="AE239"/>
      <c r="AF239"/>
      <c r="AG239"/>
      <c r="AH239"/>
    </row>
    <row r="240" spans="1:34" ht="15.75" customHeight="1" x14ac:dyDescent="0.15">
      <c r="A240" s="6">
        <v>234</v>
      </c>
      <c r="B240" s="18" t="s">
        <v>75</v>
      </c>
      <c r="C240" s="34" t="s">
        <v>57</v>
      </c>
      <c r="D240" s="75" t="s">
        <v>803</v>
      </c>
      <c r="E240" s="2" t="s">
        <v>169</v>
      </c>
      <c r="F240">
        <v>15207</v>
      </c>
      <c r="G240" s="6">
        <v>4</v>
      </c>
      <c r="H240" s="6" t="s">
        <v>804</v>
      </c>
      <c r="I240" s="34"/>
      <c r="J240" s="38" t="s">
        <v>196</v>
      </c>
      <c r="K240" s="38" t="s">
        <v>797</v>
      </c>
      <c r="L240" s="38" t="s">
        <v>798</v>
      </c>
      <c r="M240" s="38"/>
      <c r="N240" s="19"/>
      <c r="O240" s="76" t="s">
        <v>62</v>
      </c>
      <c r="P240" s="6" t="s">
        <v>62</v>
      </c>
      <c r="Q240" s="38" t="s">
        <v>62</v>
      </c>
      <c r="R240" s="38" t="s">
        <v>62</v>
      </c>
      <c r="S240" s="34"/>
      <c r="T240" s="34"/>
      <c r="U240" s="34"/>
      <c r="V240" s="8"/>
      <c r="W240" t="s">
        <v>805</v>
      </c>
      <c r="Y240" s="34"/>
      <c r="Z240"/>
      <c r="AA240"/>
      <c r="AE240"/>
      <c r="AF240"/>
      <c r="AG240"/>
      <c r="AH240"/>
    </row>
    <row r="241" spans="1:34" ht="15.75" customHeight="1" x14ac:dyDescent="0.15">
      <c r="A241" s="6">
        <v>235</v>
      </c>
      <c r="B241" s="18" t="s">
        <v>75</v>
      </c>
      <c r="C241" s="34" t="s">
        <v>57</v>
      </c>
      <c r="D241" s="75" t="s">
        <v>806</v>
      </c>
      <c r="E241" s="2" t="s">
        <v>169</v>
      </c>
      <c r="F241">
        <v>15207</v>
      </c>
      <c r="G241" s="6">
        <v>5</v>
      </c>
      <c r="H241" s="6" t="s">
        <v>807</v>
      </c>
      <c r="I241" s="34"/>
      <c r="J241" s="38" t="s">
        <v>171</v>
      </c>
      <c r="K241" s="38" t="s">
        <v>177</v>
      </c>
      <c r="L241" s="38" t="s">
        <v>173</v>
      </c>
      <c r="M241" s="38"/>
      <c r="N241" s="19"/>
      <c r="O241" s="76" t="s">
        <v>62</v>
      </c>
      <c r="P241" s="6" t="s">
        <v>62</v>
      </c>
      <c r="Q241" s="38" t="s">
        <v>62</v>
      </c>
      <c r="R241" s="38" t="s">
        <v>62</v>
      </c>
      <c r="S241" s="34"/>
      <c r="T241" s="34"/>
      <c r="U241" s="34"/>
      <c r="V241" s="8"/>
      <c r="W241" t="s">
        <v>808</v>
      </c>
      <c r="Y241" s="34"/>
      <c r="Z241"/>
      <c r="AA241"/>
      <c r="AE241"/>
      <c r="AF241"/>
      <c r="AG241"/>
      <c r="AH241"/>
    </row>
    <row r="242" spans="1:34" ht="15.75" customHeight="1" x14ac:dyDescent="0.15">
      <c r="A242" s="6">
        <v>236</v>
      </c>
      <c r="B242" s="18" t="s">
        <v>75</v>
      </c>
      <c r="C242" s="34" t="s">
        <v>57</v>
      </c>
      <c r="D242" s="75" t="s">
        <v>809</v>
      </c>
      <c r="E242" s="2" t="s">
        <v>169</v>
      </c>
      <c r="F242">
        <v>15207</v>
      </c>
      <c r="G242" s="6">
        <v>6</v>
      </c>
      <c r="H242" s="6" t="s">
        <v>810</v>
      </c>
      <c r="I242" s="34"/>
      <c r="J242" s="38" t="s">
        <v>196</v>
      </c>
      <c r="K242" s="38" t="s">
        <v>811</v>
      </c>
      <c r="L242" s="38" t="s">
        <v>812</v>
      </c>
      <c r="M242" s="38"/>
      <c r="N242" s="19"/>
      <c r="O242" s="76" t="s">
        <v>62</v>
      </c>
      <c r="P242" s="6" t="s">
        <v>62</v>
      </c>
      <c r="Q242" s="38" t="s">
        <v>62</v>
      </c>
      <c r="R242" s="38" t="s">
        <v>62</v>
      </c>
      <c r="S242" s="34"/>
      <c r="T242" s="34"/>
      <c r="U242" s="34"/>
      <c r="V242" s="8"/>
      <c r="W242" t="s">
        <v>813</v>
      </c>
      <c r="Y242" s="34"/>
      <c r="Z242"/>
      <c r="AA242"/>
      <c r="AE242"/>
      <c r="AF242"/>
      <c r="AG242"/>
      <c r="AH242"/>
    </row>
    <row r="243" spans="1:34" ht="15.75" customHeight="1" x14ac:dyDescent="0.15">
      <c r="A243" s="6">
        <v>237</v>
      </c>
      <c r="B243" s="18" t="s">
        <v>75</v>
      </c>
      <c r="C243" s="34" t="s">
        <v>57</v>
      </c>
      <c r="D243" s="75" t="s">
        <v>814</v>
      </c>
      <c r="E243" s="2" t="s">
        <v>169</v>
      </c>
      <c r="F243">
        <v>15207</v>
      </c>
      <c r="G243" s="6">
        <v>7</v>
      </c>
      <c r="H243" s="6" t="s">
        <v>815</v>
      </c>
      <c r="I243" s="34"/>
      <c r="J243" s="38" t="s">
        <v>196</v>
      </c>
      <c r="K243" s="38" t="s">
        <v>816</v>
      </c>
      <c r="L243" s="38" t="s">
        <v>817</v>
      </c>
      <c r="M243" s="38"/>
      <c r="N243" s="19"/>
      <c r="O243" s="76" t="s">
        <v>62</v>
      </c>
      <c r="P243" s="6" t="s">
        <v>62</v>
      </c>
      <c r="Q243" s="38" t="s">
        <v>62</v>
      </c>
      <c r="R243" s="38" t="s">
        <v>62</v>
      </c>
      <c r="S243" s="34"/>
      <c r="T243" s="34"/>
      <c r="U243" s="34"/>
      <c r="V243" s="8"/>
      <c r="W243" t="s">
        <v>818</v>
      </c>
      <c r="Y243" s="34"/>
      <c r="Z243"/>
      <c r="AA243"/>
      <c r="AE243"/>
      <c r="AF243"/>
      <c r="AG243"/>
      <c r="AH243"/>
    </row>
    <row r="244" spans="1:34" ht="15.75" customHeight="1" x14ac:dyDescent="0.15">
      <c r="A244" s="6">
        <v>238</v>
      </c>
      <c r="B244" s="18" t="s">
        <v>75</v>
      </c>
      <c r="C244" s="34" t="s">
        <v>57</v>
      </c>
      <c r="D244" s="75" t="s">
        <v>819</v>
      </c>
      <c r="E244" s="2" t="s">
        <v>169</v>
      </c>
      <c r="F244">
        <v>15207</v>
      </c>
      <c r="G244" s="6">
        <v>9</v>
      </c>
      <c r="H244" s="6" t="s">
        <v>820</v>
      </c>
      <c r="I244" s="34"/>
      <c r="J244" s="38" t="s">
        <v>171</v>
      </c>
      <c r="K244" s="38" t="s">
        <v>177</v>
      </c>
      <c r="L244" s="38" t="s">
        <v>173</v>
      </c>
      <c r="M244" s="38"/>
      <c r="N244" s="19"/>
      <c r="O244" s="76" t="s">
        <v>62</v>
      </c>
      <c r="P244" s="6" t="s">
        <v>62</v>
      </c>
      <c r="Q244" s="38" t="s">
        <v>62</v>
      </c>
      <c r="R244" s="38" t="s">
        <v>62</v>
      </c>
      <c r="S244" s="34"/>
      <c r="T244" s="34"/>
      <c r="U244" s="34"/>
      <c r="V244" s="8"/>
      <c r="W244" t="s">
        <v>821</v>
      </c>
      <c r="Y244" s="34"/>
      <c r="Z244"/>
      <c r="AA244"/>
      <c r="AE244"/>
      <c r="AF244"/>
      <c r="AG244"/>
      <c r="AH244"/>
    </row>
    <row r="245" spans="1:34" ht="15.75" customHeight="1" x14ac:dyDescent="0.15">
      <c r="A245" s="6">
        <v>239</v>
      </c>
      <c r="B245" s="18" t="s">
        <v>75</v>
      </c>
      <c r="C245" s="34" t="s">
        <v>57</v>
      </c>
      <c r="D245" s="75" t="s">
        <v>822</v>
      </c>
      <c r="E245" s="2" t="s">
        <v>169</v>
      </c>
      <c r="F245">
        <v>15207</v>
      </c>
      <c r="G245" s="6">
        <v>10</v>
      </c>
      <c r="H245" s="6" t="s">
        <v>823</v>
      </c>
      <c r="I245" s="34"/>
      <c r="J245" s="38" t="s">
        <v>171</v>
      </c>
      <c r="K245" s="38" t="s">
        <v>177</v>
      </c>
      <c r="L245" s="38" t="s">
        <v>173</v>
      </c>
      <c r="M245" s="38"/>
      <c r="N245" s="19"/>
      <c r="O245" s="76" t="s">
        <v>62</v>
      </c>
      <c r="P245" s="6" t="s">
        <v>62</v>
      </c>
      <c r="Q245" s="38" t="s">
        <v>62</v>
      </c>
      <c r="R245" s="38" t="s">
        <v>62</v>
      </c>
      <c r="S245" s="34"/>
      <c r="T245" s="34"/>
      <c r="U245" s="34"/>
      <c r="V245" s="8"/>
      <c r="W245" t="s">
        <v>824</v>
      </c>
      <c r="Y245" s="34"/>
      <c r="Z245"/>
      <c r="AA245"/>
      <c r="AE245"/>
      <c r="AF245"/>
      <c r="AG245"/>
      <c r="AH245"/>
    </row>
    <row r="246" spans="1:34" ht="15.75" customHeight="1" x14ac:dyDescent="0.15">
      <c r="A246" s="6">
        <v>240</v>
      </c>
      <c r="B246" s="18" t="s">
        <v>75</v>
      </c>
      <c r="C246" s="34" t="s">
        <v>57</v>
      </c>
      <c r="D246" s="75" t="s">
        <v>825</v>
      </c>
      <c r="E246" s="2" t="s">
        <v>169</v>
      </c>
      <c r="F246">
        <v>15207</v>
      </c>
      <c r="G246" s="6">
        <v>11</v>
      </c>
      <c r="H246" s="6" t="s">
        <v>826</v>
      </c>
      <c r="I246" s="34"/>
      <c r="J246" s="38" t="s">
        <v>171</v>
      </c>
      <c r="K246" s="38" t="s">
        <v>177</v>
      </c>
      <c r="L246" s="38" t="s">
        <v>173</v>
      </c>
      <c r="M246" s="38"/>
      <c r="N246" s="19"/>
      <c r="O246" s="76" t="s">
        <v>62</v>
      </c>
      <c r="P246" s="6" t="s">
        <v>62</v>
      </c>
      <c r="Q246" s="38" t="s">
        <v>62</v>
      </c>
      <c r="R246" s="38" t="s">
        <v>62</v>
      </c>
      <c r="S246" s="34"/>
      <c r="T246" s="34"/>
      <c r="U246" s="34"/>
      <c r="V246" s="8"/>
      <c r="W246" t="s">
        <v>827</v>
      </c>
      <c r="Y246" s="34"/>
      <c r="Z246"/>
      <c r="AA246"/>
      <c r="AE246"/>
      <c r="AF246"/>
      <c r="AG246"/>
      <c r="AH246"/>
    </row>
    <row r="247" spans="1:34" ht="15.75" customHeight="1" x14ac:dyDescent="0.15">
      <c r="A247" s="6">
        <v>241</v>
      </c>
      <c r="B247" s="18" t="s">
        <v>75</v>
      </c>
      <c r="C247" s="34" t="s">
        <v>57</v>
      </c>
      <c r="D247" s="75" t="s">
        <v>828</v>
      </c>
      <c r="E247" s="2" t="s">
        <v>169</v>
      </c>
      <c r="F247">
        <v>15207</v>
      </c>
      <c r="G247" s="6">
        <v>13</v>
      </c>
      <c r="H247" s="6" t="s">
        <v>829</v>
      </c>
      <c r="I247" s="34"/>
      <c r="J247" s="38" t="s">
        <v>171</v>
      </c>
      <c r="K247" s="38" t="s">
        <v>177</v>
      </c>
      <c r="L247" s="38" t="s">
        <v>173</v>
      </c>
      <c r="M247" s="38"/>
      <c r="N247" s="19"/>
      <c r="O247" s="76" t="s">
        <v>62</v>
      </c>
      <c r="P247" s="6" t="s">
        <v>62</v>
      </c>
      <c r="Q247" s="38" t="s">
        <v>62</v>
      </c>
      <c r="R247" s="38" t="s">
        <v>62</v>
      </c>
      <c r="S247" s="34"/>
      <c r="T247" s="34"/>
      <c r="U247" s="34"/>
      <c r="V247" s="8"/>
      <c r="W247" t="s">
        <v>830</v>
      </c>
      <c r="Y247" s="34"/>
      <c r="Z247"/>
      <c r="AA247"/>
      <c r="AE247"/>
      <c r="AF247"/>
      <c r="AG247"/>
      <c r="AH247"/>
    </row>
    <row r="248" spans="1:34" ht="15.75" customHeight="1" x14ac:dyDescent="0.15">
      <c r="A248" s="6">
        <v>242</v>
      </c>
      <c r="B248" s="18" t="s">
        <v>75</v>
      </c>
      <c r="C248" s="34" t="s">
        <v>57</v>
      </c>
      <c r="D248" s="75" t="s">
        <v>831</v>
      </c>
      <c r="E248" s="2" t="s">
        <v>169</v>
      </c>
      <c r="F248">
        <v>15207</v>
      </c>
      <c r="G248" s="6">
        <v>17</v>
      </c>
      <c r="H248" s="6" t="s">
        <v>832</v>
      </c>
      <c r="I248" s="34"/>
      <c r="J248" s="38" t="s">
        <v>196</v>
      </c>
      <c r="K248" s="38" t="s">
        <v>222</v>
      </c>
      <c r="L248" s="38" t="s">
        <v>224</v>
      </c>
      <c r="M248" s="38"/>
      <c r="N248" s="19"/>
      <c r="O248" s="76" t="s">
        <v>62</v>
      </c>
      <c r="P248" s="6" t="s">
        <v>62</v>
      </c>
      <c r="Q248" s="38" t="s">
        <v>62</v>
      </c>
      <c r="R248" s="38" t="s">
        <v>62</v>
      </c>
      <c r="S248" s="34"/>
      <c r="T248" s="34"/>
      <c r="U248" s="34"/>
      <c r="V248" s="8"/>
      <c r="W248" t="s">
        <v>833</v>
      </c>
      <c r="Y248" s="34"/>
      <c r="Z248"/>
      <c r="AA248"/>
      <c r="AE248"/>
      <c r="AF248"/>
      <c r="AG248"/>
      <c r="AH248"/>
    </row>
    <row r="249" spans="1:34" ht="15.75" customHeight="1" x14ac:dyDescent="0.15">
      <c r="A249" s="6">
        <v>243</v>
      </c>
      <c r="B249" s="18" t="s">
        <v>75</v>
      </c>
      <c r="C249" s="34" t="s">
        <v>57</v>
      </c>
      <c r="D249" s="75" t="s">
        <v>834</v>
      </c>
      <c r="E249" s="2" t="s">
        <v>169</v>
      </c>
      <c r="F249">
        <v>15207</v>
      </c>
      <c r="G249" s="6">
        <v>18</v>
      </c>
      <c r="H249" s="6" t="s">
        <v>835</v>
      </c>
      <c r="I249" s="34"/>
      <c r="J249" s="38" t="s">
        <v>196</v>
      </c>
      <c r="K249" s="38" t="s">
        <v>226</v>
      </c>
      <c r="L249" s="38" t="s">
        <v>228</v>
      </c>
      <c r="M249" s="38"/>
      <c r="N249" s="19"/>
      <c r="O249" s="76" t="s">
        <v>62</v>
      </c>
      <c r="P249" s="6" t="s">
        <v>62</v>
      </c>
      <c r="Q249" s="38" t="s">
        <v>62</v>
      </c>
      <c r="R249" s="38" t="s">
        <v>62</v>
      </c>
      <c r="S249" s="34"/>
      <c r="T249" s="34"/>
      <c r="U249" s="34"/>
      <c r="V249" s="8"/>
      <c r="W249" t="s">
        <v>836</v>
      </c>
      <c r="Y249" s="34"/>
      <c r="Z249"/>
      <c r="AA249"/>
      <c r="AE249"/>
      <c r="AF249"/>
      <c r="AG249"/>
      <c r="AH249"/>
    </row>
    <row r="250" spans="1:34" ht="15.75" customHeight="1" x14ac:dyDescent="0.15">
      <c r="A250" s="6">
        <v>244</v>
      </c>
      <c r="B250" s="18" t="s">
        <v>75</v>
      </c>
      <c r="C250" s="34" t="s">
        <v>57</v>
      </c>
      <c r="D250" s="75" t="s">
        <v>837</v>
      </c>
      <c r="E250" s="2" t="s">
        <v>169</v>
      </c>
      <c r="F250">
        <v>15207</v>
      </c>
      <c r="G250" s="6">
        <v>19</v>
      </c>
      <c r="H250" s="6" t="s">
        <v>838</v>
      </c>
      <c r="I250" s="34"/>
      <c r="J250" s="38" t="s">
        <v>171</v>
      </c>
      <c r="K250" s="38" t="s">
        <v>839</v>
      </c>
      <c r="L250" s="38" t="s">
        <v>840</v>
      </c>
      <c r="M250" s="38"/>
      <c r="N250" s="19"/>
      <c r="O250" s="76" t="s">
        <v>62</v>
      </c>
      <c r="P250" s="6" t="s">
        <v>62</v>
      </c>
      <c r="Q250" s="38" t="s">
        <v>62</v>
      </c>
      <c r="R250" s="38" t="s">
        <v>62</v>
      </c>
      <c r="S250" s="34"/>
      <c r="T250" s="34"/>
      <c r="U250" s="34"/>
      <c r="V250" s="8"/>
      <c r="W250" t="s">
        <v>841</v>
      </c>
      <c r="Y250" s="34"/>
      <c r="Z250"/>
      <c r="AA250"/>
      <c r="AE250"/>
      <c r="AF250"/>
      <c r="AG250"/>
      <c r="AH250"/>
    </row>
    <row r="251" spans="1:34" ht="15.75" customHeight="1" x14ac:dyDescent="0.15">
      <c r="A251" s="6">
        <v>245</v>
      </c>
      <c r="B251" s="18" t="s">
        <v>75</v>
      </c>
      <c r="C251" s="34" t="s">
        <v>57</v>
      </c>
      <c r="D251" s="75" t="s">
        <v>842</v>
      </c>
      <c r="E251" s="2" t="s">
        <v>219</v>
      </c>
      <c r="F251">
        <v>15209</v>
      </c>
      <c r="G251" s="6"/>
      <c r="H251" s="6" t="s">
        <v>843</v>
      </c>
      <c r="I251" s="34"/>
      <c r="J251" s="38"/>
      <c r="K251" s="38"/>
      <c r="L251" s="38"/>
      <c r="M251" s="38"/>
      <c r="N251" s="19"/>
      <c r="O251" s="76" t="s">
        <v>62</v>
      </c>
      <c r="P251" s="6" t="s">
        <v>62</v>
      </c>
      <c r="Q251" s="38" t="s">
        <v>62</v>
      </c>
      <c r="R251" s="38" t="s">
        <v>62</v>
      </c>
      <c r="S251" s="34"/>
      <c r="T251" s="34"/>
      <c r="U251" s="34"/>
      <c r="V251" s="8"/>
      <c r="W251" t="s">
        <v>844</v>
      </c>
      <c r="Y251" s="34"/>
      <c r="Z251"/>
      <c r="AA251"/>
      <c r="AE251"/>
      <c r="AF251"/>
      <c r="AG251"/>
      <c r="AH251"/>
    </row>
    <row r="252" spans="1:34" ht="15.75" customHeight="1" x14ac:dyDescent="0.15">
      <c r="A252" s="6">
        <v>246</v>
      </c>
      <c r="B252" s="18" t="s">
        <v>75</v>
      </c>
      <c r="C252" s="34" t="s">
        <v>57</v>
      </c>
      <c r="D252" s="75" t="s">
        <v>845</v>
      </c>
      <c r="E252" s="2" t="s">
        <v>169</v>
      </c>
      <c r="F252">
        <v>15209</v>
      </c>
      <c r="G252" s="6">
        <v>0</v>
      </c>
      <c r="H252" s="6" t="s">
        <v>846</v>
      </c>
      <c r="I252" s="34"/>
      <c r="J252" s="38" t="s">
        <v>171</v>
      </c>
      <c r="K252" s="38" t="s">
        <v>177</v>
      </c>
      <c r="L252" s="38" t="s">
        <v>173</v>
      </c>
      <c r="M252" s="38"/>
      <c r="N252" s="19"/>
      <c r="O252" s="76" t="s">
        <v>62</v>
      </c>
      <c r="P252" s="6" t="s">
        <v>62</v>
      </c>
      <c r="Q252" s="38" t="s">
        <v>62</v>
      </c>
      <c r="R252" s="38" t="s">
        <v>62</v>
      </c>
      <c r="S252" s="34"/>
      <c r="T252" s="34"/>
      <c r="U252" s="34"/>
      <c r="V252" s="8"/>
      <c r="W252" t="s">
        <v>847</v>
      </c>
      <c r="Y252" s="34"/>
      <c r="Z252"/>
      <c r="AA252"/>
      <c r="AE252"/>
      <c r="AF252"/>
      <c r="AG252"/>
      <c r="AH252"/>
    </row>
    <row r="253" spans="1:34" ht="15.75" customHeight="1" x14ac:dyDescent="0.15">
      <c r="A253" s="6">
        <v>247</v>
      </c>
      <c r="B253" s="18" t="s">
        <v>75</v>
      </c>
      <c r="C253" s="34" t="s">
        <v>57</v>
      </c>
      <c r="D253" s="75" t="s">
        <v>848</v>
      </c>
      <c r="E253" s="2" t="s">
        <v>169</v>
      </c>
      <c r="F253">
        <v>15209</v>
      </c>
      <c r="G253" s="6">
        <v>1</v>
      </c>
      <c r="H253" s="6" t="s">
        <v>849</v>
      </c>
      <c r="I253" s="34"/>
      <c r="J253" s="38" t="s">
        <v>171</v>
      </c>
      <c r="K253" s="38" t="s">
        <v>177</v>
      </c>
      <c r="L253" s="38" t="s">
        <v>173</v>
      </c>
      <c r="M253" s="38"/>
      <c r="N253" s="19"/>
      <c r="O253" s="76" t="s">
        <v>62</v>
      </c>
      <c r="P253" s="6" t="s">
        <v>62</v>
      </c>
      <c r="Q253" s="38" t="s">
        <v>62</v>
      </c>
      <c r="R253" s="38" t="s">
        <v>62</v>
      </c>
      <c r="S253" s="34"/>
      <c r="T253" s="34"/>
      <c r="U253" s="34"/>
      <c r="V253" s="8"/>
      <c r="W253" t="s">
        <v>850</v>
      </c>
      <c r="Y253" s="34"/>
      <c r="Z253"/>
      <c r="AA253"/>
      <c r="AE253"/>
      <c r="AF253"/>
      <c r="AG253"/>
      <c r="AH253"/>
    </row>
    <row r="254" spans="1:34" ht="15.75" customHeight="1" x14ac:dyDescent="0.15">
      <c r="A254" s="6">
        <v>248</v>
      </c>
      <c r="B254" s="18" t="s">
        <v>75</v>
      </c>
      <c r="C254" s="34" t="s">
        <v>57</v>
      </c>
      <c r="D254" s="75" t="s">
        <v>851</v>
      </c>
      <c r="E254" s="2" t="s">
        <v>169</v>
      </c>
      <c r="F254">
        <v>15209</v>
      </c>
      <c r="G254" s="6">
        <v>2</v>
      </c>
      <c r="H254" s="6" t="s">
        <v>852</v>
      </c>
      <c r="I254" s="34"/>
      <c r="J254" s="38" t="s">
        <v>171</v>
      </c>
      <c r="K254" s="38" t="s">
        <v>177</v>
      </c>
      <c r="L254" s="38" t="s">
        <v>173</v>
      </c>
      <c r="M254" s="38"/>
      <c r="N254" s="19"/>
      <c r="O254" s="76" t="s">
        <v>62</v>
      </c>
      <c r="P254" s="6" t="s">
        <v>62</v>
      </c>
      <c r="Q254" s="38" t="s">
        <v>62</v>
      </c>
      <c r="R254" s="38" t="s">
        <v>62</v>
      </c>
      <c r="S254" s="34"/>
      <c r="T254" s="34"/>
      <c r="U254" s="34"/>
      <c r="V254" s="8"/>
      <c r="W254" t="s">
        <v>853</v>
      </c>
      <c r="Y254" s="34"/>
      <c r="Z254"/>
      <c r="AA254"/>
      <c r="AE254"/>
      <c r="AF254"/>
      <c r="AG254"/>
      <c r="AH254"/>
    </row>
    <row r="255" spans="1:34" ht="15.75" customHeight="1" x14ac:dyDescent="0.15">
      <c r="A255" s="6">
        <v>249</v>
      </c>
      <c r="B255" s="18" t="s">
        <v>75</v>
      </c>
      <c r="C255" s="34" t="s">
        <v>57</v>
      </c>
      <c r="D255" s="75" t="s">
        <v>854</v>
      </c>
      <c r="E255" s="2" t="s">
        <v>169</v>
      </c>
      <c r="F255">
        <v>15209</v>
      </c>
      <c r="G255" s="6">
        <v>3</v>
      </c>
      <c r="H255" s="6" t="s">
        <v>855</v>
      </c>
      <c r="I255" s="34"/>
      <c r="J255" s="38" t="s">
        <v>171</v>
      </c>
      <c r="K255" s="38" t="s">
        <v>177</v>
      </c>
      <c r="L255" s="38" t="s">
        <v>173</v>
      </c>
      <c r="M255" s="38"/>
      <c r="N255" s="19"/>
      <c r="O255" s="76" t="s">
        <v>62</v>
      </c>
      <c r="P255" s="6" t="s">
        <v>62</v>
      </c>
      <c r="Q255" s="38" t="s">
        <v>62</v>
      </c>
      <c r="R255" s="38" t="s">
        <v>62</v>
      </c>
      <c r="S255" s="34"/>
      <c r="T255" s="34"/>
      <c r="U255" s="34"/>
      <c r="V255" s="8"/>
      <c r="W255" t="s">
        <v>856</v>
      </c>
      <c r="Y255" s="34"/>
      <c r="Z255"/>
      <c r="AA255"/>
      <c r="AE255"/>
      <c r="AF255"/>
      <c r="AG255"/>
      <c r="AH255"/>
    </row>
    <row r="256" spans="1:34" ht="15.75" customHeight="1" x14ac:dyDescent="0.15">
      <c r="A256" s="6">
        <v>250</v>
      </c>
      <c r="B256" s="18" t="s">
        <v>75</v>
      </c>
      <c r="C256" s="34" t="s">
        <v>57</v>
      </c>
      <c r="D256" s="75" t="s">
        <v>857</v>
      </c>
      <c r="E256" s="2" t="s">
        <v>169</v>
      </c>
      <c r="F256">
        <v>15209</v>
      </c>
      <c r="G256" s="6">
        <v>6</v>
      </c>
      <c r="H256" s="6" t="s">
        <v>858</v>
      </c>
      <c r="I256" s="34"/>
      <c r="J256" s="38" t="s">
        <v>171</v>
      </c>
      <c r="K256" s="38" t="s">
        <v>177</v>
      </c>
      <c r="L256" s="38" t="s">
        <v>173</v>
      </c>
      <c r="M256" s="38"/>
      <c r="N256" s="19"/>
      <c r="O256" s="76" t="s">
        <v>62</v>
      </c>
      <c r="P256" s="6" t="s">
        <v>62</v>
      </c>
      <c r="Q256" s="38" t="s">
        <v>62</v>
      </c>
      <c r="R256" s="38" t="s">
        <v>62</v>
      </c>
      <c r="S256" s="34"/>
      <c r="T256" s="34"/>
      <c r="U256" s="34"/>
      <c r="V256" s="8"/>
      <c r="W256" t="s">
        <v>859</v>
      </c>
      <c r="Y256" s="34"/>
      <c r="Z256"/>
      <c r="AA256"/>
      <c r="AE256"/>
      <c r="AF256"/>
      <c r="AG256"/>
      <c r="AH256"/>
    </row>
    <row r="257" spans="1:34" ht="15.75" customHeight="1" x14ac:dyDescent="0.15">
      <c r="A257" s="6">
        <v>251</v>
      </c>
      <c r="B257" s="18" t="s">
        <v>75</v>
      </c>
      <c r="C257" s="34" t="s">
        <v>57</v>
      </c>
      <c r="D257" s="75" t="s">
        <v>674</v>
      </c>
      <c r="E257" s="2" t="s">
        <v>169</v>
      </c>
      <c r="F257">
        <v>15209</v>
      </c>
      <c r="G257" s="6">
        <v>7</v>
      </c>
      <c r="H257" s="6" t="s">
        <v>860</v>
      </c>
      <c r="I257" s="34"/>
      <c r="J257" s="38" t="s">
        <v>171</v>
      </c>
      <c r="K257" s="38" t="s">
        <v>177</v>
      </c>
      <c r="L257" s="38" t="s">
        <v>173</v>
      </c>
      <c r="M257" s="38"/>
      <c r="N257" s="19"/>
      <c r="O257" s="76" t="s">
        <v>62</v>
      </c>
      <c r="P257" s="6" t="s">
        <v>62</v>
      </c>
      <c r="Q257" s="38" t="s">
        <v>62</v>
      </c>
      <c r="R257" s="38" t="s">
        <v>62</v>
      </c>
      <c r="S257" s="34"/>
      <c r="T257" s="34"/>
      <c r="U257" s="34"/>
      <c r="V257" s="8"/>
      <c r="W257" t="s">
        <v>861</v>
      </c>
      <c r="Y257" s="34"/>
      <c r="Z257"/>
      <c r="AA257"/>
      <c r="AE257"/>
      <c r="AF257"/>
      <c r="AG257"/>
      <c r="AH257"/>
    </row>
    <row r="258" spans="1:34" ht="15.75" customHeight="1" x14ac:dyDescent="0.15">
      <c r="A258" s="6">
        <v>252</v>
      </c>
      <c r="B258" s="18" t="s">
        <v>75</v>
      </c>
      <c r="C258" s="34" t="s">
        <v>57</v>
      </c>
      <c r="D258" s="75" t="s">
        <v>653</v>
      </c>
      <c r="E258" s="2" t="s">
        <v>169</v>
      </c>
      <c r="F258">
        <v>15209</v>
      </c>
      <c r="G258" s="6">
        <v>8</v>
      </c>
      <c r="H258" s="6" t="s">
        <v>862</v>
      </c>
      <c r="I258" s="34"/>
      <c r="J258" s="38" t="s">
        <v>171</v>
      </c>
      <c r="K258" s="38" t="s">
        <v>177</v>
      </c>
      <c r="L258" s="38" t="s">
        <v>173</v>
      </c>
      <c r="M258" s="38"/>
      <c r="N258" s="19"/>
      <c r="O258" s="76" t="s">
        <v>62</v>
      </c>
      <c r="P258" s="6" t="s">
        <v>62</v>
      </c>
      <c r="Q258" s="38" t="s">
        <v>62</v>
      </c>
      <c r="R258" s="38" t="s">
        <v>62</v>
      </c>
      <c r="S258" s="34"/>
      <c r="T258" s="34"/>
      <c r="U258" s="34"/>
      <c r="V258" s="8"/>
      <c r="W258" t="s">
        <v>863</v>
      </c>
      <c r="Y258" s="34"/>
      <c r="Z258"/>
      <c r="AA258"/>
      <c r="AE258"/>
      <c r="AF258"/>
      <c r="AG258"/>
      <c r="AH258"/>
    </row>
    <row r="259" spans="1:34" s="55" customFormat="1" ht="15.75" customHeight="1" x14ac:dyDescent="0.15">
      <c r="A259" s="6">
        <v>253</v>
      </c>
      <c r="B259" s="18" t="s">
        <v>75</v>
      </c>
      <c r="C259" s="34" t="s">
        <v>57</v>
      </c>
      <c r="D259" s="75" t="s">
        <v>683</v>
      </c>
      <c r="E259" s="2" t="s">
        <v>169</v>
      </c>
      <c r="F259">
        <v>15209</v>
      </c>
      <c r="G259" s="6">
        <v>12</v>
      </c>
      <c r="H259" s="6" t="s">
        <v>864</v>
      </c>
      <c r="I259" s="34"/>
      <c r="J259" s="38" t="s">
        <v>171</v>
      </c>
      <c r="K259" s="38" t="s">
        <v>177</v>
      </c>
      <c r="L259" s="38" t="s">
        <v>173</v>
      </c>
      <c r="M259" s="38"/>
      <c r="N259" s="19"/>
      <c r="O259" s="76" t="s">
        <v>62</v>
      </c>
      <c r="P259" s="6" t="s">
        <v>62</v>
      </c>
      <c r="Q259" s="38" t="s">
        <v>62</v>
      </c>
      <c r="R259" s="38" t="s">
        <v>62</v>
      </c>
      <c r="S259" s="34"/>
      <c r="T259" s="34"/>
      <c r="U259" s="34"/>
      <c r="V259" s="8"/>
      <c r="W259" t="s">
        <v>865</v>
      </c>
      <c r="X259"/>
      <c r="Y259" s="34"/>
    </row>
    <row r="260" spans="1:34" ht="15.75" customHeight="1" x14ac:dyDescent="0.15">
      <c r="A260" s="6">
        <v>254</v>
      </c>
      <c r="B260" s="18" t="s">
        <v>75</v>
      </c>
      <c r="C260" s="34" t="s">
        <v>57</v>
      </c>
      <c r="D260" s="75" t="s">
        <v>866</v>
      </c>
      <c r="E260" s="2" t="s">
        <v>169</v>
      </c>
      <c r="F260">
        <v>15209</v>
      </c>
      <c r="G260" s="6">
        <v>13</v>
      </c>
      <c r="H260" s="6" t="s">
        <v>867</v>
      </c>
      <c r="I260" s="34"/>
      <c r="J260" s="38" t="s">
        <v>171</v>
      </c>
      <c r="K260" s="38" t="s">
        <v>177</v>
      </c>
      <c r="L260" s="38" t="s">
        <v>173</v>
      </c>
      <c r="M260" s="38"/>
      <c r="N260" s="19"/>
      <c r="O260" s="76" t="s">
        <v>62</v>
      </c>
      <c r="P260" s="6" t="s">
        <v>62</v>
      </c>
      <c r="Q260" s="38" t="s">
        <v>62</v>
      </c>
      <c r="R260" s="38" t="s">
        <v>62</v>
      </c>
      <c r="S260" s="34"/>
      <c r="T260" s="34"/>
      <c r="U260" s="34"/>
      <c r="V260" s="8"/>
      <c r="W260" t="s">
        <v>868</v>
      </c>
      <c r="Y260" s="34"/>
      <c r="Z260"/>
      <c r="AA260"/>
      <c r="AE260"/>
      <c r="AF260"/>
      <c r="AG260"/>
      <c r="AH260"/>
    </row>
    <row r="261" spans="1:34" ht="15.75" customHeight="1" x14ac:dyDescent="0.15">
      <c r="A261" s="6">
        <v>255</v>
      </c>
      <c r="B261" s="18" t="s">
        <v>75</v>
      </c>
      <c r="C261" s="34" t="s">
        <v>57</v>
      </c>
      <c r="D261" s="75" t="s">
        <v>617</v>
      </c>
      <c r="E261" s="2" t="s">
        <v>169</v>
      </c>
      <c r="F261">
        <v>15209</v>
      </c>
      <c r="G261" s="6">
        <v>14</v>
      </c>
      <c r="H261" s="6" t="s">
        <v>869</v>
      </c>
      <c r="I261" s="34"/>
      <c r="J261" s="38" t="s">
        <v>171</v>
      </c>
      <c r="K261" s="38" t="s">
        <v>177</v>
      </c>
      <c r="L261" s="38" t="s">
        <v>173</v>
      </c>
      <c r="M261" s="38"/>
      <c r="N261" s="19"/>
      <c r="O261" s="76" t="s">
        <v>62</v>
      </c>
      <c r="P261" s="6" t="s">
        <v>62</v>
      </c>
      <c r="Q261" s="38" t="s">
        <v>62</v>
      </c>
      <c r="R261" s="38" t="s">
        <v>62</v>
      </c>
      <c r="S261" s="34"/>
      <c r="T261" s="34"/>
      <c r="U261" s="34"/>
      <c r="V261" s="8"/>
      <c r="W261" t="s">
        <v>870</v>
      </c>
      <c r="Y261" s="34"/>
      <c r="Z261"/>
      <c r="AA261"/>
      <c r="AE261"/>
      <c r="AF261"/>
      <c r="AG261"/>
      <c r="AH261"/>
    </row>
    <row r="262" spans="1:34" ht="15.75" customHeight="1" x14ac:dyDescent="0.15">
      <c r="A262" s="6">
        <v>256</v>
      </c>
      <c r="B262" s="18" t="s">
        <v>75</v>
      </c>
      <c r="C262" s="34" t="s">
        <v>57</v>
      </c>
      <c r="D262" s="75" t="s">
        <v>871</v>
      </c>
      <c r="E262" s="2" t="s">
        <v>169</v>
      </c>
      <c r="F262">
        <v>15209</v>
      </c>
      <c r="G262" s="6">
        <v>16</v>
      </c>
      <c r="H262" s="6" t="s">
        <v>872</v>
      </c>
      <c r="I262" s="34"/>
      <c r="J262" s="38" t="s">
        <v>171</v>
      </c>
      <c r="K262" s="38" t="s">
        <v>177</v>
      </c>
      <c r="L262" s="38" t="s">
        <v>173</v>
      </c>
      <c r="M262" s="38"/>
      <c r="N262" s="19"/>
      <c r="O262" s="76" t="s">
        <v>62</v>
      </c>
      <c r="P262" s="6" t="s">
        <v>62</v>
      </c>
      <c r="Q262" s="38" t="s">
        <v>62</v>
      </c>
      <c r="R262" s="38" t="s">
        <v>62</v>
      </c>
      <c r="S262" s="34"/>
      <c r="T262" s="34"/>
      <c r="U262" s="34"/>
      <c r="V262" s="8"/>
      <c r="W262" t="s">
        <v>873</v>
      </c>
      <c r="Y262" s="34"/>
      <c r="Z262"/>
      <c r="AA262"/>
      <c r="AE262"/>
      <c r="AF262"/>
      <c r="AG262"/>
      <c r="AH262"/>
    </row>
    <row r="263" spans="1:34" ht="15.75" customHeight="1" x14ac:dyDescent="0.15">
      <c r="A263" s="6">
        <v>257</v>
      </c>
      <c r="B263" s="18" t="s">
        <v>75</v>
      </c>
      <c r="C263" s="34" t="s">
        <v>57</v>
      </c>
      <c r="D263" s="75" t="s">
        <v>874</v>
      </c>
      <c r="E263" s="2" t="s">
        <v>169</v>
      </c>
      <c r="F263">
        <v>15209</v>
      </c>
      <c r="G263" s="6">
        <v>17</v>
      </c>
      <c r="H263" s="6" t="s">
        <v>875</v>
      </c>
      <c r="I263" s="34"/>
      <c r="J263" s="38" t="s">
        <v>171</v>
      </c>
      <c r="K263" s="38" t="s">
        <v>177</v>
      </c>
      <c r="L263" s="38" t="s">
        <v>173</v>
      </c>
      <c r="M263" s="38"/>
      <c r="N263" s="19"/>
      <c r="O263" s="76" t="s">
        <v>62</v>
      </c>
      <c r="P263" s="6" t="s">
        <v>62</v>
      </c>
      <c r="Q263" s="38" t="s">
        <v>62</v>
      </c>
      <c r="R263" s="38" t="s">
        <v>62</v>
      </c>
      <c r="S263" s="34"/>
      <c r="T263" s="34"/>
      <c r="U263" s="34"/>
      <c r="V263" s="8"/>
      <c r="W263" t="s">
        <v>876</v>
      </c>
      <c r="Y263" s="34"/>
      <c r="Z263"/>
      <c r="AA263"/>
      <c r="AE263"/>
      <c r="AF263"/>
      <c r="AG263"/>
      <c r="AH263"/>
    </row>
    <row r="264" spans="1:34" ht="15.75" customHeight="1" x14ac:dyDescent="0.15">
      <c r="A264" s="6">
        <v>258</v>
      </c>
      <c r="B264" s="18" t="s">
        <v>75</v>
      </c>
      <c r="C264" s="34" t="s">
        <v>57</v>
      </c>
      <c r="D264" s="75" t="s">
        <v>877</v>
      </c>
      <c r="E264" s="2" t="s">
        <v>169</v>
      </c>
      <c r="F264">
        <v>15209</v>
      </c>
      <c r="G264" s="6">
        <v>19</v>
      </c>
      <c r="H264" s="6" t="s">
        <v>878</v>
      </c>
      <c r="I264" s="34"/>
      <c r="J264" s="38" t="s">
        <v>171</v>
      </c>
      <c r="K264" s="38" t="s">
        <v>177</v>
      </c>
      <c r="L264" s="38" t="s">
        <v>173</v>
      </c>
      <c r="M264" s="38"/>
      <c r="N264" s="19"/>
      <c r="O264" s="76" t="s">
        <v>62</v>
      </c>
      <c r="P264" s="6" t="s">
        <v>62</v>
      </c>
      <c r="Q264" s="38" t="s">
        <v>62</v>
      </c>
      <c r="R264" s="38" t="s">
        <v>62</v>
      </c>
      <c r="S264" s="34"/>
      <c r="T264" s="34"/>
      <c r="U264" s="34"/>
      <c r="V264" s="8"/>
      <c r="W264" t="s">
        <v>879</v>
      </c>
      <c r="Y264" s="34"/>
      <c r="Z264"/>
      <c r="AA264"/>
      <c r="AE264"/>
      <c r="AF264"/>
      <c r="AG264"/>
      <c r="AH264"/>
    </row>
    <row r="265" spans="1:34" ht="15.75" customHeight="1" x14ac:dyDescent="0.15">
      <c r="A265" s="6">
        <v>259</v>
      </c>
      <c r="B265" s="18" t="s">
        <v>75</v>
      </c>
      <c r="C265" s="34" t="s">
        <v>57</v>
      </c>
      <c r="D265" s="75" t="s">
        <v>880</v>
      </c>
      <c r="E265" s="2" t="s">
        <v>169</v>
      </c>
      <c r="F265">
        <v>15209</v>
      </c>
      <c r="G265" s="6">
        <v>20</v>
      </c>
      <c r="H265" s="6" t="s">
        <v>881</v>
      </c>
      <c r="I265" s="34"/>
      <c r="J265" s="38" t="s">
        <v>171</v>
      </c>
      <c r="K265" s="38" t="s">
        <v>177</v>
      </c>
      <c r="L265" s="38" t="s">
        <v>173</v>
      </c>
      <c r="M265" s="38"/>
      <c r="N265" s="19"/>
      <c r="O265" s="76" t="s">
        <v>62</v>
      </c>
      <c r="P265" s="6" t="s">
        <v>62</v>
      </c>
      <c r="Q265" s="38" t="s">
        <v>62</v>
      </c>
      <c r="R265" s="38" t="s">
        <v>62</v>
      </c>
      <c r="S265" s="34"/>
      <c r="T265" s="34"/>
      <c r="U265" s="34"/>
      <c r="V265" s="8"/>
      <c r="W265" t="s">
        <v>882</v>
      </c>
      <c r="Y265" s="34"/>
      <c r="Z265"/>
      <c r="AA265"/>
      <c r="AE265"/>
      <c r="AF265"/>
      <c r="AG265"/>
      <c r="AH265"/>
    </row>
    <row r="266" spans="1:34" ht="15.75" customHeight="1" x14ac:dyDescent="0.15">
      <c r="A266" s="6">
        <v>260</v>
      </c>
      <c r="B266" s="18" t="s">
        <v>75</v>
      </c>
      <c r="C266" s="34" t="s">
        <v>57</v>
      </c>
      <c r="D266" s="75" t="s">
        <v>722</v>
      </c>
      <c r="E266" s="2" t="s">
        <v>169</v>
      </c>
      <c r="F266">
        <v>15209</v>
      </c>
      <c r="G266" s="6">
        <v>21</v>
      </c>
      <c r="H266" s="6" t="s">
        <v>883</v>
      </c>
      <c r="I266" s="34"/>
      <c r="J266" s="38" t="s">
        <v>171</v>
      </c>
      <c r="K266" s="38" t="s">
        <v>177</v>
      </c>
      <c r="L266" s="38" t="s">
        <v>173</v>
      </c>
      <c r="M266" s="38"/>
      <c r="N266" s="19"/>
      <c r="O266" s="76" t="s">
        <v>62</v>
      </c>
      <c r="P266" s="6" t="s">
        <v>62</v>
      </c>
      <c r="Q266" s="38" t="s">
        <v>62</v>
      </c>
      <c r="R266" s="38" t="s">
        <v>62</v>
      </c>
      <c r="S266" s="34"/>
      <c r="T266" s="34"/>
      <c r="U266" s="34"/>
      <c r="V266" s="8"/>
      <c r="W266" t="s">
        <v>884</v>
      </c>
      <c r="Y266" s="34"/>
      <c r="Z266"/>
      <c r="AA266"/>
      <c r="AE266"/>
      <c r="AF266"/>
      <c r="AG266"/>
      <c r="AH266"/>
    </row>
    <row r="267" spans="1:34" ht="15.75" customHeight="1" x14ac:dyDescent="0.15">
      <c r="A267" s="6">
        <v>261</v>
      </c>
      <c r="B267" s="18" t="s">
        <v>75</v>
      </c>
      <c r="C267" s="34" t="s">
        <v>57</v>
      </c>
      <c r="D267" s="75" t="s">
        <v>885</v>
      </c>
      <c r="E267" s="2" t="s">
        <v>169</v>
      </c>
      <c r="F267">
        <v>15209</v>
      </c>
      <c r="G267" s="6">
        <v>23</v>
      </c>
      <c r="H267" s="6" t="s">
        <v>886</v>
      </c>
      <c r="I267" s="34"/>
      <c r="J267" s="38" t="s">
        <v>171</v>
      </c>
      <c r="K267" s="38" t="s">
        <v>177</v>
      </c>
      <c r="L267" s="38" t="s">
        <v>173</v>
      </c>
      <c r="M267" s="38"/>
      <c r="N267" s="19"/>
      <c r="O267" s="76" t="s">
        <v>62</v>
      </c>
      <c r="P267" s="6" t="s">
        <v>62</v>
      </c>
      <c r="Q267" s="38" t="s">
        <v>62</v>
      </c>
      <c r="R267" s="38" t="s">
        <v>62</v>
      </c>
      <c r="S267" s="34"/>
      <c r="T267" s="34"/>
      <c r="U267" s="34"/>
      <c r="V267" s="8"/>
      <c r="W267" t="s">
        <v>887</v>
      </c>
      <c r="Y267" s="34"/>
      <c r="Z267"/>
      <c r="AA267"/>
      <c r="AE267"/>
      <c r="AF267"/>
      <c r="AG267"/>
      <c r="AH267"/>
    </row>
    <row r="268" spans="1:34" s="59" customFormat="1" ht="15.75" customHeight="1" x14ac:dyDescent="0.15">
      <c r="A268" s="6">
        <v>262</v>
      </c>
      <c r="B268" s="18" t="s">
        <v>75</v>
      </c>
      <c r="C268" s="34" t="s">
        <v>57</v>
      </c>
      <c r="D268" s="75" t="s">
        <v>888</v>
      </c>
      <c r="E268" s="2" t="s">
        <v>169</v>
      </c>
      <c r="F268">
        <v>15209</v>
      </c>
      <c r="G268" s="6">
        <v>24</v>
      </c>
      <c r="H268" s="6" t="s">
        <v>889</v>
      </c>
      <c r="I268" s="34"/>
      <c r="J268" s="38" t="s">
        <v>171</v>
      </c>
      <c r="K268" s="38" t="s">
        <v>177</v>
      </c>
      <c r="L268" s="38" t="s">
        <v>173</v>
      </c>
      <c r="M268" s="38"/>
      <c r="N268" s="19"/>
      <c r="O268" s="76" t="s">
        <v>62</v>
      </c>
      <c r="P268" s="6" t="s">
        <v>62</v>
      </c>
      <c r="Q268" s="38" t="s">
        <v>62</v>
      </c>
      <c r="R268" s="38" t="s">
        <v>62</v>
      </c>
      <c r="S268" s="34"/>
      <c r="T268" s="34"/>
      <c r="U268" s="34"/>
      <c r="V268" s="8"/>
      <c r="W268" t="s">
        <v>890</v>
      </c>
      <c r="X268"/>
      <c r="Y268" s="34"/>
    </row>
    <row r="269" spans="1:34" ht="15.75" customHeight="1" x14ac:dyDescent="0.15">
      <c r="A269" s="6">
        <v>263</v>
      </c>
      <c r="B269" s="18" t="s">
        <v>75</v>
      </c>
      <c r="C269" s="34" t="s">
        <v>57</v>
      </c>
      <c r="D269" s="75" t="s">
        <v>891</v>
      </c>
      <c r="E269" s="2" t="s">
        <v>169</v>
      </c>
      <c r="F269">
        <v>15209</v>
      </c>
      <c r="G269" s="6">
        <v>25</v>
      </c>
      <c r="H269" s="6" t="s">
        <v>892</v>
      </c>
      <c r="I269" s="34"/>
      <c r="J269" s="38" t="s">
        <v>171</v>
      </c>
      <c r="K269" s="38" t="s">
        <v>177</v>
      </c>
      <c r="L269" s="38" t="s">
        <v>173</v>
      </c>
      <c r="M269" s="38"/>
      <c r="N269" s="19"/>
      <c r="O269" s="76" t="s">
        <v>62</v>
      </c>
      <c r="P269" s="6" t="s">
        <v>62</v>
      </c>
      <c r="Q269" s="38" t="s">
        <v>62</v>
      </c>
      <c r="R269" s="38" t="s">
        <v>62</v>
      </c>
      <c r="S269" s="34"/>
      <c r="T269" s="34"/>
      <c r="U269" s="34"/>
      <c r="V269" s="8"/>
      <c r="W269" t="s">
        <v>893</v>
      </c>
      <c r="Y269" s="34"/>
      <c r="Z269"/>
      <c r="AA269"/>
      <c r="AE269"/>
      <c r="AF269"/>
      <c r="AG269"/>
      <c r="AH269"/>
    </row>
    <row r="270" spans="1:34" ht="15.75" customHeight="1" x14ac:dyDescent="0.15">
      <c r="A270" s="6">
        <v>264</v>
      </c>
      <c r="B270" s="18" t="s">
        <v>75</v>
      </c>
      <c r="C270" s="34" t="s">
        <v>57</v>
      </c>
      <c r="D270" s="75" t="s">
        <v>894</v>
      </c>
      <c r="E270" s="2" t="s">
        <v>169</v>
      </c>
      <c r="F270">
        <v>15209</v>
      </c>
      <c r="G270" s="6">
        <v>27</v>
      </c>
      <c r="H270" s="6" t="s">
        <v>895</v>
      </c>
      <c r="I270" s="34"/>
      <c r="J270" s="38" t="s">
        <v>171</v>
      </c>
      <c r="K270" s="38" t="s">
        <v>177</v>
      </c>
      <c r="L270" s="38" t="s">
        <v>173</v>
      </c>
      <c r="M270" s="38"/>
      <c r="N270" s="19"/>
      <c r="O270" s="76" t="s">
        <v>62</v>
      </c>
      <c r="P270" s="6" t="s">
        <v>62</v>
      </c>
      <c r="Q270" s="38" t="s">
        <v>62</v>
      </c>
      <c r="R270" s="38" t="s">
        <v>62</v>
      </c>
      <c r="S270" s="34"/>
      <c r="T270" s="34"/>
      <c r="U270" s="34"/>
      <c r="V270" s="8"/>
      <c r="W270" t="s">
        <v>896</v>
      </c>
      <c r="Y270" s="34"/>
      <c r="Z270"/>
      <c r="AA270"/>
      <c r="AE270"/>
      <c r="AF270"/>
      <c r="AG270"/>
      <c r="AH270"/>
    </row>
    <row r="271" spans="1:34" ht="15.75" customHeight="1" x14ac:dyDescent="0.15">
      <c r="A271" s="6">
        <v>265</v>
      </c>
      <c r="B271" s="18" t="s">
        <v>75</v>
      </c>
      <c r="C271" s="34" t="s">
        <v>57</v>
      </c>
      <c r="D271" s="75" t="s">
        <v>897</v>
      </c>
      <c r="E271" s="2" t="s">
        <v>169</v>
      </c>
      <c r="F271">
        <v>15209</v>
      </c>
      <c r="G271" s="6">
        <v>28</v>
      </c>
      <c r="H271" s="6" t="s">
        <v>898</v>
      </c>
      <c r="I271" s="34"/>
      <c r="J271" s="38" t="s">
        <v>171</v>
      </c>
      <c r="K271" s="38" t="s">
        <v>177</v>
      </c>
      <c r="L271" s="38" t="s">
        <v>173</v>
      </c>
      <c r="M271" s="38"/>
      <c r="N271" s="19"/>
      <c r="O271" s="76" t="s">
        <v>62</v>
      </c>
      <c r="P271" s="6" t="s">
        <v>62</v>
      </c>
      <c r="Q271" s="38" t="s">
        <v>62</v>
      </c>
      <c r="R271" s="38" t="s">
        <v>62</v>
      </c>
      <c r="S271" s="34"/>
      <c r="T271" s="34"/>
      <c r="U271" s="34"/>
      <c r="V271" s="8"/>
      <c r="W271" t="s">
        <v>899</v>
      </c>
      <c r="Y271" s="34"/>
      <c r="Z271"/>
      <c r="AA271"/>
      <c r="AE271"/>
      <c r="AF271"/>
      <c r="AG271"/>
      <c r="AH271"/>
    </row>
    <row r="272" spans="1:34" s="55" customFormat="1" ht="15.75" customHeight="1" x14ac:dyDescent="0.15">
      <c r="A272" s="6">
        <v>266</v>
      </c>
      <c r="B272" s="18" t="s">
        <v>75</v>
      </c>
      <c r="C272" s="34" t="s">
        <v>57</v>
      </c>
      <c r="D272" s="75" t="s">
        <v>626</v>
      </c>
      <c r="E272" s="2" t="s">
        <v>169</v>
      </c>
      <c r="F272">
        <v>15209</v>
      </c>
      <c r="G272" s="6">
        <v>30</v>
      </c>
      <c r="H272" s="6" t="s">
        <v>900</v>
      </c>
      <c r="I272" s="34"/>
      <c r="J272" s="38" t="s">
        <v>171</v>
      </c>
      <c r="K272" s="38" t="s">
        <v>177</v>
      </c>
      <c r="L272" s="38" t="s">
        <v>173</v>
      </c>
      <c r="M272" s="38"/>
      <c r="N272" s="19"/>
      <c r="O272" s="76" t="s">
        <v>62</v>
      </c>
      <c r="P272" s="6" t="s">
        <v>62</v>
      </c>
      <c r="Q272" s="38" t="s">
        <v>62</v>
      </c>
      <c r="R272" s="38" t="s">
        <v>62</v>
      </c>
      <c r="S272" s="34"/>
      <c r="T272" s="34"/>
      <c r="U272" s="34"/>
      <c r="V272" s="8"/>
      <c r="W272" t="s">
        <v>901</v>
      </c>
      <c r="X272"/>
      <c r="Y272" s="34"/>
    </row>
    <row r="273" spans="1:34" s="55" customFormat="1" ht="15.75" customHeight="1" x14ac:dyDescent="0.15">
      <c r="A273" s="6">
        <v>267</v>
      </c>
      <c r="B273" s="18" t="s">
        <v>75</v>
      </c>
      <c r="C273" s="34" t="s">
        <v>57</v>
      </c>
      <c r="D273" s="75" t="s">
        <v>902</v>
      </c>
      <c r="E273" s="2" t="s">
        <v>143</v>
      </c>
      <c r="F273">
        <v>15211</v>
      </c>
      <c r="G273" s="6"/>
      <c r="H273" s="6" t="s">
        <v>903</v>
      </c>
      <c r="I273" s="34"/>
      <c r="J273" s="38"/>
      <c r="K273" s="38"/>
      <c r="L273" s="38"/>
      <c r="M273" s="38" t="s">
        <v>113</v>
      </c>
      <c r="N273" s="19">
        <v>10</v>
      </c>
      <c r="O273" s="76">
        <v>-32768</v>
      </c>
      <c r="P273" s="6">
        <v>32767</v>
      </c>
      <c r="Q273" s="38">
        <v>-3276.8</v>
      </c>
      <c r="R273" s="38">
        <v>3276.7</v>
      </c>
      <c r="S273" s="34"/>
      <c r="T273" s="34"/>
      <c r="U273" s="34"/>
      <c r="V273" s="8"/>
      <c r="W273" t="s">
        <v>904</v>
      </c>
      <c r="X273"/>
      <c r="Y273" s="34"/>
    </row>
    <row r="274" spans="1:34" s="55" customFormat="1" ht="15.75" customHeight="1" x14ac:dyDescent="0.15">
      <c r="A274" s="6">
        <v>268</v>
      </c>
      <c r="B274" s="18" t="s">
        <v>75</v>
      </c>
      <c r="C274" s="34" t="s">
        <v>57</v>
      </c>
      <c r="D274" s="75" t="s">
        <v>905</v>
      </c>
      <c r="E274" s="2" t="s">
        <v>59</v>
      </c>
      <c r="F274">
        <v>15212</v>
      </c>
      <c r="G274" s="6"/>
      <c r="H274" s="6" t="s">
        <v>906</v>
      </c>
      <c r="I274" s="34"/>
      <c r="J274" s="38"/>
      <c r="K274" s="38"/>
      <c r="L274" s="38"/>
      <c r="M274" s="38" t="s">
        <v>86</v>
      </c>
      <c r="N274" s="19">
        <v>1</v>
      </c>
      <c r="O274" s="76">
        <v>0</v>
      </c>
      <c r="P274" s="6">
        <v>4294967295</v>
      </c>
      <c r="Q274" s="38">
        <v>0</v>
      </c>
      <c r="R274" s="38">
        <v>4294967295</v>
      </c>
      <c r="S274" s="34"/>
      <c r="T274" s="34"/>
      <c r="U274" s="34"/>
      <c r="V274" s="8"/>
      <c r="W274" t="s">
        <v>907</v>
      </c>
      <c r="X274"/>
      <c r="Y274" s="34" t="s">
        <v>64</v>
      </c>
    </row>
    <row r="275" spans="1:34" s="55" customFormat="1" ht="15.75" customHeight="1" x14ac:dyDescent="0.15">
      <c r="A275" s="6">
        <v>269</v>
      </c>
      <c r="B275" s="18" t="s">
        <v>75</v>
      </c>
      <c r="C275" s="34" t="s">
        <v>57</v>
      </c>
      <c r="D275" s="75" t="s">
        <v>908</v>
      </c>
      <c r="E275" s="2" t="s">
        <v>59</v>
      </c>
      <c r="F275">
        <v>15214</v>
      </c>
      <c r="G275" s="6"/>
      <c r="H275" s="6" t="s">
        <v>909</v>
      </c>
      <c r="I275" s="34"/>
      <c r="J275" s="38"/>
      <c r="K275" s="38"/>
      <c r="L275" s="38"/>
      <c r="M275" s="38" t="s">
        <v>96</v>
      </c>
      <c r="N275" s="19">
        <v>1</v>
      </c>
      <c r="O275" s="76">
        <v>0</v>
      </c>
      <c r="P275" s="6">
        <v>4294967295</v>
      </c>
      <c r="Q275" s="38">
        <v>0</v>
      </c>
      <c r="R275" s="38">
        <v>4294967295</v>
      </c>
      <c r="S275" s="34"/>
      <c r="T275" s="34"/>
      <c r="U275" s="34"/>
      <c r="V275" s="8"/>
      <c r="W275" t="s">
        <v>910</v>
      </c>
      <c r="X275"/>
      <c r="Y275" s="34" t="s">
        <v>64</v>
      </c>
    </row>
    <row r="276" spans="1:34" ht="15.75" customHeight="1" x14ac:dyDescent="0.15">
      <c r="A276" s="6">
        <v>270</v>
      </c>
      <c r="B276" s="18" t="s">
        <v>75</v>
      </c>
      <c r="C276" s="34" t="s">
        <v>57</v>
      </c>
      <c r="D276" s="75" t="s">
        <v>911</v>
      </c>
      <c r="E276" s="2" t="s">
        <v>77</v>
      </c>
      <c r="F276">
        <v>15236</v>
      </c>
      <c r="G276" s="6"/>
      <c r="H276" s="6" t="s">
        <v>912</v>
      </c>
      <c r="I276" s="34"/>
      <c r="J276" s="38"/>
      <c r="K276" s="38"/>
      <c r="L276" s="38"/>
      <c r="M276" s="38" t="s">
        <v>123</v>
      </c>
      <c r="N276" s="19">
        <v>100</v>
      </c>
      <c r="O276" s="76">
        <v>0</v>
      </c>
      <c r="P276" s="6">
        <v>65535</v>
      </c>
      <c r="Q276" s="38">
        <v>0</v>
      </c>
      <c r="R276" s="38">
        <v>655.35</v>
      </c>
      <c r="S276" s="34"/>
      <c r="T276" s="34"/>
      <c r="U276" s="34"/>
      <c r="V276" s="8"/>
      <c r="W276" t="s">
        <v>913</v>
      </c>
      <c r="Y276" s="34"/>
      <c r="Z276"/>
      <c r="AA276"/>
      <c r="AE276"/>
      <c r="AF276"/>
      <c r="AG276"/>
      <c r="AH276"/>
    </row>
    <row r="277" spans="1:34" ht="15.75" customHeight="1" x14ac:dyDescent="0.15">
      <c r="A277" s="6">
        <v>271</v>
      </c>
      <c r="B277" s="18" t="s">
        <v>75</v>
      </c>
      <c r="C277" s="34" t="s">
        <v>57</v>
      </c>
      <c r="D277" s="75" t="s">
        <v>914</v>
      </c>
      <c r="E277" s="2" t="s">
        <v>143</v>
      </c>
      <c r="F277">
        <v>15249</v>
      </c>
      <c r="G277" s="6"/>
      <c r="H277" s="6" t="s">
        <v>915</v>
      </c>
      <c r="I277" s="34"/>
      <c r="J277" s="38"/>
      <c r="K277" s="38"/>
      <c r="L277" s="38"/>
      <c r="M277" s="38" t="s">
        <v>123</v>
      </c>
      <c r="N277" s="19">
        <v>10</v>
      </c>
      <c r="O277" s="76">
        <v>-32768</v>
      </c>
      <c r="P277" s="6">
        <v>32767</v>
      </c>
      <c r="Q277" s="38">
        <v>-3276.8</v>
      </c>
      <c r="R277" s="38">
        <v>3276.7</v>
      </c>
      <c r="S277" s="34"/>
      <c r="T277" s="34"/>
      <c r="U277" s="34"/>
      <c r="V277" s="8"/>
      <c r="W277" t="s">
        <v>916</v>
      </c>
      <c r="Y277" s="34"/>
      <c r="Z277"/>
      <c r="AA277"/>
      <c r="AE277"/>
      <c r="AF277"/>
      <c r="AG277"/>
      <c r="AH277"/>
    </row>
    <row r="278" spans="1:34" s="59" customFormat="1" ht="15.75" customHeight="1" x14ac:dyDescent="0.15">
      <c r="A278" s="6">
        <v>272</v>
      </c>
      <c r="B278" s="18" t="s">
        <v>75</v>
      </c>
      <c r="C278" s="34" t="s">
        <v>57</v>
      </c>
      <c r="D278" s="75" t="s">
        <v>917</v>
      </c>
      <c r="E278" s="2" t="s">
        <v>143</v>
      </c>
      <c r="F278">
        <v>15250</v>
      </c>
      <c r="G278" s="6"/>
      <c r="H278" s="6" t="s">
        <v>918</v>
      </c>
      <c r="I278" s="34"/>
      <c r="J278" s="38"/>
      <c r="K278" s="38"/>
      <c r="L278" s="38"/>
      <c r="M278" s="38" t="s">
        <v>123</v>
      </c>
      <c r="N278" s="19">
        <v>10</v>
      </c>
      <c r="O278" s="76">
        <v>-32768</v>
      </c>
      <c r="P278" s="6">
        <v>32767</v>
      </c>
      <c r="Q278" s="38">
        <v>-3276.8</v>
      </c>
      <c r="R278" s="38">
        <v>3276.7</v>
      </c>
      <c r="S278" s="34"/>
      <c r="T278" s="34"/>
      <c r="U278" s="34"/>
      <c r="V278" s="8"/>
      <c r="W278" t="s">
        <v>919</v>
      </c>
      <c r="X278"/>
      <c r="Y278" s="34"/>
    </row>
    <row r="279" spans="1:34" s="55" customFormat="1" ht="15.75" customHeight="1" x14ac:dyDescent="0.15">
      <c r="A279" s="6">
        <v>273</v>
      </c>
      <c r="B279" s="18" t="s">
        <v>75</v>
      </c>
      <c r="C279" s="34" t="s">
        <v>57</v>
      </c>
      <c r="D279" s="75" t="s">
        <v>920</v>
      </c>
      <c r="E279" s="2" t="s">
        <v>143</v>
      </c>
      <c r="F279">
        <v>15251</v>
      </c>
      <c r="G279" s="6"/>
      <c r="H279" s="6" t="s">
        <v>921</v>
      </c>
      <c r="I279" s="34"/>
      <c r="J279" s="38"/>
      <c r="K279" s="38"/>
      <c r="L279" s="38"/>
      <c r="M279" s="38" t="s">
        <v>123</v>
      </c>
      <c r="N279" s="19">
        <v>10</v>
      </c>
      <c r="O279" s="76">
        <v>-32768</v>
      </c>
      <c r="P279" s="6">
        <v>32767</v>
      </c>
      <c r="Q279" s="38">
        <v>-3276.8</v>
      </c>
      <c r="R279" s="38">
        <v>3276.7</v>
      </c>
      <c r="S279" s="34"/>
      <c r="T279" s="34"/>
      <c r="U279" s="34"/>
      <c r="V279" s="8"/>
      <c r="W279" t="s">
        <v>922</v>
      </c>
      <c r="X279"/>
      <c r="Y279" s="34"/>
    </row>
    <row r="280" spans="1:34" s="59" customFormat="1" ht="15.75" customHeight="1" x14ac:dyDescent="0.15">
      <c r="A280" s="6">
        <v>274</v>
      </c>
      <c r="B280" s="18" t="s">
        <v>75</v>
      </c>
      <c r="C280" s="34" t="s">
        <v>57</v>
      </c>
      <c r="D280" s="75" t="s">
        <v>923</v>
      </c>
      <c r="E280" s="2" t="s">
        <v>143</v>
      </c>
      <c r="F280">
        <v>15252</v>
      </c>
      <c r="G280" s="6"/>
      <c r="H280" s="6" t="s">
        <v>924</v>
      </c>
      <c r="I280" s="34"/>
      <c r="J280" s="38"/>
      <c r="K280" s="38"/>
      <c r="L280" s="38"/>
      <c r="M280" s="38" t="s">
        <v>123</v>
      </c>
      <c r="N280" s="19">
        <v>10</v>
      </c>
      <c r="O280" s="76">
        <v>-32768</v>
      </c>
      <c r="P280" s="6">
        <v>32767</v>
      </c>
      <c r="Q280" s="38">
        <v>-3276.8</v>
      </c>
      <c r="R280" s="38">
        <v>3276.7</v>
      </c>
      <c r="S280" s="34"/>
      <c r="T280" s="34"/>
      <c r="U280" s="34"/>
      <c r="V280" s="8"/>
      <c r="W280" t="s">
        <v>925</v>
      </c>
      <c r="X280"/>
      <c r="Y280" s="34"/>
    </row>
    <row r="281" spans="1:34" s="59" customFormat="1" ht="15.75" customHeight="1" x14ac:dyDescent="0.15">
      <c r="A281" s="6">
        <v>275</v>
      </c>
      <c r="B281" s="18" t="s">
        <v>75</v>
      </c>
      <c r="C281" s="34" t="s">
        <v>57</v>
      </c>
      <c r="D281" s="75" t="s">
        <v>926</v>
      </c>
      <c r="E281" s="2" t="s">
        <v>143</v>
      </c>
      <c r="F281">
        <v>15253</v>
      </c>
      <c r="G281" s="6"/>
      <c r="H281" s="6" t="s">
        <v>927</v>
      </c>
      <c r="I281" s="34"/>
      <c r="J281" s="38"/>
      <c r="K281" s="38"/>
      <c r="L281" s="38"/>
      <c r="M281" s="38" t="s">
        <v>123</v>
      </c>
      <c r="N281" s="19">
        <v>10</v>
      </c>
      <c r="O281" s="76">
        <v>-32768</v>
      </c>
      <c r="P281" s="6">
        <v>32767</v>
      </c>
      <c r="Q281" s="38">
        <v>-3276.8</v>
      </c>
      <c r="R281" s="38">
        <v>3276.7</v>
      </c>
      <c r="S281" s="34"/>
      <c r="T281" s="34"/>
      <c r="U281" s="34"/>
      <c r="V281" s="8"/>
      <c r="W281" t="s">
        <v>928</v>
      </c>
      <c r="X281"/>
      <c r="Y281" s="34"/>
    </row>
    <row r="282" spans="1:34" s="55" customFormat="1" ht="15.75" customHeight="1" x14ac:dyDescent="0.15">
      <c r="A282" s="6">
        <v>276</v>
      </c>
      <c r="B282" s="18" t="s">
        <v>75</v>
      </c>
      <c r="C282" s="34" t="s">
        <v>57</v>
      </c>
      <c r="D282" s="75" t="s">
        <v>929</v>
      </c>
      <c r="E282" s="2" t="s">
        <v>143</v>
      </c>
      <c r="F282">
        <v>15254</v>
      </c>
      <c r="G282" s="6"/>
      <c r="H282" s="6" t="s">
        <v>930</v>
      </c>
      <c r="I282" s="34"/>
      <c r="J282" s="38"/>
      <c r="K282" s="38"/>
      <c r="L282" s="38"/>
      <c r="M282" s="38" t="s">
        <v>123</v>
      </c>
      <c r="N282" s="19">
        <v>10</v>
      </c>
      <c r="O282" s="76">
        <v>-32768</v>
      </c>
      <c r="P282" s="6">
        <v>32767</v>
      </c>
      <c r="Q282" s="38">
        <v>-3276.8</v>
      </c>
      <c r="R282" s="38">
        <v>3276.7</v>
      </c>
      <c r="S282" s="34"/>
      <c r="T282" s="34"/>
      <c r="U282" s="34"/>
      <c r="V282" s="8"/>
      <c r="W282" t="s">
        <v>931</v>
      </c>
      <c r="X282"/>
      <c r="Y282" s="34"/>
    </row>
    <row r="283" spans="1:34" s="55" customFormat="1" ht="15.75" customHeight="1" x14ac:dyDescent="0.15">
      <c r="A283" s="6">
        <v>277</v>
      </c>
      <c r="B283" s="18" t="s">
        <v>75</v>
      </c>
      <c r="C283" s="34" t="s">
        <v>57</v>
      </c>
      <c r="D283" s="75" t="s">
        <v>932</v>
      </c>
      <c r="E283" s="2" t="s">
        <v>143</v>
      </c>
      <c r="F283">
        <v>15255</v>
      </c>
      <c r="G283" s="6"/>
      <c r="H283" s="6" t="s">
        <v>933</v>
      </c>
      <c r="I283" s="34"/>
      <c r="J283" s="38"/>
      <c r="K283" s="38"/>
      <c r="L283" s="38"/>
      <c r="M283" s="38" t="s">
        <v>123</v>
      </c>
      <c r="N283" s="19">
        <v>10</v>
      </c>
      <c r="O283" s="76">
        <v>-32768</v>
      </c>
      <c r="P283" s="6">
        <v>32767</v>
      </c>
      <c r="Q283" s="38">
        <v>-3276.8</v>
      </c>
      <c r="R283" s="38">
        <v>3276.7</v>
      </c>
      <c r="S283" s="34"/>
      <c r="T283" s="34"/>
      <c r="U283" s="34"/>
      <c r="V283" s="8"/>
      <c r="W283" t="s">
        <v>934</v>
      </c>
      <c r="X283"/>
      <c r="Y283" s="34"/>
    </row>
    <row r="284" spans="1:34" s="55" customFormat="1" ht="15.75" customHeight="1" x14ac:dyDescent="0.15">
      <c r="A284" s="6">
        <v>278</v>
      </c>
      <c r="B284" s="18" t="s">
        <v>75</v>
      </c>
      <c r="C284" s="34" t="s">
        <v>57</v>
      </c>
      <c r="D284" s="75" t="s">
        <v>935</v>
      </c>
      <c r="E284" s="2" t="s">
        <v>165</v>
      </c>
      <c r="F284">
        <v>15261</v>
      </c>
      <c r="G284" s="6"/>
      <c r="H284" s="6" t="s">
        <v>936</v>
      </c>
      <c r="I284" s="34"/>
      <c r="J284" s="38"/>
      <c r="K284" s="38"/>
      <c r="L284" s="38"/>
      <c r="M284" s="38"/>
      <c r="N284" s="19"/>
      <c r="O284" s="76" t="s">
        <v>62</v>
      </c>
      <c r="P284" s="6" t="s">
        <v>62</v>
      </c>
      <c r="Q284" s="38" t="s">
        <v>62</v>
      </c>
      <c r="R284" s="38" t="s">
        <v>62</v>
      </c>
      <c r="S284" s="34"/>
      <c r="T284" s="34"/>
      <c r="U284" s="34"/>
      <c r="V284" s="8"/>
      <c r="W284" t="s">
        <v>937</v>
      </c>
      <c r="X284"/>
      <c r="Y284" s="34"/>
    </row>
    <row r="285" spans="1:34" s="59" customFormat="1" ht="15.75" customHeight="1" x14ac:dyDescent="0.15">
      <c r="A285" s="6">
        <v>279</v>
      </c>
      <c r="B285" s="18" t="s">
        <v>75</v>
      </c>
      <c r="C285" s="34" t="s">
        <v>57</v>
      </c>
      <c r="D285" s="75" t="s">
        <v>938</v>
      </c>
      <c r="E285" s="2" t="s">
        <v>169</v>
      </c>
      <c r="F285">
        <v>15261</v>
      </c>
      <c r="G285" s="6">
        <v>1</v>
      </c>
      <c r="H285" s="6" t="s">
        <v>939</v>
      </c>
      <c r="I285" s="34"/>
      <c r="J285" s="38" t="s">
        <v>196</v>
      </c>
      <c r="K285" s="38" t="s">
        <v>940</v>
      </c>
      <c r="L285" s="38" t="s">
        <v>941</v>
      </c>
      <c r="M285" s="38"/>
      <c r="N285" s="19"/>
      <c r="O285" s="76" t="s">
        <v>62</v>
      </c>
      <c r="P285" s="6" t="s">
        <v>62</v>
      </c>
      <c r="Q285" s="38" t="s">
        <v>62</v>
      </c>
      <c r="R285" s="38" t="s">
        <v>62</v>
      </c>
      <c r="S285" s="34"/>
      <c r="T285" s="34"/>
      <c r="U285" s="34"/>
      <c r="V285" s="8"/>
      <c r="W285" t="s">
        <v>942</v>
      </c>
      <c r="X285"/>
      <c r="Y285" s="34"/>
    </row>
    <row r="286" spans="1:34" s="59" customFormat="1" ht="15.75" customHeight="1" x14ac:dyDescent="0.15">
      <c r="A286" s="6">
        <v>280</v>
      </c>
      <c r="B286" s="18" t="s">
        <v>75</v>
      </c>
      <c r="C286" s="34" t="s">
        <v>57</v>
      </c>
      <c r="D286" s="75" t="s">
        <v>943</v>
      </c>
      <c r="E286" s="2" t="s">
        <v>169</v>
      </c>
      <c r="F286">
        <v>15261</v>
      </c>
      <c r="G286" s="6">
        <v>2</v>
      </c>
      <c r="H286" s="6" t="s">
        <v>944</v>
      </c>
      <c r="I286" s="34"/>
      <c r="J286" s="38" t="s">
        <v>196</v>
      </c>
      <c r="K286" s="38" t="s">
        <v>940</v>
      </c>
      <c r="L286" s="38" t="s">
        <v>941</v>
      </c>
      <c r="M286" s="38"/>
      <c r="N286" s="19"/>
      <c r="O286" s="76" t="s">
        <v>62</v>
      </c>
      <c r="P286" s="6" t="s">
        <v>62</v>
      </c>
      <c r="Q286" s="38" t="s">
        <v>62</v>
      </c>
      <c r="R286" s="38" t="s">
        <v>62</v>
      </c>
      <c r="S286" s="34"/>
      <c r="T286" s="34"/>
      <c r="U286" s="34"/>
      <c r="V286" s="8"/>
      <c r="W286" t="s">
        <v>945</v>
      </c>
      <c r="X286"/>
      <c r="Y286" s="34"/>
    </row>
    <row r="287" spans="1:34" s="59" customFormat="1" ht="15.75" customHeight="1" x14ac:dyDescent="0.15">
      <c r="A287" s="6">
        <v>281</v>
      </c>
      <c r="B287" s="18" t="s">
        <v>75</v>
      </c>
      <c r="C287" s="34" t="s">
        <v>57</v>
      </c>
      <c r="D287" s="75" t="s">
        <v>946</v>
      </c>
      <c r="E287" s="2" t="s">
        <v>59</v>
      </c>
      <c r="F287">
        <v>15269</v>
      </c>
      <c r="G287" s="6"/>
      <c r="H287" s="6" t="s">
        <v>947</v>
      </c>
      <c r="I287" s="34"/>
      <c r="J287" s="38"/>
      <c r="K287" s="38"/>
      <c r="L287" s="38"/>
      <c r="M287" s="38" t="s">
        <v>86</v>
      </c>
      <c r="N287" s="19">
        <v>10</v>
      </c>
      <c r="O287" s="76">
        <v>0</v>
      </c>
      <c r="P287" s="6">
        <v>4294967295</v>
      </c>
      <c r="Q287" s="38">
        <v>0</v>
      </c>
      <c r="R287" s="38">
        <v>429496729.5</v>
      </c>
      <c r="S287" s="34"/>
      <c r="T287" s="34"/>
      <c r="U287" s="34"/>
      <c r="V287" s="8"/>
      <c r="W287" t="s">
        <v>948</v>
      </c>
      <c r="X287"/>
      <c r="Y287" s="34"/>
    </row>
    <row r="288" spans="1:34" s="59" customFormat="1" ht="15.75" customHeight="1" x14ac:dyDescent="0.15">
      <c r="A288" s="6">
        <v>282</v>
      </c>
      <c r="B288" s="18" t="s">
        <v>75</v>
      </c>
      <c r="C288" s="34" t="s">
        <v>57</v>
      </c>
      <c r="D288" s="75" t="s">
        <v>949</v>
      </c>
      <c r="E288" s="2" t="s">
        <v>59</v>
      </c>
      <c r="F288">
        <v>15271</v>
      </c>
      <c r="G288" s="6"/>
      <c r="H288" s="6" t="s">
        <v>950</v>
      </c>
      <c r="I288" s="34"/>
      <c r="J288" s="38"/>
      <c r="K288" s="38"/>
      <c r="L288" s="38"/>
      <c r="M288" s="38" t="s">
        <v>86</v>
      </c>
      <c r="N288" s="19">
        <v>1</v>
      </c>
      <c r="O288" s="76">
        <v>0</v>
      </c>
      <c r="P288" s="6">
        <v>4294967295</v>
      </c>
      <c r="Q288" s="38">
        <v>0</v>
      </c>
      <c r="R288" s="38">
        <v>4294967295</v>
      </c>
      <c r="S288" s="34"/>
      <c r="T288" s="34"/>
      <c r="U288" s="34"/>
      <c r="V288" s="8"/>
      <c r="W288" t="s">
        <v>951</v>
      </c>
      <c r="X288"/>
      <c r="Y288" s="34" t="s">
        <v>64</v>
      </c>
    </row>
    <row r="289" spans="1:34" s="59" customFormat="1" ht="15.75" customHeight="1" x14ac:dyDescent="0.15">
      <c r="A289" s="6">
        <v>283</v>
      </c>
      <c r="B289" s="18" t="s">
        <v>75</v>
      </c>
      <c r="C289" s="34" t="s">
        <v>57</v>
      </c>
      <c r="D289" s="75" t="s">
        <v>952</v>
      </c>
      <c r="E289" s="2" t="s">
        <v>59</v>
      </c>
      <c r="F289">
        <v>15273</v>
      </c>
      <c r="G289" s="6"/>
      <c r="H289" s="6" t="s">
        <v>953</v>
      </c>
      <c r="I289" s="34"/>
      <c r="J289" s="38"/>
      <c r="K289" s="38"/>
      <c r="L289" s="38"/>
      <c r="M289" s="38" t="s">
        <v>86</v>
      </c>
      <c r="N289" s="19">
        <v>1</v>
      </c>
      <c r="O289" s="76">
        <v>0</v>
      </c>
      <c r="P289" s="6">
        <v>4294967295</v>
      </c>
      <c r="Q289" s="38">
        <v>0</v>
      </c>
      <c r="R289" s="38">
        <v>4294967295</v>
      </c>
      <c r="S289" s="34"/>
      <c r="T289" s="34"/>
      <c r="U289" s="34"/>
      <c r="V289" s="8"/>
      <c r="W289" t="s">
        <v>954</v>
      </c>
      <c r="X289"/>
      <c r="Y289" s="34"/>
    </row>
    <row r="290" spans="1:34" s="59" customFormat="1" ht="15.75" customHeight="1" x14ac:dyDescent="0.15">
      <c r="A290" s="6">
        <v>284</v>
      </c>
      <c r="B290" s="18" t="s">
        <v>75</v>
      </c>
      <c r="C290" s="34" t="s">
        <v>57</v>
      </c>
      <c r="D290" s="75" t="s">
        <v>955</v>
      </c>
      <c r="E290" s="2" t="s">
        <v>77</v>
      </c>
      <c r="F290">
        <v>15275</v>
      </c>
      <c r="G290" s="6"/>
      <c r="H290" s="6" t="s">
        <v>956</v>
      </c>
      <c r="I290" s="34"/>
      <c r="J290" s="38"/>
      <c r="K290" s="38"/>
      <c r="L290" s="38"/>
      <c r="M290" s="38" t="s">
        <v>100</v>
      </c>
      <c r="N290" s="19">
        <v>1</v>
      </c>
      <c r="O290" s="76">
        <v>0</v>
      </c>
      <c r="P290" s="6">
        <v>65535</v>
      </c>
      <c r="Q290" s="38">
        <v>0</v>
      </c>
      <c r="R290" s="38">
        <v>65535</v>
      </c>
      <c r="S290" s="34"/>
      <c r="T290" s="34"/>
      <c r="U290" s="34"/>
      <c r="V290" s="8"/>
      <c r="W290" t="s">
        <v>957</v>
      </c>
      <c r="X290"/>
      <c r="Y290" s="34"/>
    </row>
    <row r="291" spans="1:34" ht="15.75" customHeight="1" x14ac:dyDescent="0.15">
      <c r="A291" s="6">
        <v>285</v>
      </c>
      <c r="B291" s="18" t="s">
        <v>75</v>
      </c>
      <c r="C291" s="34" t="s">
        <v>57</v>
      </c>
      <c r="D291" s="75" t="s">
        <v>958</v>
      </c>
      <c r="E291" s="2" t="s">
        <v>59</v>
      </c>
      <c r="F291">
        <v>15276</v>
      </c>
      <c r="G291" s="6"/>
      <c r="H291" s="6" t="s">
        <v>959</v>
      </c>
      <c r="I291" s="34"/>
      <c r="J291" s="38"/>
      <c r="K291" s="38"/>
      <c r="L291" s="38"/>
      <c r="M291" s="38" t="s">
        <v>104</v>
      </c>
      <c r="N291" s="19">
        <v>1</v>
      </c>
      <c r="O291" s="76">
        <v>0</v>
      </c>
      <c r="P291" s="6">
        <v>4294967295</v>
      </c>
      <c r="Q291" s="38">
        <v>0</v>
      </c>
      <c r="R291" s="38">
        <v>4294967295</v>
      </c>
      <c r="S291" s="34"/>
      <c r="T291" s="34"/>
      <c r="U291" s="34"/>
      <c r="V291" s="8"/>
      <c r="W291" t="s">
        <v>960</v>
      </c>
      <c r="Y291" s="34"/>
      <c r="Z291"/>
      <c r="AA291"/>
      <c r="AE291"/>
      <c r="AF291"/>
      <c r="AG291"/>
      <c r="AH291"/>
    </row>
    <row r="292" spans="1:34" s="64" customFormat="1" ht="15.75" customHeight="1" x14ac:dyDescent="0.15">
      <c r="A292" s="6">
        <v>286</v>
      </c>
      <c r="B292" s="18" t="s">
        <v>75</v>
      </c>
      <c r="C292" s="34" t="s">
        <v>57</v>
      </c>
      <c r="D292" s="75" t="s">
        <v>961</v>
      </c>
      <c r="E292" s="2" t="s">
        <v>143</v>
      </c>
      <c r="F292">
        <v>15278</v>
      </c>
      <c r="G292" s="6"/>
      <c r="H292" s="6" t="s">
        <v>962</v>
      </c>
      <c r="I292" s="34"/>
      <c r="J292" s="38"/>
      <c r="K292" s="38"/>
      <c r="L292" s="38"/>
      <c r="M292" s="38" t="s">
        <v>266</v>
      </c>
      <c r="N292" s="19">
        <v>10</v>
      </c>
      <c r="O292" s="76">
        <v>-32768</v>
      </c>
      <c r="P292" s="6">
        <v>32767</v>
      </c>
      <c r="Q292" s="38">
        <v>-3276.8</v>
      </c>
      <c r="R292" s="38">
        <v>3276.7</v>
      </c>
      <c r="S292" s="34"/>
      <c r="T292" s="34"/>
      <c r="U292" s="34"/>
      <c r="V292" s="8"/>
      <c r="W292" t="s">
        <v>963</v>
      </c>
      <c r="X292"/>
      <c r="Y292" s="34"/>
    </row>
    <row r="293" spans="1:34" ht="15.75" customHeight="1" x14ac:dyDescent="0.15">
      <c r="A293" s="6">
        <v>287</v>
      </c>
      <c r="B293" s="18" t="s">
        <v>75</v>
      </c>
      <c r="C293" s="34" t="s">
        <v>57</v>
      </c>
      <c r="D293" s="75" t="s">
        <v>964</v>
      </c>
      <c r="E293" s="2" t="s">
        <v>77</v>
      </c>
      <c r="F293">
        <v>15279</v>
      </c>
      <c r="G293" s="6"/>
      <c r="H293" s="6" t="s">
        <v>965</v>
      </c>
      <c r="I293" s="34"/>
      <c r="J293" s="38"/>
      <c r="K293" s="38"/>
      <c r="L293" s="38"/>
      <c r="M293" s="38" t="s">
        <v>113</v>
      </c>
      <c r="N293" s="19">
        <v>10</v>
      </c>
      <c r="O293" s="76">
        <v>0</v>
      </c>
      <c r="P293" s="6">
        <v>65535</v>
      </c>
      <c r="Q293" s="38">
        <v>0</v>
      </c>
      <c r="R293" s="38">
        <v>6553.5</v>
      </c>
      <c r="S293" s="34"/>
      <c r="T293" s="34"/>
      <c r="U293" s="34"/>
      <c r="V293" s="8"/>
      <c r="W293" t="s">
        <v>966</v>
      </c>
      <c r="Y293" s="34"/>
      <c r="Z293"/>
      <c r="AA293"/>
      <c r="AE293"/>
      <c r="AF293"/>
      <c r="AG293"/>
      <c r="AH293"/>
    </row>
    <row r="294" spans="1:34" s="64" customFormat="1" ht="15.75" customHeight="1" x14ac:dyDescent="0.15">
      <c r="A294" s="6">
        <v>288</v>
      </c>
      <c r="B294" s="18" t="s">
        <v>75</v>
      </c>
      <c r="C294" s="34" t="s">
        <v>57</v>
      </c>
      <c r="D294" s="75" t="s">
        <v>967</v>
      </c>
      <c r="E294" s="2" t="s">
        <v>77</v>
      </c>
      <c r="F294">
        <v>15280</v>
      </c>
      <c r="G294" s="6"/>
      <c r="H294" s="6" t="s">
        <v>968</v>
      </c>
      <c r="I294" s="34"/>
      <c r="J294" s="38"/>
      <c r="K294" s="38"/>
      <c r="L294" s="38"/>
      <c r="M294" s="38" t="s">
        <v>123</v>
      </c>
      <c r="N294" s="19">
        <v>10</v>
      </c>
      <c r="O294" s="76">
        <v>0</v>
      </c>
      <c r="P294" s="6">
        <v>65535</v>
      </c>
      <c r="Q294" s="38">
        <v>0</v>
      </c>
      <c r="R294" s="38">
        <v>6553.5</v>
      </c>
      <c r="S294" s="34"/>
      <c r="T294" s="34"/>
      <c r="U294" s="34"/>
      <c r="V294" s="8"/>
      <c r="W294" t="s">
        <v>969</v>
      </c>
      <c r="X294"/>
      <c r="Y294" s="34"/>
    </row>
    <row r="295" spans="1:34" ht="15.75" customHeight="1" x14ac:dyDescent="0.15">
      <c r="A295" s="6">
        <v>289</v>
      </c>
      <c r="B295" s="18" t="s">
        <v>75</v>
      </c>
      <c r="C295" s="34" t="s">
        <v>57</v>
      </c>
      <c r="D295" s="75" t="s">
        <v>970</v>
      </c>
      <c r="E295" s="2" t="s">
        <v>107</v>
      </c>
      <c r="F295">
        <v>15281</v>
      </c>
      <c r="G295" s="6"/>
      <c r="H295" s="6" t="s">
        <v>971</v>
      </c>
      <c r="I295" s="34"/>
      <c r="J295" s="38"/>
      <c r="K295" s="38"/>
      <c r="L295" s="38"/>
      <c r="M295" s="38" t="s">
        <v>109</v>
      </c>
      <c r="N295" s="19">
        <v>1</v>
      </c>
      <c r="O295" s="76">
        <v>-2147483648</v>
      </c>
      <c r="P295" s="6">
        <v>2147483647</v>
      </c>
      <c r="Q295" s="38">
        <v>-2147483648</v>
      </c>
      <c r="R295" s="38">
        <v>2147483647</v>
      </c>
      <c r="S295" s="34"/>
      <c r="T295" s="34"/>
      <c r="U295" s="34"/>
      <c r="V295" s="8"/>
      <c r="W295" t="s">
        <v>972</v>
      </c>
      <c r="Y295" s="34"/>
      <c r="Z295"/>
      <c r="AA295"/>
      <c r="AE295"/>
      <c r="AF295"/>
      <c r="AG295"/>
      <c r="AH295"/>
    </row>
    <row r="296" spans="1:34" s="64" customFormat="1" ht="15.75" customHeight="1" x14ac:dyDescent="0.15">
      <c r="A296" s="6">
        <v>290</v>
      </c>
      <c r="B296" s="18" t="s">
        <v>75</v>
      </c>
      <c r="C296" s="34" t="s">
        <v>57</v>
      </c>
      <c r="D296" s="75" t="s">
        <v>973</v>
      </c>
      <c r="E296" s="2" t="s">
        <v>77</v>
      </c>
      <c r="F296">
        <v>15283</v>
      </c>
      <c r="G296" s="6"/>
      <c r="H296" s="6" t="s">
        <v>974</v>
      </c>
      <c r="I296" s="34"/>
      <c r="J296" s="38"/>
      <c r="K296" s="38"/>
      <c r="L296" s="38"/>
      <c r="M296" s="38" t="s">
        <v>113</v>
      </c>
      <c r="N296" s="19">
        <v>10</v>
      </c>
      <c r="O296" s="76">
        <v>0</v>
      </c>
      <c r="P296" s="6">
        <v>65535</v>
      </c>
      <c r="Q296" s="38">
        <v>0</v>
      </c>
      <c r="R296" s="38">
        <v>6553.5</v>
      </c>
      <c r="S296" s="34"/>
      <c r="T296" s="34"/>
      <c r="U296" s="34"/>
      <c r="V296" s="8"/>
      <c r="W296" t="s">
        <v>975</v>
      </c>
      <c r="X296"/>
      <c r="Y296" s="34"/>
    </row>
    <row r="297" spans="1:34" ht="15.75" customHeight="1" x14ac:dyDescent="0.15">
      <c r="A297" s="6">
        <v>291</v>
      </c>
      <c r="B297" s="18" t="s">
        <v>75</v>
      </c>
      <c r="C297" s="34" t="s">
        <v>57</v>
      </c>
      <c r="D297" s="75" t="s">
        <v>976</v>
      </c>
      <c r="E297" s="2" t="s">
        <v>77</v>
      </c>
      <c r="F297">
        <v>15284</v>
      </c>
      <c r="G297" s="6"/>
      <c r="H297" s="6" t="s">
        <v>977</v>
      </c>
      <c r="I297" s="34"/>
      <c r="J297" s="38"/>
      <c r="K297" s="38"/>
      <c r="L297" s="38"/>
      <c r="M297" s="38" t="s">
        <v>113</v>
      </c>
      <c r="N297" s="19">
        <v>10</v>
      </c>
      <c r="O297" s="76">
        <v>0</v>
      </c>
      <c r="P297" s="6">
        <v>65535</v>
      </c>
      <c r="Q297" s="38">
        <v>0</v>
      </c>
      <c r="R297" s="38">
        <v>6553.5</v>
      </c>
      <c r="S297" s="34"/>
      <c r="T297" s="34"/>
      <c r="U297" s="34"/>
      <c r="V297" s="8"/>
      <c r="W297" t="s">
        <v>978</v>
      </c>
      <c r="Y297" s="34"/>
      <c r="Z297"/>
      <c r="AA297"/>
      <c r="AE297"/>
      <c r="AF297"/>
      <c r="AG297"/>
      <c r="AH297"/>
    </row>
    <row r="298" spans="1:34" ht="15.75" customHeight="1" x14ac:dyDescent="0.15">
      <c r="A298" s="6">
        <v>292</v>
      </c>
      <c r="B298" s="18" t="s">
        <v>75</v>
      </c>
      <c r="C298" s="34" t="s">
        <v>57</v>
      </c>
      <c r="D298" s="75" t="s">
        <v>979</v>
      </c>
      <c r="E298" s="2" t="s">
        <v>77</v>
      </c>
      <c r="F298">
        <v>15285</v>
      </c>
      <c r="G298" s="6"/>
      <c r="H298" s="6" t="s">
        <v>980</v>
      </c>
      <c r="I298" s="34"/>
      <c r="J298" s="38"/>
      <c r="K298" s="38"/>
      <c r="L298" s="38"/>
      <c r="M298" s="38" t="s">
        <v>113</v>
      </c>
      <c r="N298" s="19">
        <v>10</v>
      </c>
      <c r="O298" s="76">
        <v>0</v>
      </c>
      <c r="P298" s="6">
        <v>65535</v>
      </c>
      <c r="Q298" s="38">
        <v>0</v>
      </c>
      <c r="R298" s="38">
        <v>6553.5</v>
      </c>
      <c r="S298" s="34"/>
      <c r="T298" s="34"/>
      <c r="U298" s="34"/>
      <c r="V298" s="8"/>
      <c r="W298" t="s">
        <v>981</v>
      </c>
      <c r="Y298" s="34"/>
      <c r="Z298"/>
      <c r="AA298"/>
      <c r="AE298"/>
      <c r="AF298"/>
      <c r="AG298"/>
      <c r="AH298"/>
    </row>
    <row r="299" spans="1:34" ht="15.75" customHeight="1" x14ac:dyDescent="0.15">
      <c r="A299" s="6">
        <v>293</v>
      </c>
      <c r="B299" s="18" t="s">
        <v>75</v>
      </c>
      <c r="C299" s="34" t="s">
        <v>57</v>
      </c>
      <c r="D299" s="75" t="s">
        <v>982</v>
      </c>
      <c r="E299" s="2" t="s">
        <v>77</v>
      </c>
      <c r="F299">
        <v>15286</v>
      </c>
      <c r="G299" s="6"/>
      <c r="H299" s="6" t="s">
        <v>983</v>
      </c>
      <c r="I299" s="34"/>
      <c r="J299" s="38"/>
      <c r="K299" s="38"/>
      <c r="L299" s="38"/>
      <c r="M299" s="38" t="s">
        <v>123</v>
      </c>
      <c r="N299" s="19">
        <v>10</v>
      </c>
      <c r="O299" s="76">
        <v>0</v>
      </c>
      <c r="P299" s="6">
        <v>65535</v>
      </c>
      <c r="Q299" s="38">
        <v>0</v>
      </c>
      <c r="R299" s="38">
        <v>6553.5</v>
      </c>
      <c r="S299" s="34"/>
      <c r="T299" s="34"/>
      <c r="U299" s="34"/>
      <c r="V299" s="8"/>
      <c r="W299" t="s">
        <v>984</v>
      </c>
      <c r="Y299" s="34"/>
      <c r="Z299"/>
      <c r="AA299"/>
      <c r="AE299"/>
      <c r="AF299"/>
      <c r="AG299"/>
      <c r="AH299"/>
    </row>
    <row r="300" spans="1:34" ht="15.75" customHeight="1" x14ac:dyDescent="0.15">
      <c r="A300" s="6">
        <v>294</v>
      </c>
      <c r="B300" s="18" t="s">
        <v>75</v>
      </c>
      <c r="C300" s="34" t="s">
        <v>57</v>
      </c>
      <c r="D300" s="75" t="s">
        <v>985</v>
      </c>
      <c r="E300" s="2" t="s">
        <v>77</v>
      </c>
      <c r="F300">
        <v>15287</v>
      </c>
      <c r="G300" s="6"/>
      <c r="H300" s="6" t="s">
        <v>986</v>
      </c>
      <c r="I300" s="34"/>
      <c r="J300" s="38"/>
      <c r="K300" s="38"/>
      <c r="L300" s="38"/>
      <c r="M300" s="38" t="s">
        <v>123</v>
      </c>
      <c r="N300" s="19">
        <v>10</v>
      </c>
      <c r="O300" s="76">
        <v>0</v>
      </c>
      <c r="P300" s="6">
        <v>65535</v>
      </c>
      <c r="Q300" s="38">
        <v>0</v>
      </c>
      <c r="R300" s="38">
        <v>6553.5</v>
      </c>
      <c r="S300" s="34"/>
      <c r="T300" s="34"/>
      <c r="U300" s="34"/>
      <c r="V300" s="8"/>
      <c r="W300" t="s">
        <v>987</v>
      </c>
      <c r="Y300" s="34"/>
      <c r="Z300"/>
      <c r="AA300"/>
      <c r="AE300"/>
      <c r="AF300"/>
      <c r="AG300"/>
      <c r="AH300"/>
    </row>
    <row r="301" spans="1:34" ht="15.75" customHeight="1" x14ac:dyDescent="0.15">
      <c r="A301" s="6">
        <v>295</v>
      </c>
      <c r="B301" s="18" t="s">
        <v>75</v>
      </c>
      <c r="C301" s="34" t="s">
        <v>57</v>
      </c>
      <c r="D301" s="75" t="s">
        <v>988</v>
      </c>
      <c r="E301" s="2" t="s">
        <v>77</v>
      </c>
      <c r="F301">
        <v>15288</v>
      </c>
      <c r="G301" s="6"/>
      <c r="H301" s="6" t="s">
        <v>989</v>
      </c>
      <c r="I301" s="34"/>
      <c r="J301" s="38"/>
      <c r="K301" s="38"/>
      <c r="L301" s="38"/>
      <c r="M301" s="38" t="s">
        <v>123</v>
      </c>
      <c r="N301" s="19">
        <v>10</v>
      </c>
      <c r="O301" s="76">
        <v>0</v>
      </c>
      <c r="P301" s="6">
        <v>65535</v>
      </c>
      <c r="Q301" s="38">
        <v>0</v>
      </c>
      <c r="R301" s="38">
        <v>6553.5</v>
      </c>
      <c r="S301" s="34"/>
      <c r="T301" s="34"/>
      <c r="U301" s="34"/>
      <c r="V301" s="8"/>
      <c r="W301" t="s">
        <v>990</v>
      </c>
      <c r="Y301" s="34"/>
      <c r="Z301"/>
      <c r="AA301"/>
      <c r="AE301"/>
      <c r="AF301"/>
      <c r="AG301"/>
      <c r="AH301"/>
    </row>
    <row r="302" spans="1:34" ht="15.75" customHeight="1" x14ac:dyDescent="0.15">
      <c r="A302" s="6">
        <v>296</v>
      </c>
      <c r="B302" s="18" t="s">
        <v>75</v>
      </c>
      <c r="C302" s="34" t="s">
        <v>57</v>
      </c>
      <c r="D302" s="75" t="s">
        <v>991</v>
      </c>
      <c r="E302" s="2" t="s">
        <v>107</v>
      </c>
      <c r="F302">
        <v>15289</v>
      </c>
      <c r="G302" s="6"/>
      <c r="H302" s="6" t="s">
        <v>992</v>
      </c>
      <c r="I302" s="34"/>
      <c r="J302" s="38"/>
      <c r="K302" s="38"/>
      <c r="L302" s="38"/>
      <c r="M302" s="38" t="s">
        <v>109</v>
      </c>
      <c r="N302" s="19">
        <v>1</v>
      </c>
      <c r="O302" s="76">
        <v>-2147483648</v>
      </c>
      <c r="P302" s="6">
        <v>2147483647</v>
      </c>
      <c r="Q302" s="38">
        <v>-2147483648</v>
      </c>
      <c r="R302" s="38">
        <v>2147483647</v>
      </c>
      <c r="S302" s="34"/>
      <c r="T302" s="34"/>
      <c r="U302" s="34"/>
      <c r="V302" s="8"/>
      <c r="W302" t="s">
        <v>993</v>
      </c>
      <c r="Y302" s="34"/>
      <c r="Z302"/>
      <c r="AA302"/>
      <c r="AE302"/>
      <c r="AF302"/>
      <c r="AG302"/>
      <c r="AH302"/>
    </row>
    <row r="303" spans="1:34" ht="15.75" customHeight="1" x14ac:dyDescent="0.15">
      <c r="A303" s="6">
        <v>297</v>
      </c>
      <c r="B303" s="18" t="s">
        <v>75</v>
      </c>
      <c r="C303" s="34" t="s">
        <v>57</v>
      </c>
      <c r="D303" s="75" t="s">
        <v>994</v>
      </c>
      <c r="E303" s="2" t="s">
        <v>107</v>
      </c>
      <c r="F303">
        <v>15291</v>
      </c>
      <c r="G303" s="6"/>
      <c r="H303" s="6" t="s">
        <v>995</v>
      </c>
      <c r="I303" s="34"/>
      <c r="J303" s="38"/>
      <c r="K303" s="38"/>
      <c r="L303" s="38"/>
      <c r="M303" s="38" t="s">
        <v>136</v>
      </c>
      <c r="N303" s="19">
        <v>1</v>
      </c>
      <c r="O303" s="76">
        <v>-2147483648</v>
      </c>
      <c r="P303" s="6">
        <v>2147483647</v>
      </c>
      <c r="Q303" s="38">
        <v>-2147483648</v>
      </c>
      <c r="R303" s="38">
        <v>2147483647</v>
      </c>
      <c r="S303" s="34"/>
      <c r="T303" s="34"/>
      <c r="U303" s="34"/>
      <c r="V303" s="8"/>
      <c r="W303" t="s">
        <v>996</v>
      </c>
      <c r="Y303" s="34"/>
      <c r="Z303"/>
      <c r="AA303"/>
      <c r="AE303"/>
      <c r="AF303"/>
      <c r="AG303"/>
      <c r="AH303"/>
    </row>
    <row r="304" spans="1:34" ht="15.75" customHeight="1" x14ac:dyDescent="0.15">
      <c r="A304" s="6">
        <v>298</v>
      </c>
      <c r="B304" s="18" t="s">
        <v>75</v>
      </c>
      <c r="C304" s="34" t="s">
        <v>57</v>
      </c>
      <c r="D304" s="75" t="s">
        <v>997</v>
      </c>
      <c r="E304" s="2" t="s">
        <v>143</v>
      </c>
      <c r="F304">
        <v>15293</v>
      </c>
      <c r="G304" s="6"/>
      <c r="H304" s="6" t="s">
        <v>998</v>
      </c>
      <c r="I304" s="34"/>
      <c r="J304" s="38"/>
      <c r="K304" s="38"/>
      <c r="L304" s="38"/>
      <c r="M304" s="38" t="s">
        <v>145</v>
      </c>
      <c r="N304" s="19">
        <v>1000</v>
      </c>
      <c r="O304" s="76">
        <v>-32768</v>
      </c>
      <c r="P304" s="6">
        <v>32767</v>
      </c>
      <c r="Q304" s="38">
        <v>-32.768000000000001</v>
      </c>
      <c r="R304" s="38">
        <v>32.767000000000003</v>
      </c>
      <c r="S304" s="34"/>
      <c r="T304" s="34"/>
      <c r="U304" s="34"/>
      <c r="V304" s="8"/>
      <c r="W304" t="s">
        <v>999</v>
      </c>
      <c r="Y304" s="34"/>
      <c r="Z304"/>
      <c r="AA304"/>
      <c r="AE304"/>
      <c r="AF304"/>
      <c r="AG304"/>
      <c r="AH304"/>
    </row>
    <row r="305" spans="1:34" ht="15.75" customHeight="1" x14ac:dyDescent="0.15">
      <c r="A305" s="6">
        <v>299</v>
      </c>
      <c r="B305" s="18" t="s">
        <v>75</v>
      </c>
      <c r="C305" s="34" t="s">
        <v>57</v>
      </c>
      <c r="D305" s="75" t="s">
        <v>1000</v>
      </c>
      <c r="E305" s="2" t="s">
        <v>77</v>
      </c>
      <c r="F305">
        <v>15294</v>
      </c>
      <c r="G305" s="6"/>
      <c r="H305" s="6" t="s">
        <v>1001</v>
      </c>
      <c r="I305" s="34"/>
      <c r="J305" s="38"/>
      <c r="K305" s="38"/>
      <c r="L305" s="38"/>
      <c r="M305" s="38" t="s">
        <v>149</v>
      </c>
      <c r="N305" s="19">
        <v>10</v>
      </c>
      <c r="O305" s="76">
        <v>0</v>
      </c>
      <c r="P305" s="6">
        <v>65535</v>
      </c>
      <c r="Q305" s="38">
        <v>0</v>
      </c>
      <c r="R305" s="38">
        <v>6553.5</v>
      </c>
      <c r="S305" s="34"/>
      <c r="T305" s="34"/>
      <c r="U305" s="34"/>
      <c r="V305" s="8"/>
      <c r="W305" t="s">
        <v>1002</v>
      </c>
      <c r="Y305" s="34"/>
      <c r="Z305"/>
      <c r="AA305"/>
      <c r="AE305"/>
      <c r="AF305"/>
      <c r="AG305"/>
      <c r="AH305"/>
    </row>
    <row r="306" spans="1:34" ht="15.75" customHeight="1" x14ac:dyDescent="0.15">
      <c r="A306" s="6">
        <v>300</v>
      </c>
      <c r="B306" s="18" t="s">
        <v>75</v>
      </c>
      <c r="C306" s="34" t="s">
        <v>57</v>
      </c>
      <c r="D306" s="75" t="s">
        <v>1003</v>
      </c>
      <c r="E306" s="2" t="s">
        <v>77</v>
      </c>
      <c r="F306">
        <v>15295</v>
      </c>
      <c r="G306" s="6"/>
      <c r="H306" s="6" t="s">
        <v>1004</v>
      </c>
      <c r="I306" s="34"/>
      <c r="J306" s="38"/>
      <c r="K306" s="38"/>
      <c r="L306" s="38"/>
      <c r="M306" s="38" t="s">
        <v>560</v>
      </c>
      <c r="N306" s="19">
        <v>10</v>
      </c>
      <c r="O306" s="76">
        <v>0</v>
      </c>
      <c r="P306" s="6">
        <v>65535</v>
      </c>
      <c r="Q306" s="38">
        <v>0</v>
      </c>
      <c r="R306" s="38">
        <v>6553.5</v>
      </c>
      <c r="S306" s="34"/>
      <c r="T306" s="34"/>
      <c r="U306" s="34"/>
      <c r="V306" s="8"/>
      <c r="W306" t="s">
        <v>1005</v>
      </c>
      <c r="Y306" s="34"/>
      <c r="Z306"/>
      <c r="AA306"/>
      <c r="AE306"/>
      <c r="AF306"/>
      <c r="AG306"/>
      <c r="AH306"/>
    </row>
    <row r="307" spans="1:34" ht="15.75" customHeight="1" x14ac:dyDescent="0.15">
      <c r="A307" s="6">
        <v>301</v>
      </c>
      <c r="B307" s="18" t="s">
        <v>75</v>
      </c>
      <c r="C307" s="34" t="s">
        <v>57</v>
      </c>
      <c r="D307" s="75" t="s">
        <v>1006</v>
      </c>
      <c r="E307" s="2" t="s">
        <v>77</v>
      </c>
      <c r="F307">
        <v>15297</v>
      </c>
      <c r="G307" s="6"/>
      <c r="H307" s="6" t="s">
        <v>1007</v>
      </c>
      <c r="I307" s="34"/>
      <c r="J307" s="38"/>
      <c r="K307" s="38"/>
      <c r="L307" s="38"/>
      <c r="M307" s="38" t="s">
        <v>564</v>
      </c>
      <c r="N307" s="19">
        <v>1</v>
      </c>
      <c r="O307" s="76">
        <v>0</v>
      </c>
      <c r="P307" s="6">
        <v>65535</v>
      </c>
      <c r="Q307" s="38">
        <v>0</v>
      </c>
      <c r="R307" s="38">
        <v>65535</v>
      </c>
      <c r="S307" s="34"/>
      <c r="T307" s="34"/>
      <c r="U307" s="34"/>
      <c r="V307" s="8"/>
      <c r="W307" t="s">
        <v>1008</v>
      </c>
      <c r="Y307" s="34" t="s">
        <v>64</v>
      </c>
      <c r="Z307"/>
      <c r="AA307"/>
      <c r="AE307"/>
      <c r="AF307"/>
      <c r="AG307"/>
      <c r="AH307"/>
    </row>
    <row r="308" spans="1:34" ht="15.75" customHeight="1" x14ac:dyDescent="0.15">
      <c r="A308" s="6">
        <v>302</v>
      </c>
      <c r="B308" s="18" t="s">
        <v>75</v>
      </c>
      <c r="C308" s="34" t="s">
        <v>57</v>
      </c>
      <c r="D308" s="75" t="s">
        <v>1009</v>
      </c>
      <c r="E308" s="2" t="s">
        <v>77</v>
      </c>
      <c r="F308">
        <v>15298</v>
      </c>
      <c r="G308" s="6"/>
      <c r="H308" s="6" t="s">
        <v>1010</v>
      </c>
      <c r="I308" s="34"/>
      <c r="J308" s="38"/>
      <c r="K308" s="38"/>
      <c r="L308" s="38"/>
      <c r="M308" s="38" t="s">
        <v>568</v>
      </c>
      <c r="N308" s="19">
        <v>1</v>
      </c>
      <c r="O308" s="76">
        <v>0</v>
      </c>
      <c r="P308" s="6">
        <v>65535</v>
      </c>
      <c r="Q308" s="38">
        <v>0</v>
      </c>
      <c r="R308" s="38">
        <v>65535</v>
      </c>
      <c r="S308" s="34"/>
      <c r="T308" s="34"/>
      <c r="U308" s="34"/>
      <c r="V308" s="8"/>
      <c r="W308" t="s">
        <v>1011</v>
      </c>
      <c r="Y308" s="34" t="s">
        <v>64</v>
      </c>
      <c r="Z308"/>
      <c r="AA308"/>
      <c r="AE308"/>
      <c r="AF308"/>
      <c r="AG308"/>
      <c r="AH308"/>
    </row>
    <row r="309" spans="1:34" ht="15.75" customHeight="1" x14ac:dyDescent="0.15">
      <c r="A309" s="6">
        <v>303</v>
      </c>
      <c r="B309" s="18" t="s">
        <v>75</v>
      </c>
      <c r="C309" s="34" t="s">
        <v>57</v>
      </c>
      <c r="D309" s="75" t="s">
        <v>1012</v>
      </c>
      <c r="E309" s="2" t="s">
        <v>77</v>
      </c>
      <c r="F309">
        <v>15299</v>
      </c>
      <c r="G309" s="6"/>
      <c r="H309" s="6" t="s">
        <v>1013</v>
      </c>
      <c r="I309" s="34"/>
      <c r="J309" s="38"/>
      <c r="K309" s="38"/>
      <c r="L309" s="38"/>
      <c r="M309" s="38" t="s">
        <v>572</v>
      </c>
      <c r="N309" s="19">
        <v>1</v>
      </c>
      <c r="O309" s="76">
        <v>0</v>
      </c>
      <c r="P309" s="6">
        <v>65535</v>
      </c>
      <c r="Q309" s="38">
        <v>0</v>
      </c>
      <c r="R309" s="38">
        <v>65535</v>
      </c>
      <c r="S309" s="34"/>
      <c r="T309" s="34"/>
      <c r="U309" s="34"/>
      <c r="V309" s="8"/>
      <c r="W309" t="s">
        <v>1014</v>
      </c>
      <c r="Y309" s="34" t="s">
        <v>64</v>
      </c>
      <c r="Z309"/>
      <c r="AA309"/>
      <c r="AE309"/>
      <c r="AF309"/>
      <c r="AG309"/>
      <c r="AH309"/>
    </row>
    <row r="310" spans="1:34" ht="15.75" customHeight="1" x14ac:dyDescent="0.15">
      <c r="A310" s="6">
        <v>304</v>
      </c>
      <c r="B310" s="18" t="s">
        <v>75</v>
      </c>
      <c r="C310" s="34" t="s">
        <v>57</v>
      </c>
      <c r="D310" s="75" t="s">
        <v>1015</v>
      </c>
      <c r="E310" s="2" t="s">
        <v>77</v>
      </c>
      <c r="F310">
        <v>15300</v>
      </c>
      <c r="G310" s="6"/>
      <c r="H310" s="6" t="s">
        <v>1016</v>
      </c>
      <c r="I310" s="34"/>
      <c r="J310" s="38"/>
      <c r="K310" s="38"/>
      <c r="L310" s="38"/>
      <c r="M310" s="38" t="s">
        <v>104</v>
      </c>
      <c r="N310" s="19">
        <v>1</v>
      </c>
      <c r="O310" s="76">
        <v>0</v>
      </c>
      <c r="P310" s="6">
        <v>65535</v>
      </c>
      <c r="Q310" s="38">
        <v>0</v>
      </c>
      <c r="R310" s="38">
        <v>65535</v>
      </c>
      <c r="S310" s="34"/>
      <c r="T310" s="34"/>
      <c r="U310" s="34"/>
      <c r="V310" s="8"/>
      <c r="W310" t="s">
        <v>1017</v>
      </c>
      <c r="Y310" s="34" t="s">
        <v>64</v>
      </c>
      <c r="Z310"/>
      <c r="AA310"/>
      <c r="AE310"/>
      <c r="AF310"/>
      <c r="AG310"/>
      <c r="AH310"/>
    </row>
    <row r="311" spans="1:34" ht="15.75" customHeight="1" x14ac:dyDescent="0.15">
      <c r="A311" s="6">
        <v>305</v>
      </c>
      <c r="B311" s="18" t="s">
        <v>75</v>
      </c>
      <c r="C311" s="34" t="s">
        <v>57</v>
      </c>
      <c r="D311" s="75" t="s">
        <v>1018</v>
      </c>
      <c r="E311" s="2" t="s">
        <v>77</v>
      </c>
      <c r="F311">
        <v>15301</v>
      </c>
      <c r="G311" s="6"/>
      <c r="H311" s="6" t="s">
        <v>1019</v>
      </c>
      <c r="I311" s="34"/>
      <c r="J311" s="38"/>
      <c r="K311" s="38"/>
      <c r="L311" s="38"/>
      <c r="M311" s="38" t="s">
        <v>100</v>
      </c>
      <c r="N311" s="19">
        <v>1</v>
      </c>
      <c r="O311" s="76">
        <v>0</v>
      </c>
      <c r="P311" s="6">
        <v>65535</v>
      </c>
      <c r="Q311" s="38">
        <v>0</v>
      </c>
      <c r="R311" s="38">
        <v>65535</v>
      </c>
      <c r="S311" s="34"/>
      <c r="T311" s="34"/>
      <c r="U311" s="34"/>
      <c r="V311" s="8"/>
      <c r="W311" t="s">
        <v>1020</v>
      </c>
      <c r="Y311" s="34" t="s">
        <v>64</v>
      </c>
      <c r="Z311"/>
      <c r="AA311"/>
      <c r="AE311"/>
      <c r="AF311"/>
      <c r="AG311"/>
      <c r="AH311"/>
    </row>
    <row r="312" spans="1:34" ht="15.75" customHeight="1" x14ac:dyDescent="0.15">
      <c r="A312" s="6">
        <v>306</v>
      </c>
      <c r="B312" s="18" t="s">
        <v>75</v>
      </c>
      <c r="C312" s="34" t="s">
        <v>57</v>
      </c>
      <c r="D312" s="75" t="s">
        <v>1021</v>
      </c>
      <c r="E312" s="2" t="s">
        <v>77</v>
      </c>
      <c r="F312">
        <v>15302</v>
      </c>
      <c r="G312" s="6"/>
      <c r="H312" s="6" t="s">
        <v>1022</v>
      </c>
      <c r="I312" s="34"/>
      <c r="J312" s="38"/>
      <c r="K312" s="38"/>
      <c r="L312" s="38"/>
      <c r="M312" s="38" t="s">
        <v>582</v>
      </c>
      <c r="N312" s="19">
        <v>1</v>
      </c>
      <c r="O312" s="76">
        <v>0</v>
      </c>
      <c r="P312" s="6">
        <v>65535</v>
      </c>
      <c r="Q312" s="38">
        <v>0</v>
      </c>
      <c r="R312" s="38">
        <v>65535</v>
      </c>
      <c r="S312" s="34"/>
      <c r="T312" s="34"/>
      <c r="U312" s="34"/>
      <c r="V312" s="8"/>
      <c r="W312" t="s">
        <v>1023</v>
      </c>
      <c r="Y312" s="34" t="s">
        <v>64</v>
      </c>
      <c r="Z312"/>
      <c r="AA312"/>
      <c r="AE312"/>
      <c r="AF312"/>
      <c r="AG312"/>
      <c r="AH312"/>
    </row>
    <row r="313" spans="1:34" ht="15.75" customHeight="1" x14ac:dyDescent="0.15">
      <c r="A313" s="6">
        <v>307</v>
      </c>
      <c r="B313" s="18" t="s">
        <v>75</v>
      </c>
      <c r="C313" s="34" t="s">
        <v>57</v>
      </c>
      <c r="D313" s="75" t="s">
        <v>1024</v>
      </c>
      <c r="E313" s="2" t="s">
        <v>219</v>
      </c>
      <c r="F313">
        <v>15305</v>
      </c>
      <c r="G313" s="6"/>
      <c r="H313" s="6" t="s">
        <v>1025</v>
      </c>
      <c r="I313" s="34"/>
      <c r="J313" s="38"/>
      <c r="K313" s="38"/>
      <c r="L313" s="38"/>
      <c r="M313" s="38"/>
      <c r="N313" s="19"/>
      <c r="O313" s="76" t="s">
        <v>62</v>
      </c>
      <c r="P313" s="6" t="s">
        <v>62</v>
      </c>
      <c r="Q313" s="38" t="s">
        <v>62</v>
      </c>
      <c r="R313" s="38" t="s">
        <v>62</v>
      </c>
      <c r="S313" s="34"/>
      <c r="T313" s="34"/>
      <c r="U313" s="34"/>
      <c r="V313" s="8"/>
      <c r="W313" t="s">
        <v>1026</v>
      </c>
      <c r="Y313" s="34"/>
      <c r="Z313"/>
      <c r="AA313"/>
      <c r="AE313"/>
      <c r="AF313"/>
      <c r="AG313"/>
      <c r="AH313"/>
    </row>
    <row r="314" spans="1:34" ht="15.75" customHeight="1" x14ac:dyDescent="0.15">
      <c r="A314" s="6">
        <v>308</v>
      </c>
      <c r="B314" s="18" t="s">
        <v>75</v>
      </c>
      <c r="C314" s="34" t="s">
        <v>57</v>
      </c>
      <c r="D314" s="75" t="s">
        <v>1027</v>
      </c>
      <c r="E314" s="2" t="s">
        <v>169</v>
      </c>
      <c r="F314">
        <v>15305</v>
      </c>
      <c r="G314" s="6">
        <v>0</v>
      </c>
      <c r="H314" s="6" t="s">
        <v>1028</v>
      </c>
      <c r="I314" s="34"/>
      <c r="J314" s="38" t="s">
        <v>171</v>
      </c>
      <c r="K314" s="38" t="s">
        <v>177</v>
      </c>
      <c r="L314" s="38" t="s">
        <v>173</v>
      </c>
      <c r="M314" s="38"/>
      <c r="N314" s="19"/>
      <c r="O314" s="76" t="s">
        <v>62</v>
      </c>
      <c r="P314" s="6" t="s">
        <v>62</v>
      </c>
      <c r="Q314" s="38" t="s">
        <v>62</v>
      </c>
      <c r="R314" s="38" t="s">
        <v>62</v>
      </c>
      <c r="S314" s="34"/>
      <c r="T314" s="34"/>
      <c r="U314" s="34"/>
      <c r="V314" s="8"/>
      <c r="W314" t="s">
        <v>1029</v>
      </c>
      <c r="Y314" s="34"/>
      <c r="Z314"/>
      <c r="AA314"/>
      <c r="AE314"/>
      <c r="AF314"/>
      <c r="AG314"/>
      <c r="AH314"/>
    </row>
    <row r="315" spans="1:34" s="59" customFormat="1" ht="15.75" customHeight="1" x14ac:dyDescent="0.15">
      <c r="A315" s="6">
        <v>309</v>
      </c>
      <c r="B315" s="18" t="s">
        <v>75</v>
      </c>
      <c r="C315" s="34" t="s">
        <v>57</v>
      </c>
      <c r="D315" s="75" t="s">
        <v>1030</v>
      </c>
      <c r="E315" s="2" t="s">
        <v>169</v>
      </c>
      <c r="F315">
        <v>15305</v>
      </c>
      <c r="G315" s="6">
        <v>1</v>
      </c>
      <c r="H315" s="6" t="s">
        <v>1031</v>
      </c>
      <c r="I315" s="34"/>
      <c r="J315" s="38" t="s">
        <v>171</v>
      </c>
      <c r="K315" s="38" t="s">
        <v>177</v>
      </c>
      <c r="L315" s="38" t="s">
        <v>173</v>
      </c>
      <c r="M315" s="38"/>
      <c r="N315" s="19"/>
      <c r="O315" s="76" t="s">
        <v>62</v>
      </c>
      <c r="P315" s="6" t="s">
        <v>62</v>
      </c>
      <c r="Q315" s="38" t="s">
        <v>62</v>
      </c>
      <c r="R315" s="38" t="s">
        <v>62</v>
      </c>
      <c r="S315" s="34"/>
      <c r="T315" s="34"/>
      <c r="U315" s="34"/>
      <c r="V315" s="8"/>
      <c r="W315" t="s">
        <v>1032</v>
      </c>
      <c r="X315"/>
      <c r="Y315" s="34"/>
    </row>
    <row r="316" spans="1:34" ht="15.75" customHeight="1" x14ac:dyDescent="0.15">
      <c r="A316" s="6">
        <v>310</v>
      </c>
      <c r="B316" s="18" t="s">
        <v>75</v>
      </c>
      <c r="C316" s="34" t="s">
        <v>57</v>
      </c>
      <c r="D316" s="75" t="s">
        <v>1033</v>
      </c>
      <c r="E316" s="2" t="s">
        <v>169</v>
      </c>
      <c r="F316">
        <v>15305</v>
      </c>
      <c r="G316" s="6">
        <v>2</v>
      </c>
      <c r="H316" s="6" t="s">
        <v>1034</v>
      </c>
      <c r="I316" s="34"/>
      <c r="J316" s="38" t="s">
        <v>171</v>
      </c>
      <c r="K316" s="38" t="s">
        <v>177</v>
      </c>
      <c r="L316" s="38" t="s">
        <v>173</v>
      </c>
      <c r="M316" s="38"/>
      <c r="N316" s="19"/>
      <c r="O316" s="76" t="s">
        <v>62</v>
      </c>
      <c r="P316" s="6" t="s">
        <v>62</v>
      </c>
      <c r="Q316" s="38" t="s">
        <v>62</v>
      </c>
      <c r="R316" s="38" t="s">
        <v>62</v>
      </c>
      <c r="S316" s="34"/>
      <c r="T316" s="34"/>
      <c r="U316" s="34"/>
      <c r="V316" s="8"/>
      <c r="W316" t="s">
        <v>1035</v>
      </c>
      <c r="Y316" s="34"/>
      <c r="Z316"/>
      <c r="AA316"/>
      <c r="AE316"/>
      <c r="AF316"/>
      <c r="AG316"/>
      <c r="AH316"/>
    </row>
    <row r="317" spans="1:34" ht="15.75" customHeight="1" x14ac:dyDescent="0.15">
      <c r="A317" s="6">
        <v>311</v>
      </c>
      <c r="B317" s="18" t="s">
        <v>75</v>
      </c>
      <c r="C317" s="34" t="s">
        <v>57</v>
      </c>
      <c r="D317" s="75" t="s">
        <v>1036</v>
      </c>
      <c r="E317" s="2" t="s">
        <v>169</v>
      </c>
      <c r="F317">
        <v>15305</v>
      </c>
      <c r="G317" s="6">
        <v>3</v>
      </c>
      <c r="H317" s="6" t="s">
        <v>1037</v>
      </c>
      <c r="I317" s="34"/>
      <c r="J317" s="38" t="s">
        <v>171</v>
      </c>
      <c r="K317" s="38" t="s">
        <v>177</v>
      </c>
      <c r="L317" s="38" t="s">
        <v>173</v>
      </c>
      <c r="M317" s="38"/>
      <c r="N317" s="19"/>
      <c r="O317" s="76" t="s">
        <v>62</v>
      </c>
      <c r="P317" s="6" t="s">
        <v>62</v>
      </c>
      <c r="Q317" s="38" t="s">
        <v>62</v>
      </c>
      <c r="R317" s="38" t="s">
        <v>62</v>
      </c>
      <c r="S317" s="34"/>
      <c r="T317" s="34"/>
      <c r="U317" s="34"/>
      <c r="V317" s="8"/>
      <c r="W317" t="s">
        <v>1038</v>
      </c>
      <c r="Y317" s="34"/>
      <c r="Z317"/>
      <c r="AA317"/>
      <c r="AE317"/>
      <c r="AF317"/>
      <c r="AG317"/>
      <c r="AH317"/>
    </row>
    <row r="318" spans="1:34" ht="15.75" customHeight="1" x14ac:dyDescent="0.15">
      <c r="A318" s="6">
        <v>312</v>
      </c>
      <c r="B318" s="18" t="s">
        <v>75</v>
      </c>
      <c r="C318" s="34" t="s">
        <v>57</v>
      </c>
      <c r="D318" s="75" t="s">
        <v>1039</v>
      </c>
      <c r="E318" s="2" t="s">
        <v>169</v>
      </c>
      <c r="F318">
        <v>15305</v>
      </c>
      <c r="G318" s="6">
        <v>7</v>
      </c>
      <c r="H318" s="6" t="s">
        <v>1040</v>
      </c>
      <c r="I318" s="34"/>
      <c r="J318" s="38" t="s">
        <v>171</v>
      </c>
      <c r="K318" s="38" t="s">
        <v>177</v>
      </c>
      <c r="L318" s="38" t="s">
        <v>173</v>
      </c>
      <c r="M318" s="38"/>
      <c r="N318" s="19"/>
      <c r="O318" s="76" t="s">
        <v>62</v>
      </c>
      <c r="P318" s="6" t="s">
        <v>62</v>
      </c>
      <c r="Q318" s="38" t="s">
        <v>62</v>
      </c>
      <c r="R318" s="38" t="s">
        <v>62</v>
      </c>
      <c r="S318" s="34"/>
      <c r="T318" s="34"/>
      <c r="U318" s="34"/>
      <c r="V318" s="8"/>
      <c r="W318" t="s">
        <v>1041</v>
      </c>
      <c r="Y318" s="34"/>
      <c r="Z318"/>
      <c r="AA318"/>
      <c r="AE318"/>
      <c r="AF318"/>
      <c r="AG318"/>
      <c r="AH318"/>
    </row>
    <row r="319" spans="1:34" ht="15.75" customHeight="1" x14ac:dyDescent="0.15">
      <c r="A319" s="6">
        <v>313</v>
      </c>
      <c r="B319" s="18" t="s">
        <v>75</v>
      </c>
      <c r="C319" s="34" t="s">
        <v>57</v>
      </c>
      <c r="D319" s="75" t="s">
        <v>1042</v>
      </c>
      <c r="E319" s="2" t="s">
        <v>169</v>
      </c>
      <c r="F319">
        <v>15305</v>
      </c>
      <c r="G319" s="6">
        <v>9</v>
      </c>
      <c r="H319" s="6" t="s">
        <v>1043</v>
      </c>
      <c r="I319" s="34"/>
      <c r="J319" s="38" t="s">
        <v>171</v>
      </c>
      <c r="K319" s="38" t="s">
        <v>177</v>
      </c>
      <c r="L319" s="38" t="s">
        <v>173</v>
      </c>
      <c r="M319" s="38"/>
      <c r="N319" s="19"/>
      <c r="O319" s="76" t="s">
        <v>62</v>
      </c>
      <c r="P319" s="6" t="s">
        <v>62</v>
      </c>
      <c r="Q319" s="38" t="s">
        <v>62</v>
      </c>
      <c r="R319" s="38" t="s">
        <v>62</v>
      </c>
      <c r="S319" s="34"/>
      <c r="T319" s="34"/>
      <c r="U319" s="34"/>
      <c r="V319" s="8"/>
      <c r="W319" t="s">
        <v>1044</v>
      </c>
      <c r="Y319" s="34"/>
      <c r="Z319"/>
      <c r="AA319"/>
      <c r="AE319"/>
      <c r="AF319"/>
      <c r="AG319"/>
      <c r="AH319"/>
    </row>
    <row r="320" spans="1:34" ht="15.75" customHeight="1" x14ac:dyDescent="0.15">
      <c r="A320" s="6">
        <v>314</v>
      </c>
      <c r="B320" s="18" t="s">
        <v>75</v>
      </c>
      <c r="C320" s="34" t="s">
        <v>57</v>
      </c>
      <c r="D320" s="75" t="s">
        <v>1045</v>
      </c>
      <c r="E320" s="2" t="s">
        <v>169</v>
      </c>
      <c r="F320">
        <v>15305</v>
      </c>
      <c r="G320" s="6">
        <v>10</v>
      </c>
      <c r="H320" s="6" t="s">
        <v>1046</v>
      </c>
      <c r="I320" s="34"/>
      <c r="J320" s="38" t="s">
        <v>171</v>
      </c>
      <c r="K320" s="38" t="s">
        <v>177</v>
      </c>
      <c r="L320" s="38" t="s">
        <v>173</v>
      </c>
      <c r="M320" s="38"/>
      <c r="N320" s="19"/>
      <c r="O320" s="76" t="s">
        <v>62</v>
      </c>
      <c r="P320" s="6" t="s">
        <v>62</v>
      </c>
      <c r="Q320" s="38" t="s">
        <v>62</v>
      </c>
      <c r="R320" s="38" t="s">
        <v>62</v>
      </c>
      <c r="S320" s="34"/>
      <c r="T320" s="34"/>
      <c r="U320" s="34"/>
      <c r="V320" s="8"/>
      <c r="W320" t="s">
        <v>1047</v>
      </c>
      <c r="Y320" s="34"/>
      <c r="Z320"/>
      <c r="AA320"/>
      <c r="AE320"/>
      <c r="AF320"/>
      <c r="AG320"/>
      <c r="AH320"/>
    </row>
    <row r="321" spans="1:34" s="59" customFormat="1" ht="15.75" customHeight="1" x14ac:dyDescent="0.15">
      <c r="A321" s="6">
        <v>315</v>
      </c>
      <c r="B321" s="18" t="s">
        <v>75</v>
      </c>
      <c r="C321" s="34" t="s">
        <v>57</v>
      </c>
      <c r="D321" s="75" t="s">
        <v>1048</v>
      </c>
      <c r="E321" s="2" t="s">
        <v>169</v>
      </c>
      <c r="F321">
        <v>15305</v>
      </c>
      <c r="G321" s="6">
        <v>11</v>
      </c>
      <c r="H321" s="6" t="s">
        <v>1049</v>
      </c>
      <c r="I321" s="34"/>
      <c r="J321" s="38" t="s">
        <v>171</v>
      </c>
      <c r="K321" s="38" t="s">
        <v>177</v>
      </c>
      <c r="L321" s="38" t="s">
        <v>173</v>
      </c>
      <c r="M321" s="38"/>
      <c r="N321" s="19"/>
      <c r="O321" s="76" t="s">
        <v>62</v>
      </c>
      <c r="P321" s="6" t="s">
        <v>62</v>
      </c>
      <c r="Q321" s="38" t="s">
        <v>62</v>
      </c>
      <c r="R321" s="38" t="s">
        <v>62</v>
      </c>
      <c r="S321" s="34"/>
      <c r="T321" s="34"/>
      <c r="U321" s="34"/>
      <c r="V321" s="8"/>
      <c r="W321" t="s">
        <v>1050</v>
      </c>
      <c r="X321"/>
      <c r="Y321" s="34"/>
    </row>
    <row r="322" spans="1:34" s="59" customFormat="1" ht="15.75" customHeight="1" x14ac:dyDescent="0.15">
      <c r="A322" s="6">
        <v>316</v>
      </c>
      <c r="B322" s="18" t="s">
        <v>75</v>
      </c>
      <c r="C322" s="34" t="s">
        <v>57</v>
      </c>
      <c r="D322" s="75" t="s">
        <v>1051</v>
      </c>
      <c r="E322" s="2" t="s">
        <v>169</v>
      </c>
      <c r="F322">
        <v>15305</v>
      </c>
      <c r="G322" s="6">
        <v>14</v>
      </c>
      <c r="H322" s="6" t="s">
        <v>1052</v>
      </c>
      <c r="I322" s="34"/>
      <c r="J322" s="38" t="s">
        <v>171</v>
      </c>
      <c r="K322" s="38" t="s">
        <v>177</v>
      </c>
      <c r="L322" s="38" t="s">
        <v>173</v>
      </c>
      <c r="M322" s="38"/>
      <c r="N322" s="19"/>
      <c r="O322" s="76" t="s">
        <v>62</v>
      </c>
      <c r="P322" s="6" t="s">
        <v>62</v>
      </c>
      <c r="Q322" s="38" t="s">
        <v>62</v>
      </c>
      <c r="R322" s="38" t="s">
        <v>62</v>
      </c>
      <c r="S322" s="34"/>
      <c r="T322" s="34"/>
      <c r="U322" s="34"/>
      <c r="V322" s="8"/>
      <c r="W322" t="s">
        <v>1053</v>
      </c>
      <c r="X322"/>
      <c r="Y322" s="34"/>
    </row>
    <row r="323" spans="1:34" ht="15.75" customHeight="1" x14ac:dyDescent="0.15">
      <c r="A323" s="6">
        <v>317</v>
      </c>
      <c r="B323" s="18" t="s">
        <v>75</v>
      </c>
      <c r="C323" s="34" t="s">
        <v>57</v>
      </c>
      <c r="D323" s="75" t="s">
        <v>1054</v>
      </c>
      <c r="E323" s="2" t="s">
        <v>169</v>
      </c>
      <c r="F323">
        <v>15305</v>
      </c>
      <c r="G323" s="6">
        <v>17</v>
      </c>
      <c r="H323" s="6" t="s">
        <v>1055</v>
      </c>
      <c r="I323" s="34"/>
      <c r="J323" s="38" t="s">
        <v>171</v>
      </c>
      <c r="K323" s="38" t="s">
        <v>177</v>
      </c>
      <c r="L323" s="38" t="s">
        <v>173</v>
      </c>
      <c r="M323" s="38"/>
      <c r="N323" s="19"/>
      <c r="O323" s="76" t="s">
        <v>62</v>
      </c>
      <c r="P323" s="6" t="s">
        <v>62</v>
      </c>
      <c r="Q323" s="38" t="s">
        <v>62</v>
      </c>
      <c r="R323" s="38" t="s">
        <v>62</v>
      </c>
      <c r="S323" s="34"/>
      <c r="T323" s="34"/>
      <c r="U323" s="34"/>
      <c r="V323" s="8"/>
      <c r="W323" t="s">
        <v>1056</v>
      </c>
      <c r="Y323" s="34"/>
      <c r="Z323"/>
      <c r="AA323"/>
      <c r="AE323"/>
      <c r="AF323"/>
      <c r="AG323"/>
      <c r="AH323"/>
    </row>
    <row r="324" spans="1:34" ht="15.75" customHeight="1" x14ac:dyDescent="0.15">
      <c r="A324" s="6">
        <v>318</v>
      </c>
      <c r="B324" s="18" t="s">
        <v>75</v>
      </c>
      <c r="C324" s="34" t="s">
        <v>57</v>
      </c>
      <c r="D324" s="75" t="s">
        <v>1057</v>
      </c>
      <c r="E324" s="2" t="s">
        <v>169</v>
      </c>
      <c r="F324">
        <v>15305</v>
      </c>
      <c r="G324" s="6">
        <v>18</v>
      </c>
      <c r="H324" s="6" t="s">
        <v>1058</v>
      </c>
      <c r="I324" s="34"/>
      <c r="J324" s="38" t="s">
        <v>171</v>
      </c>
      <c r="K324" s="38" t="s">
        <v>177</v>
      </c>
      <c r="L324" s="38" t="s">
        <v>173</v>
      </c>
      <c r="M324" s="38"/>
      <c r="N324" s="19"/>
      <c r="O324" s="76" t="s">
        <v>62</v>
      </c>
      <c r="P324" s="6" t="s">
        <v>62</v>
      </c>
      <c r="Q324" s="38" t="s">
        <v>62</v>
      </c>
      <c r="R324" s="38" t="s">
        <v>62</v>
      </c>
      <c r="S324" s="34"/>
      <c r="T324" s="34"/>
      <c r="U324" s="34"/>
      <c r="V324" s="8"/>
      <c r="W324" t="s">
        <v>1059</v>
      </c>
      <c r="Y324" s="34"/>
      <c r="Z324"/>
      <c r="AA324"/>
      <c r="AE324"/>
      <c r="AF324"/>
      <c r="AG324"/>
      <c r="AH324"/>
    </row>
    <row r="325" spans="1:34" ht="15.75" customHeight="1" x14ac:dyDescent="0.15">
      <c r="A325" s="6">
        <v>319</v>
      </c>
      <c r="B325" s="18" t="s">
        <v>75</v>
      </c>
      <c r="C325" s="34" t="s">
        <v>57</v>
      </c>
      <c r="D325" s="75" t="s">
        <v>1060</v>
      </c>
      <c r="E325" s="2" t="s">
        <v>169</v>
      </c>
      <c r="F325">
        <v>15305</v>
      </c>
      <c r="G325" s="6">
        <v>21</v>
      </c>
      <c r="H325" s="6" t="s">
        <v>1061</v>
      </c>
      <c r="I325" s="34"/>
      <c r="J325" s="38" t="s">
        <v>171</v>
      </c>
      <c r="K325" s="38" t="s">
        <v>177</v>
      </c>
      <c r="L325" s="38" t="s">
        <v>173</v>
      </c>
      <c r="M325" s="38"/>
      <c r="N325" s="19"/>
      <c r="O325" s="76" t="s">
        <v>62</v>
      </c>
      <c r="P325" s="6" t="s">
        <v>62</v>
      </c>
      <c r="Q325" s="38" t="s">
        <v>62</v>
      </c>
      <c r="R325" s="38" t="s">
        <v>62</v>
      </c>
      <c r="S325" s="34"/>
      <c r="T325" s="34"/>
      <c r="U325" s="34"/>
      <c r="V325" s="8"/>
      <c r="W325" t="s">
        <v>1062</v>
      </c>
      <c r="Y325" s="34"/>
      <c r="Z325"/>
      <c r="AA325"/>
      <c r="AE325"/>
      <c r="AF325"/>
      <c r="AG325"/>
      <c r="AH325"/>
    </row>
    <row r="326" spans="1:34" s="59" customFormat="1" ht="15.75" customHeight="1" x14ac:dyDescent="0.15">
      <c r="A326" s="6">
        <v>320</v>
      </c>
      <c r="B326" s="18" t="s">
        <v>75</v>
      </c>
      <c r="C326" s="34" t="s">
        <v>57</v>
      </c>
      <c r="D326" s="75" t="s">
        <v>1063</v>
      </c>
      <c r="E326" s="2" t="s">
        <v>169</v>
      </c>
      <c r="F326">
        <v>15305</v>
      </c>
      <c r="G326" s="6">
        <v>22</v>
      </c>
      <c r="H326" s="6" t="s">
        <v>1064</v>
      </c>
      <c r="I326" s="34"/>
      <c r="J326" s="38" t="s">
        <v>171</v>
      </c>
      <c r="K326" s="38" t="s">
        <v>177</v>
      </c>
      <c r="L326" s="38" t="s">
        <v>173</v>
      </c>
      <c r="M326" s="38"/>
      <c r="N326" s="19"/>
      <c r="O326" s="76" t="s">
        <v>62</v>
      </c>
      <c r="P326" s="6" t="s">
        <v>62</v>
      </c>
      <c r="Q326" s="38" t="s">
        <v>62</v>
      </c>
      <c r="R326" s="38" t="s">
        <v>62</v>
      </c>
      <c r="S326" s="34"/>
      <c r="T326" s="34"/>
      <c r="U326" s="34"/>
      <c r="V326" s="8"/>
      <c r="W326" t="s">
        <v>1065</v>
      </c>
      <c r="X326"/>
      <c r="Y326" s="34"/>
    </row>
    <row r="327" spans="1:34" s="59" customFormat="1" ht="15.75" customHeight="1" x14ac:dyDescent="0.15">
      <c r="A327" s="6">
        <v>321</v>
      </c>
      <c r="B327" s="18" t="s">
        <v>75</v>
      </c>
      <c r="C327" s="34" t="s">
        <v>57</v>
      </c>
      <c r="D327" s="75" t="s">
        <v>1066</v>
      </c>
      <c r="E327" s="2" t="s">
        <v>169</v>
      </c>
      <c r="F327">
        <v>15305</v>
      </c>
      <c r="G327" s="6">
        <v>23</v>
      </c>
      <c r="H327" s="6" t="s">
        <v>1067</v>
      </c>
      <c r="I327" s="34"/>
      <c r="J327" s="38" t="s">
        <v>171</v>
      </c>
      <c r="K327" s="38" t="s">
        <v>177</v>
      </c>
      <c r="L327" s="38" t="s">
        <v>173</v>
      </c>
      <c r="M327" s="38"/>
      <c r="N327" s="19"/>
      <c r="O327" s="76" t="s">
        <v>62</v>
      </c>
      <c r="P327" s="6" t="s">
        <v>62</v>
      </c>
      <c r="Q327" s="38" t="s">
        <v>62</v>
      </c>
      <c r="R327" s="38" t="s">
        <v>62</v>
      </c>
      <c r="S327" s="34"/>
      <c r="T327" s="34"/>
      <c r="U327" s="34"/>
      <c r="V327" s="8"/>
      <c r="W327" t="s">
        <v>1068</v>
      </c>
      <c r="X327"/>
      <c r="Y327" s="34"/>
    </row>
    <row r="328" spans="1:34" s="59" customFormat="1" ht="15.75" customHeight="1" x14ac:dyDescent="0.15">
      <c r="A328" s="6">
        <v>322</v>
      </c>
      <c r="B328" s="18" t="s">
        <v>75</v>
      </c>
      <c r="C328" s="34" t="s">
        <v>57</v>
      </c>
      <c r="D328" s="75" t="s">
        <v>1069</v>
      </c>
      <c r="E328" s="2" t="s">
        <v>169</v>
      </c>
      <c r="F328">
        <v>15305</v>
      </c>
      <c r="G328" s="6">
        <v>24</v>
      </c>
      <c r="H328" s="6" t="s">
        <v>1070</v>
      </c>
      <c r="I328" s="34"/>
      <c r="J328" s="38" t="s">
        <v>171</v>
      </c>
      <c r="K328" s="38" t="s">
        <v>177</v>
      </c>
      <c r="L328" s="38" t="s">
        <v>173</v>
      </c>
      <c r="M328" s="38"/>
      <c r="N328" s="19"/>
      <c r="O328" s="76" t="s">
        <v>62</v>
      </c>
      <c r="P328" s="6" t="s">
        <v>62</v>
      </c>
      <c r="Q328" s="38" t="s">
        <v>62</v>
      </c>
      <c r="R328" s="38" t="s">
        <v>62</v>
      </c>
      <c r="S328" s="34"/>
      <c r="T328" s="34"/>
      <c r="U328" s="34"/>
      <c r="V328" s="8"/>
      <c r="W328" t="s">
        <v>1071</v>
      </c>
      <c r="X328"/>
      <c r="Y328" s="34"/>
    </row>
    <row r="329" spans="1:34" ht="15.75" customHeight="1" x14ac:dyDescent="0.15">
      <c r="A329" s="6">
        <v>323</v>
      </c>
      <c r="B329" s="18" t="s">
        <v>75</v>
      </c>
      <c r="C329" s="34" t="s">
        <v>57</v>
      </c>
      <c r="D329" s="75" t="s">
        <v>1072</v>
      </c>
      <c r="E329" s="2" t="s">
        <v>169</v>
      </c>
      <c r="F329">
        <v>15305</v>
      </c>
      <c r="G329" s="6">
        <v>25</v>
      </c>
      <c r="H329" s="6" t="s">
        <v>1073</v>
      </c>
      <c r="I329" s="34"/>
      <c r="J329" s="38" t="s">
        <v>171</v>
      </c>
      <c r="K329" s="38" t="s">
        <v>177</v>
      </c>
      <c r="L329" s="38" t="s">
        <v>173</v>
      </c>
      <c r="M329" s="38"/>
      <c r="N329" s="19"/>
      <c r="O329" s="76" t="s">
        <v>62</v>
      </c>
      <c r="P329" s="6" t="s">
        <v>62</v>
      </c>
      <c r="Q329" s="38" t="s">
        <v>62</v>
      </c>
      <c r="R329" s="38" t="s">
        <v>62</v>
      </c>
      <c r="S329" s="34"/>
      <c r="T329" s="34"/>
      <c r="U329" s="34"/>
      <c r="V329" s="8"/>
      <c r="W329" t="s">
        <v>1074</v>
      </c>
      <c r="Y329" s="34"/>
      <c r="Z329"/>
      <c r="AA329"/>
      <c r="AE329"/>
      <c r="AF329"/>
      <c r="AG329"/>
      <c r="AH329"/>
    </row>
    <row r="330" spans="1:34" ht="15.75" customHeight="1" x14ac:dyDescent="0.15">
      <c r="A330" s="6">
        <v>324</v>
      </c>
      <c r="B330" s="18" t="s">
        <v>75</v>
      </c>
      <c r="C330" s="34" t="s">
        <v>57</v>
      </c>
      <c r="D330" s="75" t="s">
        <v>1075</v>
      </c>
      <c r="E330" s="2" t="s">
        <v>169</v>
      </c>
      <c r="F330">
        <v>15305</v>
      </c>
      <c r="G330" s="6">
        <v>26</v>
      </c>
      <c r="H330" s="6" t="s">
        <v>1076</v>
      </c>
      <c r="I330" s="34"/>
      <c r="J330" s="38" t="s">
        <v>171</v>
      </c>
      <c r="K330" s="38" t="s">
        <v>177</v>
      </c>
      <c r="L330" s="38" t="s">
        <v>173</v>
      </c>
      <c r="M330" s="38"/>
      <c r="N330" s="19"/>
      <c r="O330" s="76" t="s">
        <v>62</v>
      </c>
      <c r="P330" s="6" t="s">
        <v>62</v>
      </c>
      <c r="Q330" s="38" t="s">
        <v>62</v>
      </c>
      <c r="R330" s="38" t="s">
        <v>62</v>
      </c>
      <c r="S330" s="34"/>
      <c r="T330" s="34"/>
      <c r="U330" s="34"/>
      <c r="V330" s="8"/>
      <c r="W330" t="s">
        <v>1077</v>
      </c>
      <c r="Y330" s="34"/>
      <c r="Z330"/>
      <c r="AA330"/>
      <c r="AE330"/>
      <c r="AF330"/>
      <c r="AG330"/>
      <c r="AH330"/>
    </row>
    <row r="331" spans="1:34" ht="15.75" customHeight="1" x14ac:dyDescent="0.15">
      <c r="A331" s="6">
        <v>325</v>
      </c>
      <c r="B331" s="18" t="s">
        <v>75</v>
      </c>
      <c r="C331" s="34" t="s">
        <v>57</v>
      </c>
      <c r="D331" s="75" t="s">
        <v>1078</v>
      </c>
      <c r="E331" s="2" t="s">
        <v>169</v>
      </c>
      <c r="F331">
        <v>15305</v>
      </c>
      <c r="G331" s="6">
        <v>27</v>
      </c>
      <c r="H331" s="6" t="s">
        <v>1079</v>
      </c>
      <c r="I331" s="34"/>
      <c r="J331" s="38" t="s">
        <v>171</v>
      </c>
      <c r="K331" s="38" t="s">
        <v>177</v>
      </c>
      <c r="L331" s="38" t="s">
        <v>173</v>
      </c>
      <c r="M331" s="38"/>
      <c r="N331" s="19"/>
      <c r="O331" s="76" t="s">
        <v>62</v>
      </c>
      <c r="P331" s="6" t="s">
        <v>62</v>
      </c>
      <c r="Q331" s="38" t="s">
        <v>62</v>
      </c>
      <c r="R331" s="38" t="s">
        <v>62</v>
      </c>
      <c r="S331" s="34"/>
      <c r="T331" s="34"/>
      <c r="U331" s="34"/>
      <c r="V331" s="8"/>
      <c r="W331" t="s">
        <v>1080</v>
      </c>
      <c r="Y331" s="34"/>
      <c r="Z331"/>
      <c r="AA331"/>
      <c r="AE331"/>
      <c r="AF331"/>
      <c r="AG331"/>
      <c r="AH331"/>
    </row>
    <row r="332" spans="1:34" s="59" customFormat="1" ht="15.75" customHeight="1" x14ac:dyDescent="0.15">
      <c r="A332" s="6">
        <v>326</v>
      </c>
      <c r="B332" s="18" t="s">
        <v>75</v>
      </c>
      <c r="C332" s="34" t="s">
        <v>57</v>
      </c>
      <c r="D332" s="75" t="s">
        <v>1081</v>
      </c>
      <c r="E332" s="2" t="s">
        <v>169</v>
      </c>
      <c r="F332">
        <v>15305</v>
      </c>
      <c r="G332" s="6">
        <v>28</v>
      </c>
      <c r="H332" s="6" t="s">
        <v>1082</v>
      </c>
      <c r="I332" s="34"/>
      <c r="J332" s="38" t="s">
        <v>171</v>
      </c>
      <c r="K332" s="38" t="s">
        <v>177</v>
      </c>
      <c r="L332" s="38" t="s">
        <v>173</v>
      </c>
      <c r="M332" s="38"/>
      <c r="N332" s="19"/>
      <c r="O332" s="76" t="s">
        <v>62</v>
      </c>
      <c r="P332" s="6" t="s">
        <v>62</v>
      </c>
      <c r="Q332" s="38" t="s">
        <v>62</v>
      </c>
      <c r="R332" s="38" t="s">
        <v>62</v>
      </c>
      <c r="S332" s="34"/>
      <c r="T332" s="34"/>
      <c r="U332" s="34"/>
      <c r="V332" s="8"/>
      <c r="W332" t="s">
        <v>1083</v>
      </c>
      <c r="X332"/>
      <c r="Y332" s="34"/>
    </row>
    <row r="333" spans="1:34" ht="15.75" customHeight="1" x14ac:dyDescent="0.15">
      <c r="A333" s="6">
        <v>327</v>
      </c>
      <c r="B333" s="18" t="s">
        <v>75</v>
      </c>
      <c r="C333" s="34" t="s">
        <v>57</v>
      </c>
      <c r="D333" s="75" t="s">
        <v>1084</v>
      </c>
      <c r="E333" s="2" t="s">
        <v>169</v>
      </c>
      <c r="F333">
        <v>15305</v>
      </c>
      <c r="G333" s="6">
        <v>29</v>
      </c>
      <c r="H333" s="6" t="s">
        <v>1085</v>
      </c>
      <c r="I333" s="34"/>
      <c r="J333" s="38" t="s">
        <v>171</v>
      </c>
      <c r="K333" s="38" t="s">
        <v>177</v>
      </c>
      <c r="L333" s="38" t="s">
        <v>173</v>
      </c>
      <c r="M333" s="38"/>
      <c r="N333" s="19"/>
      <c r="O333" s="76" t="s">
        <v>62</v>
      </c>
      <c r="P333" s="6" t="s">
        <v>62</v>
      </c>
      <c r="Q333" s="38" t="s">
        <v>62</v>
      </c>
      <c r="R333" s="38" t="s">
        <v>62</v>
      </c>
      <c r="S333" s="34"/>
      <c r="T333" s="34"/>
      <c r="U333" s="34"/>
      <c r="V333" s="8"/>
      <c r="W333" t="s">
        <v>1086</v>
      </c>
      <c r="Y333" s="34"/>
      <c r="Z333"/>
      <c r="AA333"/>
      <c r="AE333"/>
      <c r="AF333"/>
      <c r="AG333"/>
      <c r="AH333"/>
    </row>
    <row r="334" spans="1:34" ht="15.75" customHeight="1" x14ac:dyDescent="0.15">
      <c r="A334" s="6">
        <v>328</v>
      </c>
      <c r="B334" s="18" t="s">
        <v>75</v>
      </c>
      <c r="C334" s="34" t="s">
        <v>57</v>
      </c>
      <c r="D334" s="75" t="s">
        <v>1087</v>
      </c>
      <c r="E334" s="2" t="s">
        <v>219</v>
      </c>
      <c r="F334">
        <v>15307</v>
      </c>
      <c r="G334" s="6"/>
      <c r="H334" s="6" t="s">
        <v>1088</v>
      </c>
      <c r="I334" s="34"/>
      <c r="J334" s="38"/>
      <c r="K334" s="38"/>
      <c r="L334" s="38"/>
      <c r="M334" s="38"/>
      <c r="N334" s="19"/>
      <c r="O334" s="76" t="s">
        <v>62</v>
      </c>
      <c r="P334" s="6" t="s">
        <v>62</v>
      </c>
      <c r="Q334" s="38" t="s">
        <v>62</v>
      </c>
      <c r="R334" s="38" t="s">
        <v>62</v>
      </c>
      <c r="S334" s="34"/>
      <c r="T334" s="34"/>
      <c r="U334" s="34"/>
      <c r="V334" s="8"/>
      <c r="W334" t="s">
        <v>1089</v>
      </c>
      <c r="Y334" s="34"/>
      <c r="Z334"/>
      <c r="AA334"/>
      <c r="AE334"/>
      <c r="AF334"/>
      <c r="AG334"/>
      <c r="AH334"/>
    </row>
    <row r="335" spans="1:34" s="59" customFormat="1" ht="15.75" customHeight="1" x14ac:dyDescent="0.15">
      <c r="A335" s="6">
        <v>329</v>
      </c>
      <c r="B335" s="18" t="s">
        <v>75</v>
      </c>
      <c r="C335" s="34" t="s">
        <v>57</v>
      </c>
      <c r="D335" s="75" t="s">
        <v>1090</v>
      </c>
      <c r="E335" s="2" t="s">
        <v>169</v>
      </c>
      <c r="F335">
        <v>15307</v>
      </c>
      <c r="G335" s="6">
        <v>0</v>
      </c>
      <c r="H335" s="6" t="s">
        <v>1091</v>
      </c>
      <c r="I335" s="34"/>
      <c r="J335" s="38" t="s">
        <v>171</v>
      </c>
      <c r="K335" s="38" t="s">
        <v>177</v>
      </c>
      <c r="L335" s="38" t="s">
        <v>173</v>
      </c>
      <c r="M335" s="38"/>
      <c r="N335" s="19"/>
      <c r="O335" s="76" t="s">
        <v>62</v>
      </c>
      <c r="P335" s="6" t="s">
        <v>62</v>
      </c>
      <c r="Q335" s="38" t="s">
        <v>62</v>
      </c>
      <c r="R335" s="38" t="s">
        <v>62</v>
      </c>
      <c r="S335" s="34"/>
      <c r="T335" s="34"/>
      <c r="U335" s="34"/>
      <c r="V335" s="8"/>
      <c r="W335" t="s">
        <v>1092</v>
      </c>
      <c r="X335"/>
      <c r="Y335" s="34"/>
    </row>
    <row r="336" spans="1:34" ht="15.75" customHeight="1" x14ac:dyDescent="0.15">
      <c r="A336" s="6">
        <v>330</v>
      </c>
      <c r="B336" s="18" t="s">
        <v>75</v>
      </c>
      <c r="C336" s="34" t="s">
        <v>57</v>
      </c>
      <c r="D336" s="75" t="s">
        <v>1093</v>
      </c>
      <c r="E336" s="2" t="s">
        <v>169</v>
      </c>
      <c r="F336">
        <v>15307</v>
      </c>
      <c r="G336" s="6">
        <v>1</v>
      </c>
      <c r="H336" s="6" t="s">
        <v>1094</v>
      </c>
      <c r="I336" s="34"/>
      <c r="J336" s="38" t="s">
        <v>171</v>
      </c>
      <c r="K336" s="38" t="s">
        <v>177</v>
      </c>
      <c r="L336" s="38" t="s">
        <v>173</v>
      </c>
      <c r="M336" s="38"/>
      <c r="N336" s="19"/>
      <c r="O336" s="76" t="s">
        <v>62</v>
      </c>
      <c r="P336" s="6" t="s">
        <v>62</v>
      </c>
      <c r="Q336" s="38" t="s">
        <v>62</v>
      </c>
      <c r="R336" s="38" t="s">
        <v>62</v>
      </c>
      <c r="S336" s="34"/>
      <c r="T336" s="34"/>
      <c r="U336" s="34"/>
      <c r="V336" s="8"/>
      <c r="W336" t="s">
        <v>1095</v>
      </c>
      <c r="Y336" s="34"/>
      <c r="Z336"/>
      <c r="AA336"/>
      <c r="AE336"/>
      <c r="AF336"/>
      <c r="AG336"/>
      <c r="AH336"/>
    </row>
    <row r="337" spans="1:34" ht="15.75" customHeight="1" x14ac:dyDescent="0.15">
      <c r="A337" s="6">
        <v>331</v>
      </c>
      <c r="B337" s="18" t="s">
        <v>75</v>
      </c>
      <c r="C337" s="34" t="s">
        <v>57</v>
      </c>
      <c r="D337" s="75" t="s">
        <v>1096</v>
      </c>
      <c r="E337" s="2" t="s">
        <v>169</v>
      </c>
      <c r="F337">
        <v>15307</v>
      </c>
      <c r="G337" s="6">
        <v>2</v>
      </c>
      <c r="H337" s="6" t="s">
        <v>1097</v>
      </c>
      <c r="I337" s="34"/>
      <c r="J337" s="38" t="s">
        <v>171</v>
      </c>
      <c r="K337" s="38" t="s">
        <v>177</v>
      </c>
      <c r="L337" s="38" t="s">
        <v>173</v>
      </c>
      <c r="M337" s="38"/>
      <c r="N337" s="19"/>
      <c r="O337" s="76" t="s">
        <v>62</v>
      </c>
      <c r="P337" s="6" t="s">
        <v>62</v>
      </c>
      <c r="Q337" s="38" t="s">
        <v>62</v>
      </c>
      <c r="R337" s="38" t="s">
        <v>62</v>
      </c>
      <c r="S337" s="34"/>
      <c r="T337" s="34"/>
      <c r="U337" s="34"/>
      <c r="V337" s="8"/>
      <c r="W337" t="s">
        <v>1098</v>
      </c>
      <c r="Y337" s="34"/>
      <c r="Z337"/>
      <c r="AA337"/>
      <c r="AE337"/>
      <c r="AF337"/>
      <c r="AG337"/>
      <c r="AH337"/>
    </row>
    <row r="338" spans="1:34" ht="15.75" customHeight="1" x14ac:dyDescent="0.15">
      <c r="A338" s="6">
        <v>332</v>
      </c>
      <c r="B338" s="18" t="s">
        <v>75</v>
      </c>
      <c r="C338" s="34" t="s">
        <v>57</v>
      </c>
      <c r="D338" s="75" t="s">
        <v>1099</v>
      </c>
      <c r="E338" s="2" t="s">
        <v>169</v>
      </c>
      <c r="F338">
        <v>15307</v>
      </c>
      <c r="G338" s="6">
        <v>3</v>
      </c>
      <c r="H338" s="6" t="s">
        <v>1100</v>
      </c>
      <c r="I338" s="34"/>
      <c r="J338" s="38" t="s">
        <v>171</v>
      </c>
      <c r="K338" s="38" t="s">
        <v>177</v>
      </c>
      <c r="L338" s="38" t="s">
        <v>173</v>
      </c>
      <c r="M338" s="38"/>
      <c r="N338" s="19"/>
      <c r="O338" s="76" t="s">
        <v>62</v>
      </c>
      <c r="P338" s="6" t="s">
        <v>62</v>
      </c>
      <c r="Q338" s="38" t="s">
        <v>62</v>
      </c>
      <c r="R338" s="38" t="s">
        <v>62</v>
      </c>
      <c r="S338" s="34"/>
      <c r="T338" s="34"/>
      <c r="U338" s="34"/>
      <c r="V338" s="8"/>
      <c r="W338" t="s">
        <v>1101</v>
      </c>
      <c r="Y338" s="34"/>
      <c r="Z338"/>
      <c r="AA338"/>
      <c r="AE338"/>
      <c r="AF338"/>
      <c r="AG338"/>
      <c r="AH338"/>
    </row>
    <row r="339" spans="1:34" s="59" customFormat="1" ht="15.75" customHeight="1" x14ac:dyDescent="0.15">
      <c r="A339" s="6">
        <v>333</v>
      </c>
      <c r="B339" s="18" t="s">
        <v>75</v>
      </c>
      <c r="C339" s="34" t="s">
        <v>57</v>
      </c>
      <c r="D339" s="75" t="s">
        <v>1102</v>
      </c>
      <c r="E339" s="2" t="s">
        <v>169</v>
      </c>
      <c r="F339">
        <v>15307</v>
      </c>
      <c r="G339" s="6">
        <v>4</v>
      </c>
      <c r="H339" s="6" t="s">
        <v>1103</v>
      </c>
      <c r="I339" s="34"/>
      <c r="J339" s="38" t="s">
        <v>171</v>
      </c>
      <c r="K339" s="38" t="s">
        <v>177</v>
      </c>
      <c r="L339" s="38" t="s">
        <v>173</v>
      </c>
      <c r="M339" s="38"/>
      <c r="N339" s="19"/>
      <c r="O339" s="76" t="s">
        <v>62</v>
      </c>
      <c r="P339" s="6" t="s">
        <v>62</v>
      </c>
      <c r="Q339" s="38" t="s">
        <v>62</v>
      </c>
      <c r="R339" s="38" t="s">
        <v>62</v>
      </c>
      <c r="S339" s="34"/>
      <c r="T339" s="34"/>
      <c r="U339" s="34"/>
      <c r="V339" s="8"/>
      <c r="W339" t="s">
        <v>1104</v>
      </c>
      <c r="X339"/>
      <c r="Y339" s="34"/>
    </row>
    <row r="340" spans="1:34" ht="15.75" customHeight="1" x14ac:dyDescent="0.15">
      <c r="A340" s="6">
        <v>334</v>
      </c>
      <c r="B340" s="18" t="s">
        <v>75</v>
      </c>
      <c r="C340" s="34" t="s">
        <v>57</v>
      </c>
      <c r="D340" s="75" t="s">
        <v>1105</v>
      </c>
      <c r="E340" s="2" t="s">
        <v>169</v>
      </c>
      <c r="F340">
        <v>15307</v>
      </c>
      <c r="G340" s="6">
        <v>5</v>
      </c>
      <c r="H340" s="6" t="s">
        <v>1106</v>
      </c>
      <c r="I340" s="34"/>
      <c r="J340" s="38" t="s">
        <v>171</v>
      </c>
      <c r="K340" s="38" t="s">
        <v>177</v>
      </c>
      <c r="L340" s="38" t="s">
        <v>173</v>
      </c>
      <c r="M340" s="38"/>
      <c r="N340" s="19"/>
      <c r="O340" s="76" t="s">
        <v>62</v>
      </c>
      <c r="P340" s="6" t="s">
        <v>62</v>
      </c>
      <c r="Q340" s="38" t="s">
        <v>62</v>
      </c>
      <c r="R340" s="38" t="s">
        <v>62</v>
      </c>
      <c r="S340" s="34"/>
      <c r="T340" s="34"/>
      <c r="U340" s="34"/>
      <c r="V340" s="8"/>
      <c r="W340" t="s">
        <v>1107</v>
      </c>
      <c r="Y340" s="34"/>
      <c r="Z340"/>
      <c r="AA340"/>
      <c r="AE340"/>
      <c r="AF340"/>
      <c r="AG340"/>
      <c r="AH340"/>
    </row>
    <row r="341" spans="1:34" ht="15.75" customHeight="1" x14ac:dyDescent="0.15">
      <c r="A341" s="6">
        <v>335</v>
      </c>
      <c r="B341" s="18" t="s">
        <v>75</v>
      </c>
      <c r="C341" s="34" t="s">
        <v>57</v>
      </c>
      <c r="D341" s="75" t="s">
        <v>1108</v>
      </c>
      <c r="E341" s="2" t="s">
        <v>169</v>
      </c>
      <c r="F341">
        <v>15307</v>
      </c>
      <c r="G341" s="6">
        <v>6</v>
      </c>
      <c r="H341" s="6" t="s">
        <v>1109</v>
      </c>
      <c r="I341" s="34"/>
      <c r="J341" s="38" t="s">
        <v>171</v>
      </c>
      <c r="K341" s="38" t="s">
        <v>177</v>
      </c>
      <c r="L341" s="38" t="s">
        <v>173</v>
      </c>
      <c r="M341" s="38"/>
      <c r="N341" s="19"/>
      <c r="O341" s="76" t="s">
        <v>62</v>
      </c>
      <c r="P341" s="6" t="s">
        <v>62</v>
      </c>
      <c r="Q341" s="38" t="s">
        <v>62</v>
      </c>
      <c r="R341" s="38" t="s">
        <v>62</v>
      </c>
      <c r="S341" s="34"/>
      <c r="T341" s="34"/>
      <c r="U341" s="34"/>
      <c r="V341" s="8"/>
      <c r="W341" t="s">
        <v>1110</v>
      </c>
      <c r="Y341" s="34"/>
      <c r="Z341"/>
      <c r="AA341"/>
      <c r="AE341"/>
      <c r="AF341"/>
      <c r="AG341"/>
      <c r="AH341"/>
    </row>
    <row r="342" spans="1:34" ht="15.75" customHeight="1" x14ac:dyDescent="0.15">
      <c r="A342" s="6">
        <v>336</v>
      </c>
      <c r="B342" s="18" t="s">
        <v>75</v>
      </c>
      <c r="C342" s="34" t="s">
        <v>57</v>
      </c>
      <c r="D342" s="75" t="s">
        <v>1111</v>
      </c>
      <c r="E342" s="2" t="s">
        <v>169</v>
      </c>
      <c r="F342">
        <v>15307</v>
      </c>
      <c r="G342" s="6">
        <v>7</v>
      </c>
      <c r="H342" s="6" t="s">
        <v>1112</v>
      </c>
      <c r="I342" s="34"/>
      <c r="J342" s="38" t="s">
        <v>171</v>
      </c>
      <c r="K342" s="38" t="s">
        <v>177</v>
      </c>
      <c r="L342" s="38" t="s">
        <v>173</v>
      </c>
      <c r="M342" s="38"/>
      <c r="N342" s="19"/>
      <c r="O342" s="76" t="s">
        <v>62</v>
      </c>
      <c r="P342" s="6" t="s">
        <v>62</v>
      </c>
      <c r="Q342" s="38" t="s">
        <v>62</v>
      </c>
      <c r="R342" s="38" t="s">
        <v>62</v>
      </c>
      <c r="S342" s="34"/>
      <c r="T342" s="34"/>
      <c r="U342" s="34"/>
      <c r="V342" s="8"/>
      <c r="W342" t="s">
        <v>1113</v>
      </c>
      <c r="Y342" s="34"/>
      <c r="Z342"/>
      <c r="AA342"/>
      <c r="AE342"/>
      <c r="AF342"/>
      <c r="AG342"/>
      <c r="AH342"/>
    </row>
    <row r="343" spans="1:34" s="59" customFormat="1" ht="15.75" customHeight="1" x14ac:dyDescent="0.15">
      <c r="A343" s="6">
        <v>337</v>
      </c>
      <c r="B343" s="18" t="s">
        <v>75</v>
      </c>
      <c r="C343" s="34" t="s">
        <v>57</v>
      </c>
      <c r="D343" s="75" t="s">
        <v>1114</v>
      </c>
      <c r="E343" s="2" t="s">
        <v>169</v>
      </c>
      <c r="F343">
        <v>15307</v>
      </c>
      <c r="G343" s="6">
        <v>8</v>
      </c>
      <c r="H343" s="6" t="s">
        <v>1115</v>
      </c>
      <c r="I343" s="34"/>
      <c r="J343" s="38" t="s">
        <v>171</v>
      </c>
      <c r="K343" s="38" t="s">
        <v>177</v>
      </c>
      <c r="L343" s="38" t="s">
        <v>173</v>
      </c>
      <c r="M343" s="38"/>
      <c r="N343" s="19"/>
      <c r="O343" s="76" t="s">
        <v>62</v>
      </c>
      <c r="P343" s="6" t="s">
        <v>62</v>
      </c>
      <c r="Q343" s="38" t="s">
        <v>62</v>
      </c>
      <c r="R343" s="38" t="s">
        <v>62</v>
      </c>
      <c r="S343" s="34"/>
      <c r="T343" s="34"/>
      <c r="U343" s="34"/>
      <c r="V343" s="8"/>
      <c r="W343" t="s">
        <v>1116</v>
      </c>
      <c r="X343"/>
      <c r="Y343" s="34"/>
    </row>
    <row r="344" spans="1:34" ht="15.75" customHeight="1" x14ac:dyDescent="0.15">
      <c r="A344" s="6">
        <v>338</v>
      </c>
      <c r="B344" s="18" t="s">
        <v>75</v>
      </c>
      <c r="C344" s="34" t="s">
        <v>57</v>
      </c>
      <c r="D344" s="75" t="s">
        <v>1117</v>
      </c>
      <c r="E344" s="2" t="s">
        <v>169</v>
      </c>
      <c r="F344">
        <v>15307</v>
      </c>
      <c r="G344" s="6">
        <v>9</v>
      </c>
      <c r="H344" s="6" t="s">
        <v>1118</v>
      </c>
      <c r="I344" s="34"/>
      <c r="J344" s="38" t="s">
        <v>171</v>
      </c>
      <c r="K344" s="38" t="s">
        <v>177</v>
      </c>
      <c r="L344" s="38" t="s">
        <v>173</v>
      </c>
      <c r="M344" s="38"/>
      <c r="N344" s="19"/>
      <c r="O344" s="76" t="s">
        <v>62</v>
      </c>
      <c r="P344" s="6" t="s">
        <v>62</v>
      </c>
      <c r="Q344" s="38" t="s">
        <v>62</v>
      </c>
      <c r="R344" s="38" t="s">
        <v>62</v>
      </c>
      <c r="S344" s="34"/>
      <c r="T344" s="34"/>
      <c r="U344" s="34"/>
      <c r="V344" s="8"/>
      <c r="W344" t="s">
        <v>1119</v>
      </c>
      <c r="Y344" s="34"/>
      <c r="Z344"/>
      <c r="AA344"/>
      <c r="AE344"/>
      <c r="AF344"/>
      <c r="AG344"/>
      <c r="AH344"/>
    </row>
    <row r="345" spans="1:34" ht="15.75" customHeight="1" x14ac:dyDescent="0.15">
      <c r="A345" s="6">
        <v>339</v>
      </c>
      <c r="B345" s="18" t="s">
        <v>75</v>
      </c>
      <c r="C345" s="34" t="s">
        <v>57</v>
      </c>
      <c r="D345" s="75" t="s">
        <v>1120</v>
      </c>
      <c r="E345" s="2" t="s">
        <v>169</v>
      </c>
      <c r="F345">
        <v>15307</v>
      </c>
      <c r="G345" s="6">
        <v>10</v>
      </c>
      <c r="H345" s="6" t="s">
        <v>1121</v>
      </c>
      <c r="I345" s="34"/>
      <c r="J345" s="38" t="s">
        <v>171</v>
      </c>
      <c r="K345" s="38" t="s">
        <v>177</v>
      </c>
      <c r="L345" s="38" t="s">
        <v>173</v>
      </c>
      <c r="M345" s="38"/>
      <c r="N345" s="19"/>
      <c r="O345" s="76" t="s">
        <v>62</v>
      </c>
      <c r="P345" s="6" t="s">
        <v>62</v>
      </c>
      <c r="Q345" s="38" t="s">
        <v>62</v>
      </c>
      <c r="R345" s="38" t="s">
        <v>62</v>
      </c>
      <c r="S345" s="34"/>
      <c r="T345" s="34"/>
      <c r="U345" s="34"/>
      <c r="V345" s="8"/>
      <c r="W345" t="s">
        <v>1122</v>
      </c>
      <c r="Y345" s="34"/>
      <c r="Z345"/>
      <c r="AA345"/>
      <c r="AE345"/>
      <c r="AF345"/>
      <c r="AG345"/>
      <c r="AH345"/>
    </row>
    <row r="346" spans="1:34" ht="15.75" customHeight="1" x14ac:dyDescent="0.15">
      <c r="A346" s="6">
        <v>340</v>
      </c>
      <c r="B346" s="18" t="s">
        <v>75</v>
      </c>
      <c r="C346" s="34" t="s">
        <v>57</v>
      </c>
      <c r="D346" s="75" t="s">
        <v>1123</v>
      </c>
      <c r="E346" s="2" t="s">
        <v>169</v>
      </c>
      <c r="F346">
        <v>15307</v>
      </c>
      <c r="G346" s="6">
        <v>11</v>
      </c>
      <c r="H346" s="6" t="s">
        <v>1124</v>
      </c>
      <c r="I346" s="34"/>
      <c r="J346" s="38" t="s">
        <v>171</v>
      </c>
      <c r="K346" s="38" t="s">
        <v>177</v>
      </c>
      <c r="L346" s="38" t="s">
        <v>173</v>
      </c>
      <c r="M346" s="38"/>
      <c r="N346" s="19"/>
      <c r="O346" s="76" t="s">
        <v>62</v>
      </c>
      <c r="P346" s="6" t="s">
        <v>62</v>
      </c>
      <c r="Q346" s="38" t="s">
        <v>62</v>
      </c>
      <c r="R346" s="38" t="s">
        <v>62</v>
      </c>
      <c r="S346" s="34"/>
      <c r="T346" s="34"/>
      <c r="U346" s="34"/>
      <c r="V346" s="8"/>
      <c r="W346" t="s">
        <v>1125</v>
      </c>
      <c r="Y346" s="34"/>
      <c r="Z346"/>
      <c r="AA346"/>
      <c r="AE346"/>
      <c r="AF346"/>
      <c r="AG346"/>
      <c r="AH346"/>
    </row>
    <row r="347" spans="1:34" ht="15.75" customHeight="1" x14ac:dyDescent="0.15">
      <c r="A347" s="6">
        <v>341</v>
      </c>
      <c r="B347" s="18" t="s">
        <v>75</v>
      </c>
      <c r="C347" s="34" t="s">
        <v>57</v>
      </c>
      <c r="D347" s="75" t="s">
        <v>1126</v>
      </c>
      <c r="E347" s="2" t="s">
        <v>169</v>
      </c>
      <c r="F347">
        <v>15307</v>
      </c>
      <c r="G347" s="6">
        <v>12</v>
      </c>
      <c r="H347" s="6" t="s">
        <v>1127</v>
      </c>
      <c r="I347" s="34"/>
      <c r="J347" s="38" t="s">
        <v>171</v>
      </c>
      <c r="K347" s="38" t="s">
        <v>177</v>
      </c>
      <c r="L347" s="38" t="s">
        <v>173</v>
      </c>
      <c r="M347" s="38"/>
      <c r="N347" s="19"/>
      <c r="O347" s="76" t="s">
        <v>62</v>
      </c>
      <c r="P347" s="6" t="s">
        <v>62</v>
      </c>
      <c r="Q347" s="38" t="s">
        <v>62</v>
      </c>
      <c r="R347" s="38" t="s">
        <v>62</v>
      </c>
      <c r="S347" s="34"/>
      <c r="T347" s="34"/>
      <c r="U347" s="34"/>
      <c r="V347" s="8"/>
      <c r="W347" t="s">
        <v>1128</v>
      </c>
      <c r="Y347" s="34"/>
      <c r="Z347"/>
      <c r="AA347"/>
      <c r="AE347"/>
      <c r="AF347"/>
      <c r="AG347"/>
      <c r="AH347"/>
    </row>
    <row r="348" spans="1:34" ht="15.75" customHeight="1" x14ac:dyDescent="0.15">
      <c r="A348" s="6">
        <v>342</v>
      </c>
      <c r="B348" s="18" t="s">
        <v>75</v>
      </c>
      <c r="C348" s="34" t="s">
        <v>57</v>
      </c>
      <c r="D348" s="75" t="s">
        <v>1129</v>
      </c>
      <c r="E348" s="2" t="s">
        <v>169</v>
      </c>
      <c r="F348">
        <v>15307</v>
      </c>
      <c r="G348" s="6">
        <v>13</v>
      </c>
      <c r="H348" s="6" t="s">
        <v>1130</v>
      </c>
      <c r="I348" s="34"/>
      <c r="J348" s="38" t="s">
        <v>171</v>
      </c>
      <c r="K348" s="38" t="s">
        <v>177</v>
      </c>
      <c r="L348" s="38" t="s">
        <v>173</v>
      </c>
      <c r="M348" s="38"/>
      <c r="N348" s="19"/>
      <c r="O348" s="76" t="s">
        <v>62</v>
      </c>
      <c r="P348" s="6" t="s">
        <v>62</v>
      </c>
      <c r="Q348" s="38" t="s">
        <v>62</v>
      </c>
      <c r="R348" s="38" t="s">
        <v>62</v>
      </c>
      <c r="S348" s="34"/>
      <c r="T348" s="34"/>
      <c r="U348" s="34"/>
      <c r="V348" s="8"/>
      <c r="W348" t="s">
        <v>1131</v>
      </c>
      <c r="Y348" s="34"/>
      <c r="Z348"/>
      <c r="AA348"/>
      <c r="AE348"/>
      <c r="AF348"/>
      <c r="AG348"/>
      <c r="AH348"/>
    </row>
    <row r="349" spans="1:34" ht="15.75" customHeight="1" x14ac:dyDescent="0.15">
      <c r="A349" s="6">
        <v>343</v>
      </c>
      <c r="B349" s="18" t="s">
        <v>75</v>
      </c>
      <c r="C349" s="34" t="s">
        <v>57</v>
      </c>
      <c r="D349" s="75" t="s">
        <v>1132</v>
      </c>
      <c r="E349" s="2" t="s">
        <v>169</v>
      </c>
      <c r="F349">
        <v>15307</v>
      </c>
      <c r="G349" s="6">
        <v>14</v>
      </c>
      <c r="H349" s="6" t="s">
        <v>1133</v>
      </c>
      <c r="I349" s="34"/>
      <c r="J349" s="38" t="s">
        <v>171</v>
      </c>
      <c r="K349" s="38" t="s">
        <v>177</v>
      </c>
      <c r="L349" s="38" t="s">
        <v>173</v>
      </c>
      <c r="M349" s="38"/>
      <c r="N349" s="19"/>
      <c r="O349" s="76" t="s">
        <v>62</v>
      </c>
      <c r="P349" s="6" t="s">
        <v>62</v>
      </c>
      <c r="Q349" s="38" t="s">
        <v>62</v>
      </c>
      <c r="R349" s="38" t="s">
        <v>62</v>
      </c>
      <c r="S349" s="34"/>
      <c r="T349" s="34"/>
      <c r="U349" s="34"/>
      <c r="V349" s="8"/>
      <c r="W349" t="s">
        <v>1134</v>
      </c>
      <c r="Y349" s="34"/>
      <c r="Z349"/>
      <c r="AA349"/>
      <c r="AE349"/>
      <c r="AF349"/>
      <c r="AG349"/>
      <c r="AH349"/>
    </row>
    <row r="350" spans="1:34" s="55" customFormat="1" ht="15.75" customHeight="1" x14ac:dyDescent="0.15">
      <c r="A350" s="6">
        <v>344</v>
      </c>
      <c r="B350" s="18" t="s">
        <v>75</v>
      </c>
      <c r="C350" s="34" t="s">
        <v>57</v>
      </c>
      <c r="D350" s="75" t="s">
        <v>1135</v>
      </c>
      <c r="E350" s="2" t="s">
        <v>169</v>
      </c>
      <c r="F350">
        <v>15307</v>
      </c>
      <c r="G350" s="6">
        <v>15</v>
      </c>
      <c r="H350" s="6" t="s">
        <v>1136</v>
      </c>
      <c r="I350" s="34"/>
      <c r="J350" s="38" t="s">
        <v>171</v>
      </c>
      <c r="K350" s="38" t="s">
        <v>177</v>
      </c>
      <c r="L350" s="38" t="s">
        <v>173</v>
      </c>
      <c r="M350" s="38"/>
      <c r="N350" s="19"/>
      <c r="O350" s="76" t="s">
        <v>62</v>
      </c>
      <c r="P350" s="6" t="s">
        <v>62</v>
      </c>
      <c r="Q350" s="38" t="s">
        <v>62</v>
      </c>
      <c r="R350" s="38" t="s">
        <v>62</v>
      </c>
      <c r="S350" s="34"/>
      <c r="T350" s="34"/>
      <c r="U350" s="34"/>
      <c r="V350" s="8"/>
      <c r="W350" t="s">
        <v>1137</v>
      </c>
      <c r="X350"/>
      <c r="Y350" s="34"/>
    </row>
    <row r="351" spans="1:34" s="55" customFormat="1" ht="15.75" customHeight="1" x14ac:dyDescent="0.15">
      <c r="A351" s="6">
        <v>345</v>
      </c>
      <c r="B351" s="18" t="s">
        <v>75</v>
      </c>
      <c r="C351" s="34" t="s">
        <v>57</v>
      </c>
      <c r="D351" s="75" t="s">
        <v>1138</v>
      </c>
      <c r="E351" s="2" t="s">
        <v>169</v>
      </c>
      <c r="F351">
        <v>15307</v>
      </c>
      <c r="G351" s="6">
        <v>16</v>
      </c>
      <c r="H351" s="6" t="s">
        <v>1139</v>
      </c>
      <c r="I351" s="34"/>
      <c r="J351" s="38" t="s">
        <v>171</v>
      </c>
      <c r="K351" s="38" t="s">
        <v>177</v>
      </c>
      <c r="L351" s="38" t="s">
        <v>173</v>
      </c>
      <c r="M351" s="38"/>
      <c r="N351" s="19"/>
      <c r="O351" s="76" t="s">
        <v>62</v>
      </c>
      <c r="P351" s="6" t="s">
        <v>62</v>
      </c>
      <c r="Q351" s="38" t="s">
        <v>62</v>
      </c>
      <c r="R351" s="38" t="s">
        <v>62</v>
      </c>
      <c r="S351" s="34"/>
      <c r="T351" s="34"/>
      <c r="U351" s="34"/>
      <c r="V351" s="8"/>
      <c r="W351" t="s">
        <v>1140</v>
      </c>
      <c r="X351"/>
      <c r="Y351" s="34"/>
    </row>
    <row r="352" spans="1:34" s="55" customFormat="1" ht="15.75" customHeight="1" x14ac:dyDescent="0.15">
      <c r="A352" s="6">
        <v>346</v>
      </c>
      <c r="B352" s="18" t="s">
        <v>75</v>
      </c>
      <c r="C352" s="34" t="s">
        <v>57</v>
      </c>
      <c r="D352" s="75" t="s">
        <v>1141</v>
      </c>
      <c r="E352" s="2" t="s">
        <v>169</v>
      </c>
      <c r="F352">
        <v>15307</v>
      </c>
      <c r="G352" s="6">
        <v>17</v>
      </c>
      <c r="H352" s="6" t="s">
        <v>1142</v>
      </c>
      <c r="I352" s="34"/>
      <c r="J352" s="38" t="s">
        <v>171</v>
      </c>
      <c r="K352" s="38" t="s">
        <v>177</v>
      </c>
      <c r="L352" s="38" t="s">
        <v>173</v>
      </c>
      <c r="M352" s="38"/>
      <c r="N352" s="19"/>
      <c r="O352" s="76" t="s">
        <v>62</v>
      </c>
      <c r="P352" s="6" t="s">
        <v>62</v>
      </c>
      <c r="Q352" s="38" t="s">
        <v>62</v>
      </c>
      <c r="R352" s="38" t="s">
        <v>62</v>
      </c>
      <c r="S352" s="34"/>
      <c r="T352" s="34"/>
      <c r="U352" s="34"/>
      <c r="V352" s="8"/>
      <c r="W352" t="s">
        <v>1143</v>
      </c>
      <c r="X352"/>
      <c r="Y352" s="34"/>
    </row>
    <row r="353" spans="1:34" s="55" customFormat="1" ht="15.75" customHeight="1" x14ac:dyDescent="0.15">
      <c r="A353" s="6">
        <v>347</v>
      </c>
      <c r="B353" s="18" t="s">
        <v>75</v>
      </c>
      <c r="C353" s="34" t="s">
        <v>57</v>
      </c>
      <c r="D353" s="75" t="s">
        <v>1144</v>
      </c>
      <c r="E353" s="2" t="s">
        <v>169</v>
      </c>
      <c r="F353">
        <v>15307</v>
      </c>
      <c r="G353" s="6">
        <v>19</v>
      </c>
      <c r="H353" s="6" t="s">
        <v>1145</v>
      </c>
      <c r="I353" s="34"/>
      <c r="J353" s="38" t="s">
        <v>171</v>
      </c>
      <c r="K353" s="38" t="s">
        <v>177</v>
      </c>
      <c r="L353" s="38" t="s">
        <v>173</v>
      </c>
      <c r="M353" s="38"/>
      <c r="N353" s="19"/>
      <c r="O353" s="76" t="s">
        <v>62</v>
      </c>
      <c r="P353" s="6" t="s">
        <v>62</v>
      </c>
      <c r="Q353" s="38" t="s">
        <v>62</v>
      </c>
      <c r="R353" s="38" t="s">
        <v>62</v>
      </c>
      <c r="S353" s="34"/>
      <c r="T353" s="34"/>
      <c r="U353" s="34"/>
      <c r="V353" s="8"/>
      <c r="W353" t="s">
        <v>1146</v>
      </c>
      <c r="X353"/>
      <c r="Y353" s="34"/>
    </row>
    <row r="354" spans="1:34" s="55" customFormat="1" ht="15.75" customHeight="1" x14ac:dyDescent="0.15">
      <c r="A354" s="6">
        <v>348</v>
      </c>
      <c r="B354" s="18" t="s">
        <v>75</v>
      </c>
      <c r="C354" s="34" t="s">
        <v>57</v>
      </c>
      <c r="D354" s="75" t="s">
        <v>1147</v>
      </c>
      <c r="E354" s="2" t="s">
        <v>169</v>
      </c>
      <c r="F354">
        <v>15307</v>
      </c>
      <c r="G354" s="6">
        <v>20</v>
      </c>
      <c r="H354" s="6" t="s">
        <v>1148</v>
      </c>
      <c r="I354" s="34"/>
      <c r="J354" s="38" t="s">
        <v>171</v>
      </c>
      <c r="K354" s="38" t="s">
        <v>177</v>
      </c>
      <c r="L354" s="38" t="s">
        <v>173</v>
      </c>
      <c r="M354" s="38"/>
      <c r="N354" s="19"/>
      <c r="O354" s="76" t="s">
        <v>62</v>
      </c>
      <c r="P354" s="6" t="s">
        <v>62</v>
      </c>
      <c r="Q354" s="38" t="s">
        <v>62</v>
      </c>
      <c r="R354" s="38" t="s">
        <v>62</v>
      </c>
      <c r="S354" s="34"/>
      <c r="T354" s="34"/>
      <c r="U354" s="34"/>
      <c r="V354" s="8"/>
      <c r="W354" t="s">
        <v>1149</v>
      </c>
      <c r="X354"/>
      <c r="Y354" s="34"/>
    </row>
    <row r="355" spans="1:34" s="55" customFormat="1" ht="15.75" customHeight="1" x14ac:dyDescent="0.15">
      <c r="A355" s="6">
        <v>349</v>
      </c>
      <c r="B355" s="18" t="s">
        <v>75</v>
      </c>
      <c r="C355" s="34" t="s">
        <v>57</v>
      </c>
      <c r="D355" s="75" t="s">
        <v>1150</v>
      </c>
      <c r="E355" s="2" t="s">
        <v>169</v>
      </c>
      <c r="F355">
        <v>15307</v>
      </c>
      <c r="G355" s="6">
        <v>21</v>
      </c>
      <c r="H355" s="6" t="s">
        <v>1151</v>
      </c>
      <c r="I355" s="34"/>
      <c r="J355" s="38" t="s">
        <v>171</v>
      </c>
      <c r="K355" s="38" t="s">
        <v>177</v>
      </c>
      <c r="L355" s="38" t="s">
        <v>173</v>
      </c>
      <c r="M355" s="38"/>
      <c r="N355" s="19"/>
      <c r="O355" s="76" t="s">
        <v>62</v>
      </c>
      <c r="P355" s="6" t="s">
        <v>62</v>
      </c>
      <c r="Q355" s="38" t="s">
        <v>62</v>
      </c>
      <c r="R355" s="38" t="s">
        <v>62</v>
      </c>
      <c r="S355" s="34"/>
      <c r="T355" s="34"/>
      <c r="U355" s="34"/>
      <c r="V355" s="8"/>
      <c r="W355" t="s">
        <v>1152</v>
      </c>
      <c r="X355"/>
      <c r="Y355" s="34"/>
    </row>
    <row r="356" spans="1:34" s="55" customFormat="1" ht="15.75" customHeight="1" x14ac:dyDescent="0.15">
      <c r="A356" s="6">
        <v>350</v>
      </c>
      <c r="B356" s="18" t="s">
        <v>75</v>
      </c>
      <c r="C356" s="34" t="s">
        <v>57</v>
      </c>
      <c r="D356" s="75" t="s">
        <v>1153</v>
      </c>
      <c r="E356" s="2" t="s">
        <v>169</v>
      </c>
      <c r="F356">
        <v>15307</v>
      </c>
      <c r="G356" s="6">
        <v>22</v>
      </c>
      <c r="H356" s="6" t="s">
        <v>1154</v>
      </c>
      <c r="I356" s="34"/>
      <c r="J356" s="38" t="s">
        <v>171</v>
      </c>
      <c r="K356" s="38" t="s">
        <v>177</v>
      </c>
      <c r="L356" s="38" t="s">
        <v>173</v>
      </c>
      <c r="M356" s="38"/>
      <c r="N356" s="19"/>
      <c r="O356" s="76" t="s">
        <v>62</v>
      </c>
      <c r="P356" s="6" t="s">
        <v>62</v>
      </c>
      <c r="Q356" s="38" t="s">
        <v>62</v>
      </c>
      <c r="R356" s="38" t="s">
        <v>62</v>
      </c>
      <c r="S356" s="34"/>
      <c r="T356" s="34"/>
      <c r="U356" s="34"/>
      <c r="V356" s="8"/>
      <c r="W356" t="s">
        <v>1155</v>
      </c>
      <c r="X356"/>
      <c r="Y356" s="34"/>
    </row>
    <row r="357" spans="1:34" s="55" customFormat="1" ht="15.75" customHeight="1" x14ac:dyDescent="0.15">
      <c r="A357" s="6">
        <v>351</v>
      </c>
      <c r="B357" s="18" t="s">
        <v>75</v>
      </c>
      <c r="C357" s="34" t="s">
        <v>57</v>
      </c>
      <c r="D357" s="75" t="s">
        <v>1156</v>
      </c>
      <c r="E357" s="2" t="s">
        <v>169</v>
      </c>
      <c r="F357">
        <v>15307</v>
      </c>
      <c r="G357" s="6">
        <v>23</v>
      </c>
      <c r="H357" s="6" t="s">
        <v>1157</v>
      </c>
      <c r="I357" s="34"/>
      <c r="J357" s="38" t="s">
        <v>171</v>
      </c>
      <c r="K357" s="38" t="s">
        <v>177</v>
      </c>
      <c r="L357" s="38" t="s">
        <v>173</v>
      </c>
      <c r="M357" s="38"/>
      <c r="N357" s="19"/>
      <c r="O357" s="76" t="s">
        <v>62</v>
      </c>
      <c r="P357" s="6" t="s">
        <v>62</v>
      </c>
      <c r="Q357" s="38" t="s">
        <v>62</v>
      </c>
      <c r="R357" s="38" t="s">
        <v>62</v>
      </c>
      <c r="S357" s="34"/>
      <c r="T357" s="34"/>
      <c r="U357" s="34"/>
      <c r="V357" s="8"/>
      <c r="W357" t="s">
        <v>1158</v>
      </c>
      <c r="X357"/>
      <c r="Y357" s="34"/>
    </row>
    <row r="358" spans="1:34" s="55" customFormat="1" ht="15.75" customHeight="1" x14ac:dyDescent="0.15">
      <c r="A358" s="6">
        <v>352</v>
      </c>
      <c r="B358" s="18" t="s">
        <v>75</v>
      </c>
      <c r="C358" s="34" t="s">
        <v>57</v>
      </c>
      <c r="D358" s="75" t="s">
        <v>1159</v>
      </c>
      <c r="E358" s="2" t="s">
        <v>169</v>
      </c>
      <c r="F358">
        <v>15307</v>
      </c>
      <c r="G358" s="6">
        <v>24</v>
      </c>
      <c r="H358" s="6" t="s">
        <v>1160</v>
      </c>
      <c r="I358" s="34"/>
      <c r="J358" s="38" t="s">
        <v>171</v>
      </c>
      <c r="K358" s="38" t="s">
        <v>177</v>
      </c>
      <c r="L358" s="38" t="s">
        <v>173</v>
      </c>
      <c r="M358" s="38"/>
      <c r="N358" s="19"/>
      <c r="O358" s="76" t="s">
        <v>62</v>
      </c>
      <c r="P358" s="6" t="s">
        <v>62</v>
      </c>
      <c r="Q358" s="38" t="s">
        <v>62</v>
      </c>
      <c r="R358" s="38" t="s">
        <v>62</v>
      </c>
      <c r="S358" s="34"/>
      <c r="T358" s="34"/>
      <c r="U358" s="34"/>
      <c r="V358" s="8"/>
      <c r="W358" t="s">
        <v>1161</v>
      </c>
      <c r="X358"/>
      <c r="Y358" s="34"/>
    </row>
    <row r="359" spans="1:34" s="55" customFormat="1" ht="15.75" customHeight="1" x14ac:dyDescent="0.15">
      <c r="A359" s="6">
        <v>353</v>
      </c>
      <c r="B359" s="18" t="s">
        <v>75</v>
      </c>
      <c r="C359" s="34" t="s">
        <v>57</v>
      </c>
      <c r="D359" s="75" t="s">
        <v>1162</v>
      </c>
      <c r="E359" s="2" t="s">
        <v>169</v>
      </c>
      <c r="F359">
        <v>15307</v>
      </c>
      <c r="G359" s="6">
        <v>25</v>
      </c>
      <c r="H359" s="6" t="s">
        <v>1163</v>
      </c>
      <c r="I359" s="34"/>
      <c r="J359" s="38" t="s">
        <v>171</v>
      </c>
      <c r="K359" s="38" t="s">
        <v>177</v>
      </c>
      <c r="L359" s="38" t="s">
        <v>173</v>
      </c>
      <c r="M359" s="38"/>
      <c r="N359" s="19"/>
      <c r="O359" s="76" t="s">
        <v>62</v>
      </c>
      <c r="P359" s="6" t="s">
        <v>62</v>
      </c>
      <c r="Q359" s="38" t="s">
        <v>62</v>
      </c>
      <c r="R359" s="38" t="s">
        <v>62</v>
      </c>
      <c r="S359" s="34"/>
      <c r="T359" s="34"/>
      <c r="U359" s="34"/>
      <c r="V359" s="8"/>
      <c r="W359" t="s">
        <v>1164</v>
      </c>
      <c r="X359"/>
      <c r="Y359" s="34"/>
    </row>
    <row r="360" spans="1:34" s="55" customFormat="1" ht="15.75" customHeight="1" x14ac:dyDescent="0.15">
      <c r="A360" s="6">
        <v>354</v>
      </c>
      <c r="B360" s="18" t="s">
        <v>75</v>
      </c>
      <c r="C360" s="34" t="s">
        <v>57</v>
      </c>
      <c r="D360" s="75" t="s">
        <v>1165</v>
      </c>
      <c r="E360" s="2" t="s">
        <v>169</v>
      </c>
      <c r="F360">
        <v>15307</v>
      </c>
      <c r="G360" s="6">
        <v>26</v>
      </c>
      <c r="H360" s="6" t="s">
        <v>1166</v>
      </c>
      <c r="I360" s="34"/>
      <c r="J360" s="38" t="s">
        <v>171</v>
      </c>
      <c r="K360" s="38" t="s">
        <v>177</v>
      </c>
      <c r="L360" s="38" t="s">
        <v>173</v>
      </c>
      <c r="M360" s="38"/>
      <c r="N360" s="19"/>
      <c r="O360" s="76" t="s">
        <v>62</v>
      </c>
      <c r="P360" s="6" t="s">
        <v>62</v>
      </c>
      <c r="Q360" s="38" t="s">
        <v>62</v>
      </c>
      <c r="R360" s="38" t="s">
        <v>62</v>
      </c>
      <c r="S360" s="34"/>
      <c r="T360" s="34"/>
      <c r="U360" s="34"/>
      <c r="V360" s="8"/>
      <c r="W360" t="s">
        <v>1167</v>
      </c>
      <c r="X360"/>
      <c r="Y360" s="34"/>
    </row>
    <row r="361" spans="1:34" ht="15.75" customHeight="1" x14ac:dyDescent="0.15">
      <c r="A361" s="6">
        <v>355</v>
      </c>
      <c r="B361" s="18" t="s">
        <v>75</v>
      </c>
      <c r="C361" s="34" t="s">
        <v>57</v>
      </c>
      <c r="D361" s="75" t="s">
        <v>1168</v>
      </c>
      <c r="E361" s="2" t="s">
        <v>169</v>
      </c>
      <c r="F361">
        <v>15307</v>
      </c>
      <c r="G361" s="6">
        <v>27</v>
      </c>
      <c r="H361" s="6" t="s">
        <v>1169</v>
      </c>
      <c r="I361" s="34"/>
      <c r="J361" s="38" t="s">
        <v>171</v>
      </c>
      <c r="K361" s="38" t="s">
        <v>177</v>
      </c>
      <c r="L361" s="38" t="s">
        <v>173</v>
      </c>
      <c r="M361" s="38"/>
      <c r="N361" s="19"/>
      <c r="O361" s="76" t="s">
        <v>62</v>
      </c>
      <c r="P361" s="6" t="s">
        <v>62</v>
      </c>
      <c r="Q361" s="38" t="s">
        <v>62</v>
      </c>
      <c r="R361" s="38" t="s">
        <v>62</v>
      </c>
      <c r="S361" s="34"/>
      <c r="T361" s="34"/>
      <c r="U361" s="34"/>
      <c r="V361" s="8"/>
      <c r="W361" t="s">
        <v>1170</v>
      </c>
      <c r="Y361" s="34"/>
      <c r="Z361"/>
      <c r="AA361"/>
      <c r="AE361"/>
      <c r="AF361"/>
      <c r="AG361"/>
      <c r="AH361"/>
    </row>
    <row r="362" spans="1:34" ht="15.75" customHeight="1" x14ac:dyDescent="0.15">
      <c r="A362" s="6">
        <v>356</v>
      </c>
      <c r="B362" s="18" t="s">
        <v>75</v>
      </c>
      <c r="C362" s="34" t="s">
        <v>57</v>
      </c>
      <c r="D362" s="75" t="s">
        <v>1171</v>
      </c>
      <c r="E362" s="2" t="s">
        <v>169</v>
      </c>
      <c r="F362">
        <v>15307</v>
      </c>
      <c r="G362" s="6">
        <v>29</v>
      </c>
      <c r="H362" s="6" t="s">
        <v>1172</v>
      </c>
      <c r="I362" s="34"/>
      <c r="J362" s="38" t="s">
        <v>171</v>
      </c>
      <c r="K362" s="38" t="s">
        <v>177</v>
      </c>
      <c r="L362" s="38" t="s">
        <v>173</v>
      </c>
      <c r="M362" s="38"/>
      <c r="N362" s="19"/>
      <c r="O362" s="76" t="s">
        <v>62</v>
      </c>
      <c r="P362" s="6" t="s">
        <v>62</v>
      </c>
      <c r="Q362" s="38" t="s">
        <v>62</v>
      </c>
      <c r="R362" s="38" t="s">
        <v>62</v>
      </c>
      <c r="S362" s="34"/>
      <c r="T362" s="34"/>
      <c r="U362" s="34"/>
      <c r="V362" s="8"/>
      <c r="W362" t="s">
        <v>1173</v>
      </c>
      <c r="Y362" s="34"/>
      <c r="Z362"/>
      <c r="AA362"/>
      <c r="AE362"/>
      <c r="AF362"/>
      <c r="AG362"/>
      <c r="AH362"/>
    </row>
    <row r="363" spans="1:34" ht="15.75" customHeight="1" x14ac:dyDescent="0.15">
      <c r="A363" s="6">
        <v>357</v>
      </c>
      <c r="B363" s="18" t="s">
        <v>75</v>
      </c>
      <c r="C363" s="34" t="s">
        <v>57</v>
      </c>
      <c r="D363" s="75" t="s">
        <v>1174</v>
      </c>
      <c r="E363" s="2" t="s">
        <v>169</v>
      </c>
      <c r="F363">
        <v>15307</v>
      </c>
      <c r="G363" s="6">
        <v>30</v>
      </c>
      <c r="H363" s="6" t="s">
        <v>1175</v>
      </c>
      <c r="I363" s="34"/>
      <c r="J363" s="38" t="s">
        <v>171</v>
      </c>
      <c r="K363" s="38" t="s">
        <v>177</v>
      </c>
      <c r="L363" s="38" t="s">
        <v>173</v>
      </c>
      <c r="M363" s="38"/>
      <c r="N363" s="19"/>
      <c r="O363" s="76" t="s">
        <v>62</v>
      </c>
      <c r="P363" s="6" t="s">
        <v>62</v>
      </c>
      <c r="Q363" s="38" t="s">
        <v>62</v>
      </c>
      <c r="R363" s="38" t="s">
        <v>62</v>
      </c>
      <c r="S363" s="34"/>
      <c r="T363" s="34"/>
      <c r="U363" s="34"/>
      <c r="V363" s="8"/>
      <c r="W363" t="s">
        <v>1176</v>
      </c>
      <c r="Y363" s="34"/>
      <c r="Z363"/>
      <c r="AA363"/>
      <c r="AE363"/>
      <c r="AF363"/>
      <c r="AG363"/>
      <c r="AH363"/>
    </row>
    <row r="364" spans="1:34" ht="15.75" customHeight="1" x14ac:dyDescent="0.15">
      <c r="A364" s="6">
        <v>358</v>
      </c>
      <c r="B364" s="18" t="s">
        <v>75</v>
      </c>
      <c r="C364" s="34" t="s">
        <v>57</v>
      </c>
      <c r="D364" s="75" t="s">
        <v>1177</v>
      </c>
      <c r="E364" s="2" t="s">
        <v>169</v>
      </c>
      <c r="F364">
        <v>15307</v>
      </c>
      <c r="G364" s="6">
        <v>31</v>
      </c>
      <c r="H364" s="6" t="s">
        <v>1178</v>
      </c>
      <c r="I364" s="34"/>
      <c r="J364" s="38" t="s">
        <v>171</v>
      </c>
      <c r="K364" s="38" t="s">
        <v>177</v>
      </c>
      <c r="L364" s="38" t="s">
        <v>173</v>
      </c>
      <c r="M364" s="38"/>
      <c r="N364" s="19"/>
      <c r="O364" s="76" t="s">
        <v>62</v>
      </c>
      <c r="P364" s="6" t="s">
        <v>62</v>
      </c>
      <c r="Q364" s="38" t="s">
        <v>62</v>
      </c>
      <c r="R364" s="38" t="s">
        <v>62</v>
      </c>
      <c r="S364" s="34"/>
      <c r="T364" s="34"/>
      <c r="U364" s="34"/>
      <c r="V364" s="8"/>
      <c r="W364" t="s">
        <v>1179</v>
      </c>
      <c r="Y364" s="34"/>
      <c r="Z364"/>
      <c r="AA364"/>
      <c r="AE364"/>
      <c r="AF364"/>
      <c r="AG364"/>
      <c r="AH364"/>
    </row>
    <row r="365" spans="1:34" ht="15.75" customHeight="1" x14ac:dyDescent="0.15">
      <c r="A365" s="6">
        <v>359</v>
      </c>
      <c r="B365" s="18" t="s">
        <v>75</v>
      </c>
      <c r="C365" s="34" t="s">
        <v>57</v>
      </c>
      <c r="D365" s="75" t="s">
        <v>1180</v>
      </c>
      <c r="E365" s="2" t="s">
        <v>219</v>
      </c>
      <c r="F365">
        <v>15309</v>
      </c>
      <c r="G365" s="6"/>
      <c r="H365" s="6" t="s">
        <v>1181</v>
      </c>
      <c r="I365" s="34"/>
      <c r="J365" s="38"/>
      <c r="K365" s="38"/>
      <c r="L365" s="38"/>
      <c r="M365" s="38"/>
      <c r="N365" s="19"/>
      <c r="O365" s="76" t="s">
        <v>62</v>
      </c>
      <c r="P365" s="6" t="s">
        <v>62</v>
      </c>
      <c r="Q365" s="38" t="s">
        <v>62</v>
      </c>
      <c r="R365" s="38" t="s">
        <v>62</v>
      </c>
      <c r="S365" s="34"/>
      <c r="T365" s="34"/>
      <c r="U365" s="34"/>
      <c r="V365" s="8"/>
      <c r="W365" t="s">
        <v>1182</v>
      </c>
      <c r="Y365" s="34"/>
      <c r="Z365"/>
      <c r="AA365"/>
      <c r="AE365"/>
      <c r="AF365"/>
      <c r="AG365"/>
      <c r="AH365"/>
    </row>
    <row r="366" spans="1:34" ht="15.75" customHeight="1" x14ac:dyDescent="0.15">
      <c r="A366" s="6">
        <v>360</v>
      </c>
      <c r="B366" s="18" t="s">
        <v>75</v>
      </c>
      <c r="C366" s="34" t="s">
        <v>57</v>
      </c>
      <c r="D366" s="75" t="s">
        <v>1183</v>
      </c>
      <c r="E366" s="2" t="s">
        <v>169</v>
      </c>
      <c r="F366">
        <v>15309</v>
      </c>
      <c r="G366" s="6">
        <v>0</v>
      </c>
      <c r="H366" s="6" t="s">
        <v>1184</v>
      </c>
      <c r="I366" s="34"/>
      <c r="J366" s="38" t="s">
        <v>171</v>
      </c>
      <c r="K366" s="38" t="s">
        <v>177</v>
      </c>
      <c r="L366" s="38" t="s">
        <v>173</v>
      </c>
      <c r="M366" s="38"/>
      <c r="N366" s="19"/>
      <c r="O366" s="76" t="s">
        <v>62</v>
      </c>
      <c r="P366" s="6" t="s">
        <v>62</v>
      </c>
      <c r="Q366" s="38" t="s">
        <v>62</v>
      </c>
      <c r="R366" s="38" t="s">
        <v>62</v>
      </c>
      <c r="S366" s="34"/>
      <c r="T366" s="34"/>
      <c r="U366" s="34"/>
      <c r="V366" s="8"/>
      <c r="W366" t="s">
        <v>1185</v>
      </c>
      <c r="Y366" s="34"/>
      <c r="Z366"/>
      <c r="AA366"/>
      <c r="AE366"/>
      <c r="AF366"/>
      <c r="AG366"/>
      <c r="AH366"/>
    </row>
    <row r="367" spans="1:34" ht="15.75" customHeight="1" x14ac:dyDescent="0.15">
      <c r="A367" s="6">
        <v>361</v>
      </c>
      <c r="B367" s="18" t="s">
        <v>75</v>
      </c>
      <c r="C367" s="34" t="s">
        <v>57</v>
      </c>
      <c r="D367" s="75" t="s">
        <v>1186</v>
      </c>
      <c r="E367" s="2" t="s">
        <v>169</v>
      </c>
      <c r="F367">
        <v>15309</v>
      </c>
      <c r="G367" s="6">
        <v>1</v>
      </c>
      <c r="H367" s="6" t="s">
        <v>1187</v>
      </c>
      <c r="I367" s="34"/>
      <c r="J367" s="38" t="s">
        <v>171</v>
      </c>
      <c r="K367" s="38" t="s">
        <v>177</v>
      </c>
      <c r="L367" s="38" t="s">
        <v>173</v>
      </c>
      <c r="M367" s="38"/>
      <c r="N367" s="19"/>
      <c r="O367" s="76" t="s">
        <v>62</v>
      </c>
      <c r="P367" s="6" t="s">
        <v>62</v>
      </c>
      <c r="Q367" s="38" t="s">
        <v>62</v>
      </c>
      <c r="R367" s="38" t="s">
        <v>62</v>
      </c>
      <c r="S367" s="34"/>
      <c r="T367" s="34"/>
      <c r="U367" s="34"/>
      <c r="V367" s="8"/>
      <c r="W367" t="s">
        <v>1188</v>
      </c>
      <c r="Y367" s="34"/>
      <c r="Z367"/>
      <c r="AA367"/>
      <c r="AE367"/>
      <c r="AF367"/>
      <c r="AG367"/>
      <c r="AH367"/>
    </row>
    <row r="368" spans="1:34" ht="15.75" customHeight="1" x14ac:dyDescent="0.15">
      <c r="A368" s="6">
        <v>362</v>
      </c>
      <c r="B368" s="18" t="s">
        <v>75</v>
      </c>
      <c r="C368" s="34" t="s">
        <v>57</v>
      </c>
      <c r="D368" s="75" t="s">
        <v>1189</v>
      </c>
      <c r="E368" s="2" t="s">
        <v>169</v>
      </c>
      <c r="F368">
        <v>15309</v>
      </c>
      <c r="G368" s="6">
        <v>2</v>
      </c>
      <c r="H368" s="6" t="s">
        <v>1190</v>
      </c>
      <c r="I368" s="34"/>
      <c r="J368" s="38" t="s">
        <v>171</v>
      </c>
      <c r="K368" s="38" t="s">
        <v>177</v>
      </c>
      <c r="L368" s="38" t="s">
        <v>173</v>
      </c>
      <c r="M368" s="38"/>
      <c r="N368" s="19"/>
      <c r="O368" s="76" t="s">
        <v>62</v>
      </c>
      <c r="P368" s="6" t="s">
        <v>62</v>
      </c>
      <c r="Q368" s="38" t="s">
        <v>62</v>
      </c>
      <c r="R368" s="38" t="s">
        <v>62</v>
      </c>
      <c r="S368" s="34"/>
      <c r="T368" s="34"/>
      <c r="U368" s="34"/>
      <c r="V368" s="8"/>
      <c r="W368" t="s">
        <v>1191</v>
      </c>
      <c r="Y368" s="34"/>
      <c r="Z368"/>
      <c r="AA368"/>
      <c r="AE368"/>
      <c r="AF368"/>
      <c r="AG368"/>
      <c r="AH368"/>
    </row>
    <row r="369" spans="1:34" ht="15.75" customHeight="1" x14ac:dyDescent="0.15">
      <c r="A369" s="6">
        <v>363</v>
      </c>
      <c r="B369" s="18" t="s">
        <v>75</v>
      </c>
      <c r="C369" s="34" t="s">
        <v>57</v>
      </c>
      <c r="D369" s="75" t="s">
        <v>1192</v>
      </c>
      <c r="E369" s="2" t="s">
        <v>219</v>
      </c>
      <c r="F369">
        <v>15313</v>
      </c>
      <c r="G369" s="6"/>
      <c r="H369" s="6" t="s">
        <v>1193</v>
      </c>
      <c r="I369" s="34"/>
      <c r="J369" s="38"/>
      <c r="K369" s="38"/>
      <c r="L369" s="38"/>
      <c r="M369" s="38"/>
      <c r="N369" s="19"/>
      <c r="O369" s="76" t="s">
        <v>62</v>
      </c>
      <c r="P369" s="6" t="s">
        <v>62</v>
      </c>
      <c r="Q369" s="38" t="s">
        <v>62</v>
      </c>
      <c r="R369" s="38" t="s">
        <v>62</v>
      </c>
      <c r="S369" s="34"/>
      <c r="T369" s="34"/>
      <c r="U369" s="34"/>
      <c r="V369" s="8"/>
      <c r="W369" t="s">
        <v>1194</v>
      </c>
      <c r="Y369" s="34"/>
      <c r="Z369"/>
      <c r="AA369"/>
      <c r="AE369"/>
      <c r="AF369"/>
      <c r="AG369"/>
      <c r="AH369"/>
    </row>
    <row r="370" spans="1:34" ht="15.75" customHeight="1" x14ac:dyDescent="0.15">
      <c r="A370" s="6">
        <v>364</v>
      </c>
      <c r="B370" s="18" t="s">
        <v>75</v>
      </c>
      <c r="C370" s="34" t="s">
        <v>57</v>
      </c>
      <c r="D370" s="75" t="s">
        <v>1195</v>
      </c>
      <c r="E370" s="2" t="s">
        <v>169</v>
      </c>
      <c r="F370">
        <v>15313</v>
      </c>
      <c r="G370" s="6">
        <v>0</v>
      </c>
      <c r="H370" s="6" t="s">
        <v>1196</v>
      </c>
      <c r="I370" s="34"/>
      <c r="J370" s="38" t="s">
        <v>196</v>
      </c>
      <c r="K370" s="38" t="s">
        <v>197</v>
      </c>
      <c r="L370" s="38" t="s">
        <v>198</v>
      </c>
      <c r="M370" s="38"/>
      <c r="N370" s="19"/>
      <c r="O370" s="76" t="s">
        <v>62</v>
      </c>
      <c r="P370" s="6" t="s">
        <v>62</v>
      </c>
      <c r="Q370" s="38" t="s">
        <v>62</v>
      </c>
      <c r="R370" s="38" t="s">
        <v>62</v>
      </c>
      <c r="S370" s="34"/>
      <c r="T370" s="34"/>
      <c r="U370" s="34"/>
      <c r="V370" s="8"/>
      <c r="W370" t="s">
        <v>1197</v>
      </c>
      <c r="Y370" s="34"/>
      <c r="Z370"/>
      <c r="AA370"/>
      <c r="AE370"/>
      <c r="AF370"/>
      <c r="AG370"/>
      <c r="AH370"/>
    </row>
    <row r="371" spans="1:34" ht="15.75" customHeight="1" x14ac:dyDescent="0.15">
      <c r="A371" s="6">
        <v>365</v>
      </c>
      <c r="B371" s="18" t="s">
        <v>75</v>
      </c>
      <c r="C371" s="34" t="s">
        <v>57</v>
      </c>
      <c r="D371" s="75" t="s">
        <v>1198</v>
      </c>
      <c r="E371" s="2" t="s">
        <v>169</v>
      </c>
      <c r="F371">
        <v>15313</v>
      </c>
      <c r="G371" s="6">
        <v>3</v>
      </c>
      <c r="H371" s="6" t="s">
        <v>1199</v>
      </c>
      <c r="I371" s="34"/>
      <c r="J371" s="38" t="s">
        <v>196</v>
      </c>
      <c r="K371" s="38" t="s">
        <v>197</v>
      </c>
      <c r="L371" s="38" t="s">
        <v>198</v>
      </c>
      <c r="M371" s="38"/>
      <c r="N371" s="19"/>
      <c r="O371" s="76" t="s">
        <v>62</v>
      </c>
      <c r="P371" s="6" t="s">
        <v>62</v>
      </c>
      <c r="Q371" s="38" t="s">
        <v>62</v>
      </c>
      <c r="R371" s="38" t="s">
        <v>62</v>
      </c>
      <c r="S371" s="34"/>
      <c r="T371" s="34"/>
      <c r="U371" s="34"/>
      <c r="V371" s="8"/>
      <c r="W371" t="s">
        <v>1200</v>
      </c>
      <c r="Y371" s="34"/>
      <c r="Z371"/>
      <c r="AA371"/>
      <c r="AE371"/>
      <c r="AF371"/>
      <c r="AG371"/>
      <c r="AH371"/>
    </row>
    <row r="372" spans="1:34" ht="15.75" customHeight="1" x14ac:dyDescent="0.15">
      <c r="A372" s="6">
        <v>366</v>
      </c>
      <c r="B372" s="18" t="s">
        <v>75</v>
      </c>
      <c r="C372" s="34" t="s">
        <v>57</v>
      </c>
      <c r="D372" s="75" t="s">
        <v>1201</v>
      </c>
      <c r="E372" s="2" t="s">
        <v>169</v>
      </c>
      <c r="F372">
        <v>15313</v>
      </c>
      <c r="G372" s="6">
        <v>17</v>
      </c>
      <c r="H372" s="6" t="s">
        <v>1202</v>
      </c>
      <c r="I372" s="34"/>
      <c r="J372" s="38" t="s">
        <v>171</v>
      </c>
      <c r="K372" s="38" t="s">
        <v>177</v>
      </c>
      <c r="L372" s="38" t="s">
        <v>173</v>
      </c>
      <c r="M372" s="38"/>
      <c r="N372" s="19"/>
      <c r="O372" s="76" t="s">
        <v>62</v>
      </c>
      <c r="P372" s="6" t="s">
        <v>62</v>
      </c>
      <c r="Q372" s="38" t="s">
        <v>62</v>
      </c>
      <c r="R372" s="38" t="s">
        <v>62</v>
      </c>
      <c r="S372" s="34"/>
      <c r="T372" s="34"/>
      <c r="U372" s="34"/>
      <c r="V372" s="8"/>
      <c r="W372" t="s">
        <v>1203</v>
      </c>
      <c r="Y372" s="34"/>
      <c r="Z372"/>
      <c r="AA372"/>
      <c r="AE372"/>
      <c r="AF372"/>
      <c r="AG372"/>
      <c r="AH372"/>
    </row>
    <row r="373" spans="1:34" ht="15.75" customHeight="1" x14ac:dyDescent="0.15">
      <c r="A373" s="6">
        <v>367</v>
      </c>
      <c r="B373" s="18" t="s">
        <v>75</v>
      </c>
      <c r="C373" s="34" t="s">
        <v>57</v>
      </c>
      <c r="D373" s="75" t="s">
        <v>1204</v>
      </c>
      <c r="E373" s="2" t="s">
        <v>169</v>
      </c>
      <c r="F373">
        <v>15313</v>
      </c>
      <c r="G373" s="6">
        <v>18</v>
      </c>
      <c r="H373" s="6" t="s">
        <v>1205</v>
      </c>
      <c r="I373" s="34"/>
      <c r="J373" s="38" t="s">
        <v>171</v>
      </c>
      <c r="K373" s="38" t="s">
        <v>177</v>
      </c>
      <c r="L373" s="38" t="s">
        <v>173</v>
      </c>
      <c r="M373" s="38"/>
      <c r="N373" s="19"/>
      <c r="O373" s="76" t="s">
        <v>62</v>
      </c>
      <c r="P373" s="6" t="s">
        <v>62</v>
      </c>
      <c r="Q373" s="38" t="s">
        <v>62</v>
      </c>
      <c r="R373" s="38" t="s">
        <v>62</v>
      </c>
      <c r="S373" s="34"/>
      <c r="T373" s="34"/>
      <c r="U373" s="34"/>
      <c r="V373" s="8"/>
      <c r="W373" t="s">
        <v>1206</v>
      </c>
      <c r="Y373" s="34"/>
      <c r="Z373"/>
      <c r="AA373"/>
      <c r="AE373"/>
      <c r="AF373"/>
      <c r="AG373"/>
      <c r="AH373"/>
    </row>
    <row r="374" spans="1:34" ht="15.75" customHeight="1" x14ac:dyDescent="0.15">
      <c r="A374" s="6">
        <v>368</v>
      </c>
      <c r="B374" s="18" t="s">
        <v>75</v>
      </c>
      <c r="C374" s="34" t="s">
        <v>57</v>
      </c>
      <c r="D374" s="75" t="s">
        <v>1207</v>
      </c>
      <c r="E374" s="2" t="s">
        <v>169</v>
      </c>
      <c r="F374">
        <v>15313</v>
      </c>
      <c r="G374" s="6">
        <v>19</v>
      </c>
      <c r="H374" s="6" t="s">
        <v>1208</v>
      </c>
      <c r="I374" s="34"/>
      <c r="J374" s="38" t="s">
        <v>171</v>
      </c>
      <c r="K374" s="38" t="s">
        <v>177</v>
      </c>
      <c r="L374" s="38" t="s">
        <v>173</v>
      </c>
      <c r="M374" s="38"/>
      <c r="N374" s="19"/>
      <c r="O374" s="76" t="s">
        <v>62</v>
      </c>
      <c r="P374" s="6" t="s">
        <v>62</v>
      </c>
      <c r="Q374" s="38" t="s">
        <v>62</v>
      </c>
      <c r="R374" s="38" t="s">
        <v>62</v>
      </c>
      <c r="S374" s="34"/>
      <c r="T374" s="34"/>
      <c r="U374" s="34"/>
      <c r="V374" s="8"/>
      <c r="W374" t="s">
        <v>1209</v>
      </c>
      <c r="Y374" s="34"/>
      <c r="Z374"/>
      <c r="AA374"/>
      <c r="AE374"/>
      <c r="AF374"/>
      <c r="AG374"/>
      <c r="AH374"/>
    </row>
    <row r="375" spans="1:34" ht="15.75" customHeight="1" x14ac:dyDescent="0.15">
      <c r="A375" s="6">
        <v>369</v>
      </c>
      <c r="B375" s="18" t="s">
        <v>75</v>
      </c>
      <c r="C375" s="34" t="s">
        <v>57</v>
      </c>
      <c r="D375" s="75" t="s">
        <v>1210</v>
      </c>
      <c r="E375" s="2" t="s">
        <v>143</v>
      </c>
      <c r="F375">
        <v>15317</v>
      </c>
      <c r="G375" s="6"/>
      <c r="H375" s="6" t="s">
        <v>1211</v>
      </c>
      <c r="I375" s="34"/>
      <c r="J375" s="38"/>
      <c r="K375" s="38"/>
      <c r="L375" s="38"/>
      <c r="M375" s="38" t="s">
        <v>266</v>
      </c>
      <c r="N375" s="19">
        <v>10</v>
      </c>
      <c r="O375" s="76">
        <v>-32768</v>
      </c>
      <c r="P375" s="6">
        <v>32767</v>
      </c>
      <c r="Q375" s="38">
        <v>-3276.8</v>
      </c>
      <c r="R375" s="38">
        <v>3276.7</v>
      </c>
      <c r="S375" s="34"/>
      <c r="T375" s="34"/>
      <c r="U375" s="34"/>
      <c r="V375" s="8"/>
      <c r="W375" t="s">
        <v>1212</v>
      </c>
      <c r="Y375" s="34"/>
      <c r="Z375"/>
      <c r="AA375"/>
      <c r="AE375"/>
      <c r="AF375"/>
      <c r="AG375"/>
      <c r="AH375"/>
    </row>
    <row r="376" spans="1:34" ht="15.75" customHeight="1" x14ac:dyDescent="0.15">
      <c r="A376" s="6">
        <v>370</v>
      </c>
      <c r="B376" s="18" t="s">
        <v>75</v>
      </c>
      <c r="C376" s="34" t="s">
        <v>57</v>
      </c>
      <c r="D376" s="75" t="s">
        <v>1213</v>
      </c>
      <c r="E376" s="2" t="s">
        <v>143</v>
      </c>
      <c r="F376">
        <v>15319</v>
      </c>
      <c r="G376" s="6"/>
      <c r="H376" s="6" t="s">
        <v>1214</v>
      </c>
      <c r="I376" s="34"/>
      <c r="J376" s="38"/>
      <c r="K376" s="38"/>
      <c r="L376" s="38"/>
      <c r="M376" s="38" t="s">
        <v>266</v>
      </c>
      <c r="N376" s="19">
        <v>10</v>
      </c>
      <c r="O376" s="76">
        <v>-32768</v>
      </c>
      <c r="P376" s="6">
        <v>32767</v>
      </c>
      <c r="Q376" s="38">
        <v>-3276.8</v>
      </c>
      <c r="R376" s="38">
        <v>3276.7</v>
      </c>
      <c r="S376" s="34"/>
      <c r="T376" s="34"/>
      <c r="U376" s="34"/>
      <c r="V376" s="8"/>
      <c r="W376" t="s">
        <v>1215</v>
      </c>
      <c r="Y376" s="34"/>
      <c r="Z376"/>
      <c r="AA376"/>
      <c r="AE376"/>
      <c r="AF376"/>
      <c r="AG376"/>
      <c r="AH376"/>
    </row>
    <row r="377" spans="1:34" ht="15.75" customHeight="1" x14ac:dyDescent="0.15">
      <c r="A377" s="6">
        <v>371</v>
      </c>
      <c r="B377" s="18" t="s">
        <v>75</v>
      </c>
      <c r="C377" s="34" t="s">
        <v>57</v>
      </c>
      <c r="D377" s="75" t="s">
        <v>1216</v>
      </c>
      <c r="E377" s="2" t="s">
        <v>143</v>
      </c>
      <c r="F377">
        <v>15321</v>
      </c>
      <c r="G377" s="6"/>
      <c r="H377" s="6" t="s">
        <v>1217</v>
      </c>
      <c r="I377" s="34"/>
      <c r="J377" s="38"/>
      <c r="K377" s="38"/>
      <c r="L377" s="38"/>
      <c r="M377" s="38" t="s">
        <v>266</v>
      </c>
      <c r="N377" s="19">
        <v>10</v>
      </c>
      <c r="O377" s="76">
        <v>-32768</v>
      </c>
      <c r="P377" s="6">
        <v>32767</v>
      </c>
      <c r="Q377" s="38">
        <v>-3276.8</v>
      </c>
      <c r="R377" s="38">
        <v>3276.7</v>
      </c>
      <c r="S377" s="34"/>
      <c r="T377" s="34"/>
      <c r="U377" s="34"/>
      <c r="V377" s="8"/>
      <c r="W377" t="s">
        <v>1218</v>
      </c>
      <c r="Y377" s="34"/>
      <c r="Z377"/>
      <c r="AA377"/>
      <c r="AE377"/>
      <c r="AF377"/>
      <c r="AG377"/>
      <c r="AH377"/>
    </row>
    <row r="378" spans="1:34" ht="15.75" customHeight="1" x14ac:dyDescent="0.15">
      <c r="A378" s="6">
        <v>372</v>
      </c>
      <c r="B378" s="18" t="s">
        <v>75</v>
      </c>
      <c r="C378" s="34" t="s">
        <v>57</v>
      </c>
      <c r="D378" s="75" t="s">
        <v>1219</v>
      </c>
      <c r="E378" s="2" t="s">
        <v>59</v>
      </c>
      <c r="F378">
        <v>15323</v>
      </c>
      <c r="G378" s="6"/>
      <c r="H378" s="6" t="s">
        <v>1220</v>
      </c>
      <c r="I378" s="34"/>
      <c r="J378" s="38"/>
      <c r="K378" s="38"/>
      <c r="L378" s="38"/>
      <c r="M378" s="38" t="s">
        <v>781</v>
      </c>
      <c r="N378" s="19">
        <v>100</v>
      </c>
      <c r="O378" s="76">
        <v>0</v>
      </c>
      <c r="P378" s="6">
        <v>4294967295</v>
      </c>
      <c r="Q378" s="38">
        <v>0</v>
      </c>
      <c r="R378" s="38">
        <v>42949672.950000003</v>
      </c>
      <c r="S378" s="34"/>
      <c r="T378" s="34"/>
      <c r="U378" s="34"/>
      <c r="V378" s="8"/>
      <c r="W378" t="s">
        <v>1221</v>
      </c>
      <c r="Y378" s="34"/>
      <c r="Z378"/>
      <c r="AA378"/>
      <c r="AE378"/>
      <c r="AF378"/>
      <c r="AG378"/>
      <c r="AH378"/>
    </row>
    <row r="379" spans="1:34" ht="15.75" customHeight="1" x14ac:dyDescent="0.15">
      <c r="A379" s="6">
        <v>373</v>
      </c>
      <c r="B379" s="18" t="s">
        <v>75</v>
      </c>
      <c r="C379" s="34" t="s">
        <v>57</v>
      </c>
      <c r="D379" s="75" t="s">
        <v>1222</v>
      </c>
      <c r="E379" s="2" t="s">
        <v>59</v>
      </c>
      <c r="F379">
        <v>15325</v>
      </c>
      <c r="G379" s="6"/>
      <c r="H379" s="6" t="s">
        <v>1223</v>
      </c>
      <c r="I379" s="34"/>
      <c r="J379" s="38"/>
      <c r="K379" s="38"/>
      <c r="L379" s="38"/>
      <c r="M379" s="38" t="s">
        <v>781</v>
      </c>
      <c r="N379" s="19">
        <v>100</v>
      </c>
      <c r="O379" s="76">
        <v>0</v>
      </c>
      <c r="P379" s="6">
        <v>4294967295</v>
      </c>
      <c r="Q379" s="38">
        <v>0</v>
      </c>
      <c r="R379" s="38">
        <v>42949672.950000003</v>
      </c>
      <c r="S379" s="34"/>
      <c r="T379" s="34"/>
      <c r="U379" s="34"/>
      <c r="V379" s="8"/>
      <c r="W379" t="s">
        <v>1224</v>
      </c>
      <c r="Y379" s="34"/>
      <c r="Z379"/>
      <c r="AA379"/>
      <c r="AE379"/>
      <c r="AF379"/>
      <c r="AG379"/>
      <c r="AH379"/>
    </row>
    <row r="380" spans="1:34" ht="15.75" customHeight="1" x14ac:dyDescent="0.15">
      <c r="A380" s="6">
        <v>374</v>
      </c>
      <c r="B380" s="18" t="s">
        <v>75</v>
      </c>
      <c r="C380" s="34" t="s">
        <v>57</v>
      </c>
      <c r="D380" s="75" t="s">
        <v>1225</v>
      </c>
      <c r="E380" s="2" t="s">
        <v>219</v>
      </c>
      <c r="F380">
        <v>15327</v>
      </c>
      <c r="G380" s="6"/>
      <c r="H380" s="6" t="s">
        <v>1226</v>
      </c>
      <c r="I380" s="34"/>
      <c r="J380" s="38"/>
      <c r="K380" s="38"/>
      <c r="L380" s="38"/>
      <c r="M380" s="38"/>
      <c r="N380" s="19"/>
      <c r="O380" s="76" t="s">
        <v>62</v>
      </c>
      <c r="P380" s="6" t="s">
        <v>62</v>
      </c>
      <c r="Q380" s="38" t="s">
        <v>62</v>
      </c>
      <c r="R380" s="38" t="s">
        <v>62</v>
      </c>
      <c r="S380" s="34"/>
      <c r="T380" s="34"/>
      <c r="U380" s="34"/>
      <c r="V380" s="8"/>
      <c r="W380" t="s">
        <v>1227</v>
      </c>
      <c r="Y380" s="34"/>
      <c r="Z380"/>
      <c r="AA380"/>
      <c r="AE380"/>
      <c r="AF380"/>
      <c r="AG380"/>
      <c r="AH380"/>
    </row>
    <row r="381" spans="1:34" ht="15.75" customHeight="1" x14ac:dyDescent="0.15">
      <c r="A381" s="6">
        <v>375</v>
      </c>
      <c r="B381" s="18" t="s">
        <v>75</v>
      </c>
      <c r="C381" s="34" t="s">
        <v>57</v>
      </c>
      <c r="D381" s="75" t="s">
        <v>1228</v>
      </c>
      <c r="E381" s="2" t="s">
        <v>169</v>
      </c>
      <c r="F381">
        <v>15327</v>
      </c>
      <c r="G381" s="6">
        <v>0</v>
      </c>
      <c r="H381" s="6" t="s">
        <v>1229</v>
      </c>
      <c r="I381" s="34"/>
      <c r="J381" s="38" t="s">
        <v>196</v>
      </c>
      <c r="K381" s="38" t="s">
        <v>222</v>
      </c>
      <c r="L381" s="38" t="s">
        <v>224</v>
      </c>
      <c r="M381" s="38"/>
      <c r="N381" s="19"/>
      <c r="O381" s="76" t="s">
        <v>62</v>
      </c>
      <c r="P381" s="6" t="s">
        <v>62</v>
      </c>
      <c r="Q381" s="38" t="s">
        <v>62</v>
      </c>
      <c r="R381" s="38" t="s">
        <v>62</v>
      </c>
      <c r="S381" s="34"/>
      <c r="T381" s="34"/>
      <c r="U381" s="34"/>
      <c r="V381" s="8"/>
      <c r="W381" t="s">
        <v>1230</v>
      </c>
      <c r="Y381" s="34"/>
      <c r="Z381"/>
      <c r="AA381"/>
      <c r="AE381"/>
      <c r="AF381"/>
      <c r="AG381"/>
      <c r="AH381"/>
    </row>
    <row r="382" spans="1:34" ht="15.75" customHeight="1" x14ac:dyDescent="0.15">
      <c r="A382" s="6">
        <v>376</v>
      </c>
      <c r="B382" s="18" t="s">
        <v>75</v>
      </c>
      <c r="C382" s="34" t="s">
        <v>57</v>
      </c>
      <c r="D382" s="75" t="s">
        <v>1231</v>
      </c>
      <c r="E382" s="2" t="s">
        <v>169</v>
      </c>
      <c r="F382">
        <v>15327</v>
      </c>
      <c r="G382" s="6">
        <v>1</v>
      </c>
      <c r="H382" s="6" t="s">
        <v>1232</v>
      </c>
      <c r="I382" s="34"/>
      <c r="J382" s="38" t="s">
        <v>196</v>
      </c>
      <c r="K382" s="38" t="s">
        <v>226</v>
      </c>
      <c r="L382" s="38" t="s">
        <v>228</v>
      </c>
      <c r="M382" s="38"/>
      <c r="N382" s="19"/>
      <c r="O382" s="76" t="s">
        <v>62</v>
      </c>
      <c r="P382" s="6" t="s">
        <v>62</v>
      </c>
      <c r="Q382" s="38" t="s">
        <v>62</v>
      </c>
      <c r="R382" s="38" t="s">
        <v>62</v>
      </c>
      <c r="S382" s="34"/>
      <c r="T382" s="34"/>
      <c r="U382" s="34"/>
      <c r="V382" s="8"/>
      <c r="W382" t="s">
        <v>1233</v>
      </c>
      <c r="Y382" s="34"/>
      <c r="Z382"/>
      <c r="AA382"/>
      <c r="AE382"/>
      <c r="AF382"/>
      <c r="AG382"/>
      <c r="AH382"/>
    </row>
    <row r="383" spans="1:34" ht="15.75" customHeight="1" x14ac:dyDescent="0.15">
      <c r="A383" s="6">
        <v>377</v>
      </c>
      <c r="B383" s="18" t="s">
        <v>75</v>
      </c>
      <c r="C383" s="34" t="s">
        <v>57</v>
      </c>
      <c r="D383" s="75" t="s">
        <v>1234</v>
      </c>
      <c r="E383" s="2" t="s">
        <v>169</v>
      </c>
      <c r="F383">
        <v>15327</v>
      </c>
      <c r="G383" s="6">
        <v>2</v>
      </c>
      <c r="H383" s="6" t="s">
        <v>1235</v>
      </c>
      <c r="I383" s="34"/>
      <c r="J383" s="38" t="s">
        <v>196</v>
      </c>
      <c r="K383" s="38" t="s">
        <v>797</v>
      </c>
      <c r="L383" s="38" t="s">
        <v>798</v>
      </c>
      <c r="M383" s="38"/>
      <c r="N383" s="19"/>
      <c r="O383" s="76" t="s">
        <v>62</v>
      </c>
      <c r="P383" s="6" t="s">
        <v>62</v>
      </c>
      <c r="Q383" s="38" t="s">
        <v>62</v>
      </c>
      <c r="R383" s="38" t="s">
        <v>62</v>
      </c>
      <c r="S383" s="34"/>
      <c r="T383" s="34"/>
      <c r="U383" s="34"/>
      <c r="V383" s="8"/>
      <c r="W383" t="s">
        <v>1236</v>
      </c>
      <c r="Y383" s="34"/>
      <c r="Z383"/>
      <c r="AA383"/>
      <c r="AE383"/>
      <c r="AF383"/>
      <c r="AG383"/>
      <c r="AH383"/>
    </row>
    <row r="384" spans="1:34" ht="15.75" customHeight="1" x14ac:dyDescent="0.15">
      <c r="A384" s="6">
        <v>378</v>
      </c>
      <c r="B384" s="18" t="s">
        <v>75</v>
      </c>
      <c r="C384" s="34" t="s">
        <v>57</v>
      </c>
      <c r="D384" s="75" t="s">
        <v>1237</v>
      </c>
      <c r="E384" s="2" t="s">
        <v>169</v>
      </c>
      <c r="F384">
        <v>15327</v>
      </c>
      <c r="G384" s="6">
        <v>3</v>
      </c>
      <c r="H384" s="6" t="s">
        <v>1238</v>
      </c>
      <c r="I384" s="34"/>
      <c r="J384" s="38" t="s">
        <v>196</v>
      </c>
      <c r="K384" s="38" t="s">
        <v>226</v>
      </c>
      <c r="L384" s="38" t="s">
        <v>228</v>
      </c>
      <c r="M384" s="38"/>
      <c r="N384" s="19"/>
      <c r="O384" s="76" t="s">
        <v>62</v>
      </c>
      <c r="P384" s="6" t="s">
        <v>62</v>
      </c>
      <c r="Q384" s="38" t="s">
        <v>62</v>
      </c>
      <c r="R384" s="38" t="s">
        <v>62</v>
      </c>
      <c r="S384" s="34"/>
      <c r="T384" s="34"/>
      <c r="U384" s="34"/>
      <c r="V384" s="8"/>
      <c r="W384" t="s">
        <v>1239</v>
      </c>
      <c r="Y384" s="34"/>
      <c r="Z384"/>
      <c r="AA384"/>
      <c r="AE384"/>
      <c r="AF384"/>
      <c r="AG384"/>
      <c r="AH384"/>
    </row>
    <row r="385" spans="1:34" ht="15.75" customHeight="1" x14ac:dyDescent="0.15">
      <c r="A385" s="6">
        <v>379</v>
      </c>
      <c r="B385" s="18" t="s">
        <v>75</v>
      </c>
      <c r="C385" s="34" t="s">
        <v>57</v>
      </c>
      <c r="D385" s="75" t="s">
        <v>1240</v>
      </c>
      <c r="E385" s="2" t="s">
        <v>169</v>
      </c>
      <c r="F385">
        <v>15327</v>
      </c>
      <c r="G385" s="6">
        <v>4</v>
      </c>
      <c r="H385" s="6" t="s">
        <v>1241</v>
      </c>
      <c r="I385" s="34"/>
      <c r="J385" s="38" t="s">
        <v>196</v>
      </c>
      <c r="K385" s="38" t="s">
        <v>797</v>
      </c>
      <c r="L385" s="38" t="s">
        <v>798</v>
      </c>
      <c r="M385" s="38"/>
      <c r="N385" s="19"/>
      <c r="O385" s="76" t="s">
        <v>62</v>
      </c>
      <c r="P385" s="6" t="s">
        <v>62</v>
      </c>
      <c r="Q385" s="38" t="s">
        <v>62</v>
      </c>
      <c r="R385" s="38" t="s">
        <v>62</v>
      </c>
      <c r="S385" s="34"/>
      <c r="T385" s="34"/>
      <c r="U385" s="34"/>
      <c r="V385" s="8"/>
      <c r="W385" t="s">
        <v>1242</v>
      </c>
      <c r="Y385" s="34"/>
      <c r="Z385"/>
      <c r="AA385"/>
      <c r="AE385"/>
      <c r="AF385"/>
      <c r="AG385"/>
      <c r="AH385"/>
    </row>
    <row r="386" spans="1:34" ht="15.75" customHeight="1" x14ac:dyDescent="0.15">
      <c r="A386" s="6">
        <v>380</v>
      </c>
      <c r="B386" s="18" t="s">
        <v>75</v>
      </c>
      <c r="C386" s="34" t="s">
        <v>57</v>
      </c>
      <c r="D386" s="75" t="s">
        <v>1243</v>
      </c>
      <c r="E386" s="2" t="s">
        <v>169</v>
      </c>
      <c r="F386">
        <v>15327</v>
      </c>
      <c r="G386" s="6">
        <v>5</v>
      </c>
      <c r="H386" s="6" t="s">
        <v>1244</v>
      </c>
      <c r="I386" s="34"/>
      <c r="J386" s="38" t="s">
        <v>171</v>
      </c>
      <c r="K386" s="38" t="s">
        <v>177</v>
      </c>
      <c r="L386" s="38" t="s">
        <v>173</v>
      </c>
      <c r="M386" s="38"/>
      <c r="N386" s="19"/>
      <c r="O386" s="76" t="s">
        <v>62</v>
      </c>
      <c r="P386" s="6" t="s">
        <v>62</v>
      </c>
      <c r="Q386" s="38" t="s">
        <v>62</v>
      </c>
      <c r="R386" s="38" t="s">
        <v>62</v>
      </c>
      <c r="S386" s="34"/>
      <c r="T386" s="34"/>
      <c r="U386" s="34"/>
      <c r="V386" s="8"/>
      <c r="W386" t="s">
        <v>1245</v>
      </c>
      <c r="Y386" s="34"/>
      <c r="Z386"/>
      <c r="AA386"/>
      <c r="AE386"/>
      <c r="AF386"/>
      <c r="AG386"/>
      <c r="AH386"/>
    </row>
    <row r="387" spans="1:34" ht="15.75" customHeight="1" x14ac:dyDescent="0.15">
      <c r="A387" s="6">
        <v>381</v>
      </c>
      <c r="B387" s="18" t="s">
        <v>75</v>
      </c>
      <c r="C387" s="34" t="s">
        <v>57</v>
      </c>
      <c r="D387" s="75" t="s">
        <v>1246</v>
      </c>
      <c r="E387" s="2" t="s">
        <v>169</v>
      </c>
      <c r="F387">
        <v>15327</v>
      </c>
      <c r="G387" s="6">
        <v>6</v>
      </c>
      <c r="H387" s="6" t="s">
        <v>1247</v>
      </c>
      <c r="I387" s="34"/>
      <c r="J387" s="38" t="s">
        <v>196</v>
      </c>
      <c r="K387" s="38" t="s">
        <v>811</v>
      </c>
      <c r="L387" s="38" t="s">
        <v>812</v>
      </c>
      <c r="M387" s="38"/>
      <c r="N387" s="19"/>
      <c r="O387" s="76" t="s">
        <v>62</v>
      </c>
      <c r="P387" s="6" t="s">
        <v>62</v>
      </c>
      <c r="Q387" s="38" t="s">
        <v>62</v>
      </c>
      <c r="R387" s="38" t="s">
        <v>62</v>
      </c>
      <c r="S387" s="34"/>
      <c r="T387" s="34"/>
      <c r="U387" s="34"/>
      <c r="V387" s="8"/>
      <c r="W387" t="s">
        <v>1248</v>
      </c>
      <c r="Y387" s="34"/>
      <c r="Z387"/>
      <c r="AA387"/>
      <c r="AE387"/>
      <c r="AF387"/>
      <c r="AG387"/>
      <c r="AH387"/>
    </row>
    <row r="388" spans="1:34" ht="15.75" customHeight="1" x14ac:dyDescent="0.15">
      <c r="A388" s="6">
        <v>382</v>
      </c>
      <c r="B388" s="18" t="s">
        <v>75</v>
      </c>
      <c r="C388" s="34" t="s">
        <v>57</v>
      </c>
      <c r="D388" s="75" t="s">
        <v>1249</v>
      </c>
      <c r="E388" s="2" t="s">
        <v>169</v>
      </c>
      <c r="F388">
        <v>15327</v>
      </c>
      <c r="G388" s="6">
        <v>7</v>
      </c>
      <c r="H388" s="6" t="s">
        <v>1250</v>
      </c>
      <c r="I388" s="34"/>
      <c r="J388" s="38" t="s">
        <v>196</v>
      </c>
      <c r="K388" s="38" t="s">
        <v>816</v>
      </c>
      <c r="L388" s="38" t="s">
        <v>817</v>
      </c>
      <c r="M388" s="38"/>
      <c r="N388" s="19"/>
      <c r="O388" s="76" t="s">
        <v>62</v>
      </c>
      <c r="P388" s="6" t="s">
        <v>62</v>
      </c>
      <c r="Q388" s="38" t="s">
        <v>62</v>
      </c>
      <c r="R388" s="38" t="s">
        <v>62</v>
      </c>
      <c r="S388" s="34"/>
      <c r="T388" s="34"/>
      <c r="U388" s="34"/>
      <c r="V388" s="8"/>
      <c r="W388" t="s">
        <v>1251</v>
      </c>
      <c r="Y388" s="34"/>
      <c r="Z388"/>
      <c r="AA388"/>
      <c r="AE388"/>
      <c r="AF388"/>
      <c r="AG388"/>
      <c r="AH388"/>
    </row>
    <row r="389" spans="1:34" ht="15.75" customHeight="1" x14ac:dyDescent="0.15">
      <c r="A389" s="6">
        <v>383</v>
      </c>
      <c r="B389" s="18" t="s">
        <v>75</v>
      </c>
      <c r="C389" s="34" t="s">
        <v>57</v>
      </c>
      <c r="D389" s="75" t="s">
        <v>1252</v>
      </c>
      <c r="E389" s="2" t="s">
        <v>169</v>
      </c>
      <c r="F389">
        <v>15327</v>
      </c>
      <c r="G389" s="6">
        <v>9</v>
      </c>
      <c r="H389" s="6" t="s">
        <v>1253</v>
      </c>
      <c r="I389" s="34"/>
      <c r="J389" s="38" t="s">
        <v>171</v>
      </c>
      <c r="K389" s="38" t="s">
        <v>177</v>
      </c>
      <c r="L389" s="38" t="s">
        <v>173</v>
      </c>
      <c r="M389" s="38"/>
      <c r="N389" s="19"/>
      <c r="O389" s="76" t="s">
        <v>62</v>
      </c>
      <c r="P389" s="6" t="s">
        <v>62</v>
      </c>
      <c r="Q389" s="38" t="s">
        <v>62</v>
      </c>
      <c r="R389" s="38" t="s">
        <v>62</v>
      </c>
      <c r="S389" s="34"/>
      <c r="T389" s="34"/>
      <c r="U389" s="34"/>
      <c r="V389" s="8"/>
      <c r="W389" t="s">
        <v>1254</v>
      </c>
      <c r="Y389" s="34"/>
      <c r="Z389"/>
      <c r="AA389"/>
      <c r="AE389"/>
      <c r="AF389"/>
      <c r="AG389"/>
      <c r="AH389"/>
    </row>
    <row r="390" spans="1:34" ht="15.75" customHeight="1" x14ac:dyDescent="0.15">
      <c r="A390" s="6">
        <v>384</v>
      </c>
      <c r="B390" s="18" t="s">
        <v>75</v>
      </c>
      <c r="C390" s="34" t="s">
        <v>57</v>
      </c>
      <c r="D390" s="75" t="s">
        <v>1255</v>
      </c>
      <c r="E390" s="2" t="s">
        <v>169</v>
      </c>
      <c r="F390">
        <v>15327</v>
      </c>
      <c r="G390" s="6">
        <v>10</v>
      </c>
      <c r="H390" s="6" t="s">
        <v>1256</v>
      </c>
      <c r="I390" s="34"/>
      <c r="J390" s="38" t="s">
        <v>171</v>
      </c>
      <c r="K390" s="38" t="s">
        <v>177</v>
      </c>
      <c r="L390" s="38" t="s">
        <v>173</v>
      </c>
      <c r="M390" s="38"/>
      <c r="N390" s="19"/>
      <c r="O390" s="76" t="s">
        <v>62</v>
      </c>
      <c r="P390" s="6" t="s">
        <v>62</v>
      </c>
      <c r="Q390" s="38" t="s">
        <v>62</v>
      </c>
      <c r="R390" s="38" t="s">
        <v>62</v>
      </c>
      <c r="S390" s="34"/>
      <c r="T390" s="34"/>
      <c r="U390" s="34"/>
      <c r="V390" s="8"/>
      <c r="W390" t="s">
        <v>1257</v>
      </c>
      <c r="Y390" s="34"/>
      <c r="Z390"/>
      <c r="AA390"/>
      <c r="AE390"/>
      <c r="AF390"/>
      <c r="AG390"/>
      <c r="AH390"/>
    </row>
    <row r="391" spans="1:34" ht="15.75" customHeight="1" x14ac:dyDescent="0.15">
      <c r="A391" s="6">
        <v>385</v>
      </c>
      <c r="B391" s="18" t="s">
        <v>75</v>
      </c>
      <c r="C391" s="34" t="s">
        <v>57</v>
      </c>
      <c r="D391" s="75" t="s">
        <v>1258</v>
      </c>
      <c r="E391" s="2" t="s">
        <v>169</v>
      </c>
      <c r="F391">
        <v>15327</v>
      </c>
      <c r="G391" s="6">
        <v>11</v>
      </c>
      <c r="H391" s="6" t="s">
        <v>1259</v>
      </c>
      <c r="I391" s="34"/>
      <c r="J391" s="38" t="s">
        <v>171</v>
      </c>
      <c r="K391" s="38" t="s">
        <v>177</v>
      </c>
      <c r="L391" s="38" t="s">
        <v>173</v>
      </c>
      <c r="M391" s="38"/>
      <c r="N391" s="19"/>
      <c r="O391" s="76" t="s">
        <v>62</v>
      </c>
      <c r="P391" s="6" t="s">
        <v>62</v>
      </c>
      <c r="Q391" s="38" t="s">
        <v>62</v>
      </c>
      <c r="R391" s="38" t="s">
        <v>62</v>
      </c>
      <c r="S391" s="34"/>
      <c r="T391" s="34"/>
      <c r="U391" s="34"/>
      <c r="V391" s="8"/>
      <c r="W391" t="s">
        <v>1260</v>
      </c>
      <c r="Y391" s="34"/>
      <c r="Z391"/>
      <c r="AA391"/>
      <c r="AE391"/>
      <c r="AF391"/>
      <c r="AG391"/>
      <c r="AH391"/>
    </row>
    <row r="392" spans="1:34" s="59" customFormat="1" ht="15.75" customHeight="1" x14ac:dyDescent="0.15">
      <c r="A392" s="6">
        <v>386</v>
      </c>
      <c r="B392" s="18" t="s">
        <v>75</v>
      </c>
      <c r="C392" s="34" t="s">
        <v>57</v>
      </c>
      <c r="D392" s="75" t="s">
        <v>1261</v>
      </c>
      <c r="E392" s="2" t="s">
        <v>169</v>
      </c>
      <c r="F392">
        <v>15327</v>
      </c>
      <c r="G392" s="6">
        <v>13</v>
      </c>
      <c r="H392" s="6" t="s">
        <v>1262</v>
      </c>
      <c r="I392" s="34"/>
      <c r="J392" s="38" t="s">
        <v>171</v>
      </c>
      <c r="K392" s="38" t="s">
        <v>177</v>
      </c>
      <c r="L392" s="38" t="s">
        <v>173</v>
      </c>
      <c r="M392" s="38"/>
      <c r="N392" s="19"/>
      <c r="O392" s="76" t="s">
        <v>62</v>
      </c>
      <c r="P392" s="6" t="s">
        <v>62</v>
      </c>
      <c r="Q392" s="38" t="s">
        <v>62</v>
      </c>
      <c r="R392" s="38" t="s">
        <v>62</v>
      </c>
      <c r="S392" s="34"/>
      <c r="T392" s="34"/>
      <c r="U392" s="34"/>
      <c r="V392" s="8"/>
      <c r="W392" t="s">
        <v>1263</v>
      </c>
      <c r="X392"/>
      <c r="Y392" s="34"/>
    </row>
    <row r="393" spans="1:34" s="59" customFormat="1" ht="15.75" customHeight="1" x14ac:dyDescent="0.15">
      <c r="A393" s="6">
        <v>387</v>
      </c>
      <c r="B393" s="18" t="s">
        <v>75</v>
      </c>
      <c r="C393" s="34" t="s">
        <v>57</v>
      </c>
      <c r="D393" s="75" t="s">
        <v>1264</v>
      </c>
      <c r="E393" s="2" t="s">
        <v>169</v>
      </c>
      <c r="F393">
        <v>15327</v>
      </c>
      <c r="G393" s="6">
        <v>17</v>
      </c>
      <c r="H393" s="6" t="s">
        <v>1265</v>
      </c>
      <c r="I393" s="34"/>
      <c r="J393" s="38" t="s">
        <v>196</v>
      </c>
      <c r="K393" s="38" t="s">
        <v>222</v>
      </c>
      <c r="L393" s="38" t="s">
        <v>224</v>
      </c>
      <c r="M393" s="38"/>
      <c r="N393" s="19"/>
      <c r="O393" s="76" t="s">
        <v>62</v>
      </c>
      <c r="P393" s="6" t="s">
        <v>62</v>
      </c>
      <c r="Q393" s="38" t="s">
        <v>62</v>
      </c>
      <c r="R393" s="38" t="s">
        <v>62</v>
      </c>
      <c r="S393" s="34"/>
      <c r="T393" s="34"/>
      <c r="U393" s="34"/>
      <c r="V393" s="8"/>
      <c r="W393" t="s">
        <v>1266</v>
      </c>
      <c r="X393"/>
      <c r="Y393" s="34"/>
    </row>
    <row r="394" spans="1:34" s="59" customFormat="1" ht="15.75" customHeight="1" x14ac:dyDescent="0.15">
      <c r="A394" s="6">
        <v>388</v>
      </c>
      <c r="B394" s="18" t="s">
        <v>75</v>
      </c>
      <c r="C394" s="34" t="s">
        <v>57</v>
      </c>
      <c r="D394" s="75" t="s">
        <v>1267</v>
      </c>
      <c r="E394" s="2" t="s">
        <v>169</v>
      </c>
      <c r="F394">
        <v>15327</v>
      </c>
      <c r="G394" s="6">
        <v>18</v>
      </c>
      <c r="H394" s="6" t="s">
        <v>1268</v>
      </c>
      <c r="I394" s="34"/>
      <c r="J394" s="38" t="s">
        <v>196</v>
      </c>
      <c r="K394" s="38" t="s">
        <v>226</v>
      </c>
      <c r="L394" s="38" t="s">
        <v>228</v>
      </c>
      <c r="M394" s="38"/>
      <c r="N394" s="19"/>
      <c r="O394" s="76" t="s">
        <v>62</v>
      </c>
      <c r="P394" s="6" t="s">
        <v>62</v>
      </c>
      <c r="Q394" s="38" t="s">
        <v>62</v>
      </c>
      <c r="R394" s="38" t="s">
        <v>62</v>
      </c>
      <c r="S394" s="34"/>
      <c r="T394" s="34"/>
      <c r="U394" s="34"/>
      <c r="V394" s="8"/>
      <c r="W394" t="s">
        <v>1269</v>
      </c>
      <c r="X394"/>
      <c r="Y394" s="34"/>
    </row>
    <row r="395" spans="1:34" ht="15.75" customHeight="1" x14ac:dyDescent="0.15">
      <c r="A395" s="6">
        <v>389</v>
      </c>
      <c r="B395" s="18" t="s">
        <v>75</v>
      </c>
      <c r="C395" s="34" t="s">
        <v>57</v>
      </c>
      <c r="D395" s="75" t="s">
        <v>1270</v>
      </c>
      <c r="E395" s="2" t="s">
        <v>169</v>
      </c>
      <c r="F395">
        <v>15327</v>
      </c>
      <c r="G395" s="6">
        <v>19</v>
      </c>
      <c r="H395" s="6" t="s">
        <v>1271</v>
      </c>
      <c r="I395" s="34"/>
      <c r="J395" s="38" t="s">
        <v>171</v>
      </c>
      <c r="K395" s="38" t="s">
        <v>839</v>
      </c>
      <c r="L395" s="38" t="s">
        <v>840</v>
      </c>
      <c r="M395" s="38"/>
      <c r="N395" s="19"/>
      <c r="O395" s="76" t="s">
        <v>62</v>
      </c>
      <c r="P395" s="6" t="s">
        <v>62</v>
      </c>
      <c r="Q395" s="38" t="s">
        <v>62</v>
      </c>
      <c r="R395" s="38" t="s">
        <v>62</v>
      </c>
      <c r="S395" s="34"/>
      <c r="T395" s="34"/>
      <c r="U395" s="34"/>
      <c r="V395" s="8"/>
      <c r="W395" t="s">
        <v>1272</v>
      </c>
      <c r="Y395" s="34"/>
      <c r="Z395"/>
      <c r="AA395"/>
      <c r="AE395"/>
      <c r="AF395"/>
      <c r="AG395"/>
      <c r="AH395"/>
    </row>
    <row r="396" spans="1:34" s="59" customFormat="1" ht="15.75" customHeight="1" x14ac:dyDescent="0.15">
      <c r="A396" s="6">
        <v>390</v>
      </c>
      <c r="B396" s="18" t="s">
        <v>75</v>
      </c>
      <c r="C396" s="34" t="s">
        <v>57</v>
      </c>
      <c r="D396" s="75" t="s">
        <v>1273</v>
      </c>
      <c r="E396" s="2" t="s">
        <v>219</v>
      </c>
      <c r="F396">
        <v>15329</v>
      </c>
      <c r="G396" s="6"/>
      <c r="H396" s="6" t="s">
        <v>1274</v>
      </c>
      <c r="I396" s="34"/>
      <c r="J396" s="38"/>
      <c r="K396" s="38"/>
      <c r="L396" s="38"/>
      <c r="M396" s="38"/>
      <c r="N396" s="19"/>
      <c r="O396" s="76" t="s">
        <v>62</v>
      </c>
      <c r="P396" s="6" t="s">
        <v>62</v>
      </c>
      <c r="Q396" s="38" t="s">
        <v>62</v>
      </c>
      <c r="R396" s="38" t="s">
        <v>62</v>
      </c>
      <c r="S396" s="34"/>
      <c r="T396" s="34"/>
      <c r="U396" s="34"/>
      <c r="V396" s="8"/>
      <c r="W396" t="s">
        <v>1275</v>
      </c>
      <c r="X396"/>
      <c r="Y396" s="34"/>
    </row>
    <row r="397" spans="1:34" ht="15.75" customHeight="1" x14ac:dyDescent="0.15">
      <c r="A397" s="6">
        <v>391</v>
      </c>
      <c r="B397" s="18" t="s">
        <v>75</v>
      </c>
      <c r="C397" s="34" t="s">
        <v>57</v>
      </c>
      <c r="D397" s="75" t="s">
        <v>1276</v>
      </c>
      <c r="E397" s="2" t="s">
        <v>169</v>
      </c>
      <c r="F397">
        <v>15329</v>
      </c>
      <c r="G397" s="6">
        <v>0</v>
      </c>
      <c r="H397" s="6" t="s">
        <v>1277</v>
      </c>
      <c r="I397" s="34"/>
      <c r="J397" s="38" t="s">
        <v>171</v>
      </c>
      <c r="K397" s="38" t="s">
        <v>177</v>
      </c>
      <c r="L397" s="38" t="s">
        <v>173</v>
      </c>
      <c r="M397" s="38"/>
      <c r="N397" s="19"/>
      <c r="O397" s="76" t="s">
        <v>62</v>
      </c>
      <c r="P397" s="6" t="s">
        <v>62</v>
      </c>
      <c r="Q397" s="38" t="s">
        <v>62</v>
      </c>
      <c r="R397" s="38" t="s">
        <v>62</v>
      </c>
      <c r="S397" s="34"/>
      <c r="T397" s="34"/>
      <c r="U397" s="34"/>
      <c r="V397" s="8"/>
      <c r="W397" t="s">
        <v>1278</v>
      </c>
      <c r="Y397" s="34"/>
      <c r="Z397"/>
      <c r="AA397"/>
      <c r="AE397"/>
      <c r="AF397"/>
      <c r="AG397"/>
      <c r="AH397"/>
    </row>
    <row r="398" spans="1:34" ht="15.75" customHeight="1" x14ac:dyDescent="0.15">
      <c r="A398" s="6">
        <v>392</v>
      </c>
      <c r="B398" s="18" t="s">
        <v>75</v>
      </c>
      <c r="C398" s="34" t="s">
        <v>57</v>
      </c>
      <c r="D398" s="75" t="s">
        <v>1279</v>
      </c>
      <c r="E398" s="2" t="s">
        <v>169</v>
      </c>
      <c r="F398">
        <v>15329</v>
      </c>
      <c r="G398" s="6">
        <v>1</v>
      </c>
      <c r="H398" s="6" t="s">
        <v>1280</v>
      </c>
      <c r="I398" s="34"/>
      <c r="J398" s="38" t="s">
        <v>171</v>
      </c>
      <c r="K398" s="38" t="s">
        <v>177</v>
      </c>
      <c r="L398" s="38" t="s">
        <v>173</v>
      </c>
      <c r="M398" s="38"/>
      <c r="N398" s="19"/>
      <c r="O398" s="76" t="s">
        <v>62</v>
      </c>
      <c r="P398" s="6" t="s">
        <v>62</v>
      </c>
      <c r="Q398" s="38" t="s">
        <v>62</v>
      </c>
      <c r="R398" s="38" t="s">
        <v>62</v>
      </c>
      <c r="S398" s="34"/>
      <c r="T398" s="34"/>
      <c r="U398" s="34"/>
      <c r="V398" s="8"/>
      <c r="W398" t="s">
        <v>1281</v>
      </c>
      <c r="Y398" s="34"/>
      <c r="Z398"/>
      <c r="AA398"/>
      <c r="AE398"/>
      <c r="AF398"/>
      <c r="AG398"/>
      <c r="AH398"/>
    </row>
    <row r="399" spans="1:34" ht="15.75" customHeight="1" x14ac:dyDescent="0.15">
      <c r="A399" s="6">
        <v>393</v>
      </c>
      <c r="B399" s="18" t="s">
        <v>75</v>
      </c>
      <c r="C399" s="34" t="s">
        <v>57</v>
      </c>
      <c r="D399" s="75" t="s">
        <v>1282</v>
      </c>
      <c r="E399" s="2" t="s">
        <v>169</v>
      </c>
      <c r="F399">
        <v>15329</v>
      </c>
      <c r="G399" s="6">
        <v>2</v>
      </c>
      <c r="H399" s="6" t="s">
        <v>1283</v>
      </c>
      <c r="I399" s="34"/>
      <c r="J399" s="38" t="s">
        <v>171</v>
      </c>
      <c r="K399" s="38" t="s">
        <v>177</v>
      </c>
      <c r="L399" s="38" t="s">
        <v>173</v>
      </c>
      <c r="M399" s="38"/>
      <c r="N399" s="19"/>
      <c r="O399" s="76" t="s">
        <v>62</v>
      </c>
      <c r="P399" s="6" t="s">
        <v>62</v>
      </c>
      <c r="Q399" s="38" t="s">
        <v>62</v>
      </c>
      <c r="R399" s="38" t="s">
        <v>62</v>
      </c>
      <c r="S399" s="34"/>
      <c r="T399" s="34"/>
      <c r="U399" s="34"/>
      <c r="V399" s="8"/>
      <c r="W399" t="s">
        <v>1284</v>
      </c>
      <c r="Y399" s="34"/>
      <c r="Z399"/>
      <c r="AA399"/>
      <c r="AE399"/>
      <c r="AF399"/>
      <c r="AG399"/>
      <c r="AH399"/>
    </row>
    <row r="400" spans="1:34" s="59" customFormat="1" ht="15.75" customHeight="1" x14ac:dyDescent="0.15">
      <c r="A400" s="6">
        <v>394</v>
      </c>
      <c r="B400" s="18" t="s">
        <v>75</v>
      </c>
      <c r="C400" s="34" t="s">
        <v>57</v>
      </c>
      <c r="D400" s="75" t="s">
        <v>1285</v>
      </c>
      <c r="E400" s="2" t="s">
        <v>169</v>
      </c>
      <c r="F400">
        <v>15329</v>
      </c>
      <c r="G400" s="6">
        <v>3</v>
      </c>
      <c r="H400" s="6" t="s">
        <v>1286</v>
      </c>
      <c r="I400" s="34"/>
      <c r="J400" s="38" t="s">
        <v>171</v>
      </c>
      <c r="K400" s="38" t="s">
        <v>177</v>
      </c>
      <c r="L400" s="38" t="s">
        <v>173</v>
      </c>
      <c r="M400" s="38"/>
      <c r="N400" s="19"/>
      <c r="O400" s="76" t="s">
        <v>62</v>
      </c>
      <c r="P400" s="6" t="s">
        <v>62</v>
      </c>
      <c r="Q400" s="38" t="s">
        <v>62</v>
      </c>
      <c r="R400" s="38" t="s">
        <v>62</v>
      </c>
      <c r="S400" s="34"/>
      <c r="T400" s="34"/>
      <c r="U400" s="34"/>
      <c r="V400" s="8"/>
      <c r="W400" t="s">
        <v>1287</v>
      </c>
      <c r="X400"/>
      <c r="Y400" s="34"/>
    </row>
    <row r="401" spans="1:34" s="59" customFormat="1" ht="15.75" customHeight="1" x14ac:dyDescent="0.15">
      <c r="A401" s="6">
        <v>395</v>
      </c>
      <c r="B401" s="18" t="s">
        <v>75</v>
      </c>
      <c r="C401" s="34" t="s">
        <v>57</v>
      </c>
      <c r="D401" s="75" t="s">
        <v>1288</v>
      </c>
      <c r="E401" s="2" t="s">
        <v>169</v>
      </c>
      <c r="F401">
        <v>15329</v>
      </c>
      <c r="G401" s="6">
        <v>6</v>
      </c>
      <c r="H401" s="6" t="s">
        <v>1289</v>
      </c>
      <c r="I401" s="34"/>
      <c r="J401" s="38" t="s">
        <v>171</v>
      </c>
      <c r="K401" s="38" t="s">
        <v>177</v>
      </c>
      <c r="L401" s="38" t="s">
        <v>173</v>
      </c>
      <c r="M401" s="38"/>
      <c r="N401" s="19"/>
      <c r="O401" s="76" t="s">
        <v>62</v>
      </c>
      <c r="P401" s="6" t="s">
        <v>62</v>
      </c>
      <c r="Q401" s="38" t="s">
        <v>62</v>
      </c>
      <c r="R401" s="38" t="s">
        <v>62</v>
      </c>
      <c r="S401" s="34"/>
      <c r="T401" s="34"/>
      <c r="U401" s="34"/>
      <c r="V401" s="8"/>
      <c r="W401" t="s">
        <v>1290</v>
      </c>
      <c r="X401"/>
      <c r="Y401" s="34"/>
    </row>
    <row r="402" spans="1:34" ht="15.75" customHeight="1" x14ac:dyDescent="0.15">
      <c r="A402" s="6">
        <v>396</v>
      </c>
      <c r="B402" s="18" t="s">
        <v>75</v>
      </c>
      <c r="C402" s="34" t="s">
        <v>57</v>
      </c>
      <c r="D402" s="75" t="s">
        <v>1114</v>
      </c>
      <c r="E402" s="2" t="s">
        <v>169</v>
      </c>
      <c r="F402">
        <v>15329</v>
      </c>
      <c r="G402" s="6">
        <v>7</v>
      </c>
      <c r="H402" s="6" t="s">
        <v>1291</v>
      </c>
      <c r="I402" s="34"/>
      <c r="J402" s="38" t="s">
        <v>171</v>
      </c>
      <c r="K402" s="38" t="s">
        <v>177</v>
      </c>
      <c r="L402" s="38" t="s">
        <v>173</v>
      </c>
      <c r="M402" s="38"/>
      <c r="N402" s="19"/>
      <c r="O402" s="76" t="s">
        <v>62</v>
      </c>
      <c r="P402" s="6" t="s">
        <v>62</v>
      </c>
      <c r="Q402" s="38" t="s">
        <v>62</v>
      </c>
      <c r="R402" s="38" t="s">
        <v>62</v>
      </c>
      <c r="S402" s="34"/>
      <c r="T402" s="34"/>
      <c r="U402" s="34"/>
      <c r="V402" s="8"/>
      <c r="W402" t="s">
        <v>1292</v>
      </c>
      <c r="Y402" s="34"/>
      <c r="Z402"/>
      <c r="AA402"/>
      <c r="AE402"/>
      <c r="AF402"/>
      <c r="AG402"/>
      <c r="AH402"/>
    </row>
    <row r="403" spans="1:34" s="59" customFormat="1" ht="15.75" customHeight="1" x14ac:dyDescent="0.15">
      <c r="A403" s="6">
        <v>397</v>
      </c>
      <c r="B403" s="18" t="s">
        <v>75</v>
      </c>
      <c r="C403" s="34" t="s">
        <v>57</v>
      </c>
      <c r="D403" s="75" t="s">
        <v>1093</v>
      </c>
      <c r="E403" s="2" t="s">
        <v>169</v>
      </c>
      <c r="F403">
        <v>15329</v>
      </c>
      <c r="G403" s="6">
        <v>8</v>
      </c>
      <c r="H403" s="6" t="s">
        <v>1293</v>
      </c>
      <c r="I403" s="34"/>
      <c r="J403" s="38" t="s">
        <v>171</v>
      </c>
      <c r="K403" s="38" t="s">
        <v>177</v>
      </c>
      <c r="L403" s="38" t="s">
        <v>173</v>
      </c>
      <c r="M403" s="38"/>
      <c r="N403" s="19"/>
      <c r="O403" s="76" t="s">
        <v>62</v>
      </c>
      <c r="P403" s="6" t="s">
        <v>62</v>
      </c>
      <c r="Q403" s="38" t="s">
        <v>62</v>
      </c>
      <c r="R403" s="38" t="s">
        <v>62</v>
      </c>
      <c r="S403" s="34"/>
      <c r="T403" s="34"/>
      <c r="U403" s="34"/>
      <c r="V403" s="8"/>
      <c r="W403" t="s">
        <v>1294</v>
      </c>
      <c r="X403"/>
      <c r="Y403" s="34"/>
    </row>
    <row r="404" spans="1:34" ht="15.75" customHeight="1" x14ac:dyDescent="0.15">
      <c r="A404" s="6">
        <v>398</v>
      </c>
      <c r="B404" s="18" t="s">
        <v>75</v>
      </c>
      <c r="C404" s="34" t="s">
        <v>57</v>
      </c>
      <c r="D404" s="75" t="s">
        <v>1123</v>
      </c>
      <c r="E404" s="2" t="s">
        <v>169</v>
      </c>
      <c r="F404">
        <v>15329</v>
      </c>
      <c r="G404" s="6">
        <v>12</v>
      </c>
      <c r="H404" s="6" t="s">
        <v>1295</v>
      </c>
      <c r="I404" s="34"/>
      <c r="J404" s="38" t="s">
        <v>171</v>
      </c>
      <c r="K404" s="38" t="s">
        <v>177</v>
      </c>
      <c r="L404" s="38" t="s">
        <v>173</v>
      </c>
      <c r="M404" s="38"/>
      <c r="N404" s="19"/>
      <c r="O404" s="76" t="s">
        <v>62</v>
      </c>
      <c r="P404" s="6" t="s">
        <v>62</v>
      </c>
      <c r="Q404" s="38" t="s">
        <v>62</v>
      </c>
      <c r="R404" s="38" t="s">
        <v>62</v>
      </c>
      <c r="S404" s="34"/>
      <c r="T404" s="34"/>
      <c r="U404" s="34"/>
      <c r="V404" s="8"/>
      <c r="W404" t="s">
        <v>1296</v>
      </c>
      <c r="Y404" s="34"/>
      <c r="Z404"/>
      <c r="AA404"/>
      <c r="AE404"/>
      <c r="AF404"/>
      <c r="AG404"/>
      <c r="AH404"/>
    </row>
    <row r="405" spans="1:34" ht="15.75" customHeight="1" x14ac:dyDescent="0.15">
      <c r="A405" s="6">
        <v>399</v>
      </c>
      <c r="B405" s="18" t="s">
        <v>75</v>
      </c>
      <c r="C405" s="34" t="s">
        <v>57</v>
      </c>
      <c r="D405" s="75" t="s">
        <v>1297</v>
      </c>
      <c r="E405" s="2" t="s">
        <v>169</v>
      </c>
      <c r="F405">
        <v>15329</v>
      </c>
      <c r="G405" s="6">
        <v>13</v>
      </c>
      <c r="H405" s="6" t="s">
        <v>1298</v>
      </c>
      <c r="I405" s="34"/>
      <c r="J405" s="38" t="s">
        <v>171</v>
      </c>
      <c r="K405" s="38" t="s">
        <v>177</v>
      </c>
      <c r="L405" s="38" t="s">
        <v>173</v>
      </c>
      <c r="M405" s="38"/>
      <c r="N405" s="19"/>
      <c r="O405" s="76" t="s">
        <v>62</v>
      </c>
      <c r="P405" s="6" t="s">
        <v>62</v>
      </c>
      <c r="Q405" s="38" t="s">
        <v>62</v>
      </c>
      <c r="R405" s="38" t="s">
        <v>62</v>
      </c>
      <c r="S405" s="34"/>
      <c r="T405" s="34"/>
      <c r="U405" s="34"/>
      <c r="V405" s="8"/>
      <c r="W405" t="s">
        <v>1299</v>
      </c>
      <c r="Y405" s="34"/>
      <c r="Z405"/>
      <c r="AA405"/>
      <c r="AE405"/>
      <c r="AF405"/>
      <c r="AG405"/>
      <c r="AH405"/>
    </row>
    <row r="406" spans="1:34" s="59" customFormat="1" ht="15.75" customHeight="1" x14ac:dyDescent="0.15">
      <c r="A406" s="6">
        <v>400</v>
      </c>
      <c r="B406" s="18" t="s">
        <v>75</v>
      </c>
      <c r="C406" s="34" t="s">
        <v>57</v>
      </c>
      <c r="D406" s="75" t="s">
        <v>1057</v>
      </c>
      <c r="E406" s="2" t="s">
        <v>169</v>
      </c>
      <c r="F406">
        <v>15329</v>
      </c>
      <c r="G406" s="6">
        <v>14</v>
      </c>
      <c r="H406" s="6" t="s">
        <v>1300</v>
      </c>
      <c r="I406" s="34"/>
      <c r="J406" s="38" t="s">
        <v>171</v>
      </c>
      <c r="K406" s="38" t="s">
        <v>177</v>
      </c>
      <c r="L406" s="38" t="s">
        <v>173</v>
      </c>
      <c r="M406" s="38"/>
      <c r="N406" s="19"/>
      <c r="O406" s="76" t="s">
        <v>62</v>
      </c>
      <c r="P406" s="6" t="s">
        <v>62</v>
      </c>
      <c r="Q406" s="38" t="s">
        <v>62</v>
      </c>
      <c r="R406" s="38" t="s">
        <v>62</v>
      </c>
      <c r="S406" s="34"/>
      <c r="T406" s="34"/>
      <c r="U406" s="34"/>
      <c r="V406" s="8"/>
      <c r="W406" t="s">
        <v>1301</v>
      </c>
      <c r="X406"/>
      <c r="Y406" s="34"/>
    </row>
    <row r="407" spans="1:34" s="59" customFormat="1" ht="15.75" customHeight="1" x14ac:dyDescent="0.15">
      <c r="A407" s="6">
        <v>401</v>
      </c>
      <c r="B407" s="18" t="s">
        <v>75</v>
      </c>
      <c r="C407" s="34" t="s">
        <v>57</v>
      </c>
      <c r="D407" s="75" t="s">
        <v>1302</v>
      </c>
      <c r="E407" s="2" t="s">
        <v>169</v>
      </c>
      <c r="F407">
        <v>15329</v>
      </c>
      <c r="G407" s="6">
        <v>16</v>
      </c>
      <c r="H407" s="6" t="s">
        <v>1303</v>
      </c>
      <c r="I407" s="34"/>
      <c r="J407" s="38" t="s">
        <v>171</v>
      </c>
      <c r="K407" s="38" t="s">
        <v>177</v>
      </c>
      <c r="L407" s="38" t="s">
        <v>173</v>
      </c>
      <c r="M407" s="38"/>
      <c r="N407" s="19"/>
      <c r="O407" s="76" t="s">
        <v>62</v>
      </c>
      <c r="P407" s="6" t="s">
        <v>62</v>
      </c>
      <c r="Q407" s="38" t="s">
        <v>62</v>
      </c>
      <c r="R407" s="38" t="s">
        <v>62</v>
      </c>
      <c r="S407" s="34"/>
      <c r="T407" s="34"/>
      <c r="U407" s="34"/>
      <c r="V407" s="8"/>
      <c r="W407" t="s">
        <v>1304</v>
      </c>
      <c r="X407"/>
      <c r="Y407" s="34"/>
    </row>
    <row r="408" spans="1:34" ht="15.75" customHeight="1" x14ac:dyDescent="0.15">
      <c r="A408" s="6">
        <v>402</v>
      </c>
      <c r="B408" s="18" t="s">
        <v>75</v>
      </c>
      <c r="C408" s="34" t="s">
        <v>57</v>
      </c>
      <c r="D408" s="75" t="s">
        <v>1305</v>
      </c>
      <c r="E408" s="2" t="s">
        <v>169</v>
      </c>
      <c r="F408">
        <v>15329</v>
      </c>
      <c r="G408" s="6">
        <v>17</v>
      </c>
      <c r="H408" s="6" t="s">
        <v>1306</v>
      </c>
      <c r="I408" s="34"/>
      <c r="J408" s="38" t="s">
        <v>171</v>
      </c>
      <c r="K408" s="38" t="s">
        <v>177</v>
      </c>
      <c r="L408" s="38" t="s">
        <v>173</v>
      </c>
      <c r="M408" s="38"/>
      <c r="N408" s="19"/>
      <c r="O408" s="76" t="s">
        <v>62</v>
      </c>
      <c r="P408" s="6" t="s">
        <v>62</v>
      </c>
      <c r="Q408" s="38" t="s">
        <v>62</v>
      </c>
      <c r="R408" s="38" t="s">
        <v>62</v>
      </c>
      <c r="S408" s="34"/>
      <c r="T408" s="34"/>
      <c r="U408" s="34"/>
      <c r="V408" s="8"/>
      <c r="W408" t="s">
        <v>1307</v>
      </c>
      <c r="Y408" s="34"/>
      <c r="Z408"/>
      <c r="AA408"/>
      <c r="AE408"/>
      <c r="AF408"/>
      <c r="AG408"/>
      <c r="AH408"/>
    </row>
    <row r="409" spans="1:34" ht="15.75" customHeight="1" x14ac:dyDescent="0.15">
      <c r="A409" s="6">
        <v>403</v>
      </c>
      <c r="B409" s="18" t="s">
        <v>75</v>
      </c>
      <c r="C409" s="34" t="s">
        <v>57</v>
      </c>
      <c r="D409" s="75" t="s">
        <v>1308</v>
      </c>
      <c r="E409" s="2" t="s">
        <v>169</v>
      </c>
      <c r="F409">
        <v>15329</v>
      </c>
      <c r="G409" s="6">
        <v>19</v>
      </c>
      <c r="H409" s="6" t="s">
        <v>1309</v>
      </c>
      <c r="I409" s="34"/>
      <c r="J409" s="38" t="s">
        <v>171</v>
      </c>
      <c r="K409" s="38" t="s">
        <v>177</v>
      </c>
      <c r="L409" s="38" t="s">
        <v>173</v>
      </c>
      <c r="M409" s="38"/>
      <c r="N409" s="19"/>
      <c r="O409" s="76" t="s">
        <v>62</v>
      </c>
      <c r="P409" s="6" t="s">
        <v>62</v>
      </c>
      <c r="Q409" s="38" t="s">
        <v>62</v>
      </c>
      <c r="R409" s="38" t="s">
        <v>62</v>
      </c>
      <c r="S409" s="34"/>
      <c r="T409" s="34"/>
      <c r="U409" s="34"/>
      <c r="V409" s="8"/>
      <c r="W409" t="s">
        <v>1310</v>
      </c>
      <c r="Y409" s="34"/>
      <c r="Z409"/>
      <c r="AA409"/>
      <c r="AE409"/>
      <c r="AF409"/>
      <c r="AG409"/>
      <c r="AH409"/>
    </row>
    <row r="410" spans="1:34" ht="15.75" customHeight="1" x14ac:dyDescent="0.15">
      <c r="A410" s="6">
        <v>404</v>
      </c>
      <c r="B410" s="18" t="s">
        <v>75</v>
      </c>
      <c r="C410" s="34" t="s">
        <v>57</v>
      </c>
      <c r="D410" s="75" t="s">
        <v>1311</v>
      </c>
      <c r="E410" s="2" t="s">
        <v>169</v>
      </c>
      <c r="F410">
        <v>15329</v>
      </c>
      <c r="G410" s="6">
        <v>20</v>
      </c>
      <c r="H410" s="6" t="s">
        <v>1312</v>
      </c>
      <c r="I410" s="34"/>
      <c r="J410" s="38" t="s">
        <v>171</v>
      </c>
      <c r="K410" s="38" t="s">
        <v>177</v>
      </c>
      <c r="L410" s="38" t="s">
        <v>173</v>
      </c>
      <c r="M410" s="38"/>
      <c r="N410" s="19"/>
      <c r="O410" s="76" t="s">
        <v>62</v>
      </c>
      <c r="P410" s="6" t="s">
        <v>62</v>
      </c>
      <c r="Q410" s="38" t="s">
        <v>62</v>
      </c>
      <c r="R410" s="38" t="s">
        <v>62</v>
      </c>
      <c r="S410" s="34"/>
      <c r="T410" s="34"/>
      <c r="U410" s="34"/>
      <c r="V410" s="8"/>
      <c r="W410" t="s">
        <v>1313</v>
      </c>
      <c r="Y410" s="34"/>
      <c r="Z410"/>
      <c r="AA410"/>
      <c r="AE410"/>
      <c r="AF410"/>
      <c r="AG410"/>
      <c r="AH410"/>
    </row>
    <row r="411" spans="1:34" ht="15.75" customHeight="1" x14ac:dyDescent="0.15">
      <c r="A411" s="6">
        <v>405</v>
      </c>
      <c r="B411" s="18" t="s">
        <v>75</v>
      </c>
      <c r="C411" s="34" t="s">
        <v>57</v>
      </c>
      <c r="D411" s="75" t="s">
        <v>1162</v>
      </c>
      <c r="E411" s="2" t="s">
        <v>169</v>
      </c>
      <c r="F411">
        <v>15329</v>
      </c>
      <c r="G411" s="6">
        <v>21</v>
      </c>
      <c r="H411" s="6" t="s">
        <v>1314</v>
      </c>
      <c r="I411" s="34"/>
      <c r="J411" s="38" t="s">
        <v>171</v>
      </c>
      <c r="K411" s="38" t="s">
        <v>177</v>
      </c>
      <c r="L411" s="38" t="s">
        <v>173</v>
      </c>
      <c r="M411" s="38"/>
      <c r="N411" s="19"/>
      <c r="O411" s="76" t="s">
        <v>62</v>
      </c>
      <c r="P411" s="6" t="s">
        <v>62</v>
      </c>
      <c r="Q411" s="38" t="s">
        <v>62</v>
      </c>
      <c r="R411" s="38" t="s">
        <v>62</v>
      </c>
      <c r="S411" s="34"/>
      <c r="T411" s="34"/>
      <c r="U411" s="34"/>
      <c r="V411" s="8"/>
      <c r="W411" t="s">
        <v>1315</v>
      </c>
      <c r="Y411" s="34"/>
      <c r="Z411"/>
      <c r="AA411"/>
      <c r="AE411"/>
      <c r="AF411"/>
      <c r="AG411"/>
      <c r="AH411"/>
    </row>
    <row r="412" spans="1:34" ht="15.75" customHeight="1" x14ac:dyDescent="0.15">
      <c r="A412" s="6">
        <v>406</v>
      </c>
      <c r="B412" s="18" t="s">
        <v>75</v>
      </c>
      <c r="C412" s="34" t="s">
        <v>57</v>
      </c>
      <c r="D412" s="75" t="s">
        <v>1316</v>
      </c>
      <c r="E412" s="2" t="s">
        <v>169</v>
      </c>
      <c r="F412">
        <v>15329</v>
      </c>
      <c r="G412" s="6">
        <v>23</v>
      </c>
      <c r="H412" s="6" t="s">
        <v>1317</v>
      </c>
      <c r="I412" s="34"/>
      <c r="J412" s="38" t="s">
        <v>171</v>
      </c>
      <c r="K412" s="38" t="s">
        <v>177</v>
      </c>
      <c r="L412" s="38" t="s">
        <v>173</v>
      </c>
      <c r="M412" s="38"/>
      <c r="N412" s="19"/>
      <c r="O412" s="76" t="s">
        <v>62</v>
      </c>
      <c r="P412" s="6" t="s">
        <v>62</v>
      </c>
      <c r="Q412" s="38" t="s">
        <v>62</v>
      </c>
      <c r="R412" s="38" t="s">
        <v>62</v>
      </c>
      <c r="S412" s="34"/>
      <c r="T412" s="34"/>
      <c r="U412" s="34"/>
      <c r="V412" s="8"/>
      <c r="W412" t="s">
        <v>1318</v>
      </c>
      <c r="Y412" s="34"/>
      <c r="Z412"/>
      <c r="AA412"/>
      <c r="AE412"/>
      <c r="AF412"/>
      <c r="AG412"/>
      <c r="AH412"/>
    </row>
    <row r="413" spans="1:34" ht="15.75" customHeight="1" x14ac:dyDescent="0.15">
      <c r="A413" s="6">
        <v>407</v>
      </c>
      <c r="B413" s="18" t="s">
        <v>75</v>
      </c>
      <c r="C413" s="34" t="s">
        <v>57</v>
      </c>
      <c r="D413" s="75" t="s">
        <v>1319</v>
      </c>
      <c r="E413" s="2" t="s">
        <v>169</v>
      </c>
      <c r="F413">
        <v>15329</v>
      </c>
      <c r="G413" s="6">
        <v>24</v>
      </c>
      <c r="H413" s="6" t="s">
        <v>1320</v>
      </c>
      <c r="I413" s="34"/>
      <c r="J413" s="38" t="s">
        <v>171</v>
      </c>
      <c r="K413" s="38" t="s">
        <v>177</v>
      </c>
      <c r="L413" s="38" t="s">
        <v>173</v>
      </c>
      <c r="M413" s="38"/>
      <c r="N413" s="19"/>
      <c r="O413" s="76" t="s">
        <v>62</v>
      </c>
      <c r="P413" s="6" t="s">
        <v>62</v>
      </c>
      <c r="Q413" s="38" t="s">
        <v>62</v>
      </c>
      <c r="R413" s="38" t="s">
        <v>62</v>
      </c>
      <c r="S413" s="34"/>
      <c r="T413" s="34"/>
      <c r="U413" s="34"/>
      <c r="V413" s="8"/>
      <c r="W413" t="s">
        <v>1321</v>
      </c>
      <c r="Y413" s="34"/>
      <c r="Z413"/>
      <c r="AA413"/>
      <c r="AE413"/>
      <c r="AF413"/>
      <c r="AG413"/>
      <c r="AH413"/>
    </row>
    <row r="414" spans="1:34" ht="15.75" customHeight="1" x14ac:dyDescent="0.15">
      <c r="A414" s="6">
        <v>408</v>
      </c>
      <c r="B414" s="18" t="s">
        <v>75</v>
      </c>
      <c r="C414" s="34" t="s">
        <v>57</v>
      </c>
      <c r="D414" s="75" t="s">
        <v>1322</v>
      </c>
      <c r="E414" s="2" t="s">
        <v>169</v>
      </c>
      <c r="F414">
        <v>15329</v>
      </c>
      <c r="G414" s="6">
        <v>25</v>
      </c>
      <c r="H414" s="6" t="s">
        <v>1323</v>
      </c>
      <c r="I414" s="34"/>
      <c r="J414" s="38" t="s">
        <v>171</v>
      </c>
      <c r="K414" s="38" t="s">
        <v>177</v>
      </c>
      <c r="L414" s="38" t="s">
        <v>173</v>
      </c>
      <c r="M414" s="38"/>
      <c r="N414" s="19"/>
      <c r="O414" s="76" t="s">
        <v>62</v>
      </c>
      <c r="P414" s="6" t="s">
        <v>62</v>
      </c>
      <c r="Q414" s="38" t="s">
        <v>62</v>
      </c>
      <c r="R414" s="38" t="s">
        <v>62</v>
      </c>
      <c r="S414" s="34"/>
      <c r="T414" s="34"/>
      <c r="U414" s="34"/>
      <c r="V414" s="8"/>
      <c r="W414" t="s">
        <v>1324</v>
      </c>
      <c r="Y414" s="34"/>
      <c r="Z414"/>
      <c r="AA414"/>
      <c r="AE414"/>
      <c r="AF414"/>
      <c r="AG414"/>
      <c r="AH414"/>
    </row>
    <row r="415" spans="1:34" ht="15.75" customHeight="1" x14ac:dyDescent="0.15">
      <c r="A415" s="6">
        <v>409</v>
      </c>
      <c r="B415" s="18" t="s">
        <v>75</v>
      </c>
      <c r="C415" s="34" t="s">
        <v>57</v>
      </c>
      <c r="D415" s="75" t="s">
        <v>1325</v>
      </c>
      <c r="E415" s="2" t="s">
        <v>169</v>
      </c>
      <c r="F415">
        <v>15329</v>
      </c>
      <c r="G415" s="6">
        <v>27</v>
      </c>
      <c r="H415" s="6" t="s">
        <v>1326</v>
      </c>
      <c r="I415" s="34"/>
      <c r="J415" s="38" t="s">
        <v>171</v>
      </c>
      <c r="K415" s="38" t="s">
        <v>177</v>
      </c>
      <c r="L415" s="38" t="s">
        <v>173</v>
      </c>
      <c r="M415" s="38"/>
      <c r="N415" s="19"/>
      <c r="O415" s="76" t="s">
        <v>62</v>
      </c>
      <c r="P415" s="6" t="s">
        <v>62</v>
      </c>
      <c r="Q415" s="38" t="s">
        <v>62</v>
      </c>
      <c r="R415" s="38" t="s">
        <v>62</v>
      </c>
      <c r="S415" s="34"/>
      <c r="T415" s="34"/>
      <c r="U415" s="34"/>
      <c r="V415" s="8"/>
      <c r="W415" t="s">
        <v>1327</v>
      </c>
      <c r="Y415" s="34"/>
      <c r="Z415"/>
      <c r="AA415"/>
      <c r="AE415"/>
      <c r="AF415"/>
      <c r="AG415"/>
      <c r="AH415"/>
    </row>
    <row r="416" spans="1:34" ht="15.75" customHeight="1" x14ac:dyDescent="0.15">
      <c r="A416" s="6">
        <v>410</v>
      </c>
      <c r="B416" s="18" t="s">
        <v>75</v>
      </c>
      <c r="C416" s="34" t="s">
        <v>57</v>
      </c>
      <c r="D416" s="75" t="s">
        <v>1328</v>
      </c>
      <c r="E416" s="2" t="s">
        <v>169</v>
      </c>
      <c r="F416">
        <v>15329</v>
      </c>
      <c r="G416" s="6">
        <v>28</v>
      </c>
      <c r="H416" s="6" t="s">
        <v>1329</v>
      </c>
      <c r="I416" s="34"/>
      <c r="J416" s="38" t="s">
        <v>171</v>
      </c>
      <c r="K416" s="38" t="s">
        <v>177</v>
      </c>
      <c r="L416" s="38" t="s">
        <v>173</v>
      </c>
      <c r="M416" s="38"/>
      <c r="N416" s="19"/>
      <c r="O416" s="76" t="s">
        <v>62</v>
      </c>
      <c r="P416" s="6" t="s">
        <v>62</v>
      </c>
      <c r="Q416" s="38" t="s">
        <v>62</v>
      </c>
      <c r="R416" s="38" t="s">
        <v>62</v>
      </c>
      <c r="S416" s="34"/>
      <c r="T416" s="34"/>
      <c r="U416" s="34"/>
      <c r="V416" s="8"/>
      <c r="W416" t="s">
        <v>1330</v>
      </c>
      <c r="Y416" s="34"/>
      <c r="Z416"/>
      <c r="AA416"/>
      <c r="AE416"/>
      <c r="AF416"/>
      <c r="AG416"/>
      <c r="AH416"/>
    </row>
    <row r="417" spans="1:34" ht="15.75" customHeight="1" x14ac:dyDescent="0.15">
      <c r="A417" s="6">
        <v>411</v>
      </c>
      <c r="B417" s="18" t="s">
        <v>75</v>
      </c>
      <c r="C417" s="34" t="s">
        <v>57</v>
      </c>
      <c r="D417" s="75" t="s">
        <v>1066</v>
      </c>
      <c r="E417" s="2" t="s">
        <v>169</v>
      </c>
      <c r="F417">
        <v>15329</v>
      </c>
      <c r="G417" s="6">
        <v>30</v>
      </c>
      <c r="H417" s="6" t="s">
        <v>1331</v>
      </c>
      <c r="I417" s="34"/>
      <c r="J417" s="38" t="s">
        <v>171</v>
      </c>
      <c r="K417" s="38" t="s">
        <v>177</v>
      </c>
      <c r="L417" s="38" t="s">
        <v>173</v>
      </c>
      <c r="M417" s="38"/>
      <c r="N417" s="19"/>
      <c r="O417" s="76" t="s">
        <v>62</v>
      </c>
      <c r="P417" s="6" t="s">
        <v>62</v>
      </c>
      <c r="Q417" s="38" t="s">
        <v>62</v>
      </c>
      <c r="R417" s="38" t="s">
        <v>62</v>
      </c>
      <c r="S417" s="34"/>
      <c r="T417" s="34"/>
      <c r="U417" s="34"/>
      <c r="V417" s="8"/>
      <c r="W417" t="s">
        <v>1332</v>
      </c>
      <c r="Y417" s="34"/>
      <c r="Z417"/>
      <c r="AA417"/>
      <c r="AE417"/>
      <c r="AF417"/>
      <c r="AG417"/>
      <c r="AH417"/>
    </row>
    <row r="418" spans="1:34" ht="15.75" customHeight="1" x14ac:dyDescent="0.15">
      <c r="A418" s="6">
        <v>412</v>
      </c>
      <c r="B418" s="18" t="s">
        <v>75</v>
      </c>
      <c r="C418" s="34" t="s">
        <v>57</v>
      </c>
      <c r="D418" s="75" t="s">
        <v>1333</v>
      </c>
      <c r="E418" s="2" t="s">
        <v>143</v>
      </c>
      <c r="F418">
        <v>15331</v>
      </c>
      <c r="G418" s="6"/>
      <c r="H418" s="6" t="s">
        <v>1334</v>
      </c>
      <c r="I418" s="34"/>
      <c r="J418" s="38"/>
      <c r="K418" s="38"/>
      <c r="L418" s="38"/>
      <c r="M418" s="38" t="s">
        <v>113</v>
      </c>
      <c r="N418" s="19">
        <v>10</v>
      </c>
      <c r="O418" s="76">
        <v>-32768</v>
      </c>
      <c r="P418" s="6">
        <v>32767</v>
      </c>
      <c r="Q418" s="38">
        <v>-3276.8</v>
      </c>
      <c r="R418" s="38">
        <v>3276.7</v>
      </c>
      <c r="S418" s="34"/>
      <c r="T418" s="34"/>
      <c r="U418" s="34"/>
      <c r="V418" s="8"/>
      <c r="W418" t="s">
        <v>1335</v>
      </c>
      <c r="Y418" s="34"/>
      <c r="Z418"/>
      <c r="AA418"/>
      <c r="AE418"/>
      <c r="AF418"/>
      <c r="AG418"/>
      <c r="AH418"/>
    </row>
    <row r="419" spans="1:34" ht="15.75" customHeight="1" x14ac:dyDescent="0.15">
      <c r="A419" s="6">
        <v>413</v>
      </c>
      <c r="B419" s="18" t="s">
        <v>75</v>
      </c>
      <c r="C419" s="34" t="s">
        <v>57</v>
      </c>
      <c r="D419" s="75" t="s">
        <v>1336</v>
      </c>
      <c r="E419" s="2" t="s">
        <v>59</v>
      </c>
      <c r="F419">
        <v>15332</v>
      </c>
      <c r="G419" s="6"/>
      <c r="H419" s="6" t="s">
        <v>1337</v>
      </c>
      <c r="I419" s="34"/>
      <c r="J419" s="38"/>
      <c r="K419" s="38"/>
      <c r="L419" s="38"/>
      <c r="M419" s="38" t="s">
        <v>86</v>
      </c>
      <c r="N419" s="19">
        <v>1</v>
      </c>
      <c r="O419" s="76">
        <v>0</v>
      </c>
      <c r="P419" s="6">
        <v>4294967295</v>
      </c>
      <c r="Q419" s="38">
        <v>0</v>
      </c>
      <c r="R419" s="38">
        <v>4294967295</v>
      </c>
      <c r="S419" s="34"/>
      <c r="T419" s="34"/>
      <c r="U419" s="34"/>
      <c r="V419" s="8"/>
      <c r="W419" t="s">
        <v>1338</v>
      </c>
      <c r="Y419" s="34" t="s">
        <v>64</v>
      </c>
      <c r="Z419"/>
      <c r="AA419"/>
      <c r="AE419"/>
      <c r="AF419"/>
      <c r="AG419"/>
      <c r="AH419"/>
    </row>
    <row r="420" spans="1:34" ht="15.75" customHeight="1" x14ac:dyDescent="0.15">
      <c r="A420" s="6">
        <v>414</v>
      </c>
      <c r="B420" s="18" t="s">
        <v>75</v>
      </c>
      <c r="C420" s="34" t="s">
        <v>57</v>
      </c>
      <c r="D420" s="75" t="s">
        <v>1339</v>
      </c>
      <c r="E420" s="2" t="s">
        <v>59</v>
      </c>
      <c r="F420">
        <v>15334</v>
      </c>
      <c r="G420" s="6"/>
      <c r="H420" s="6" t="s">
        <v>1340</v>
      </c>
      <c r="I420" s="34"/>
      <c r="J420" s="38"/>
      <c r="K420" s="38"/>
      <c r="L420" s="38"/>
      <c r="M420" s="38" t="s">
        <v>96</v>
      </c>
      <c r="N420" s="19">
        <v>1</v>
      </c>
      <c r="O420" s="76">
        <v>0</v>
      </c>
      <c r="P420" s="6">
        <v>4294967295</v>
      </c>
      <c r="Q420" s="38">
        <v>0</v>
      </c>
      <c r="R420" s="38">
        <v>4294967295</v>
      </c>
      <c r="S420" s="34"/>
      <c r="T420" s="34"/>
      <c r="U420" s="34"/>
      <c r="V420" s="8"/>
      <c r="W420" t="s">
        <v>1341</v>
      </c>
      <c r="Y420" s="34" t="s">
        <v>64</v>
      </c>
      <c r="Z420"/>
      <c r="AA420"/>
      <c r="AE420"/>
      <c r="AF420"/>
      <c r="AG420"/>
      <c r="AH420"/>
    </row>
    <row r="421" spans="1:34" ht="15.75" customHeight="1" x14ac:dyDescent="0.15">
      <c r="A421" s="6">
        <v>415</v>
      </c>
      <c r="B421" s="18" t="s">
        <v>75</v>
      </c>
      <c r="C421" s="34" t="s">
        <v>57</v>
      </c>
      <c r="D421" s="75" t="s">
        <v>1342</v>
      </c>
      <c r="E421" s="2" t="s">
        <v>77</v>
      </c>
      <c r="F421">
        <v>15356</v>
      </c>
      <c r="G421" s="6"/>
      <c r="H421" s="6" t="s">
        <v>1343</v>
      </c>
      <c r="I421" s="34"/>
      <c r="J421" s="38"/>
      <c r="K421" s="38"/>
      <c r="L421" s="38"/>
      <c r="M421" s="38" t="s">
        <v>123</v>
      </c>
      <c r="N421" s="19">
        <v>100</v>
      </c>
      <c r="O421" s="76">
        <v>0</v>
      </c>
      <c r="P421" s="6">
        <v>65535</v>
      </c>
      <c r="Q421" s="38">
        <v>0</v>
      </c>
      <c r="R421" s="38">
        <v>655.35</v>
      </c>
      <c r="S421" s="34"/>
      <c r="T421" s="34"/>
      <c r="U421" s="34"/>
      <c r="V421" s="8"/>
      <c r="W421" t="s">
        <v>1344</v>
      </c>
      <c r="Y421" s="34"/>
      <c r="Z421"/>
      <c r="AA421"/>
      <c r="AE421"/>
      <c r="AF421"/>
      <c r="AG421"/>
      <c r="AH421"/>
    </row>
    <row r="422" spans="1:34" ht="15.75" customHeight="1" x14ac:dyDescent="0.15">
      <c r="A422" s="6">
        <v>416</v>
      </c>
      <c r="B422" s="18" t="s">
        <v>75</v>
      </c>
      <c r="C422" s="34" t="s">
        <v>57</v>
      </c>
      <c r="D422" s="75" t="s">
        <v>1345</v>
      </c>
      <c r="E422" s="2" t="s">
        <v>143</v>
      </c>
      <c r="F422">
        <v>15369</v>
      </c>
      <c r="G422" s="6"/>
      <c r="H422" s="6" t="s">
        <v>1346</v>
      </c>
      <c r="I422" s="34"/>
      <c r="J422" s="38"/>
      <c r="K422" s="38"/>
      <c r="L422" s="38"/>
      <c r="M422" s="38" t="s">
        <v>123</v>
      </c>
      <c r="N422" s="19">
        <v>10</v>
      </c>
      <c r="O422" s="76">
        <v>-32768</v>
      </c>
      <c r="P422" s="6">
        <v>32767</v>
      </c>
      <c r="Q422" s="38">
        <v>-3276.8</v>
      </c>
      <c r="R422" s="38">
        <v>3276.7</v>
      </c>
      <c r="S422" s="34"/>
      <c r="T422" s="34"/>
      <c r="U422" s="34"/>
      <c r="V422" s="8"/>
      <c r="W422" t="s">
        <v>1347</v>
      </c>
      <c r="Y422" s="34"/>
      <c r="Z422"/>
      <c r="AA422"/>
      <c r="AE422"/>
      <c r="AF422"/>
      <c r="AG422"/>
      <c r="AH422"/>
    </row>
    <row r="423" spans="1:34" ht="15.75" customHeight="1" x14ac:dyDescent="0.15">
      <c r="A423" s="6">
        <v>417</v>
      </c>
      <c r="B423" s="18" t="s">
        <v>75</v>
      </c>
      <c r="C423" s="34" t="s">
        <v>57</v>
      </c>
      <c r="D423" s="75" t="s">
        <v>1348</v>
      </c>
      <c r="E423" s="2" t="s">
        <v>143</v>
      </c>
      <c r="F423">
        <v>15370</v>
      </c>
      <c r="G423" s="6"/>
      <c r="H423" s="6" t="s">
        <v>1349</v>
      </c>
      <c r="I423" s="34"/>
      <c r="J423" s="38"/>
      <c r="K423" s="38"/>
      <c r="L423" s="38"/>
      <c r="M423" s="38" t="s">
        <v>123</v>
      </c>
      <c r="N423" s="19">
        <v>10</v>
      </c>
      <c r="O423" s="76">
        <v>-32768</v>
      </c>
      <c r="P423" s="6">
        <v>32767</v>
      </c>
      <c r="Q423" s="38">
        <v>-3276.8</v>
      </c>
      <c r="R423" s="38">
        <v>3276.7</v>
      </c>
      <c r="S423" s="34"/>
      <c r="T423" s="34"/>
      <c r="U423" s="34"/>
      <c r="V423" s="8"/>
      <c r="W423" t="s">
        <v>1350</v>
      </c>
      <c r="Y423" s="34"/>
      <c r="Z423"/>
      <c r="AA423"/>
      <c r="AE423"/>
      <c r="AF423"/>
      <c r="AG423"/>
      <c r="AH423"/>
    </row>
    <row r="424" spans="1:34" ht="15.75" customHeight="1" x14ac:dyDescent="0.15">
      <c r="A424" s="6">
        <v>418</v>
      </c>
      <c r="B424" s="18" t="s">
        <v>75</v>
      </c>
      <c r="C424" s="34" t="s">
        <v>57</v>
      </c>
      <c r="D424" s="75" t="s">
        <v>1351</v>
      </c>
      <c r="E424" s="2" t="s">
        <v>143</v>
      </c>
      <c r="F424">
        <v>15371</v>
      </c>
      <c r="G424" s="6"/>
      <c r="H424" s="6" t="s">
        <v>1352</v>
      </c>
      <c r="I424" s="34"/>
      <c r="J424" s="38"/>
      <c r="K424" s="38"/>
      <c r="L424" s="38"/>
      <c r="M424" s="38" t="s">
        <v>123</v>
      </c>
      <c r="N424" s="19">
        <v>10</v>
      </c>
      <c r="O424" s="76">
        <v>-32768</v>
      </c>
      <c r="P424" s="6">
        <v>32767</v>
      </c>
      <c r="Q424" s="38">
        <v>-3276.8</v>
      </c>
      <c r="R424" s="38">
        <v>3276.7</v>
      </c>
      <c r="S424" s="34"/>
      <c r="T424" s="34"/>
      <c r="U424" s="34"/>
      <c r="V424" s="8"/>
      <c r="W424" t="s">
        <v>1353</v>
      </c>
      <c r="Y424" s="34"/>
      <c r="Z424"/>
      <c r="AA424"/>
      <c r="AE424"/>
      <c r="AF424"/>
      <c r="AG424"/>
      <c r="AH424"/>
    </row>
    <row r="425" spans="1:34" ht="15.75" customHeight="1" x14ac:dyDescent="0.15">
      <c r="A425" s="6">
        <v>419</v>
      </c>
      <c r="B425" s="18" t="s">
        <v>75</v>
      </c>
      <c r="C425" s="34" t="s">
        <v>57</v>
      </c>
      <c r="D425" s="75" t="s">
        <v>1354</v>
      </c>
      <c r="E425" s="2" t="s">
        <v>143</v>
      </c>
      <c r="F425">
        <v>15372</v>
      </c>
      <c r="G425" s="6"/>
      <c r="H425" s="6" t="s">
        <v>1355</v>
      </c>
      <c r="I425" s="34"/>
      <c r="J425" s="38"/>
      <c r="K425" s="38"/>
      <c r="L425" s="38"/>
      <c r="M425" s="38" t="s">
        <v>123</v>
      </c>
      <c r="N425" s="19">
        <v>10</v>
      </c>
      <c r="O425" s="76">
        <v>-32768</v>
      </c>
      <c r="P425" s="6">
        <v>32767</v>
      </c>
      <c r="Q425" s="38">
        <v>-3276.8</v>
      </c>
      <c r="R425" s="38">
        <v>3276.7</v>
      </c>
      <c r="S425" s="34"/>
      <c r="T425" s="34"/>
      <c r="U425" s="34"/>
      <c r="V425" s="8"/>
      <c r="W425" t="s">
        <v>1356</v>
      </c>
      <c r="Y425" s="34"/>
      <c r="Z425"/>
      <c r="AA425"/>
      <c r="AE425"/>
      <c r="AF425"/>
      <c r="AG425"/>
      <c r="AH425"/>
    </row>
    <row r="426" spans="1:34" ht="15.75" customHeight="1" x14ac:dyDescent="0.15">
      <c r="A426" s="6">
        <v>420</v>
      </c>
      <c r="B426" s="18" t="s">
        <v>75</v>
      </c>
      <c r="C426" s="34" t="s">
        <v>57</v>
      </c>
      <c r="D426" s="75" t="s">
        <v>1357</v>
      </c>
      <c r="E426" s="2" t="s">
        <v>143</v>
      </c>
      <c r="F426">
        <v>15373</v>
      </c>
      <c r="G426" s="6"/>
      <c r="H426" s="6" t="s">
        <v>1358</v>
      </c>
      <c r="I426" s="34"/>
      <c r="J426" s="38"/>
      <c r="K426" s="38"/>
      <c r="L426" s="38"/>
      <c r="M426" s="38" t="s">
        <v>123</v>
      </c>
      <c r="N426" s="19">
        <v>10</v>
      </c>
      <c r="O426" s="76">
        <v>-32768</v>
      </c>
      <c r="P426" s="6">
        <v>32767</v>
      </c>
      <c r="Q426" s="38">
        <v>-3276.8</v>
      </c>
      <c r="R426" s="38">
        <v>3276.7</v>
      </c>
      <c r="S426" s="34"/>
      <c r="T426" s="34"/>
      <c r="U426" s="34"/>
      <c r="V426" s="8"/>
      <c r="W426" t="s">
        <v>1359</v>
      </c>
      <c r="Y426" s="34"/>
      <c r="Z426"/>
      <c r="AA426"/>
      <c r="AE426"/>
      <c r="AF426"/>
      <c r="AG426"/>
      <c r="AH426"/>
    </row>
    <row r="427" spans="1:34" ht="15.75" customHeight="1" x14ac:dyDescent="0.15">
      <c r="A427" s="6">
        <v>421</v>
      </c>
      <c r="B427" s="18" t="s">
        <v>75</v>
      </c>
      <c r="C427" s="34" t="s">
        <v>57</v>
      </c>
      <c r="D427" s="75" t="s">
        <v>1360</v>
      </c>
      <c r="E427" s="2" t="s">
        <v>143</v>
      </c>
      <c r="F427">
        <v>15374</v>
      </c>
      <c r="G427" s="6"/>
      <c r="H427" s="6" t="s">
        <v>1361</v>
      </c>
      <c r="I427" s="34"/>
      <c r="J427" s="38"/>
      <c r="K427" s="38"/>
      <c r="L427" s="38"/>
      <c r="M427" s="38" t="s">
        <v>123</v>
      </c>
      <c r="N427" s="19">
        <v>10</v>
      </c>
      <c r="O427" s="76">
        <v>-32768</v>
      </c>
      <c r="P427" s="6">
        <v>32767</v>
      </c>
      <c r="Q427" s="38">
        <v>-3276.8</v>
      </c>
      <c r="R427" s="38">
        <v>3276.7</v>
      </c>
      <c r="S427" s="34"/>
      <c r="T427" s="34"/>
      <c r="U427" s="34"/>
      <c r="V427" s="8"/>
      <c r="W427" t="s">
        <v>1362</v>
      </c>
      <c r="Y427" s="34"/>
      <c r="Z427"/>
      <c r="AA427"/>
      <c r="AE427"/>
      <c r="AF427"/>
      <c r="AG427"/>
      <c r="AH427"/>
    </row>
    <row r="428" spans="1:34" ht="15.75" customHeight="1" x14ac:dyDescent="0.15">
      <c r="A428" s="6">
        <v>422</v>
      </c>
      <c r="B428" s="18" t="s">
        <v>75</v>
      </c>
      <c r="C428" s="34" t="s">
        <v>57</v>
      </c>
      <c r="D428" s="75" t="s">
        <v>1363</v>
      </c>
      <c r="E428" s="2" t="s">
        <v>143</v>
      </c>
      <c r="F428">
        <v>15375</v>
      </c>
      <c r="G428" s="6"/>
      <c r="H428" s="6" t="s">
        <v>1364</v>
      </c>
      <c r="I428" s="34"/>
      <c r="J428" s="38"/>
      <c r="K428" s="38"/>
      <c r="L428" s="38"/>
      <c r="M428" s="38" t="s">
        <v>123</v>
      </c>
      <c r="N428" s="19">
        <v>10</v>
      </c>
      <c r="O428" s="76">
        <v>-32768</v>
      </c>
      <c r="P428" s="6">
        <v>32767</v>
      </c>
      <c r="Q428" s="38">
        <v>-3276.8</v>
      </c>
      <c r="R428" s="38">
        <v>3276.7</v>
      </c>
      <c r="S428" s="34"/>
      <c r="T428" s="34"/>
      <c r="U428" s="34"/>
      <c r="V428" s="8"/>
      <c r="W428" t="s">
        <v>1365</v>
      </c>
      <c r="Y428" s="34"/>
      <c r="Z428"/>
      <c r="AA428"/>
      <c r="AE428"/>
      <c r="AF428"/>
      <c r="AG428"/>
      <c r="AH428"/>
    </row>
    <row r="429" spans="1:34" ht="15.75" customHeight="1" x14ac:dyDescent="0.15">
      <c r="A429" s="6">
        <v>423</v>
      </c>
      <c r="B429" s="18" t="s">
        <v>75</v>
      </c>
      <c r="C429" s="34" t="s">
        <v>57</v>
      </c>
      <c r="D429" s="75" t="s">
        <v>1366</v>
      </c>
      <c r="E429" s="2" t="s">
        <v>165</v>
      </c>
      <c r="F429">
        <v>15381</v>
      </c>
      <c r="G429" s="6"/>
      <c r="H429" s="6" t="s">
        <v>1367</v>
      </c>
      <c r="I429" s="34"/>
      <c r="J429" s="38"/>
      <c r="K429" s="38"/>
      <c r="L429" s="38"/>
      <c r="M429" s="38"/>
      <c r="N429" s="19"/>
      <c r="O429" s="76" t="s">
        <v>62</v>
      </c>
      <c r="P429" s="6" t="s">
        <v>62</v>
      </c>
      <c r="Q429" s="38" t="s">
        <v>62</v>
      </c>
      <c r="R429" s="38" t="s">
        <v>62</v>
      </c>
      <c r="S429" s="34"/>
      <c r="T429" s="34"/>
      <c r="U429" s="34"/>
      <c r="V429" s="8"/>
      <c r="W429" t="s">
        <v>1368</v>
      </c>
      <c r="Y429" s="34"/>
      <c r="Z429"/>
      <c r="AA429"/>
      <c r="AE429"/>
      <c r="AF429"/>
      <c r="AG429"/>
      <c r="AH429"/>
    </row>
    <row r="430" spans="1:34" ht="15.75" customHeight="1" x14ac:dyDescent="0.15">
      <c r="A430" s="6">
        <v>424</v>
      </c>
      <c r="B430" s="18" t="s">
        <v>75</v>
      </c>
      <c r="C430" s="34" t="s">
        <v>57</v>
      </c>
      <c r="D430" s="75" t="s">
        <v>1369</v>
      </c>
      <c r="E430" s="2" t="s">
        <v>169</v>
      </c>
      <c r="F430">
        <v>15381</v>
      </c>
      <c r="G430" s="6">
        <v>1</v>
      </c>
      <c r="H430" s="6" t="s">
        <v>1370</v>
      </c>
      <c r="I430" s="34"/>
      <c r="J430" s="38" t="s">
        <v>196</v>
      </c>
      <c r="K430" s="38" t="s">
        <v>940</v>
      </c>
      <c r="L430" s="38" t="s">
        <v>941</v>
      </c>
      <c r="M430" s="38"/>
      <c r="N430" s="19"/>
      <c r="O430" s="76" t="s">
        <v>62</v>
      </c>
      <c r="P430" s="6" t="s">
        <v>62</v>
      </c>
      <c r="Q430" s="38" t="s">
        <v>62</v>
      </c>
      <c r="R430" s="38" t="s">
        <v>62</v>
      </c>
      <c r="S430" s="34"/>
      <c r="T430" s="34"/>
      <c r="U430" s="34"/>
      <c r="V430" s="8"/>
      <c r="W430" t="s">
        <v>1371</v>
      </c>
      <c r="Y430" s="34"/>
      <c r="Z430"/>
      <c r="AA430"/>
      <c r="AE430"/>
      <c r="AF430"/>
      <c r="AG430"/>
      <c r="AH430"/>
    </row>
    <row r="431" spans="1:34" ht="15.75" customHeight="1" x14ac:dyDescent="0.15">
      <c r="A431" s="6">
        <v>425</v>
      </c>
      <c r="B431" s="18" t="s">
        <v>75</v>
      </c>
      <c r="C431" s="34" t="s">
        <v>57</v>
      </c>
      <c r="D431" s="75" t="s">
        <v>1372</v>
      </c>
      <c r="E431" s="2" t="s">
        <v>169</v>
      </c>
      <c r="F431">
        <v>15381</v>
      </c>
      <c r="G431" s="6">
        <v>2</v>
      </c>
      <c r="H431" s="6" t="s">
        <v>1373</v>
      </c>
      <c r="I431" s="34"/>
      <c r="J431" s="38" t="s">
        <v>196</v>
      </c>
      <c r="K431" s="38" t="s">
        <v>940</v>
      </c>
      <c r="L431" s="38" t="s">
        <v>941</v>
      </c>
      <c r="M431" s="38"/>
      <c r="N431" s="19"/>
      <c r="O431" s="76" t="s">
        <v>62</v>
      </c>
      <c r="P431" s="6" t="s">
        <v>62</v>
      </c>
      <c r="Q431" s="38" t="s">
        <v>62</v>
      </c>
      <c r="R431" s="38" t="s">
        <v>62</v>
      </c>
      <c r="S431" s="34"/>
      <c r="T431" s="34"/>
      <c r="U431" s="34"/>
      <c r="V431" s="8"/>
      <c r="W431" t="s">
        <v>1374</v>
      </c>
      <c r="Y431" s="34"/>
      <c r="Z431"/>
      <c r="AA431"/>
      <c r="AE431"/>
      <c r="AF431"/>
      <c r="AG431"/>
      <c r="AH431"/>
    </row>
    <row r="432" spans="1:34" ht="15.75" customHeight="1" x14ac:dyDescent="0.15">
      <c r="A432" s="6">
        <v>426</v>
      </c>
      <c r="B432" s="18" t="s">
        <v>75</v>
      </c>
      <c r="C432" s="34" t="s">
        <v>57</v>
      </c>
      <c r="D432" s="75" t="s">
        <v>1375</v>
      </c>
      <c r="E432" s="2" t="s">
        <v>59</v>
      </c>
      <c r="F432">
        <v>15389</v>
      </c>
      <c r="G432" s="6"/>
      <c r="H432" s="6" t="s">
        <v>1376</v>
      </c>
      <c r="I432" s="34"/>
      <c r="J432" s="38"/>
      <c r="K432" s="38"/>
      <c r="L432" s="38"/>
      <c r="M432" s="38" t="s">
        <v>86</v>
      </c>
      <c r="N432" s="19">
        <v>10</v>
      </c>
      <c r="O432" s="76">
        <v>0</v>
      </c>
      <c r="P432" s="6">
        <v>4294967295</v>
      </c>
      <c r="Q432" s="38">
        <v>0</v>
      </c>
      <c r="R432" s="38">
        <v>429496729.5</v>
      </c>
      <c r="S432" s="34"/>
      <c r="T432" s="34"/>
      <c r="U432" s="34"/>
      <c r="V432" s="8"/>
      <c r="W432" t="s">
        <v>1377</v>
      </c>
      <c r="Y432" s="34"/>
      <c r="Z432"/>
      <c r="AA432"/>
      <c r="AE432"/>
      <c r="AF432"/>
      <c r="AG432"/>
      <c r="AH432"/>
    </row>
    <row r="433" spans="1:34" ht="15.75" customHeight="1" x14ac:dyDescent="0.15">
      <c r="A433" s="6">
        <v>427</v>
      </c>
      <c r="B433" s="18" t="s">
        <v>75</v>
      </c>
      <c r="C433" s="34" t="s">
        <v>57</v>
      </c>
      <c r="D433" s="75" t="s">
        <v>1378</v>
      </c>
      <c r="E433" s="2" t="s">
        <v>59</v>
      </c>
      <c r="F433">
        <v>15391</v>
      </c>
      <c r="G433" s="6"/>
      <c r="H433" s="6" t="s">
        <v>1379</v>
      </c>
      <c r="I433" s="34"/>
      <c r="J433" s="38"/>
      <c r="K433" s="38"/>
      <c r="L433" s="38"/>
      <c r="M433" s="38" t="s">
        <v>86</v>
      </c>
      <c r="N433" s="19">
        <v>1</v>
      </c>
      <c r="O433" s="76">
        <v>0</v>
      </c>
      <c r="P433" s="6">
        <v>4294967295</v>
      </c>
      <c r="Q433" s="38">
        <v>0</v>
      </c>
      <c r="R433" s="38">
        <v>4294967295</v>
      </c>
      <c r="S433" s="34"/>
      <c r="T433" s="34"/>
      <c r="U433" s="34"/>
      <c r="V433" s="8"/>
      <c r="W433" t="s">
        <v>1380</v>
      </c>
      <c r="Y433" s="34" t="s">
        <v>64</v>
      </c>
      <c r="Z433"/>
      <c r="AA433"/>
      <c r="AE433"/>
      <c r="AF433"/>
      <c r="AG433"/>
      <c r="AH433"/>
    </row>
    <row r="434" spans="1:34" ht="15.75" customHeight="1" x14ac:dyDescent="0.15">
      <c r="A434" s="6">
        <v>428</v>
      </c>
      <c r="B434" s="18" t="s">
        <v>75</v>
      </c>
      <c r="C434" s="34" t="s">
        <v>57</v>
      </c>
      <c r="D434" s="75" t="s">
        <v>1381</v>
      </c>
      <c r="E434" s="2" t="s">
        <v>59</v>
      </c>
      <c r="F434">
        <v>15393</v>
      </c>
      <c r="G434" s="6"/>
      <c r="H434" s="6" t="s">
        <v>1382</v>
      </c>
      <c r="I434" s="34"/>
      <c r="J434" s="38"/>
      <c r="K434" s="38"/>
      <c r="L434" s="38"/>
      <c r="M434" s="38" t="s">
        <v>86</v>
      </c>
      <c r="N434" s="19">
        <v>1</v>
      </c>
      <c r="O434" s="76">
        <v>0</v>
      </c>
      <c r="P434" s="6">
        <v>4294967295</v>
      </c>
      <c r="Q434" s="38">
        <v>0</v>
      </c>
      <c r="R434" s="38">
        <v>4294967295</v>
      </c>
      <c r="S434" s="34"/>
      <c r="T434" s="34"/>
      <c r="U434" s="34"/>
      <c r="V434" s="8"/>
      <c r="W434" t="s">
        <v>1383</v>
      </c>
      <c r="Y434" s="34"/>
      <c r="Z434"/>
      <c r="AA434"/>
      <c r="AE434"/>
      <c r="AF434"/>
      <c r="AG434"/>
      <c r="AH434"/>
    </row>
    <row r="435" spans="1:34" ht="15.75" customHeight="1" x14ac:dyDescent="0.15">
      <c r="A435" s="6">
        <v>429</v>
      </c>
      <c r="B435" s="18" t="s">
        <v>75</v>
      </c>
      <c r="C435" s="34" t="s">
        <v>57</v>
      </c>
      <c r="D435" s="75" t="s">
        <v>1384</v>
      </c>
      <c r="E435" s="2" t="s">
        <v>77</v>
      </c>
      <c r="F435">
        <v>15395</v>
      </c>
      <c r="G435" s="6"/>
      <c r="H435" s="6" t="s">
        <v>1385</v>
      </c>
      <c r="I435" s="34"/>
      <c r="J435" s="38"/>
      <c r="K435" s="38"/>
      <c r="L435" s="38"/>
      <c r="M435" s="38" t="s">
        <v>100</v>
      </c>
      <c r="N435" s="19">
        <v>1</v>
      </c>
      <c r="O435" s="76">
        <v>0</v>
      </c>
      <c r="P435" s="6">
        <v>65535</v>
      </c>
      <c r="Q435" s="38">
        <v>0</v>
      </c>
      <c r="R435" s="38">
        <v>65535</v>
      </c>
      <c r="S435" s="34"/>
      <c r="T435" s="34"/>
      <c r="U435" s="34"/>
      <c r="V435" s="8"/>
      <c r="W435" t="s">
        <v>1386</v>
      </c>
      <c r="Y435" s="34"/>
      <c r="Z435"/>
      <c r="AA435"/>
      <c r="AE435"/>
      <c r="AF435"/>
      <c r="AG435"/>
      <c r="AH435"/>
    </row>
    <row r="436" spans="1:34" s="55" customFormat="1" ht="15.75" customHeight="1" x14ac:dyDescent="0.15">
      <c r="A436" s="6">
        <v>430</v>
      </c>
      <c r="B436" s="18" t="s">
        <v>75</v>
      </c>
      <c r="C436" s="34" t="s">
        <v>57</v>
      </c>
      <c r="D436" s="75" t="s">
        <v>1387</v>
      </c>
      <c r="E436" s="2" t="s">
        <v>59</v>
      </c>
      <c r="F436">
        <v>15396</v>
      </c>
      <c r="G436" s="6"/>
      <c r="H436" s="6" t="s">
        <v>1388</v>
      </c>
      <c r="I436" s="34"/>
      <c r="J436" s="38"/>
      <c r="K436" s="38"/>
      <c r="L436" s="38"/>
      <c r="M436" s="38" t="s">
        <v>104</v>
      </c>
      <c r="N436" s="19">
        <v>1</v>
      </c>
      <c r="O436" s="76">
        <v>0</v>
      </c>
      <c r="P436" s="6">
        <v>4294967295</v>
      </c>
      <c r="Q436" s="38">
        <v>0</v>
      </c>
      <c r="R436" s="38">
        <v>4294967295</v>
      </c>
      <c r="S436" s="34"/>
      <c r="T436" s="34"/>
      <c r="U436" s="34"/>
      <c r="V436" s="8"/>
      <c r="W436" t="s">
        <v>1389</v>
      </c>
      <c r="X436"/>
      <c r="Y436" s="34"/>
    </row>
    <row r="437" spans="1:34" ht="15.75" customHeight="1" x14ac:dyDescent="0.15">
      <c r="A437" s="6">
        <v>431</v>
      </c>
      <c r="B437" s="18" t="s">
        <v>75</v>
      </c>
      <c r="C437" s="34" t="s">
        <v>57</v>
      </c>
      <c r="D437" s="75" t="s">
        <v>1390</v>
      </c>
      <c r="E437" s="2" t="s">
        <v>143</v>
      </c>
      <c r="F437">
        <v>15398</v>
      </c>
      <c r="G437" s="6"/>
      <c r="H437" s="6" t="s">
        <v>1391</v>
      </c>
      <c r="I437" s="34"/>
      <c r="J437" s="38"/>
      <c r="K437" s="38"/>
      <c r="L437" s="38"/>
      <c r="M437" s="38" t="s">
        <v>266</v>
      </c>
      <c r="N437" s="19">
        <v>10</v>
      </c>
      <c r="O437" s="76">
        <v>-32768</v>
      </c>
      <c r="P437" s="6">
        <v>32767</v>
      </c>
      <c r="Q437" s="38">
        <v>-3276.8</v>
      </c>
      <c r="R437" s="38">
        <v>3276.7</v>
      </c>
      <c r="S437" s="34"/>
      <c r="T437" s="34"/>
      <c r="U437" s="34"/>
      <c r="V437" s="8"/>
      <c r="W437" t="s">
        <v>1392</v>
      </c>
      <c r="Y437" s="34"/>
      <c r="Z437"/>
      <c r="AA437"/>
      <c r="AE437"/>
      <c r="AF437"/>
      <c r="AG437"/>
      <c r="AH437"/>
    </row>
    <row r="438" spans="1:34" ht="15.75" customHeight="1" x14ac:dyDescent="0.15">
      <c r="A438" s="6">
        <v>432</v>
      </c>
      <c r="B438" s="18" t="s">
        <v>75</v>
      </c>
      <c r="C438" s="34" t="s">
        <v>57</v>
      </c>
      <c r="D438" s="75" t="s">
        <v>1393</v>
      </c>
      <c r="E438" s="2" t="s">
        <v>77</v>
      </c>
      <c r="F438">
        <v>15399</v>
      </c>
      <c r="G438" s="6"/>
      <c r="H438" s="6" t="s">
        <v>1394</v>
      </c>
      <c r="I438" s="34"/>
      <c r="J438" s="38"/>
      <c r="K438" s="38"/>
      <c r="L438" s="38"/>
      <c r="M438" s="38" t="s">
        <v>113</v>
      </c>
      <c r="N438" s="19">
        <v>10</v>
      </c>
      <c r="O438" s="76">
        <v>0</v>
      </c>
      <c r="P438" s="6">
        <v>65535</v>
      </c>
      <c r="Q438" s="38">
        <v>0</v>
      </c>
      <c r="R438" s="38">
        <v>6553.5</v>
      </c>
      <c r="S438" s="34"/>
      <c r="T438" s="34"/>
      <c r="U438" s="34"/>
      <c r="V438" s="8"/>
      <c r="W438" t="s">
        <v>1395</v>
      </c>
      <c r="Y438" s="34"/>
      <c r="Z438"/>
      <c r="AA438"/>
      <c r="AE438"/>
      <c r="AF438"/>
      <c r="AG438"/>
      <c r="AH438"/>
    </row>
    <row r="439" spans="1:34" ht="15.75" customHeight="1" x14ac:dyDescent="0.15">
      <c r="A439" s="6">
        <v>433</v>
      </c>
      <c r="B439" s="18" t="s">
        <v>75</v>
      </c>
      <c r="C439" s="34" t="s">
        <v>57</v>
      </c>
      <c r="D439" s="75" t="s">
        <v>1396</v>
      </c>
      <c r="E439" s="2" t="s">
        <v>77</v>
      </c>
      <c r="F439">
        <v>15400</v>
      </c>
      <c r="G439" s="6"/>
      <c r="H439" s="6" t="s">
        <v>1397</v>
      </c>
      <c r="I439" s="34"/>
      <c r="J439" s="38"/>
      <c r="K439" s="38"/>
      <c r="L439" s="38"/>
      <c r="M439" s="38" t="s">
        <v>123</v>
      </c>
      <c r="N439" s="19">
        <v>10</v>
      </c>
      <c r="O439" s="76">
        <v>0</v>
      </c>
      <c r="P439" s="6">
        <v>65535</v>
      </c>
      <c r="Q439" s="38">
        <v>0</v>
      </c>
      <c r="R439" s="38">
        <v>6553.5</v>
      </c>
      <c r="S439" s="34"/>
      <c r="T439" s="34"/>
      <c r="U439" s="34"/>
      <c r="V439" s="8"/>
      <c r="W439" t="s">
        <v>1398</v>
      </c>
      <c r="Y439" s="34"/>
      <c r="Z439"/>
      <c r="AA439"/>
      <c r="AE439"/>
      <c r="AF439"/>
      <c r="AG439"/>
      <c r="AH439"/>
    </row>
    <row r="440" spans="1:34" ht="15.75" customHeight="1" x14ac:dyDescent="0.15">
      <c r="A440" s="6">
        <v>434</v>
      </c>
      <c r="B440" s="18" t="s">
        <v>75</v>
      </c>
      <c r="C440" s="34" t="s">
        <v>57</v>
      </c>
      <c r="D440" s="75" t="s">
        <v>1399</v>
      </c>
      <c r="E440" s="2" t="s">
        <v>107</v>
      </c>
      <c r="F440">
        <v>15401</v>
      </c>
      <c r="G440" s="6"/>
      <c r="H440" s="6" t="s">
        <v>1400</v>
      </c>
      <c r="I440" s="34"/>
      <c r="J440" s="38"/>
      <c r="K440" s="38"/>
      <c r="L440" s="38"/>
      <c r="M440" s="38" t="s">
        <v>109</v>
      </c>
      <c r="N440" s="19">
        <v>1</v>
      </c>
      <c r="O440" s="76">
        <v>-2147483648</v>
      </c>
      <c r="P440" s="6">
        <v>2147483647</v>
      </c>
      <c r="Q440" s="38">
        <v>-2147483648</v>
      </c>
      <c r="R440" s="38">
        <v>2147483647</v>
      </c>
      <c r="S440" s="34"/>
      <c r="T440" s="34"/>
      <c r="U440" s="34"/>
      <c r="V440" s="8"/>
      <c r="W440" t="s">
        <v>1401</v>
      </c>
      <c r="Y440" s="34"/>
      <c r="Z440"/>
      <c r="AA440"/>
      <c r="AE440"/>
      <c r="AF440"/>
      <c r="AG440"/>
      <c r="AH440"/>
    </row>
    <row r="441" spans="1:34" ht="15.75" customHeight="1" x14ac:dyDescent="0.15">
      <c r="A441" s="6">
        <v>435</v>
      </c>
      <c r="B441" s="18" t="s">
        <v>75</v>
      </c>
      <c r="C441" s="34" t="s">
        <v>57</v>
      </c>
      <c r="D441" s="75" t="s">
        <v>1402</v>
      </c>
      <c r="E441" s="2" t="s">
        <v>77</v>
      </c>
      <c r="F441">
        <v>15403</v>
      </c>
      <c r="G441" s="6"/>
      <c r="H441" s="6" t="s">
        <v>1403</v>
      </c>
      <c r="I441" s="34"/>
      <c r="J441" s="38"/>
      <c r="K441" s="38"/>
      <c r="L441" s="38"/>
      <c r="M441" s="38" t="s">
        <v>113</v>
      </c>
      <c r="N441" s="19">
        <v>10</v>
      </c>
      <c r="O441" s="76">
        <v>0</v>
      </c>
      <c r="P441" s="6">
        <v>65535</v>
      </c>
      <c r="Q441" s="38">
        <v>0</v>
      </c>
      <c r="R441" s="38">
        <v>6553.5</v>
      </c>
      <c r="S441" s="34"/>
      <c r="T441" s="34"/>
      <c r="U441" s="34"/>
      <c r="V441" s="8"/>
      <c r="W441" t="s">
        <v>1404</v>
      </c>
      <c r="Y441" s="34"/>
      <c r="Z441"/>
      <c r="AA441"/>
      <c r="AE441"/>
      <c r="AF441"/>
      <c r="AG441"/>
      <c r="AH441"/>
    </row>
    <row r="442" spans="1:34" ht="15.75" customHeight="1" x14ac:dyDescent="0.15">
      <c r="A442" s="6">
        <v>436</v>
      </c>
      <c r="B442" s="18" t="s">
        <v>75</v>
      </c>
      <c r="C442" s="34" t="s">
        <v>57</v>
      </c>
      <c r="D442" s="75" t="s">
        <v>1405</v>
      </c>
      <c r="E442" s="2" t="s">
        <v>77</v>
      </c>
      <c r="F442">
        <v>15404</v>
      </c>
      <c r="G442" s="6"/>
      <c r="H442" s="6" t="s">
        <v>1406</v>
      </c>
      <c r="I442" s="34"/>
      <c r="J442" s="38"/>
      <c r="K442" s="38"/>
      <c r="L442" s="38"/>
      <c r="M442" s="38" t="s">
        <v>113</v>
      </c>
      <c r="N442" s="19">
        <v>10</v>
      </c>
      <c r="O442" s="76">
        <v>0</v>
      </c>
      <c r="P442" s="6">
        <v>65535</v>
      </c>
      <c r="Q442" s="38">
        <v>0</v>
      </c>
      <c r="R442" s="38">
        <v>6553.5</v>
      </c>
      <c r="S442" s="34"/>
      <c r="T442" s="34"/>
      <c r="U442" s="34"/>
      <c r="V442" s="8"/>
      <c r="W442" t="s">
        <v>1407</v>
      </c>
      <c r="Y442" s="34"/>
      <c r="Z442"/>
      <c r="AA442"/>
      <c r="AE442"/>
      <c r="AF442"/>
      <c r="AG442"/>
      <c r="AH442"/>
    </row>
    <row r="443" spans="1:34" ht="15.75" customHeight="1" x14ac:dyDescent="0.15">
      <c r="A443" s="6">
        <v>437</v>
      </c>
      <c r="B443" s="18" t="s">
        <v>75</v>
      </c>
      <c r="C443" s="34" t="s">
        <v>57</v>
      </c>
      <c r="D443" s="75" t="s">
        <v>1408</v>
      </c>
      <c r="E443" s="2" t="s">
        <v>77</v>
      </c>
      <c r="F443">
        <v>15405</v>
      </c>
      <c r="G443" s="6"/>
      <c r="H443" s="6" t="s">
        <v>1409</v>
      </c>
      <c r="I443" s="34"/>
      <c r="J443" s="38"/>
      <c r="K443" s="38"/>
      <c r="L443" s="38"/>
      <c r="M443" s="38" t="s">
        <v>113</v>
      </c>
      <c r="N443" s="19">
        <v>10</v>
      </c>
      <c r="O443" s="76">
        <v>0</v>
      </c>
      <c r="P443" s="6">
        <v>65535</v>
      </c>
      <c r="Q443" s="38">
        <v>0</v>
      </c>
      <c r="R443" s="38">
        <v>6553.5</v>
      </c>
      <c r="S443" s="34"/>
      <c r="T443" s="34"/>
      <c r="U443" s="34"/>
      <c r="V443" s="8"/>
      <c r="W443" t="s">
        <v>1410</v>
      </c>
      <c r="Y443" s="34"/>
      <c r="Z443"/>
      <c r="AA443"/>
      <c r="AE443"/>
      <c r="AF443"/>
      <c r="AG443"/>
      <c r="AH443"/>
    </row>
    <row r="444" spans="1:34" ht="15.75" customHeight="1" x14ac:dyDescent="0.15">
      <c r="A444" s="6">
        <v>438</v>
      </c>
      <c r="B444" s="18" t="s">
        <v>75</v>
      </c>
      <c r="C444" s="34" t="s">
        <v>57</v>
      </c>
      <c r="D444" s="75" t="s">
        <v>1411</v>
      </c>
      <c r="E444" s="2" t="s">
        <v>77</v>
      </c>
      <c r="F444">
        <v>15406</v>
      </c>
      <c r="G444" s="6"/>
      <c r="H444" s="6" t="s">
        <v>1412</v>
      </c>
      <c r="I444" s="34"/>
      <c r="J444" s="38"/>
      <c r="K444" s="38"/>
      <c r="L444" s="38"/>
      <c r="M444" s="38" t="s">
        <v>123</v>
      </c>
      <c r="N444" s="19">
        <v>10</v>
      </c>
      <c r="O444" s="76">
        <v>0</v>
      </c>
      <c r="P444" s="6">
        <v>65535</v>
      </c>
      <c r="Q444" s="38">
        <v>0</v>
      </c>
      <c r="R444" s="38">
        <v>6553.5</v>
      </c>
      <c r="S444" s="34"/>
      <c r="T444" s="34"/>
      <c r="U444" s="34"/>
      <c r="V444" s="8"/>
      <c r="W444" t="s">
        <v>1413</v>
      </c>
      <c r="Y444" s="34"/>
      <c r="Z444"/>
      <c r="AA444"/>
      <c r="AE444"/>
      <c r="AF444"/>
      <c r="AG444"/>
      <c r="AH444"/>
    </row>
    <row r="445" spans="1:34" s="59" customFormat="1" ht="15.75" customHeight="1" x14ac:dyDescent="0.15">
      <c r="A445" s="6">
        <v>439</v>
      </c>
      <c r="B445" s="18" t="s">
        <v>75</v>
      </c>
      <c r="C445" s="34" t="s">
        <v>57</v>
      </c>
      <c r="D445" s="75" t="s">
        <v>1414</v>
      </c>
      <c r="E445" s="2" t="s">
        <v>77</v>
      </c>
      <c r="F445">
        <v>15407</v>
      </c>
      <c r="G445" s="6"/>
      <c r="H445" s="6" t="s">
        <v>1415</v>
      </c>
      <c r="I445" s="34"/>
      <c r="J445" s="38"/>
      <c r="K445" s="38"/>
      <c r="L445" s="38"/>
      <c r="M445" s="38" t="s">
        <v>123</v>
      </c>
      <c r="N445" s="19">
        <v>10</v>
      </c>
      <c r="O445" s="76">
        <v>0</v>
      </c>
      <c r="P445" s="6">
        <v>65535</v>
      </c>
      <c r="Q445" s="38">
        <v>0</v>
      </c>
      <c r="R445" s="38">
        <v>6553.5</v>
      </c>
      <c r="S445" s="34"/>
      <c r="T445" s="34"/>
      <c r="U445" s="34"/>
      <c r="V445" s="8"/>
      <c r="W445" t="s">
        <v>1416</v>
      </c>
      <c r="X445"/>
      <c r="Y445" s="34"/>
    </row>
    <row r="446" spans="1:34" ht="15.75" customHeight="1" x14ac:dyDescent="0.15">
      <c r="A446" s="6">
        <v>440</v>
      </c>
      <c r="B446" s="18" t="s">
        <v>75</v>
      </c>
      <c r="C446" s="34" t="s">
        <v>57</v>
      </c>
      <c r="D446" s="75" t="s">
        <v>1417</v>
      </c>
      <c r="E446" s="2" t="s">
        <v>77</v>
      </c>
      <c r="F446">
        <v>15408</v>
      </c>
      <c r="G446" s="6"/>
      <c r="H446" s="6" t="s">
        <v>1418</v>
      </c>
      <c r="I446" s="34"/>
      <c r="J446" s="38"/>
      <c r="K446" s="38"/>
      <c r="L446" s="38"/>
      <c r="M446" s="38" t="s">
        <v>123</v>
      </c>
      <c r="N446" s="19">
        <v>10</v>
      </c>
      <c r="O446" s="76">
        <v>0</v>
      </c>
      <c r="P446" s="6">
        <v>65535</v>
      </c>
      <c r="Q446" s="38">
        <v>0</v>
      </c>
      <c r="R446" s="38">
        <v>6553.5</v>
      </c>
      <c r="S446" s="34"/>
      <c r="T446" s="34"/>
      <c r="U446" s="34"/>
      <c r="V446" s="8"/>
      <c r="W446" t="s">
        <v>1419</v>
      </c>
      <c r="Y446" s="34"/>
      <c r="Z446"/>
      <c r="AA446"/>
      <c r="AE446"/>
      <c r="AF446"/>
      <c r="AG446"/>
      <c r="AH446"/>
    </row>
    <row r="447" spans="1:34" ht="15.75" customHeight="1" x14ac:dyDescent="0.15">
      <c r="A447" s="6">
        <v>441</v>
      </c>
      <c r="B447" s="18" t="s">
        <v>75</v>
      </c>
      <c r="C447" s="34" t="s">
        <v>57</v>
      </c>
      <c r="D447" s="75" t="s">
        <v>1420</v>
      </c>
      <c r="E447" s="2" t="s">
        <v>107</v>
      </c>
      <c r="F447">
        <v>15409</v>
      </c>
      <c r="G447" s="6"/>
      <c r="H447" s="6" t="s">
        <v>1421</v>
      </c>
      <c r="I447" s="34"/>
      <c r="J447" s="38"/>
      <c r="K447" s="38"/>
      <c r="L447" s="38"/>
      <c r="M447" s="38" t="s">
        <v>109</v>
      </c>
      <c r="N447" s="19">
        <v>1</v>
      </c>
      <c r="O447" s="76">
        <v>-2147483648</v>
      </c>
      <c r="P447" s="6">
        <v>2147483647</v>
      </c>
      <c r="Q447" s="38">
        <v>-2147483648</v>
      </c>
      <c r="R447" s="38">
        <v>2147483647</v>
      </c>
      <c r="S447" s="34"/>
      <c r="T447" s="34"/>
      <c r="U447" s="34"/>
      <c r="V447" s="8"/>
      <c r="W447" t="s">
        <v>1422</v>
      </c>
      <c r="Y447" s="34"/>
      <c r="Z447"/>
      <c r="AA447"/>
      <c r="AE447"/>
      <c r="AF447"/>
      <c r="AG447"/>
      <c r="AH447"/>
    </row>
    <row r="448" spans="1:34" ht="15.75" customHeight="1" x14ac:dyDescent="0.15">
      <c r="A448" s="6">
        <v>442</v>
      </c>
      <c r="B448" s="18" t="s">
        <v>75</v>
      </c>
      <c r="C448" s="34" t="s">
        <v>57</v>
      </c>
      <c r="D448" s="75" t="s">
        <v>1423</v>
      </c>
      <c r="E448" s="2" t="s">
        <v>107</v>
      </c>
      <c r="F448">
        <v>15411</v>
      </c>
      <c r="G448" s="6"/>
      <c r="H448" s="6" t="s">
        <v>1424</v>
      </c>
      <c r="I448" s="34"/>
      <c r="J448" s="38"/>
      <c r="K448" s="38"/>
      <c r="L448" s="38"/>
      <c r="M448" s="38" t="s">
        <v>136</v>
      </c>
      <c r="N448" s="19">
        <v>1</v>
      </c>
      <c r="O448" s="76">
        <v>-2147483648</v>
      </c>
      <c r="P448" s="6">
        <v>2147483647</v>
      </c>
      <c r="Q448" s="38">
        <v>-2147483648</v>
      </c>
      <c r="R448" s="38">
        <v>2147483647</v>
      </c>
      <c r="S448" s="34"/>
      <c r="T448" s="34"/>
      <c r="U448" s="34"/>
      <c r="V448" s="8"/>
      <c r="W448" t="s">
        <v>1425</v>
      </c>
      <c r="Y448" s="34"/>
      <c r="Z448"/>
      <c r="AA448"/>
      <c r="AE448"/>
      <c r="AF448"/>
      <c r="AG448"/>
      <c r="AH448"/>
    </row>
    <row r="449" spans="1:34" s="55" customFormat="1" ht="15.75" customHeight="1" x14ac:dyDescent="0.15">
      <c r="A449" s="6">
        <v>443</v>
      </c>
      <c r="B449" s="18" t="s">
        <v>75</v>
      </c>
      <c r="C449" s="34" t="s">
        <v>57</v>
      </c>
      <c r="D449" s="75" t="s">
        <v>1426</v>
      </c>
      <c r="E449" s="2" t="s">
        <v>143</v>
      </c>
      <c r="F449">
        <v>15413</v>
      </c>
      <c r="G449" s="6"/>
      <c r="H449" s="6" t="s">
        <v>1427</v>
      </c>
      <c r="I449" s="34"/>
      <c r="J449" s="38"/>
      <c r="K449" s="38"/>
      <c r="L449" s="38"/>
      <c r="M449" s="38" t="s">
        <v>145</v>
      </c>
      <c r="N449" s="19">
        <v>1000</v>
      </c>
      <c r="O449" s="76">
        <v>-32768</v>
      </c>
      <c r="P449" s="6">
        <v>32767</v>
      </c>
      <c r="Q449" s="38">
        <v>-32.768000000000001</v>
      </c>
      <c r="R449" s="38">
        <v>32.767000000000003</v>
      </c>
      <c r="S449" s="34"/>
      <c r="T449" s="34"/>
      <c r="U449" s="34"/>
      <c r="V449" s="8"/>
      <c r="W449" t="s">
        <v>1428</v>
      </c>
      <c r="X449"/>
      <c r="Y449" s="34"/>
    </row>
    <row r="450" spans="1:34" s="55" customFormat="1" ht="15.75" customHeight="1" x14ac:dyDescent="0.15">
      <c r="A450" s="6">
        <v>444</v>
      </c>
      <c r="B450" s="18" t="s">
        <v>75</v>
      </c>
      <c r="C450" s="34" t="s">
        <v>57</v>
      </c>
      <c r="D450" s="75" t="s">
        <v>1429</v>
      </c>
      <c r="E450" s="2" t="s">
        <v>77</v>
      </c>
      <c r="F450">
        <v>15414</v>
      </c>
      <c r="G450" s="6"/>
      <c r="H450" s="6" t="s">
        <v>1430</v>
      </c>
      <c r="I450" s="34"/>
      <c r="J450" s="38"/>
      <c r="K450" s="38"/>
      <c r="L450" s="38"/>
      <c r="M450" s="38" t="s">
        <v>149</v>
      </c>
      <c r="N450" s="19">
        <v>10</v>
      </c>
      <c r="O450" s="76">
        <v>0</v>
      </c>
      <c r="P450" s="6">
        <v>65535</v>
      </c>
      <c r="Q450" s="38">
        <v>0</v>
      </c>
      <c r="R450" s="38">
        <v>6553.5</v>
      </c>
      <c r="S450" s="34"/>
      <c r="T450" s="34"/>
      <c r="U450" s="34"/>
      <c r="V450" s="8"/>
      <c r="W450" t="s">
        <v>1431</v>
      </c>
      <c r="X450"/>
      <c r="Y450" s="34"/>
    </row>
    <row r="451" spans="1:34" s="55" customFormat="1" ht="15.75" customHeight="1" x14ac:dyDescent="0.15">
      <c r="A451" s="6">
        <v>445</v>
      </c>
      <c r="B451" s="18" t="s">
        <v>75</v>
      </c>
      <c r="C451" s="34" t="s">
        <v>57</v>
      </c>
      <c r="D451" s="75" t="s">
        <v>1432</v>
      </c>
      <c r="E451" s="2" t="s">
        <v>77</v>
      </c>
      <c r="F451">
        <v>15415</v>
      </c>
      <c r="G451" s="6"/>
      <c r="H451" s="6" t="s">
        <v>1433</v>
      </c>
      <c r="I451" s="34"/>
      <c r="J451" s="38"/>
      <c r="K451" s="38"/>
      <c r="L451" s="38"/>
      <c r="M451" s="38" t="s">
        <v>560</v>
      </c>
      <c r="N451" s="19">
        <v>10</v>
      </c>
      <c r="O451" s="76">
        <v>0</v>
      </c>
      <c r="P451" s="6">
        <v>65535</v>
      </c>
      <c r="Q451" s="38">
        <v>0</v>
      </c>
      <c r="R451" s="38">
        <v>6553.5</v>
      </c>
      <c r="S451" s="34"/>
      <c r="T451" s="34"/>
      <c r="U451" s="34"/>
      <c r="V451" s="8"/>
      <c r="W451" t="s">
        <v>1434</v>
      </c>
      <c r="X451"/>
      <c r="Y451" s="34"/>
    </row>
    <row r="452" spans="1:34" s="55" customFormat="1" ht="15.75" customHeight="1" x14ac:dyDescent="0.15">
      <c r="A452" s="6">
        <v>446</v>
      </c>
      <c r="B452" s="18" t="s">
        <v>75</v>
      </c>
      <c r="C452" s="34" t="s">
        <v>57</v>
      </c>
      <c r="D452" s="75" t="s">
        <v>1435</v>
      </c>
      <c r="E452" s="2" t="s">
        <v>77</v>
      </c>
      <c r="F452">
        <v>15417</v>
      </c>
      <c r="G452" s="6"/>
      <c r="H452" s="6" t="s">
        <v>1436</v>
      </c>
      <c r="I452" s="34"/>
      <c r="J452" s="38"/>
      <c r="K452" s="38"/>
      <c r="L452" s="38"/>
      <c r="M452" s="38" t="s">
        <v>564</v>
      </c>
      <c r="N452" s="19">
        <v>1</v>
      </c>
      <c r="O452" s="76">
        <v>0</v>
      </c>
      <c r="P452" s="6">
        <v>65535</v>
      </c>
      <c r="Q452" s="38">
        <v>0</v>
      </c>
      <c r="R452" s="38">
        <v>65535</v>
      </c>
      <c r="S452" s="34"/>
      <c r="T452" s="34"/>
      <c r="U452" s="34"/>
      <c r="V452" s="8"/>
      <c r="W452" t="s">
        <v>1437</v>
      </c>
      <c r="X452"/>
      <c r="Y452" s="34" t="s">
        <v>64</v>
      </c>
    </row>
    <row r="453" spans="1:34" ht="15.75" customHeight="1" x14ac:dyDescent="0.15">
      <c r="A453" s="6">
        <v>447</v>
      </c>
      <c r="B453" s="18" t="s">
        <v>75</v>
      </c>
      <c r="C453" s="34" t="s">
        <v>57</v>
      </c>
      <c r="D453" s="75" t="s">
        <v>1438</v>
      </c>
      <c r="E453" s="2" t="s">
        <v>77</v>
      </c>
      <c r="F453">
        <v>15418</v>
      </c>
      <c r="G453" s="6"/>
      <c r="H453" s="6" t="s">
        <v>1439</v>
      </c>
      <c r="I453" s="34"/>
      <c r="J453" s="38"/>
      <c r="K453" s="38"/>
      <c r="L453" s="38"/>
      <c r="M453" s="38" t="s">
        <v>568</v>
      </c>
      <c r="N453" s="19">
        <v>1</v>
      </c>
      <c r="O453" s="76">
        <v>0</v>
      </c>
      <c r="P453" s="6">
        <v>65535</v>
      </c>
      <c r="Q453" s="38">
        <v>0</v>
      </c>
      <c r="R453" s="38">
        <v>65535</v>
      </c>
      <c r="S453" s="34"/>
      <c r="T453" s="34"/>
      <c r="U453" s="34"/>
      <c r="V453" s="8"/>
      <c r="W453" t="s">
        <v>1440</v>
      </c>
      <c r="Y453" s="34" t="s">
        <v>64</v>
      </c>
      <c r="Z453"/>
      <c r="AA453"/>
      <c r="AE453"/>
      <c r="AF453"/>
      <c r="AG453"/>
      <c r="AH453"/>
    </row>
    <row r="454" spans="1:34" ht="15.75" customHeight="1" x14ac:dyDescent="0.15">
      <c r="A454" s="6">
        <v>448</v>
      </c>
      <c r="B454" s="18" t="s">
        <v>75</v>
      </c>
      <c r="C454" s="34" t="s">
        <v>57</v>
      </c>
      <c r="D454" s="75" t="s">
        <v>1441</v>
      </c>
      <c r="E454" s="2" t="s">
        <v>77</v>
      </c>
      <c r="F454">
        <v>15419</v>
      </c>
      <c r="G454" s="6"/>
      <c r="H454" s="6" t="s">
        <v>1442</v>
      </c>
      <c r="I454" s="34"/>
      <c r="J454" s="38"/>
      <c r="K454" s="38"/>
      <c r="L454" s="38"/>
      <c r="M454" s="38" t="s">
        <v>572</v>
      </c>
      <c r="N454" s="19">
        <v>1</v>
      </c>
      <c r="O454" s="76">
        <v>0</v>
      </c>
      <c r="P454" s="6">
        <v>65535</v>
      </c>
      <c r="Q454" s="38">
        <v>0</v>
      </c>
      <c r="R454" s="38">
        <v>65535</v>
      </c>
      <c r="S454" s="34"/>
      <c r="T454" s="34"/>
      <c r="U454" s="34"/>
      <c r="V454" s="8"/>
      <c r="W454" t="s">
        <v>1443</v>
      </c>
      <c r="Y454" s="34" t="s">
        <v>64</v>
      </c>
      <c r="Z454"/>
      <c r="AA454"/>
      <c r="AE454"/>
      <c r="AF454"/>
      <c r="AG454"/>
      <c r="AH454"/>
    </row>
    <row r="455" spans="1:34" s="59" customFormat="1" ht="15.75" customHeight="1" x14ac:dyDescent="0.15">
      <c r="A455" s="6">
        <v>449</v>
      </c>
      <c r="B455" s="18" t="s">
        <v>75</v>
      </c>
      <c r="C455" s="34" t="s">
        <v>57</v>
      </c>
      <c r="D455" s="75" t="s">
        <v>1444</v>
      </c>
      <c r="E455" s="2" t="s">
        <v>77</v>
      </c>
      <c r="F455">
        <v>15420</v>
      </c>
      <c r="G455" s="6"/>
      <c r="H455" s="6" t="s">
        <v>1445</v>
      </c>
      <c r="I455" s="34"/>
      <c r="J455" s="38"/>
      <c r="K455" s="38"/>
      <c r="L455" s="38"/>
      <c r="M455" s="38" t="s">
        <v>104</v>
      </c>
      <c r="N455" s="19">
        <v>1</v>
      </c>
      <c r="O455" s="76">
        <v>0</v>
      </c>
      <c r="P455" s="6">
        <v>65535</v>
      </c>
      <c r="Q455" s="38">
        <v>0</v>
      </c>
      <c r="R455" s="38">
        <v>65535</v>
      </c>
      <c r="S455" s="34"/>
      <c r="T455" s="34"/>
      <c r="U455" s="34"/>
      <c r="V455" s="8"/>
      <c r="W455" t="s">
        <v>1446</v>
      </c>
      <c r="X455"/>
      <c r="Y455" s="34" t="s">
        <v>64</v>
      </c>
    </row>
    <row r="456" spans="1:34" s="55" customFormat="1" ht="15.75" customHeight="1" x14ac:dyDescent="0.15">
      <c r="A456" s="6">
        <v>450</v>
      </c>
      <c r="B456" s="18" t="s">
        <v>75</v>
      </c>
      <c r="C456" s="34" t="s">
        <v>57</v>
      </c>
      <c r="D456" s="75" t="s">
        <v>1447</v>
      </c>
      <c r="E456" s="2" t="s">
        <v>77</v>
      </c>
      <c r="F456">
        <v>15421</v>
      </c>
      <c r="G456" s="6"/>
      <c r="H456" s="6" t="s">
        <v>1448</v>
      </c>
      <c r="I456" s="34"/>
      <c r="J456" s="38"/>
      <c r="K456" s="38"/>
      <c r="L456" s="38"/>
      <c r="M456" s="38" t="s">
        <v>100</v>
      </c>
      <c r="N456" s="19">
        <v>1</v>
      </c>
      <c r="O456" s="76">
        <v>0</v>
      </c>
      <c r="P456" s="6">
        <v>65535</v>
      </c>
      <c r="Q456" s="38">
        <v>0</v>
      </c>
      <c r="R456" s="38">
        <v>65535</v>
      </c>
      <c r="S456" s="34"/>
      <c r="T456" s="34"/>
      <c r="U456" s="34"/>
      <c r="V456" s="8"/>
      <c r="W456" t="s">
        <v>1449</v>
      </c>
      <c r="X456"/>
      <c r="Y456" s="34" t="s">
        <v>64</v>
      </c>
    </row>
    <row r="457" spans="1:34" s="59" customFormat="1" ht="15.75" customHeight="1" x14ac:dyDescent="0.15">
      <c r="A457" s="6">
        <v>451</v>
      </c>
      <c r="B457" s="18" t="s">
        <v>75</v>
      </c>
      <c r="C457" s="34" t="s">
        <v>57</v>
      </c>
      <c r="D457" s="75" t="s">
        <v>1450</v>
      </c>
      <c r="E457" s="2" t="s">
        <v>77</v>
      </c>
      <c r="F457">
        <v>15422</v>
      </c>
      <c r="G457" s="6"/>
      <c r="H457" s="6" t="s">
        <v>1451</v>
      </c>
      <c r="I457" s="34"/>
      <c r="J457" s="38"/>
      <c r="K457" s="38"/>
      <c r="L457" s="38"/>
      <c r="M457" s="38" t="s">
        <v>582</v>
      </c>
      <c r="N457" s="19">
        <v>1</v>
      </c>
      <c r="O457" s="76">
        <v>0</v>
      </c>
      <c r="P457" s="6">
        <v>65535</v>
      </c>
      <c r="Q457" s="38">
        <v>0</v>
      </c>
      <c r="R457" s="38">
        <v>65535</v>
      </c>
      <c r="S457" s="34"/>
      <c r="T457" s="34"/>
      <c r="U457" s="34"/>
      <c r="V457" s="8"/>
      <c r="W457" t="s">
        <v>1452</v>
      </c>
      <c r="X457"/>
      <c r="Y457" s="34" t="s">
        <v>64</v>
      </c>
    </row>
    <row r="458" spans="1:34" s="59" customFormat="1" ht="15.75" customHeight="1" x14ac:dyDescent="0.15">
      <c r="A458" s="6">
        <v>452</v>
      </c>
      <c r="B458" s="18" t="s">
        <v>75</v>
      </c>
      <c r="C458" s="34" t="s">
        <v>57</v>
      </c>
      <c r="D458" s="75" t="s">
        <v>1453</v>
      </c>
      <c r="E458" s="2" t="s">
        <v>219</v>
      </c>
      <c r="F458">
        <v>15425</v>
      </c>
      <c r="G458" s="6"/>
      <c r="H458" s="6" t="s">
        <v>1454</v>
      </c>
      <c r="I458" s="34"/>
      <c r="J458" s="38"/>
      <c r="K458" s="38"/>
      <c r="L458" s="38"/>
      <c r="M458" s="38"/>
      <c r="N458" s="19"/>
      <c r="O458" s="76" t="s">
        <v>62</v>
      </c>
      <c r="P458" s="6" t="s">
        <v>62</v>
      </c>
      <c r="Q458" s="38" t="s">
        <v>62</v>
      </c>
      <c r="R458" s="38" t="s">
        <v>62</v>
      </c>
      <c r="S458" s="34"/>
      <c r="T458" s="34"/>
      <c r="U458" s="34"/>
      <c r="V458" s="8"/>
      <c r="W458" t="s">
        <v>1455</v>
      </c>
      <c r="X458"/>
      <c r="Y458" s="34"/>
    </row>
    <row r="459" spans="1:34" s="55" customFormat="1" ht="15.75" customHeight="1" x14ac:dyDescent="0.15">
      <c r="A459" s="6">
        <v>453</v>
      </c>
      <c r="B459" s="18" t="s">
        <v>75</v>
      </c>
      <c r="C459" s="34" t="s">
        <v>57</v>
      </c>
      <c r="D459" s="75" t="s">
        <v>1456</v>
      </c>
      <c r="E459" s="2" t="s">
        <v>169</v>
      </c>
      <c r="F459">
        <v>15425</v>
      </c>
      <c r="G459" s="6">
        <v>0</v>
      </c>
      <c r="H459" s="6" t="s">
        <v>1457</v>
      </c>
      <c r="I459" s="34"/>
      <c r="J459" s="38" t="s">
        <v>171</v>
      </c>
      <c r="K459" s="38" t="s">
        <v>177</v>
      </c>
      <c r="L459" s="38" t="s">
        <v>173</v>
      </c>
      <c r="M459" s="38"/>
      <c r="N459" s="19"/>
      <c r="O459" s="76" t="s">
        <v>62</v>
      </c>
      <c r="P459" s="6" t="s">
        <v>62</v>
      </c>
      <c r="Q459" s="38" t="s">
        <v>62</v>
      </c>
      <c r="R459" s="38" t="s">
        <v>62</v>
      </c>
      <c r="S459" s="34"/>
      <c r="T459" s="34"/>
      <c r="U459" s="34"/>
      <c r="V459" s="8"/>
      <c r="W459" t="s">
        <v>1458</v>
      </c>
      <c r="X459"/>
      <c r="Y459" s="34"/>
    </row>
    <row r="460" spans="1:34" s="55" customFormat="1" ht="15.75" customHeight="1" x14ac:dyDescent="0.15">
      <c r="A460" s="6">
        <v>454</v>
      </c>
      <c r="B460" s="18" t="s">
        <v>75</v>
      </c>
      <c r="C460" s="34" t="s">
        <v>57</v>
      </c>
      <c r="D460" s="75" t="s">
        <v>1459</v>
      </c>
      <c r="E460" s="2" t="s">
        <v>169</v>
      </c>
      <c r="F460">
        <v>15425</v>
      </c>
      <c r="G460" s="6">
        <v>1</v>
      </c>
      <c r="H460" s="6" t="s">
        <v>1460</v>
      </c>
      <c r="I460" s="34"/>
      <c r="J460" s="38" t="s">
        <v>171</v>
      </c>
      <c r="K460" s="38" t="s">
        <v>177</v>
      </c>
      <c r="L460" s="38" t="s">
        <v>173</v>
      </c>
      <c r="M460" s="38"/>
      <c r="N460" s="19"/>
      <c r="O460" s="76" t="s">
        <v>62</v>
      </c>
      <c r="P460" s="6" t="s">
        <v>62</v>
      </c>
      <c r="Q460" s="38" t="s">
        <v>62</v>
      </c>
      <c r="R460" s="38" t="s">
        <v>62</v>
      </c>
      <c r="S460" s="34"/>
      <c r="T460" s="34"/>
      <c r="U460" s="34"/>
      <c r="V460" s="8"/>
      <c r="W460" t="s">
        <v>1461</v>
      </c>
      <c r="X460"/>
      <c r="Y460" s="34"/>
    </row>
    <row r="461" spans="1:34" s="55" customFormat="1" ht="15.75" customHeight="1" x14ac:dyDescent="0.15">
      <c r="A461" s="6">
        <v>455</v>
      </c>
      <c r="B461" s="18" t="s">
        <v>75</v>
      </c>
      <c r="C461" s="34" t="s">
        <v>57</v>
      </c>
      <c r="D461" s="75" t="s">
        <v>1462</v>
      </c>
      <c r="E461" s="2" t="s">
        <v>169</v>
      </c>
      <c r="F461">
        <v>15425</v>
      </c>
      <c r="G461" s="6">
        <v>2</v>
      </c>
      <c r="H461" s="6" t="s">
        <v>1463</v>
      </c>
      <c r="I461" s="34"/>
      <c r="J461" s="38" t="s">
        <v>171</v>
      </c>
      <c r="K461" s="38" t="s">
        <v>177</v>
      </c>
      <c r="L461" s="38" t="s">
        <v>173</v>
      </c>
      <c r="M461" s="38"/>
      <c r="N461" s="19"/>
      <c r="O461" s="76" t="s">
        <v>62</v>
      </c>
      <c r="P461" s="6" t="s">
        <v>62</v>
      </c>
      <c r="Q461" s="38" t="s">
        <v>62</v>
      </c>
      <c r="R461" s="38" t="s">
        <v>62</v>
      </c>
      <c r="S461" s="34"/>
      <c r="T461" s="34"/>
      <c r="U461" s="34"/>
      <c r="V461" s="8"/>
      <c r="W461" t="s">
        <v>1464</v>
      </c>
      <c r="X461"/>
      <c r="Y461" s="34"/>
    </row>
    <row r="462" spans="1:34" s="59" customFormat="1" ht="15.75" customHeight="1" x14ac:dyDescent="0.15">
      <c r="A462" s="6">
        <v>456</v>
      </c>
      <c r="B462" s="18" t="s">
        <v>75</v>
      </c>
      <c r="C462" s="34" t="s">
        <v>57</v>
      </c>
      <c r="D462" s="75" t="s">
        <v>1465</v>
      </c>
      <c r="E462" s="2" t="s">
        <v>169</v>
      </c>
      <c r="F462">
        <v>15425</v>
      </c>
      <c r="G462" s="6">
        <v>3</v>
      </c>
      <c r="H462" s="6" t="s">
        <v>1466</v>
      </c>
      <c r="I462" s="34"/>
      <c r="J462" s="38" t="s">
        <v>171</v>
      </c>
      <c r="K462" s="38" t="s">
        <v>177</v>
      </c>
      <c r="L462" s="38" t="s">
        <v>173</v>
      </c>
      <c r="M462" s="38"/>
      <c r="N462" s="19"/>
      <c r="O462" s="76" t="s">
        <v>62</v>
      </c>
      <c r="P462" s="6" t="s">
        <v>62</v>
      </c>
      <c r="Q462" s="38" t="s">
        <v>62</v>
      </c>
      <c r="R462" s="38" t="s">
        <v>62</v>
      </c>
      <c r="S462" s="34"/>
      <c r="T462" s="34"/>
      <c r="U462" s="34"/>
      <c r="V462" s="8"/>
      <c r="W462" t="s">
        <v>1467</v>
      </c>
      <c r="X462"/>
      <c r="Y462" s="34"/>
    </row>
    <row r="463" spans="1:34" s="59" customFormat="1" ht="15.75" customHeight="1" x14ac:dyDescent="0.15">
      <c r="A463" s="6">
        <v>457</v>
      </c>
      <c r="B463" s="18" t="s">
        <v>75</v>
      </c>
      <c r="C463" s="34" t="s">
        <v>57</v>
      </c>
      <c r="D463" s="75" t="s">
        <v>1468</v>
      </c>
      <c r="E463" s="2" t="s">
        <v>169</v>
      </c>
      <c r="F463">
        <v>15425</v>
      </c>
      <c r="G463" s="6">
        <v>7</v>
      </c>
      <c r="H463" s="6" t="s">
        <v>1469</v>
      </c>
      <c r="I463" s="34"/>
      <c r="J463" s="38" t="s">
        <v>171</v>
      </c>
      <c r="K463" s="38" t="s">
        <v>177</v>
      </c>
      <c r="L463" s="38" t="s">
        <v>173</v>
      </c>
      <c r="M463" s="38"/>
      <c r="N463" s="19"/>
      <c r="O463" s="76" t="s">
        <v>62</v>
      </c>
      <c r="P463" s="6" t="s">
        <v>62</v>
      </c>
      <c r="Q463" s="38" t="s">
        <v>62</v>
      </c>
      <c r="R463" s="38" t="s">
        <v>62</v>
      </c>
      <c r="S463" s="34"/>
      <c r="T463" s="34"/>
      <c r="U463" s="34"/>
      <c r="V463" s="8"/>
      <c r="W463" t="s">
        <v>1470</v>
      </c>
      <c r="X463"/>
      <c r="Y463" s="34"/>
    </row>
    <row r="464" spans="1:34" s="59" customFormat="1" ht="15.75" customHeight="1" x14ac:dyDescent="0.15">
      <c r="A464" s="6">
        <v>458</v>
      </c>
      <c r="B464" s="18" t="s">
        <v>75</v>
      </c>
      <c r="C464" s="34" t="s">
        <v>57</v>
      </c>
      <c r="D464" s="75" t="s">
        <v>1471</v>
      </c>
      <c r="E464" s="2" t="s">
        <v>169</v>
      </c>
      <c r="F464">
        <v>15425</v>
      </c>
      <c r="G464" s="6">
        <v>9</v>
      </c>
      <c r="H464" s="6" t="s">
        <v>1472</v>
      </c>
      <c r="I464" s="34"/>
      <c r="J464" s="38" t="s">
        <v>171</v>
      </c>
      <c r="K464" s="38" t="s">
        <v>177</v>
      </c>
      <c r="L464" s="38" t="s">
        <v>173</v>
      </c>
      <c r="M464" s="38"/>
      <c r="N464" s="19"/>
      <c r="O464" s="76" t="s">
        <v>62</v>
      </c>
      <c r="P464" s="6" t="s">
        <v>62</v>
      </c>
      <c r="Q464" s="38" t="s">
        <v>62</v>
      </c>
      <c r="R464" s="38" t="s">
        <v>62</v>
      </c>
      <c r="S464" s="34"/>
      <c r="T464" s="34"/>
      <c r="U464" s="34"/>
      <c r="V464" s="8"/>
      <c r="W464" t="s">
        <v>1473</v>
      </c>
      <c r="X464"/>
      <c r="Y464" s="34"/>
    </row>
    <row r="465" spans="1:34" s="59" customFormat="1" ht="15.75" customHeight="1" x14ac:dyDescent="0.15">
      <c r="A465" s="6">
        <v>459</v>
      </c>
      <c r="B465" s="18" t="s">
        <v>75</v>
      </c>
      <c r="C465" s="34" t="s">
        <v>57</v>
      </c>
      <c r="D465" s="75" t="s">
        <v>1474</v>
      </c>
      <c r="E465" s="2" t="s">
        <v>169</v>
      </c>
      <c r="F465">
        <v>15425</v>
      </c>
      <c r="G465" s="6">
        <v>10</v>
      </c>
      <c r="H465" s="6" t="s">
        <v>1475</v>
      </c>
      <c r="I465" s="34"/>
      <c r="J465" s="38" t="s">
        <v>171</v>
      </c>
      <c r="K465" s="38" t="s">
        <v>177</v>
      </c>
      <c r="L465" s="38" t="s">
        <v>173</v>
      </c>
      <c r="M465" s="38"/>
      <c r="N465" s="19"/>
      <c r="O465" s="76" t="s">
        <v>62</v>
      </c>
      <c r="P465" s="6" t="s">
        <v>62</v>
      </c>
      <c r="Q465" s="38" t="s">
        <v>62</v>
      </c>
      <c r="R465" s="38" t="s">
        <v>62</v>
      </c>
      <c r="S465" s="34"/>
      <c r="T465" s="34"/>
      <c r="U465" s="34"/>
      <c r="V465" s="8"/>
      <c r="W465" t="s">
        <v>1476</v>
      </c>
      <c r="X465"/>
      <c r="Y465" s="34"/>
    </row>
    <row r="466" spans="1:34" s="59" customFormat="1" ht="15.75" customHeight="1" x14ac:dyDescent="0.15">
      <c r="A466" s="6">
        <v>460</v>
      </c>
      <c r="B466" s="18" t="s">
        <v>75</v>
      </c>
      <c r="C466" s="34" t="s">
        <v>57</v>
      </c>
      <c r="D466" s="75" t="s">
        <v>1477</v>
      </c>
      <c r="E466" s="2" t="s">
        <v>169</v>
      </c>
      <c r="F466">
        <v>15425</v>
      </c>
      <c r="G466" s="6">
        <v>11</v>
      </c>
      <c r="H466" s="6" t="s">
        <v>1478</v>
      </c>
      <c r="I466" s="34"/>
      <c r="J466" s="38" t="s">
        <v>171</v>
      </c>
      <c r="K466" s="38" t="s">
        <v>177</v>
      </c>
      <c r="L466" s="38" t="s">
        <v>173</v>
      </c>
      <c r="M466" s="38"/>
      <c r="N466" s="19"/>
      <c r="O466" s="76" t="s">
        <v>62</v>
      </c>
      <c r="P466" s="6" t="s">
        <v>62</v>
      </c>
      <c r="Q466" s="38" t="s">
        <v>62</v>
      </c>
      <c r="R466" s="38" t="s">
        <v>62</v>
      </c>
      <c r="S466" s="34"/>
      <c r="T466" s="34"/>
      <c r="U466" s="34"/>
      <c r="V466" s="8"/>
      <c r="W466" t="s">
        <v>1479</v>
      </c>
      <c r="X466"/>
      <c r="Y466" s="34"/>
    </row>
    <row r="467" spans="1:34" s="59" customFormat="1" ht="15.75" customHeight="1" x14ac:dyDescent="0.15">
      <c r="A467" s="6">
        <v>461</v>
      </c>
      <c r="B467" s="18" t="s">
        <v>75</v>
      </c>
      <c r="C467" s="34" t="s">
        <v>57</v>
      </c>
      <c r="D467" s="75" t="s">
        <v>1480</v>
      </c>
      <c r="E467" s="2" t="s">
        <v>169</v>
      </c>
      <c r="F467">
        <v>15425</v>
      </c>
      <c r="G467" s="6">
        <v>14</v>
      </c>
      <c r="H467" s="6" t="s">
        <v>1481</v>
      </c>
      <c r="I467" s="34"/>
      <c r="J467" s="38" t="s">
        <v>171</v>
      </c>
      <c r="K467" s="38" t="s">
        <v>177</v>
      </c>
      <c r="L467" s="38" t="s">
        <v>173</v>
      </c>
      <c r="M467" s="38"/>
      <c r="N467" s="19"/>
      <c r="O467" s="76" t="s">
        <v>62</v>
      </c>
      <c r="P467" s="6" t="s">
        <v>62</v>
      </c>
      <c r="Q467" s="38" t="s">
        <v>62</v>
      </c>
      <c r="R467" s="38" t="s">
        <v>62</v>
      </c>
      <c r="S467" s="34"/>
      <c r="T467" s="34"/>
      <c r="U467" s="34"/>
      <c r="V467" s="8"/>
      <c r="W467" t="s">
        <v>1482</v>
      </c>
      <c r="X467"/>
      <c r="Y467" s="34"/>
    </row>
    <row r="468" spans="1:34" ht="15.75" customHeight="1" x14ac:dyDescent="0.15">
      <c r="A468" s="6">
        <v>462</v>
      </c>
      <c r="B468" s="18" t="s">
        <v>75</v>
      </c>
      <c r="C468" s="34" t="s">
        <v>57</v>
      </c>
      <c r="D468" s="75" t="s">
        <v>1483</v>
      </c>
      <c r="E468" s="2" t="s">
        <v>169</v>
      </c>
      <c r="F468">
        <v>15425</v>
      </c>
      <c r="G468" s="6">
        <v>17</v>
      </c>
      <c r="H468" s="6" t="s">
        <v>1484</v>
      </c>
      <c r="I468" s="34"/>
      <c r="J468" s="38" t="s">
        <v>171</v>
      </c>
      <c r="K468" s="38" t="s">
        <v>177</v>
      </c>
      <c r="L468" s="38" t="s">
        <v>173</v>
      </c>
      <c r="M468" s="38"/>
      <c r="N468" s="19"/>
      <c r="O468" s="76" t="s">
        <v>62</v>
      </c>
      <c r="P468" s="6" t="s">
        <v>62</v>
      </c>
      <c r="Q468" s="38" t="s">
        <v>62</v>
      </c>
      <c r="R468" s="38" t="s">
        <v>62</v>
      </c>
      <c r="S468" s="34"/>
      <c r="T468" s="34"/>
      <c r="U468" s="34"/>
      <c r="V468" s="8"/>
      <c r="W468" t="s">
        <v>1485</v>
      </c>
      <c r="Y468" s="34"/>
      <c r="Z468"/>
      <c r="AA468"/>
      <c r="AE468"/>
      <c r="AF468"/>
      <c r="AG468"/>
      <c r="AH468"/>
    </row>
    <row r="469" spans="1:34" s="64" customFormat="1" ht="15.75" customHeight="1" x14ac:dyDescent="0.15">
      <c r="A469" s="6">
        <v>463</v>
      </c>
      <c r="B469" s="18" t="s">
        <v>75</v>
      </c>
      <c r="C469" s="34" t="s">
        <v>57</v>
      </c>
      <c r="D469" s="75" t="s">
        <v>1486</v>
      </c>
      <c r="E469" s="2" t="s">
        <v>169</v>
      </c>
      <c r="F469">
        <v>15425</v>
      </c>
      <c r="G469" s="6">
        <v>18</v>
      </c>
      <c r="H469" s="6" t="s">
        <v>1487</v>
      </c>
      <c r="I469" s="34"/>
      <c r="J469" s="38" t="s">
        <v>171</v>
      </c>
      <c r="K469" s="38" t="s">
        <v>177</v>
      </c>
      <c r="L469" s="38" t="s">
        <v>173</v>
      </c>
      <c r="M469" s="38"/>
      <c r="N469" s="19"/>
      <c r="O469" s="76" t="s">
        <v>62</v>
      </c>
      <c r="P469" s="6" t="s">
        <v>62</v>
      </c>
      <c r="Q469" s="38" t="s">
        <v>62</v>
      </c>
      <c r="R469" s="38" t="s">
        <v>62</v>
      </c>
      <c r="S469" s="34"/>
      <c r="T469" s="34"/>
      <c r="U469" s="34"/>
      <c r="V469" s="8"/>
      <c r="W469" t="s">
        <v>1488</v>
      </c>
      <c r="X469"/>
      <c r="Y469" s="34"/>
    </row>
    <row r="470" spans="1:34" ht="15.75" customHeight="1" x14ac:dyDescent="0.15">
      <c r="A470" s="6">
        <v>464</v>
      </c>
      <c r="B470" s="18" t="s">
        <v>75</v>
      </c>
      <c r="C470" s="34" t="s">
        <v>57</v>
      </c>
      <c r="D470" s="75" t="s">
        <v>1489</v>
      </c>
      <c r="E470" s="2" t="s">
        <v>169</v>
      </c>
      <c r="F470">
        <v>15425</v>
      </c>
      <c r="G470" s="6">
        <v>21</v>
      </c>
      <c r="H470" s="6" t="s">
        <v>1490</v>
      </c>
      <c r="I470" s="34"/>
      <c r="J470" s="38" t="s">
        <v>171</v>
      </c>
      <c r="K470" s="38" t="s">
        <v>177</v>
      </c>
      <c r="L470" s="38" t="s">
        <v>173</v>
      </c>
      <c r="M470" s="38"/>
      <c r="N470" s="19"/>
      <c r="O470" s="76" t="s">
        <v>62</v>
      </c>
      <c r="P470" s="6" t="s">
        <v>62</v>
      </c>
      <c r="Q470" s="38" t="s">
        <v>62</v>
      </c>
      <c r="R470" s="38" t="s">
        <v>62</v>
      </c>
      <c r="S470" s="34"/>
      <c r="T470" s="34"/>
      <c r="U470" s="34"/>
      <c r="V470" s="8"/>
      <c r="W470" t="s">
        <v>1491</v>
      </c>
      <c r="Y470" s="34"/>
      <c r="Z470"/>
      <c r="AA470"/>
      <c r="AE470"/>
      <c r="AF470"/>
      <c r="AG470"/>
      <c r="AH470"/>
    </row>
    <row r="471" spans="1:34" s="64" customFormat="1" ht="15.75" customHeight="1" x14ac:dyDescent="0.15">
      <c r="A471" s="6">
        <v>465</v>
      </c>
      <c r="B471" s="18" t="s">
        <v>75</v>
      </c>
      <c r="C471" s="34" t="s">
        <v>57</v>
      </c>
      <c r="D471" s="75" t="s">
        <v>1492</v>
      </c>
      <c r="E471" s="2" t="s">
        <v>169</v>
      </c>
      <c r="F471">
        <v>15425</v>
      </c>
      <c r="G471" s="6">
        <v>22</v>
      </c>
      <c r="H471" s="6" t="s">
        <v>1493</v>
      </c>
      <c r="I471" s="34"/>
      <c r="J471" s="38" t="s">
        <v>171</v>
      </c>
      <c r="K471" s="38" t="s">
        <v>177</v>
      </c>
      <c r="L471" s="38" t="s">
        <v>173</v>
      </c>
      <c r="M471" s="38"/>
      <c r="N471" s="19"/>
      <c r="O471" s="76" t="s">
        <v>62</v>
      </c>
      <c r="P471" s="6" t="s">
        <v>62</v>
      </c>
      <c r="Q471" s="38" t="s">
        <v>62</v>
      </c>
      <c r="R471" s="38" t="s">
        <v>62</v>
      </c>
      <c r="S471" s="34"/>
      <c r="T471" s="34"/>
      <c r="U471" s="34"/>
      <c r="V471" s="8"/>
      <c r="W471" t="s">
        <v>1494</v>
      </c>
      <c r="X471"/>
      <c r="Y471" s="34"/>
    </row>
    <row r="472" spans="1:34" ht="15.75" customHeight="1" x14ac:dyDescent="0.15">
      <c r="A472" s="6">
        <v>466</v>
      </c>
      <c r="B472" s="18" t="s">
        <v>75</v>
      </c>
      <c r="C472" s="34" t="s">
        <v>57</v>
      </c>
      <c r="D472" s="75" t="s">
        <v>1495</v>
      </c>
      <c r="E472" s="2" t="s">
        <v>169</v>
      </c>
      <c r="F472">
        <v>15425</v>
      </c>
      <c r="G472" s="6">
        <v>23</v>
      </c>
      <c r="H472" s="6" t="s">
        <v>1496</v>
      </c>
      <c r="I472" s="34"/>
      <c r="J472" s="38" t="s">
        <v>171</v>
      </c>
      <c r="K472" s="38" t="s">
        <v>177</v>
      </c>
      <c r="L472" s="38" t="s">
        <v>173</v>
      </c>
      <c r="M472" s="38"/>
      <c r="N472" s="19"/>
      <c r="O472" s="76" t="s">
        <v>62</v>
      </c>
      <c r="P472" s="6" t="s">
        <v>62</v>
      </c>
      <c r="Q472" s="38" t="s">
        <v>62</v>
      </c>
      <c r="R472" s="38" t="s">
        <v>62</v>
      </c>
      <c r="S472" s="34"/>
      <c r="T472" s="34"/>
      <c r="U472" s="34"/>
      <c r="V472" s="8"/>
      <c r="W472" t="s">
        <v>1497</v>
      </c>
      <c r="Y472" s="34"/>
      <c r="Z472"/>
      <c r="AA472"/>
      <c r="AE472"/>
      <c r="AF472"/>
      <c r="AG472"/>
      <c r="AH472"/>
    </row>
    <row r="473" spans="1:34" s="64" customFormat="1" ht="15.75" customHeight="1" x14ac:dyDescent="0.15">
      <c r="A473" s="6">
        <v>467</v>
      </c>
      <c r="B473" s="18" t="s">
        <v>75</v>
      </c>
      <c r="C473" s="34" t="s">
        <v>57</v>
      </c>
      <c r="D473" s="75" t="s">
        <v>1498</v>
      </c>
      <c r="E473" s="2" t="s">
        <v>169</v>
      </c>
      <c r="F473">
        <v>15425</v>
      </c>
      <c r="G473" s="6">
        <v>24</v>
      </c>
      <c r="H473" s="6" t="s">
        <v>1499</v>
      </c>
      <c r="I473" s="34"/>
      <c r="J473" s="38" t="s">
        <v>171</v>
      </c>
      <c r="K473" s="38" t="s">
        <v>177</v>
      </c>
      <c r="L473" s="38" t="s">
        <v>173</v>
      </c>
      <c r="M473" s="38"/>
      <c r="N473" s="19"/>
      <c r="O473" s="76" t="s">
        <v>62</v>
      </c>
      <c r="P473" s="6" t="s">
        <v>62</v>
      </c>
      <c r="Q473" s="38" t="s">
        <v>62</v>
      </c>
      <c r="R473" s="38" t="s">
        <v>62</v>
      </c>
      <c r="S473" s="34"/>
      <c r="T473" s="34"/>
      <c r="U473" s="34"/>
      <c r="V473" s="8"/>
      <c r="W473" t="s">
        <v>1500</v>
      </c>
      <c r="X473"/>
      <c r="Y473" s="34"/>
    </row>
    <row r="474" spans="1:34" ht="15.75" customHeight="1" x14ac:dyDescent="0.15">
      <c r="A474" s="6">
        <v>468</v>
      </c>
      <c r="B474" s="18" t="s">
        <v>75</v>
      </c>
      <c r="C474" s="34" t="s">
        <v>57</v>
      </c>
      <c r="D474" s="75" t="s">
        <v>1501</v>
      </c>
      <c r="E474" s="2" t="s">
        <v>169</v>
      </c>
      <c r="F474">
        <v>15425</v>
      </c>
      <c r="G474" s="6">
        <v>25</v>
      </c>
      <c r="H474" s="6" t="s">
        <v>1502</v>
      </c>
      <c r="I474" s="34"/>
      <c r="J474" s="38" t="s">
        <v>171</v>
      </c>
      <c r="K474" s="38" t="s">
        <v>177</v>
      </c>
      <c r="L474" s="38" t="s">
        <v>173</v>
      </c>
      <c r="M474" s="38"/>
      <c r="N474" s="19"/>
      <c r="O474" s="76" t="s">
        <v>62</v>
      </c>
      <c r="P474" s="6" t="s">
        <v>62</v>
      </c>
      <c r="Q474" s="38" t="s">
        <v>62</v>
      </c>
      <c r="R474" s="38" t="s">
        <v>62</v>
      </c>
      <c r="S474" s="34"/>
      <c r="T474" s="34"/>
      <c r="U474" s="34"/>
      <c r="V474" s="8"/>
      <c r="W474" t="s">
        <v>1503</v>
      </c>
      <c r="Y474" s="34"/>
      <c r="Z474"/>
      <c r="AA474"/>
      <c r="AE474"/>
      <c r="AF474"/>
      <c r="AG474"/>
      <c r="AH474"/>
    </row>
    <row r="475" spans="1:34" ht="15.75" customHeight="1" x14ac:dyDescent="0.15">
      <c r="A475" s="6">
        <v>469</v>
      </c>
      <c r="B475" s="18" t="s">
        <v>75</v>
      </c>
      <c r="C475" s="34" t="s">
        <v>57</v>
      </c>
      <c r="D475" s="75" t="s">
        <v>1504</v>
      </c>
      <c r="E475" s="2" t="s">
        <v>169</v>
      </c>
      <c r="F475">
        <v>15425</v>
      </c>
      <c r="G475" s="6">
        <v>26</v>
      </c>
      <c r="H475" s="6" t="s">
        <v>1505</v>
      </c>
      <c r="I475" s="34"/>
      <c r="J475" s="38" t="s">
        <v>171</v>
      </c>
      <c r="K475" s="38" t="s">
        <v>177</v>
      </c>
      <c r="L475" s="38" t="s">
        <v>173</v>
      </c>
      <c r="M475" s="38"/>
      <c r="N475" s="19"/>
      <c r="O475" s="76" t="s">
        <v>62</v>
      </c>
      <c r="P475" s="6" t="s">
        <v>62</v>
      </c>
      <c r="Q475" s="38" t="s">
        <v>62</v>
      </c>
      <c r="R475" s="38" t="s">
        <v>62</v>
      </c>
      <c r="S475" s="34"/>
      <c r="T475" s="34"/>
      <c r="U475" s="34"/>
      <c r="V475" s="8"/>
      <c r="W475" t="s">
        <v>1506</v>
      </c>
      <c r="Y475" s="34"/>
      <c r="Z475"/>
      <c r="AA475"/>
      <c r="AE475"/>
      <c r="AF475"/>
      <c r="AG475"/>
      <c r="AH475"/>
    </row>
    <row r="476" spans="1:34" ht="15.75" customHeight="1" x14ac:dyDescent="0.15">
      <c r="A476" s="6">
        <v>470</v>
      </c>
      <c r="B476" s="18" t="s">
        <v>75</v>
      </c>
      <c r="C476" s="34" t="s">
        <v>57</v>
      </c>
      <c r="D476" s="75" t="s">
        <v>1507</v>
      </c>
      <c r="E476" s="2" t="s">
        <v>169</v>
      </c>
      <c r="F476">
        <v>15425</v>
      </c>
      <c r="G476" s="6">
        <v>27</v>
      </c>
      <c r="H476" s="6" t="s">
        <v>1508</v>
      </c>
      <c r="I476" s="34"/>
      <c r="J476" s="38" t="s">
        <v>171</v>
      </c>
      <c r="K476" s="38" t="s">
        <v>177</v>
      </c>
      <c r="L476" s="38" t="s">
        <v>173</v>
      </c>
      <c r="M476" s="38"/>
      <c r="N476" s="19"/>
      <c r="O476" s="76" t="s">
        <v>62</v>
      </c>
      <c r="P476" s="6" t="s">
        <v>62</v>
      </c>
      <c r="Q476" s="38" t="s">
        <v>62</v>
      </c>
      <c r="R476" s="38" t="s">
        <v>62</v>
      </c>
      <c r="S476" s="34"/>
      <c r="T476" s="34"/>
      <c r="U476" s="34"/>
      <c r="V476" s="8"/>
      <c r="W476" t="s">
        <v>1509</v>
      </c>
      <c r="Y476" s="34"/>
      <c r="Z476"/>
      <c r="AA476"/>
      <c r="AE476"/>
      <c r="AF476"/>
      <c r="AG476"/>
      <c r="AH476"/>
    </row>
    <row r="477" spans="1:34" ht="15.75" customHeight="1" x14ac:dyDescent="0.15">
      <c r="A477" s="6">
        <v>471</v>
      </c>
      <c r="B477" s="18" t="s">
        <v>75</v>
      </c>
      <c r="C477" s="34" t="s">
        <v>57</v>
      </c>
      <c r="D477" s="75" t="s">
        <v>1510</v>
      </c>
      <c r="E477" s="2" t="s">
        <v>169</v>
      </c>
      <c r="F477">
        <v>15425</v>
      </c>
      <c r="G477" s="6">
        <v>28</v>
      </c>
      <c r="H477" s="6" t="s">
        <v>1511</v>
      </c>
      <c r="I477" s="34"/>
      <c r="J477" s="38" t="s">
        <v>171</v>
      </c>
      <c r="K477" s="38" t="s">
        <v>177</v>
      </c>
      <c r="L477" s="38" t="s">
        <v>173</v>
      </c>
      <c r="M477" s="38"/>
      <c r="N477" s="19"/>
      <c r="O477" s="76" t="s">
        <v>62</v>
      </c>
      <c r="P477" s="6" t="s">
        <v>62</v>
      </c>
      <c r="Q477" s="38" t="s">
        <v>62</v>
      </c>
      <c r="R477" s="38" t="s">
        <v>62</v>
      </c>
      <c r="S477" s="34"/>
      <c r="T477" s="34"/>
      <c r="U477" s="34"/>
      <c r="V477" s="8"/>
      <c r="W477" t="s">
        <v>1512</v>
      </c>
      <c r="Y477" s="34"/>
      <c r="Z477"/>
      <c r="AA477"/>
      <c r="AE477"/>
      <c r="AF477"/>
      <c r="AG477"/>
      <c r="AH477"/>
    </row>
    <row r="478" spans="1:34" ht="15.75" customHeight="1" x14ac:dyDescent="0.15">
      <c r="A478" s="6">
        <v>472</v>
      </c>
      <c r="B478" s="18" t="s">
        <v>75</v>
      </c>
      <c r="C478" s="34" t="s">
        <v>57</v>
      </c>
      <c r="D478" s="75" t="s">
        <v>1513</v>
      </c>
      <c r="E478" s="2" t="s">
        <v>169</v>
      </c>
      <c r="F478">
        <v>15425</v>
      </c>
      <c r="G478" s="6">
        <v>29</v>
      </c>
      <c r="H478" s="6" t="s">
        <v>1514</v>
      </c>
      <c r="I478" s="34"/>
      <c r="J478" s="38" t="s">
        <v>171</v>
      </c>
      <c r="K478" s="38" t="s">
        <v>177</v>
      </c>
      <c r="L478" s="38" t="s">
        <v>173</v>
      </c>
      <c r="M478" s="38"/>
      <c r="N478" s="19"/>
      <c r="O478" s="76" t="s">
        <v>62</v>
      </c>
      <c r="P478" s="6" t="s">
        <v>62</v>
      </c>
      <c r="Q478" s="38" t="s">
        <v>62</v>
      </c>
      <c r="R478" s="38" t="s">
        <v>62</v>
      </c>
      <c r="S478" s="34"/>
      <c r="T478" s="34"/>
      <c r="U478" s="34"/>
      <c r="V478" s="8"/>
      <c r="W478" t="s">
        <v>1515</v>
      </c>
      <c r="Y478" s="34"/>
      <c r="Z478"/>
      <c r="AA478"/>
      <c r="AE478"/>
      <c r="AF478"/>
      <c r="AG478"/>
      <c r="AH478"/>
    </row>
    <row r="479" spans="1:34" ht="15.75" customHeight="1" x14ac:dyDescent="0.15">
      <c r="A479" s="6">
        <v>473</v>
      </c>
      <c r="B479" s="18" t="s">
        <v>75</v>
      </c>
      <c r="C479" s="34" t="s">
        <v>57</v>
      </c>
      <c r="D479" s="75" t="s">
        <v>1516</v>
      </c>
      <c r="E479" s="2" t="s">
        <v>219</v>
      </c>
      <c r="F479">
        <v>15427</v>
      </c>
      <c r="G479" s="6"/>
      <c r="H479" s="6" t="s">
        <v>1517</v>
      </c>
      <c r="I479" s="34"/>
      <c r="J479" s="38"/>
      <c r="K479" s="38"/>
      <c r="L479" s="38"/>
      <c r="M479" s="38"/>
      <c r="N479" s="19"/>
      <c r="O479" s="76" t="s">
        <v>62</v>
      </c>
      <c r="P479" s="6" t="s">
        <v>62</v>
      </c>
      <c r="Q479" s="38" t="s">
        <v>62</v>
      </c>
      <c r="R479" s="38" t="s">
        <v>62</v>
      </c>
      <c r="S479" s="34"/>
      <c r="T479" s="34"/>
      <c r="U479" s="34"/>
      <c r="V479" s="8"/>
      <c r="W479" t="s">
        <v>1518</v>
      </c>
      <c r="Y479" s="34"/>
      <c r="Z479"/>
      <c r="AA479"/>
      <c r="AE479"/>
      <c r="AF479"/>
      <c r="AG479"/>
      <c r="AH479"/>
    </row>
    <row r="480" spans="1:34" ht="15.75" customHeight="1" x14ac:dyDescent="0.15">
      <c r="A480" s="6">
        <v>474</v>
      </c>
      <c r="B480" s="18" t="s">
        <v>75</v>
      </c>
      <c r="C480" s="34" t="s">
        <v>57</v>
      </c>
      <c r="D480" s="75" t="s">
        <v>1519</v>
      </c>
      <c r="E480" s="2" t="s">
        <v>169</v>
      </c>
      <c r="F480">
        <v>15427</v>
      </c>
      <c r="G480" s="6">
        <v>0</v>
      </c>
      <c r="H480" s="6" t="s">
        <v>1520</v>
      </c>
      <c r="I480" s="34"/>
      <c r="J480" s="38" t="s">
        <v>171</v>
      </c>
      <c r="K480" s="38" t="s">
        <v>177</v>
      </c>
      <c r="L480" s="38" t="s">
        <v>173</v>
      </c>
      <c r="M480" s="38"/>
      <c r="N480" s="19"/>
      <c r="O480" s="76" t="s">
        <v>62</v>
      </c>
      <c r="P480" s="6" t="s">
        <v>62</v>
      </c>
      <c r="Q480" s="38" t="s">
        <v>62</v>
      </c>
      <c r="R480" s="38" t="s">
        <v>62</v>
      </c>
      <c r="S480" s="34"/>
      <c r="T480" s="34"/>
      <c r="U480" s="34"/>
      <c r="V480" s="8"/>
      <c r="W480" t="s">
        <v>1521</v>
      </c>
      <c r="Y480" s="34"/>
      <c r="Z480"/>
      <c r="AA480"/>
      <c r="AE480"/>
      <c r="AF480"/>
      <c r="AG480"/>
      <c r="AH480"/>
    </row>
    <row r="481" spans="1:34" ht="15.75" customHeight="1" x14ac:dyDescent="0.15">
      <c r="A481" s="6">
        <v>475</v>
      </c>
      <c r="B481" s="18" t="s">
        <v>75</v>
      </c>
      <c r="C481" s="34" t="s">
        <v>57</v>
      </c>
      <c r="D481" s="75" t="s">
        <v>1522</v>
      </c>
      <c r="E481" s="2" t="s">
        <v>169</v>
      </c>
      <c r="F481">
        <v>15427</v>
      </c>
      <c r="G481" s="6">
        <v>1</v>
      </c>
      <c r="H481" s="6" t="s">
        <v>1523</v>
      </c>
      <c r="I481" s="34"/>
      <c r="J481" s="38" t="s">
        <v>171</v>
      </c>
      <c r="K481" s="38" t="s">
        <v>177</v>
      </c>
      <c r="L481" s="38" t="s">
        <v>173</v>
      </c>
      <c r="M481" s="38"/>
      <c r="N481" s="19"/>
      <c r="O481" s="76" t="s">
        <v>62</v>
      </c>
      <c r="P481" s="6" t="s">
        <v>62</v>
      </c>
      <c r="Q481" s="38" t="s">
        <v>62</v>
      </c>
      <c r="R481" s="38" t="s">
        <v>62</v>
      </c>
      <c r="S481" s="34"/>
      <c r="T481" s="34"/>
      <c r="U481" s="34"/>
      <c r="V481" s="8"/>
      <c r="W481" t="s">
        <v>1524</v>
      </c>
      <c r="Y481" s="34"/>
      <c r="Z481"/>
      <c r="AA481"/>
      <c r="AE481"/>
      <c r="AF481"/>
      <c r="AG481"/>
      <c r="AH481"/>
    </row>
    <row r="482" spans="1:34" ht="15.75" customHeight="1" x14ac:dyDescent="0.15">
      <c r="A482" s="6">
        <v>476</v>
      </c>
      <c r="B482" s="18" t="s">
        <v>75</v>
      </c>
      <c r="C482" s="34" t="s">
        <v>57</v>
      </c>
      <c r="D482" s="75" t="s">
        <v>1525</v>
      </c>
      <c r="E482" s="2" t="s">
        <v>169</v>
      </c>
      <c r="F482">
        <v>15427</v>
      </c>
      <c r="G482" s="6">
        <v>2</v>
      </c>
      <c r="H482" s="6" t="s">
        <v>1526</v>
      </c>
      <c r="I482" s="34"/>
      <c r="J482" s="38" t="s">
        <v>171</v>
      </c>
      <c r="K482" s="38" t="s">
        <v>177</v>
      </c>
      <c r="L482" s="38" t="s">
        <v>173</v>
      </c>
      <c r="M482" s="38"/>
      <c r="N482" s="19"/>
      <c r="O482" s="76" t="s">
        <v>62</v>
      </c>
      <c r="P482" s="6" t="s">
        <v>62</v>
      </c>
      <c r="Q482" s="38" t="s">
        <v>62</v>
      </c>
      <c r="R482" s="38" t="s">
        <v>62</v>
      </c>
      <c r="S482" s="34"/>
      <c r="T482" s="34"/>
      <c r="U482" s="34"/>
      <c r="V482" s="8"/>
      <c r="W482" t="s">
        <v>1527</v>
      </c>
      <c r="Y482" s="34"/>
      <c r="Z482"/>
      <c r="AA482"/>
      <c r="AE482"/>
      <c r="AF482"/>
      <c r="AG482"/>
      <c r="AH482"/>
    </row>
    <row r="483" spans="1:34" ht="15.75" customHeight="1" x14ac:dyDescent="0.15">
      <c r="A483" s="6">
        <v>477</v>
      </c>
      <c r="B483" s="18" t="s">
        <v>75</v>
      </c>
      <c r="C483" s="34" t="s">
        <v>57</v>
      </c>
      <c r="D483" s="75" t="s">
        <v>1528</v>
      </c>
      <c r="E483" s="2" t="s">
        <v>169</v>
      </c>
      <c r="F483">
        <v>15427</v>
      </c>
      <c r="G483" s="6">
        <v>3</v>
      </c>
      <c r="H483" s="6" t="s">
        <v>1529</v>
      </c>
      <c r="I483" s="34"/>
      <c r="J483" s="38" t="s">
        <v>171</v>
      </c>
      <c r="K483" s="38" t="s">
        <v>177</v>
      </c>
      <c r="L483" s="38" t="s">
        <v>173</v>
      </c>
      <c r="M483" s="38"/>
      <c r="N483" s="19"/>
      <c r="O483" s="76" t="s">
        <v>62</v>
      </c>
      <c r="P483" s="6" t="s">
        <v>62</v>
      </c>
      <c r="Q483" s="38" t="s">
        <v>62</v>
      </c>
      <c r="R483" s="38" t="s">
        <v>62</v>
      </c>
      <c r="S483" s="34"/>
      <c r="T483" s="34"/>
      <c r="U483" s="34"/>
      <c r="V483" s="8"/>
      <c r="W483" t="s">
        <v>1530</v>
      </c>
      <c r="Y483" s="34"/>
      <c r="Z483"/>
      <c r="AA483"/>
      <c r="AE483"/>
      <c r="AF483"/>
      <c r="AG483"/>
      <c r="AH483"/>
    </row>
    <row r="484" spans="1:34" ht="15.75" customHeight="1" x14ac:dyDescent="0.15">
      <c r="A484" s="6">
        <v>478</v>
      </c>
      <c r="B484" s="18" t="s">
        <v>75</v>
      </c>
      <c r="C484" s="34" t="s">
        <v>57</v>
      </c>
      <c r="D484" s="75" t="s">
        <v>1531</v>
      </c>
      <c r="E484" s="2" t="s">
        <v>169</v>
      </c>
      <c r="F484">
        <v>15427</v>
      </c>
      <c r="G484" s="6">
        <v>4</v>
      </c>
      <c r="H484" s="6" t="s">
        <v>1532</v>
      </c>
      <c r="I484" s="34"/>
      <c r="J484" s="38" t="s">
        <v>171</v>
      </c>
      <c r="K484" s="38" t="s">
        <v>177</v>
      </c>
      <c r="L484" s="38" t="s">
        <v>173</v>
      </c>
      <c r="M484" s="38"/>
      <c r="N484" s="19"/>
      <c r="O484" s="76" t="s">
        <v>62</v>
      </c>
      <c r="P484" s="6" t="s">
        <v>62</v>
      </c>
      <c r="Q484" s="38" t="s">
        <v>62</v>
      </c>
      <c r="R484" s="38" t="s">
        <v>62</v>
      </c>
      <c r="S484" s="34"/>
      <c r="T484" s="34"/>
      <c r="U484" s="34"/>
      <c r="V484" s="8"/>
      <c r="W484" t="s">
        <v>1533</v>
      </c>
      <c r="Y484" s="34"/>
      <c r="Z484"/>
      <c r="AA484"/>
      <c r="AE484"/>
      <c r="AF484"/>
      <c r="AG484"/>
      <c r="AH484"/>
    </row>
    <row r="485" spans="1:34" ht="15.75" customHeight="1" x14ac:dyDescent="0.15">
      <c r="A485" s="6">
        <v>479</v>
      </c>
      <c r="B485" s="18" t="s">
        <v>75</v>
      </c>
      <c r="C485" s="34" t="s">
        <v>57</v>
      </c>
      <c r="D485" s="75" t="s">
        <v>1534</v>
      </c>
      <c r="E485" s="2" t="s">
        <v>169</v>
      </c>
      <c r="F485">
        <v>15427</v>
      </c>
      <c r="G485" s="6">
        <v>5</v>
      </c>
      <c r="H485" s="6" t="s">
        <v>1535</v>
      </c>
      <c r="I485" s="34"/>
      <c r="J485" s="38" t="s">
        <v>171</v>
      </c>
      <c r="K485" s="38" t="s">
        <v>177</v>
      </c>
      <c r="L485" s="38" t="s">
        <v>173</v>
      </c>
      <c r="M485" s="38"/>
      <c r="N485" s="19"/>
      <c r="O485" s="76" t="s">
        <v>62</v>
      </c>
      <c r="P485" s="6" t="s">
        <v>62</v>
      </c>
      <c r="Q485" s="38" t="s">
        <v>62</v>
      </c>
      <c r="R485" s="38" t="s">
        <v>62</v>
      </c>
      <c r="S485" s="34"/>
      <c r="T485" s="34"/>
      <c r="U485" s="34"/>
      <c r="V485" s="8"/>
      <c r="W485" t="s">
        <v>1536</v>
      </c>
      <c r="Y485" s="34"/>
      <c r="Z485"/>
      <c r="AA485"/>
      <c r="AE485"/>
      <c r="AF485"/>
      <c r="AG485"/>
      <c r="AH485"/>
    </row>
    <row r="486" spans="1:34" ht="15.75" customHeight="1" x14ac:dyDescent="0.15">
      <c r="A486" s="6">
        <v>480</v>
      </c>
      <c r="B486" s="18" t="s">
        <v>75</v>
      </c>
      <c r="C486" s="34" t="s">
        <v>57</v>
      </c>
      <c r="D486" s="75" t="s">
        <v>1537</v>
      </c>
      <c r="E486" s="2" t="s">
        <v>169</v>
      </c>
      <c r="F486">
        <v>15427</v>
      </c>
      <c r="G486" s="6">
        <v>6</v>
      </c>
      <c r="H486" s="6" t="s">
        <v>1538</v>
      </c>
      <c r="I486" s="34"/>
      <c r="J486" s="38" t="s">
        <v>171</v>
      </c>
      <c r="K486" s="38" t="s">
        <v>177</v>
      </c>
      <c r="L486" s="38" t="s">
        <v>173</v>
      </c>
      <c r="M486" s="38"/>
      <c r="N486" s="19"/>
      <c r="O486" s="76" t="s">
        <v>62</v>
      </c>
      <c r="P486" s="6" t="s">
        <v>62</v>
      </c>
      <c r="Q486" s="38" t="s">
        <v>62</v>
      </c>
      <c r="R486" s="38" t="s">
        <v>62</v>
      </c>
      <c r="S486" s="34"/>
      <c r="T486" s="34"/>
      <c r="U486" s="34"/>
      <c r="V486" s="8"/>
      <c r="W486" t="s">
        <v>1539</v>
      </c>
      <c r="Y486" s="34"/>
      <c r="Z486"/>
      <c r="AA486"/>
      <c r="AE486"/>
      <c r="AF486"/>
      <c r="AG486"/>
      <c r="AH486"/>
    </row>
    <row r="487" spans="1:34" ht="15.75" customHeight="1" x14ac:dyDescent="0.15">
      <c r="A487" s="6">
        <v>481</v>
      </c>
      <c r="B487" s="18" t="s">
        <v>75</v>
      </c>
      <c r="C487" s="34" t="s">
        <v>57</v>
      </c>
      <c r="D487" s="75" t="s">
        <v>1540</v>
      </c>
      <c r="E487" s="2" t="s">
        <v>169</v>
      </c>
      <c r="F487">
        <v>15427</v>
      </c>
      <c r="G487" s="6">
        <v>7</v>
      </c>
      <c r="H487" s="6" t="s">
        <v>1541</v>
      </c>
      <c r="I487" s="34"/>
      <c r="J487" s="38" t="s">
        <v>171</v>
      </c>
      <c r="K487" s="38" t="s">
        <v>177</v>
      </c>
      <c r="L487" s="38" t="s">
        <v>173</v>
      </c>
      <c r="M487" s="38"/>
      <c r="N487" s="19"/>
      <c r="O487" s="76" t="s">
        <v>62</v>
      </c>
      <c r="P487" s="6" t="s">
        <v>62</v>
      </c>
      <c r="Q487" s="38" t="s">
        <v>62</v>
      </c>
      <c r="R487" s="38" t="s">
        <v>62</v>
      </c>
      <c r="S487" s="34"/>
      <c r="T487" s="34"/>
      <c r="U487" s="34"/>
      <c r="V487" s="8"/>
      <c r="W487" t="s">
        <v>1542</v>
      </c>
      <c r="Y487" s="34"/>
      <c r="Z487"/>
      <c r="AA487"/>
      <c r="AE487"/>
      <c r="AF487"/>
      <c r="AG487"/>
      <c r="AH487"/>
    </row>
    <row r="488" spans="1:34" ht="15.75" customHeight="1" x14ac:dyDescent="0.15">
      <c r="A488" s="6">
        <v>482</v>
      </c>
      <c r="B488" s="18" t="s">
        <v>75</v>
      </c>
      <c r="C488" s="34" t="s">
        <v>57</v>
      </c>
      <c r="D488" s="75" t="s">
        <v>1543</v>
      </c>
      <c r="E488" s="2" t="s">
        <v>169</v>
      </c>
      <c r="F488">
        <v>15427</v>
      </c>
      <c r="G488" s="6">
        <v>8</v>
      </c>
      <c r="H488" s="6" t="s">
        <v>1544</v>
      </c>
      <c r="I488" s="34"/>
      <c r="J488" s="38" t="s">
        <v>171</v>
      </c>
      <c r="K488" s="38" t="s">
        <v>177</v>
      </c>
      <c r="L488" s="38" t="s">
        <v>173</v>
      </c>
      <c r="M488" s="38"/>
      <c r="N488" s="19"/>
      <c r="O488" s="76" t="s">
        <v>62</v>
      </c>
      <c r="P488" s="6" t="s">
        <v>62</v>
      </c>
      <c r="Q488" s="38" t="s">
        <v>62</v>
      </c>
      <c r="R488" s="38" t="s">
        <v>62</v>
      </c>
      <c r="S488" s="34"/>
      <c r="T488" s="34"/>
      <c r="U488" s="34"/>
      <c r="V488" s="8"/>
      <c r="W488" t="s">
        <v>1545</v>
      </c>
      <c r="Y488" s="34"/>
      <c r="Z488"/>
      <c r="AA488"/>
      <c r="AE488"/>
      <c r="AF488"/>
      <c r="AG488"/>
      <c r="AH488"/>
    </row>
    <row r="489" spans="1:34" ht="15.75" customHeight="1" x14ac:dyDescent="0.15">
      <c r="A489" s="6">
        <v>483</v>
      </c>
      <c r="B489" s="18" t="s">
        <v>75</v>
      </c>
      <c r="C489" s="34" t="s">
        <v>57</v>
      </c>
      <c r="D489" s="75" t="s">
        <v>1546</v>
      </c>
      <c r="E489" s="2" t="s">
        <v>169</v>
      </c>
      <c r="F489">
        <v>15427</v>
      </c>
      <c r="G489" s="6">
        <v>9</v>
      </c>
      <c r="H489" s="6" t="s">
        <v>1547</v>
      </c>
      <c r="I489" s="34"/>
      <c r="J489" s="38" t="s">
        <v>171</v>
      </c>
      <c r="K489" s="38" t="s">
        <v>177</v>
      </c>
      <c r="L489" s="38" t="s">
        <v>173</v>
      </c>
      <c r="M489" s="38"/>
      <c r="N489" s="19"/>
      <c r="O489" s="76" t="s">
        <v>62</v>
      </c>
      <c r="P489" s="6" t="s">
        <v>62</v>
      </c>
      <c r="Q489" s="38" t="s">
        <v>62</v>
      </c>
      <c r="R489" s="38" t="s">
        <v>62</v>
      </c>
      <c r="S489" s="34"/>
      <c r="T489" s="34"/>
      <c r="U489" s="34"/>
      <c r="V489" s="8"/>
      <c r="W489" t="s">
        <v>1548</v>
      </c>
      <c r="Y489" s="34"/>
      <c r="Z489"/>
      <c r="AA489"/>
      <c r="AE489"/>
      <c r="AF489"/>
      <c r="AG489"/>
      <c r="AH489"/>
    </row>
    <row r="490" spans="1:34" ht="15.75" customHeight="1" x14ac:dyDescent="0.15">
      <c r="A490" s="6">
        <v>484</v>
      </c>
      <c r="B490" s="18" t="s">
        <v>75</v>
      </c>
      <c r="C490" s="34" t="s">
        <v>57</v>
      </c>
      <c r="D490" s="75" t="s">
        <v>1549</v>
      </c>
      <c r="E490" s="2" t="s">
        <v>169</v>
      </c>
      <c r="F490">
        <v>15427</v>
      </c>
      <c r="G490" s="6">
        <v>10</v>
      </c>
      <c r="H490" s="6" t="s">
        <v>1550</v>
      </c>
      <c r="I490" s="34"/>
      <c r="J490" s="38" t="s">
        <v>171</v>
      </c>
      <c r="K490" s="38" t="s">
        <v>177</v>
      </c>
      <c r="L490" s="38" t="s">
        <v>173</v>
      </c>
      <c r="M490" s="38"/>
      <c r="N490" s="19"/>
      <c r="O490" s="76" t="s">
        <v>62</v>
      </c>
      <c r="P490" s="6" t="s">
        <v>62</v>
      </c>
      <c r="Q490" s="38" t="s">
        <v>62</v>
      </c>
      <c r="R490" s="38" t="s">
        <v>62</v>
      </c>
      <c r="S490" s="34"/>
      <c r="T490" s="34"/>
      <c r="U490" s="34"/>
      <c r="V490" s="8"/>
      <c r="W490" t="s">
        <v>1551</v>
      </c>
      <c r="Y490" s="34"/>
      <c r="Z490"/>
      <c r="AA490"/>
      <c r="AE490"/>
      <c r="AF490"/>
      <c r="AG490"/>
      <c r="AH490"/>
    </row>
    <row r="491" spans="1:34" ht="15.75" customHeight="1" x14ac:dyDescent="0.15">
      <c r="A491" s="6">
        <v>485</v>
      </c>
      <c r="B491" s="18" t="s">
        <v>75</v>
      </c>
      <c r="C491" s="34" t="s">
        <v>57</v>
      </c>
      <c r="D491" s="75" t="s">
        <v>1552</v>
      </c>
      <c r="E491" s="2" t="s">
        <v>169</v>
      </c>
      <c r="F491">
        <v>15427</v>
      </c>
      <c r="G491" s="6">
        <v>11</v>
      </c>
      <c r="H491" s="6" t="s">
        <v>1553</v>
      </c>
      <c r="I491" s="34"/>
      <c r="J491" s="38" t="s">
        <v>171</v>
      </c>
      <c r="K491" s="38" t="s">
        <v>177</v>
      </c>
      <c r="L491" s="38" t="s">
        <v>173</v>
      </c>
      <c r="M491" s="38"/>
      <c r="N491" s="19"/>
      <c r="O491" s="76" t="s">
        <v>62</v>
      </c>
      <c r="P491" s="6" t="s">
        <v>62</v>
      </c>
      <c r="Q491" s="38" t="s">
        <v>62</v>
      </c>
      <c r="R491" s="38" t="s">
        <v>62</v>
      </c>
      <c r="S491" s="34"/>
      <c r="T491" s="34"/>
      <c r="U491" s="34"/>
      <c r="V491" s="8"/>
      <c r="W491" t="s">
        <v>1554</v>
      </c>
      <c r="Y491" s="34"/>
      <c r="Z491"/>
      <c r="AA491"/>
      <c r="AE491"/>
      <c r="AF491"/>
      <c r="AG491"/>
      <c r="AH491"/>
    </row>
    <row r="492" spans="1:34" s="59" customFormat="1" ht="15.75" customHeight="1" x14ac:dyDescent="0.15">
      <c r="A492" s="6">
        <v>486</v>
      </c>
      <c r="B492" s="18" t="s">
        <v>75</v>
      </c>
      <c r="C492" s="34" t="s">
        <v>57</v>
      </c>
      <c r="D492" s="75" t="s">
        <v>1555</v>
      </c>
      <c r="E492" s="2" t="s">
        <v>169</v>
      </c>
      <c r="F492">
        <v>15427</v>
      </c>
      <c r="G492" s="6">
        <v>12</v>
      </c>
      <c r="H492" s="6" t="s">
        <v>1556</v>
      </c>
      <c r="I492" s="34"/>
      <c r="J492" s="38" t="s">
        <v>171</v>
      </c>
      <c r="K492" s="38" t="s">
        <v>177</v>
      </c>
      <c r="L492" s="38" t="s">
        <v>173</v>
      </c>
      <c r="M492" s="38"/>
      <c r="N492" s="19"/>
      <c r="O492" s="76" t="s">
        <v>62</v>
      </c>
      <c r="P492" s="6" t="s">
        <v>62</v>
      </c>
      <c r="Q492" s="38" t="s">
        <v>62</v>
      </c>
      <c r="R492" s="38" t="s">
        <v>62</v>
      </c>
      <c r="S492" s="34"/>
      <c r="T492" s="34"/>
      <c r="U492" s="34"/>
      <c r="V492" s="8"/>
      <c r="W492" t="s">
        <v>1557</v>
      </c>
      <c r="X492"/>
      <c r="Y492" s="34"/>
    </row>
    <row r="493" spans="1:34" ht="15.75" customHeight="1" x14ac:dyDescent="0.15">
      <c r="A493" s="6">
        <v>487</v>
      </c>
      <c r="B493" s="18" t="s">
        <v>75</v>
      </c>
      <c r="C493" s="34" t="s">
        <v>57</v>
      </c>
      <c r="D493" s="75" t="s">
        <v>1558</v>
      </c>
      <c r="E493" s="2" t="s">
        <v>169</v>
      </c>
      <c r="F493">
        <v>15427</v>
      </c>
      <c r="G493" s="6">
        <v>13</v>
      </c>
      <c r="H493" s="6" t="s">
        <v>1559</v>
      </c>
      <c r="I493" s="34"/>
      <c r="J493" s="38" t="s">
        <v>171</v>
      </c>
      <c r="K493" s="38" t="s">
        <v>177</v>
      </c>
      <c r="L493" s="38" t="s">
        <v>173</v>
      </c>
      <c r="M493" s="38"/>
      <c r="N493" s="19"/>
      <c r="O493" s="76" t="s">
        <v>62</v>
      </c>
      <c r="P493" s="6" t="s">
        <v>62</v>
      </c>
      <c r="Q493" s="38" t="s">
        <v>62</v>
      </c>
      <c r="R493" s="38" t="s">
        <v>62</v>
      </c>
      <c r="S493" s="34"/>
      <c r="T493" s="34"/>
      <c r="U493" s="34"/>
      <c r="V493" s="8"/>
      <c r="W493" t="s">
        <v>1560</v>
      </c>
      <c r="Y493" s="34"/>
      <c r="Z493"/>
      <c r="AA493"/>
      <c r="AE493"/>
      <c r="AF493"/>
      <c r="AG493"/>
      <c r="AH493"/>
    </row>
    <row r="494" spans="1:34" ht="15.75" customHeight="1" x14ac:dyDescent="0.15">
      <c r="A494" s="6">
        <v>488</v>
      </c>
      <c r="B494" s="18" t="s">
        <v>75</v>
      </c>
      <c r="C494" s="34" t="s">
        <v>57</v>
      </c>
      <c r="D494" s="75" t="s">
        <v>1561</v>
      </c>
      <c r="E494" s="2" t="s">
        <v>169</v>
      </c>
      <c r="F494">
        <v>15427</v>
      </c>
      <c r="G494" s="6">
        <v>14</v>
      </c>
      <c r="H494" s="6" t="s">
        <v>1562</v>
      </c>
      <c r="I494" s="34"/>
      <c r="J494" s="38" t="s">
        <v>171</v>
      </c>
      <c r="K494" s="38" t="s">
        <v>177</v>
      </c>
      <c r="L494" s="38" t="s">
        <v>173</v>
      </c>
      <c r="M494" s="38"/>
      <c r="N494" s="19"/>
      <c r="O494" s="76" t="s">
        <v>62</v>
      </c>
      <c r="P494" s="6" t="s">
        <v>62</v>
      </c>
      <c r="Q494" s="38" t="s">
        <v>62</v>
      </c>
      <c r="R494" s="38" t="s">
        <v>62</v>
      </c>
      <c r="S494" s="34"/>
      <c r="T494" s="34"/>
      <c r="U494" s="34"/>
      <c r="V494" s="8"/>
      <c r="W494" t="s">
        <v>1563</v>
      </c>
      <c r="Y494" s="34"/>
      <c r="Z494"/>
      <c r="AA494"/>
      <c r="AE494"/>
      <c r="AF494"/>
      <c r="AG494"/>
      <c r="AH494"/>
    </row>
    <row r="495" spans="1:34" ht="15.75" customHeight="1" x14ac:dyDescent="0.15">
      <c r="A495" s="6">
        <v>489</v>
      </c>
      <c r="B495" s="18" t="s">
        <v>75</v>
      </c>
      <c r="C495" s="34" t="s">
        <v>57</v>
      </c>
      <c r="D495" s="75" t="s">
        <v>1564</v>
      </c>
      <c r="E495" s="2" t="s">
        <v>169</v>
      </c>
      <c r="F495">
        <v>15427</v>
      </c>
      <c r="G495" s="6">
        <v>15</v>
      </c>
      <c r="H495" s="6" t="s">
        <v>1565</v>
      </c>
      <c r="I495" s="34"/>
      <c r="J495" s="38" t="s">
        <v>171</v>
      </c>
      <c r="K495" s="38" t="s">
        <v>177</v>
      </c>
      <c r="L495" s="38" t="s">
        <v>173</v>
      </c>
      <c r="M495" s="38"/>
      <c r="N495" s="19"/>
      <c r="O495" s="76" t="s">
        <v>62</v>
      </c>
      <c r="P495" s="6" t="s">
        <v>62</v>
      </c>
      <c r="Q495" s="38" t="s">
        <v>62</v>
      </c>
      <c r="R495" s="38" t="s">
        <v>62</v>
      </c>
      <c r="S495" s="34"/>
      <c r="T495" s="34"/>
      <c r="U495" s="34"/>
      <c r="V495" s="8"/>
      <c r="W495" t="s">
        <v>1566</v>
      </c>
      <c r="Y495" s="34"/>
      <c r="Z495"/>
      <c r="AA495"/>
      <c r="AE495"/>
      <c r="AF495"/>
      <c r="AG495"/>
      <c r="AH495"/>
    </row>
    <row r="496" spans="1:34" ht="15.75" customHeight="1" x14ac:dyDescent="0.15">
      <c r="A496" s="6">
        <v>490</v>
      </c>
      <c r="B496" s="18" t="s">
        <v>75</v>
      </c>
      <c r="C496" s="34" t="s">
        <v>57</v>
      </c>
      <c r="D496" s="75" t="s">
        <v>1567</v>
      </c>
      <c r="E496" s="2" t="s">
        <v>169</v>
      </c>
      <c r="F496">
        <v>15427</v>
      </c>
      <c r="G496" s="6">
        <v>16</v>
      </c>
      <c r="H496" s="6" t="s">
        <v>1568</v>
      </c>
      <c r="I496" s="34"/>
      <c r="J496" s="38" t="s">
        <v>171</v>
      </c>
      <c r="K496" s="38" t="s">
        <v>177</v>
      </c>
      <c r="L496" s="38" t="s">
        <v>173</v>
      </c>
      <c r="M496" s="38"/>
      <c r="N496" s="19"/>
      <c r="O496" s="76" t="s">
        <v>62</v>
      </c>
      <c r="P496" s="6" t="s">
        <v>62</v>
      </c>
      <c r="Q496" s="38" t="s">
        <v>62</v>
      </c>
      <c r="R496" s="38" t="s">
        <v>62</v>
      </c>
      <c r="S496" s="34"/>
      <c r="T496" s="34"/>
      <c r="U496" s="34"/>
      <c r="V496" s="8"/>
      <c r="W496" t="s">
        <v>1569</v>
      </c>
      <c r="Y496" s="34"/>
      <c r="Z496"/>
      <c r="AA496"/>
      <c r="AE496"/>
      <c r="AF496"/>
      <c r="AG496"/>
      <c r="AH496"/>
    </row>
    <row r="497" spans="1:34" ht="15.75" customHeight="1" x14ac:dyDescent="0.15">
      <c r="A497" s="6">
        <v>491</v>
      </c>
      <c r="B497" s="18" t="s">
        <v>75</v>
      </c>
      <c r="C497" s="34" t="s">
        <v>57</v>
      </c>
      <c r="D497" s="75" t="s">
        <v>1570</v>
      </c>
      <c r="E497" s="2" t="s">
        <v>169</v>
      </c>
      <c r="F497">
        <v>15427</v>
      </c>
      <c r="G497" s="6">
        <v>17</v>
      </c>
      <c r="H497" s="6" t="s">
        <v>1571</v>
      </c>
      <c r="I497" s="34"/>
      <c r="J497" s="38" t="s">
        <v>171</v>
      </c>
      <c r="K497" s="38" t="s">
        <v>177</v>
      </c>
      <c r="L497" s="38" t="s">
        <v>173</v>
      </c>
      <c r="M497" s="38"/>
      <c r="N497" s="19"/>
      <c r="O497" s="76" t="s">
        <v>62</v>
      </c>
      <c r="P497" s="6" t="s">
        <v>62</v>
      </c>
      <c r="Q497" s="38" t="s">
        <v>62</v>
      </c>
      <c r="R497" s="38" t="s">
        <v>62</v>
      </c>
      <c r="S497" s="34"/>
      <c r="T497" s="34"/>
      <c r="U497" s="34"/>
      <c r="V497" s="8"/>
      <c r="W497" t="s">
        <v>1572</v>
      </c>
      <c r="Y497" s="34"/>
      <c r="Z497"/>
      <c r="AA497"/>
      <c r="AE497"/>
      <c r="AF497"/>
      <c r="AG497"/>
      <c r="AH497"/>
    </row>
    <row r="498" spans="1:34" s="59" customFormat="1" ht="15.75" customHeight="1" x14ac:dyDescent="0.15">
      <c r="A498" s="6">
        <v>492</v>
      </c>
      <c r="B498" s="18" t="s">
        <v>75</v>
      </c>
      <c r="C498" s="34" t="s">
        <v>57</v>
      </c>
      <c r="D498" s="75" t="s">
        <v>1573</v>
      </c>
      <c r="E498" s="2" t="s">
        <v>169</v>
      </c>
      <c r="F498">
        <v>15427</v>
      </c>
      <c r="G498" s="6">
        <v>19</v>
      </c>
      <c r="H498" s="6" t="s">
        <v>1574</v>
      </c>
      <c r="I498" s="34"/>
      <c r="J498" s="38" t="s">
        <v>171</v>
      </c>
      <c r="K498" s="38" t="s">
        <v>177</v>
      </c>
      <c r="L498" s="38" t="s">
        <v>173</v>
      </c>
      <c r="M498" s="38"/>
      <c r="N498" s="19"/>
      <c r="O498" s="76" t="s">
        <v>62</v>
      </c>
      <c r="P498" s="6" t="s">
        <v>62</v>
      </c>
      <c r="Q498" s="38" t="s">
        <v>62</v>
      </c>
      <c r="R498" s="38" t="s">
        <v>62</v>
      </c>
      <c r="S498" s="34"/>
      <c r="T498" s="34"/>
      <c r="U498" s="34"/>
      <c r="V498" s="8"/>
      <c r="W498" t="s">
        <v>1575</v>
      </c>
      <c r="X498"/>
      <c r="Y498" s="34"/>
    </row>
    <row r="499" spans="1:34" s="59" customFormat="1" ht="15.75" customHeight="1" x14ac:dyDescent="0.15">
      <c r="A499" s="6">
        <v>493</v>
      </c>
      <c r="B499" s="18" t="s">
        <v>75</v>
      </c>
      <c r="C499" s="34" t="s">
        <v>57</v>
      </c>
      <c r="D499" s="75" t="s">
        <v>1576</v>
      </c>
      <c r="E499" s="2" t="s">
        <v>169</v>
      </c>
      <c r="F499">
        <v>15427</v>
      </c>
      <c r="G499" s="6">
        <v>20</v>
      </c>
      <c r="H499" s="6" t="s">
        <v>1577</v>
      </c>
      <c r="I499" s="34"/>
      <c r="J499" s="38" t="s">
        <v>171</v>
      </c>
      <c r="K499" s="38" t="s">
        <v>177</v>
      </c>
      <c r="L499" s="38" t="s">
        <v>173</v>
      </c>
      <c r="M499" s="38"/>
      <c r="N499" s="19"/>
      <c r="O499" s="76" t="s">
        <v>62</v>
      </c>
      <c r="P499" s="6" t="s">
        <v>62</v>
      </c>
      <c r="Q499" s="38" t="s">
        <v>62</v>
      </c>
      <c r="R499" s="38" t="s">
        <v>62</v>
      </c>
      <c r="S499" s="34"/>
      <c r="T499" s="34"/>
      <c r="U499" s="34"/>
      <c r="V499" s="8"/>
      <c r="W499" t="s">
        <v>1578</v>
      </c>
      <c r="X499"/>
      <c r="Y499" s="34"/>
    </row>
    <row r="500" spans="1:34" ht="15.75" customHeight="1" x14ac:dyDescent="0.15">
      <c r="A500" s="6">
        <v>494</v>
      </c>
      <c r="B500" s="18" t="s">
        <v>75</v>
      </c>
      <c r="C500" s="34" t="s">
        <v>57</v>
      </c>
      <c r="D500" s="75" t="s">
        <v>1579</v>
      </c>
      <c r="E500" s="2" t="s">
        <v>169</v>
      </c>
      <c r="F500">
        <v>15427</v>
      </c>
      <c r="G500" s="6">
        <v>21</v>
      </c>
      <c r="H500" s="6" t="s">
        <v>1580</v>
      </c>
      <c r="I500" s="34"/>
      <c r="J500" s="38" t="s">
        <v>171</v>
      </c>
      <c r="K500" s="38" t="s">
        <v>177</v>
      </c>
      <c r="L500" s="38" t="s">
        <v>173</v>
      </c>
      <c r="M500" s="38"/>
      <c r="N500" s="19"/>
      <c r="O500" s="76" t="s">
        <v>62</v>
      </c>
      <c r="P500" s="6" t="s">
        <v>62</v>
      </c>
      <c r="Q500" s="38" t="s">
        <v>62</v>
      </c>
      <c r="R500" s="38" t="s">
        <v>62</v>
      </c>
      <c r="S500" s="34"/>
      <c r="T500" s="34"/>
      <c r="U500" s="34"/>
      <c r="V500" s="8"/>
      <c r="W500" t="s">
        <v>1581</v>
      </c>
      <c r="Y500" s="34"/>
      <c r="Z500"/>
      <c r="AA500"/>
      <c r="AE500"/>
      <c r="AF500"/>
      <c r="AG500"/>
      <c r="AH500"/>
    </row>
    <row r="501" spans="1:34" ht="15.75" customHeight="1" x14ac:dyDescent="0.15">
      <c r="A501" s="6">
        <v>495</v>
      </c>
      <c r="B501" s="18" t="s">
        <v>75</v>
      </c>
      <c r="C501" s="34" t="s">
        <v>57</v>
      </c>
      <c r="D501" s="75" t="s">
        <v>1582</v>
      </c>
      <c r="E501" s="2" t="s">
        <v>169</v>
      </c>
      <c r="F501">
        <v>15427</v>
      </c>
      <c r="G501" s="6">
        <v>22</v>
      </c>
      <c r="H501" s="6" t="s">
        <v>1583</v>
      </c>
      <c r="I501" s="34"/>
      <c r="J501" s="38" t="s">
        <v>171</v>
      </c>
      <c r="K501" s="38" t="s">
        <v>177</v>
      </c>
      <c r="L501" s="38" t="s">
        <v>173</v>
      </c>
      <c r="M501" s="38"/>
      <c r="N501" s="19"/>
      <c r="O501" s="76" t="s">
        <v>62</v>
      </c>
      <c r="P501" s="6" t="s">
        <v>62</v>
      </c>
      <c r="Q501" s="38" t="s">
        <v>62</v>
      </c>
      <c r="R501" s="38" t="s">
        <v>62</v>
      </c>
      <c r="S501" s="34"/>
      <c r="T501" s="34"/>
      <c r="U501" s="34"/>
      <c r="V501" s="8"/>
      <c r="W501" t="s">
        <v>1584</v>
      </c>
      <c r="Y501" s="34"/>
      <c r="Z501"/>
      <c r="AA501"/>
      <c r="AE501"/>
      <c r="AF501"/>
      <c r="AG501"/>
      <c r="AH501"/>
    </row>
    <row r="502" spans="1:34" ht="15.75" customHeight="1" x14ac:dyDescent="0.15">
      <c r="A502" s="6">
        <v>496</v>
      </c>
      <c r="B502" s="18" t="s">
        <v>75</v>
      </c>
      <c r="C502" s="34" t="s">
        <v>57</v>
      </c>
      <c r="D502" s="75" t="s">
        <v>1585</v>
      </c>
      <c r="E502" s="2" t="s">
        <v>169</v>
      </c>
      <c r="F502">
        <v>15427</v>
      </c>
      <c r="G502" s="6">
        <v>23</v>
      </c>
      <c r="H502" s="6" t="s">
        <v>1586</v>
      </c>
      <c r="I502" s="34"/>
      <c r="J502" s="38" t="s">
        <v>171</v>
      </c>
      <c r="K502" s="38" t="s">
        <v>177</v>
      </c>
      <c r="L502" s="38" t="s">
        <v>173</v>
      </c>
      <c r="M502" s="38"/>
      <c r="N502" s="19"/>
      <c r="O502" s="76" t="s">
        <v>62</v>
      </c>
      <c r="P502" s="6" t="s">
        <v>62</v>
      </c>
      <c r="Q502" s="38" t="s">
        <v>62</v>
      </c>
      <c r="R502" s="38" t="s">
        <v>62</v>
      </c>
      <c r="S502" s="34"/>
      <c r="T502" s="34"/>
      <c r="U502" s="34"/>
      <c r="V502" s="8"/>
      <c r="W502" t="s">
        <v>1587</v>
      </c>
      <c r="Y502" s="34"/>
      <c r="Z502"/>
      <c r="AA502"/>
      <c r="AE502"/>
      <c r="AF502"/>
      <c r="AG502"/>
      <c r="AH502"/>
    </row>
    <row r="503" spans="1:34" s="59" customFormat="1" ht="15.75" customHeight="1" x14ac:dyDescent="0.15">
      <c r="A503" s="6">
        <v>497</v>
      </c>
      <c r="B503" s="18" t="s">
        <v>75</v>
      </c>
      <c r="C503" s="34" t="s">
        <v>57</v>
      </c>
      <c r="D503" s="75" t="s">
        <v>1588</v>
      </c>
      <c r="E503" s="2" t="s">
        <v>169</v>
      </c>
      <c r="F503">
        <v>15427</v>
      </c>
      <c r="G503" s="6">
        <v>24</v>
      </c>
      <c r="H503" s="6" t="s">
        <v>1589</v>
      </c>
      <c r="I503" s="34"/>
      <c r="J503" s="38" t="s">
        <v>171</v>
      </c>
      <c r="K503" s="38" t="s">
        <v>177</v>
      </c>
      <c r="L503" s="38" t="s">
        <v>173</v>
      </c>
      <c r="M503" s="38"/>
      <c r="N503" s="19"/>
      <c r="O503" s="76" t="s">
        <v>62</v>
      </c>
      <c r="P503" s="6" t="s">
        <v>62</v>
      </c>
      <c r="Q503" s="38" t="s">
        <v>62</v>
      </c>
      <c r="R503" s="38" t="s">
        <v>62</v>
      </c>
      <c r="S503" s="34"/>
      <c r="T503" s="34"/>
      <c r="U503" s="34"/>
      <c r="V503" s="8"/>
      <c r="W503" t="s">
        <v>1590</v>
      </c>
      <c r="X503"/>
      <c r="Y503" s="34"/>
    </row>
    <row r="504" spans="1:34" s="59" customFormat="1" ht="15.75" customHeight="1" x14ac:dyDescent="0.15">
      <c r="A504" s="6">
        <v>498</v>
      </c>
      <c r="B504" s="18" t="s">
        <v>75</v>
      </c>
      <c r="C504" s="34" t="s">
        <v>57</v>
      </c>
      <c r="D504" s="75" t="s">
        <v>1591</v>
      </c>
      <c r="E504" s="2" t="s">
        <v>169</v>
      </c>
      <c r="F504">
        <v>15427</v>
      </c>
      <c r="G504" s="6">
        <v>25</v>
      </c>
      <c r="H504" s="6" t="s">
        <v>1592</v>
      </c>
      <c r="I504" s="34"/>
      <c r="J504" s="38" t="s">
        <v>171</v>
      </c>
      <c r="K504" s="38" t="s">
        <v>177</v>
      </c>
      <c r="L504" s="38" t="s">
        <v>173</v>
      </c>
      <c r="M504" s="38"/>
      <c r="N504" s="19"/>
      <c r="O504" s="76" t="s">
        <v>62</v>
      </c>
      <c r="P504" s="6" t="s">
        <v>62</v>
      </c>
      <c r="Q504" s="38" t="s">
        <v>62</v>
      </c>
      <c r="R504" s="38" t="s">
        <v>62</v>
      </c>
      <c r="S504" s="34"/>
      <c r="T504" s="34"/>
      <c r="U504" s="34"/>
      <c r="V504" s="8"/>
      <c r="W504" t="s">
        <v>1593</v>
      </c>
      <c r="X504"/>
      <c r="Y504" s="34"/>
    </row>
    <row r="505" spans="1:34" s="59" customFormat="1" ht="15.75" customHeight="1" x14ac:dyDescent="0.15">
      <c r="A505" s="6">
        <v>499</v>
      </c>
      <c r="B505" s="18" t="s">
        <v>75</v>
      </c>
      <c r="C505" s="34" t="s">
        <v>57</v>
      </c>
      <c r="D505" s="75" t="s">
        <v>1594</v>
      </c>
      <c r="E505" s="2" t="s">
        <v>169</v>
      </c>
      <c r="F505">
        <v>15427</v>
      </c>
      <c r="G505" s="6">
        <v>26</v>
      </c>
      <c r="H505" s="6" t="s">
        <v>1595</v>
      </c>
      <c r="I505" s="34"/>
      <c r="J505" s="38" t="s">
        <v>171</v>
      </c>
      <c r="K505" s="38" t="s">
        <v>177</v>
      </c>
      <c r="L505" s="38" t="s">
        <v>173</v>
      </c>
      <c r="M505" s="38"/>
      <c r="N505" s="19"/>
      <c r="O505" s="76" t="s">
        <v>62</v>
      </c>
      <c r="P505" s="6" t="s">
        <v>62</v>
      </c>
      <c r="Q505" s="38" t="s">
        <v>62</v>
      </c>
      <c r="R505" s="38" t="s">
        <v>62</v>
      </c>
      <c r="S505" s="34"/>
      <c r="T505" s="34"/>
      <c r="U505" s="34"/>
      <c r="V505" s="8"/>
      <c r="W505" t="s">
        <v>1596</v>
      </c>
      <c r="X505"/>
      <c r="Y505" s="34"/>
    </row>
    <row r="506" spans="1:34" ht="15.75" customHeight="1" x14ac:dyDescent="0.15">
      <c r="A506" s="6">
        <v>500</v>
      </c>
      <c r="B506" s="18" t="s">
        <v>75</v>
      </c>
      <c r="C506" s="34" t="s">
        <v>57</v>
      </c>
      <c r="D506" s="75" t="s">
        <v>1597</v>
      </c>
      <c r="E506" s="2" t="s">
        <v>169</v>
      </c>
      <c r="F506">
        <v>15427</v>
      </c>
      <c r="G506" s="6">
        <v>27</v>
      </c>
      <c r="H506" s="6" t="s">
        <v>1598</v>
      </c>
      <c r="I506" s="34"/>
      <c r="J506" s="38" t="s">
        <v>171</v>
      </c>
      <c r="K506" s="38" t="s">
        <v>177</v>
      </c>
      <c r="L506" s="38" t="s">
        <v>173</v>
      </c>
      <c r="M506" s="38"/>
      <c r="N506" s="19"/>
      <c r="O506" s="76" t="s">
        <v>62</v>
      </c>
      <c r="P506" s="6" t="s">
        <v>62</v>
      </c>
      <c r="Q506" s="38" t="s">
        <v>62</v>
      </c>
      <c r="R506" s="38" t="s">
        <v>62</v>
      </c>
      <c r="S506" s="34"/>
      <c r="T506" s="34"/>
      <c r="U506" s="34"/>
      <c r="V506" s="8"/>
      <c r="W506" t="s">
        <v>1599</v>
      </c>
      <c r="Y506" s="34"/>
      <c r="Z506"/>
      <c r="AA506"/>
      <c r="AE506"/>
      <c r="AF506"/>
      <c r="AG506"/>
      <c r="AH506"/>
    </row>
    <row r="507" spans="1:34" ht="15.75" customHeight="1" x14ac:dyDescent="0.15">
      <c r="A507" s="6">
        <v>501</v>
      </c>
      <c r="B507" s="18" t="s">
        <v>75</v>
      </c>
      <c r="C507" s="34" t="s">
        <v>57</v>
      </c>
      <c r="D507" s="75" t="s">
        <v>1600</v>
      </c>
      <c r="E507" s="2" t="s">
        <v>169</v>
      </c>
      <c r="F507">
        <v>15427</v>
      </c>
      <c r="G507" s="6">
        <v>29</v>
      </c>
      <c r="H507" s="6" t="s">
        <v>1601</v>
      </c>
      <c r="I507" s="34"/>
      <c r="J507" s="38" t="s">
        <v>171</v>
      </c>
      <c r="K507" s="38" t="s">
        <v>177</v>
      </c>
      <c r="L507" s="38" t="s">
        <v>173</v>
      </c>
      <c r="M507" s="38"/>
      <c r="N507" s="19"/>
      <c r="O507" s="76" t="s">
        <v>62</v>
      </c>
      <c r="P507" s="6" t="s">
        <v>62</v>
      </c>
      <c r="Q507" s="38" t="s">
        <v>62</v>
      </c>
      <c r="R507" s="38" t="s">
        <v>62</v>
      </c>
      <c r="S507" s="34"/>
      <c r="T507" s="34"/>
      <c r="U507" s="34"/>
      <c r="V507" s="8"/>
      <c r="W507" t="s">
        <v>1602</v>
      </c>
      <c r="Y507" s="34"/>
      <c r="Z507"/>
      <c r="AA507"/>
      <c r="AE507"/>
      <c r="AF507"/>
      <c r="AG507"/>
      <c r="AH507"/>
    </row>
    <row r="508" spans="1:34" ht="15.75" customHeight="1" x14ac:dyDescent="0.15">
      <c r="A508" s="6">
        <v>502</v>
      </c>
      <c r="B508" s="18" t="s">
        <v>75</v>
      </c>
      <c r="C508" s="34" t="s">
        <v>57</v>
      </c>
      <c r="D508" s="75" t="s">
        <v>1603</v>
      </c>
      <c r="E508" s="2" t="s">
        <v>169</v>
      </c>
      <c r="F508">
        <v>15427</v>
      </c>
      <c r="G508" s="6">
        <v>30</v>
      </c>
      <c r="H508" s="6" t="s">
        <v>1604</v>
      </c>
      <c r="I508" s="34"/>
      <c r="J508" s="38" t="s">
        <v>171</v>
      </c>
      <c r="K508" s="38" t="s">
        <v>177</v>
      </c>
      <c r="L508" s="38" t="s">
        <v>173</v>
      </c>
      <c r="M508" s="38"/>
      <c r="N508" s="19"/>
      <c r="O508" s="76" t="s">
        <v>62</v>
      </c>
      <c r="P508" s="6" t="s">
        <v>62</v>
      </c>
      <c r="Q508" s="38" t="s">
        <v>62</v>
      </c>
      <c r="R508" s="38" t="s">
        <v>62</v>
      </c>
      <c r="S508" s="34"/>
      <c r="T508" s="34"/>
      <c r="U508" s="34"/>
      <c r="V508" s="8"/>
      <c r="W508" t="s">
        <v>1605</v>
      </c>
      <c r="Y508" s="34"/>
      <c r="Z508"/>
      <c r="AA508"/>
      <c r="AE508"/>
      <c r="AF508"/>
      <c r="AG508"/>
      <c r="AH508"/>
    </row>
    <row r="509" spans="1:34" s="59" customFormat="1" ht="15.75" customHeight="1" x14ac:dyDescent="0.15">
      <c r="A509" s="6">
        <v>503</v>
      </c>
      <c r="B509" s="18" t="s">
        <v>75</v>
      </c>
      <c r="C509" s="34" t="s">
        <v>57</v>
      </c>
      <c r="D509" s="75" t="s">
        <v>1606</v>
      </c>
      <c r="E509" s="2" t="s">
        <v>169</v>
      </c>
      <c r="F509">
        <v>15427</v>
      </c>
      <c r="G509" s="6">
        <v>31</v>
      </c>
      <c r="H509" s="6" t="s">
        <v>1607</v>
      </c>
      <c r="I509" s="34"/>
      <c r="J509" s="38" t="s">
        <v>171</v>
      </c>
      <c r="K509" s="38" t="s">
        <v>177</v>
      </c>
      <c r="L509" s="38" t="s">
        <v>173</v>
      </c>
      <c r="M509" s="38"/>
      <c r="N509" s="19"/>
      <c r="O509" s="76" t="s">
        <v>62</v>
      </c>
      <c r="P509" s="6" t="s">
        <v>62</v>
      </c>
      <c r="Q509" s="38" t="s">
        <v>62</v>
      </c>
      <c r="R509" s="38" t="s">
        <v>62</v>
      </c>
      <c r="S509" s="34"/>
      <c r="T509" s="34"/>
      <c r="U509" s="34"/>
      <c r="V509" s="8"/>
      <c r="W509" t="s">
        <v>1608</v>
      </c>
      <c r="X509"/>
      <c r="Y509" s="34"/>
    </row>
    <row r="510" spans="1:34" ht="15.75" customHeight="1" x14ac:dyDescent="0.15">
      <c r="A510" s="6">
        <v>504</v>
      </c>
      <c r="B510" s="18" t="s">
        <v>75</v>
      </c>
      <c r="C510" s="34" t="s">
        <v>57</v>
      </c>
      <c r="D510" s="75" t="s">
        <v>1609</v>
      </c>
      <c r="E510" s="2" t="s">
        <v>219</v>
      </c>
      <c r="F510">
        <v>15429</v>
      </c>
      <c r="G510" s="6"/>
      <c r="H510" s="6" t="s">
        <v>1610</v>
      </c>
      <c r="I510" s="34"/>
      <c r="J510" s="38"/>
      <c r="K510" s="38"/>
      <c r="L510" s="38"/>
      <c r="M510" s="38"/>
      <c r="N510" s="19"/>
      <c r="O510" s="76" t="s">
        <v>62</v>
      </c>
      <c r="P510" s="6" t="s">
        <v>62</v>
      </c>
      <c r="Q510" s="38" t="s">
        <v>62</v>
      </c>
      <c r="R510" s="38" t="s">
        <v>62</v>
      </c>
      <c r="S510" s="34"/>
      <c r="T510" s="34"/>
      <c r="U510" s="34"/>
      <c r="V510" s="8"/>
      <c r="W510" t="s">
        <v>1611</v>
      </c>
      <c r="Y510" s="34"/>
      <c r="Z510"/>
      <c r="AA510"/>
      <c r="AE510"/>
      <c r="AF510"/>
      <c r="AG510"/>
      <c r="AH510"/>
    </row>
    <row r="511" spans="1:34" ht="15.75" customHeight="1" x14ac:dyDescent="0.15">
      <c r="A511" s="6">
        <v>505</v>
      </c>
      <c r="B511" s="18" t="s">
        <v>75</v>
      </c>
      <c r="C511" s="34" t="s">
        <v>57</v>
      </c>
      <c r="D511" s="75" t="s">
        <v>1612</v>
      </c>
      <c r="E511" s="2" t="s">
        <v>169</v>
      </c>
      <c r="F511">
        <v>15429</v>
      </c>
      <c r="G511" s="6">
        <v>0</v>
      </c>
      <c r="H511" s="6" t="s">
        <v>1613</v>
      </c>
      <c r="I511" s="34"/>
      <c r="J511" s="38" t="s">
        <v>171</v>
      </c>
      <c r="K511" s="38" t="s">
        <v>177</v>
      </c>
      <c r="L511" s="38" t="s">
        <v>173</v>
      </c>
      <c r="M511" s="38"/>
      <c r="N511" s="19"/>
      <c r="O511" s="76" t="s">
        <v>62</v>
      </c>
      <c r="P511" s="6" t="s">
        <v>62</v>
      </c>
      <c r="Q511" s="38" t="s">
        <v>62</v>
      </c>
      <c r="R511" s="38" t="s">
        <v>62</v>
      </c>
      <c r="S511" s="34"/>
      <c r="T511" s="34"/>
      <c r="U511" s="34"/>
      <c r="V511" s="8"/>
      <c r="W511" t="s">
        <v>1614</v>
      </c>
      <c r="Y511" s="34"/>
      <c r="Z511"/>
      <c r="AA511"/>
      <c r="AE511"/>
      <c r="AF511"/>
      <c r="AG511"/>
      <c r="AH511"/>
    </row>
    <row r="512" spans="1:34" s="59" customFormat="1" ht="15.75" customHeight="1" x14ac:dyDescent="0.15">
      <c r="A512" s="6">
        <v>506</v>
      </c>
      <c r="B512" s="18" t="s">
        <v>75</v>
      </c>
      <c r="C512" s="34" t="s">
        <v>57</v>
      </c>
      <c r="D512" s="75" t="s">
        <v>1615</v>
      </c>
      <c r="E512" s="2" t="s">
        <v>169</v>
      </c>
      <c r="F512">
        <v>15429</v>
      </c>
      <c r="G512" s="6">
        <v>1</v>
      </c>
      <c r="H512" s="6" t="s">
        <v>1616</v>
      </c>
      <c r="I512" s="34"/>
      <c r="J512" s="38" t="s">
        <v>171</v>
      </c>
      <c r="K512" s="38" t="s">
        <v>177</v>
      </c>
      <c r="L512" s="38" t="s">
        <v>173</v>
      </c>
      <c r="M512" s="38"/>
      <c r="N512" s="19"/>
      <c r="O512" s="76" t="s">
        <v>62</v>
      </c>
      <c r="P512" s="6" t="s">
        <v>62</v>
      </c>
      <c r="Q512" s="38" t="s">
        <v>62</v>
      </c>
      <c r="R512" s="38" t="s">
        <v>62</v>
      </c>
      <c r="S512" s="34"/>
      <c r="T512" s="34"/>
      <c r="U512" s="34"/>
      <c r="V512" s="8"/>
      <c r="W512" t="s">
        <v>1617</v>
      </c>
      <c r="X512"/>
      <c r="Y512" s="34"/>
    </row>
    <row r="513" spans="1:34" ht="15.75" customHeight="1" x14ac:dyDescent="0.15">
      <c r="A513" s="6">
        <v>507</v>
      </c>
      <c r="B513" s="18" t="s">
        <v>75</v>
      </c>
      <c r="C513" s="34" t="s">
        <v>57</v>
      </c>
      <c r="D513" s="75" t="s">
        <v>1618</v>
      </c>
      <c r="E513" s="2" t="s">
        <v>169</v>
      </c>
      <c r="F513">
        <v>15429</v>
      </c>
      <c r="G513" s="6">
        <v>2</v>
      </c>
      <c r="H513" s="6" t="s">
        <v>1619</v>
      </c>
      <c r="I513" s="34"/>
      <c r="J513" s="38" t="s">
        <v>171</v>
      </c>
      <c r="K513" s="38" t="s">
        <v>177</v>
      </c>
      <c r="L513" s="38" t="s">
        <v>173</v>
      </c>
      <c r="M513" s="38"/>
      <c r="N513" s="19"/>
      <c r="O513" s="76" t="s">
        <v>62</v>
      </c>
      <c r="P513" s="6" t="s">
        <v>62</v>
      </c>
      <c r="Q513" s="38" t="s">
        <v>62</v>
      </c>
      <c r="R513" s="38" t="s">
        <v>62</v>
      </c>
      <c r="S513" s="34"/>
      <c r="T513" s="34"/>
      <c r="U513" s="34"/>
      <c r="V513" s="8"/>
      <c r="W513" t="s">
        <v>1620</v>
      </c>
      <c r="Y513" s="34"/>
      <c r="Z513"/>
      <c r="AA513"/>
      <c r="AE513"/>
      <c r="AF513"/>
      <c r="AG513"/>
      <c r="AH513"/>
    </row>
    <row r="514" spans="1:34" ht="15.75" customHeight="1" x14ac:dyDescent="0.15">
      <c r="A514" s="6">
        <v>508</v>
      </c>
      <c r="B514" s="18" t="s">
        <v>75</v>
      </c>
      <c r="C514" s="34" t="s">
        <v>57</v>
      </c>
      <c r="D514" s="75" t="s">
        <v>1621</v>
      </c>
      <c r="E514" s="2" t="s">
        <v>219</v>
      </c>
      <c r="F514">
        <v>15433</v>
      </c>
      <c r="G514" s="6"/>
      <c r="H514" s="6" t="s">
        <v>1622</v>
      </c>
      <c r="I514" s="34"/>
      <c r="J514" s="38"/>
      <c r="K514" s="38"/>
      <c r="L514" s="38"/>
      <c r="M514" s="38"/>
      <c r="N514" s="19"/>
      <c r="O514" s="76" t="s">
        <v>62</v>
      </c>
      <c r="P514" s="6" t="s">
        <v>62</v>
      </c>
      <c r="Q514" s="38" t="s">
        <v>62</v>
      </c>
      <c r="R514" s="38" t="s">
        <v>62</v>
      </c>
      <c r="S514" s="34"/>
      <c r="T514" s="34"/>
      <c r="U514" s="34"/>
      <c r="V514" s="8"/>
      <c r="W514" t="s">
        <v>1623</v>
      </c>
      <c r="Y514" s="34"/>
      <c r="Z514"/>
      <c r="AA514"/>
      <c r="AE514"/>
      <c r="AF514"/>
      <c r="AG514"/>
      <c r="AH514"/>
    </row>
    <row r="515" spans="1:34" ht="15.75" customHeight="1" x14ac:dyDescent="0.15">
      <c r="A515" s="6">
        <v>509</v>
      </c>
      <c r="B515" s="18" t="s">
        <v>75</v>
      </c>
      <c r="C515" s="34" t="s">
        <v>57</v>
      </c>
      <c r="D515" s="75" t="s">
        <v>1624</v>
      </c>
      <c r="E515" s="2" t="s">
        <v>169</v>
      </c>
      <c r="F515">
        <v>15433</v>
      </c>
      <c r="G515" s="6">
        <v>0</v>
      </c>
      <c r="H515" s="6" t="s">
        <v>1625</v>
      </c>
      <c r="I515" s="34"/>
      <c r="J515" s="38" t="s">
        <v>196</v>
      </c>
      <c r="K515" s="38" t="s">
        <v>197</v>
      </c>
      <c r="L515" s="38" t="s">
        <v>198</v>
      </c>
      <c r="M515" s="38"/>
      <c r="N515" s="19"/>
      <c r="O515" s="76" t="s">
        <v>62</v>
      </c>
      <c r="P515" s="6" t="s">
        <v>62</v>
      </c>
      <c r="Q515" s="38" t="s">
        <v>62</v>
      </c>
      <c r="R515" s="38" t="s">
        <v>62</v>
      </c>
      <c r="S515" s="34"/>
      <c r="T515" s="34"/>
      <c r="U515" s="34"/>
      <c r="V515" s="8"/>
      <c r="W515" t="s">
        <v>1626</v>
      </c>
      <c r="Y515" s="34"/>
      <c r="Z515"/>
      <c r="AA515"/>
      <c r="AE515"/>
      <c r="AF515"/>
      <c r="AG515"/>
      <c r="AH515"/>
    </row>
    <row r="516" spans="1:34" s="59" customFormat="1" ht="15.75" customHeight="1" x14ac:dyDescent="0.15">
      <c r="A516" s="6">
        <v>510</v>
      </c>
      <c r="B516" s="18" t="s">
        <v>75</v>
      </c>
      <c r="C516" s="34" t="s">
        <v>57</v>
      </c>
      <c r="D516" s="75" t="s">
        <v>1627</v>
      </c>
      <c r="E516" s="2" t="s">
        <v>169</v>
      </c>
      <c r="F516">
        <v>15433</v>
      </c>
      <c r="G516" s="6">
        <v>3</v>
      </c>
      <c r="H516" s="6" t="s">
        <v>1628</v>
      </c>
      <c r="I516" s="34"/>
      <c r="J516" s="38" t="s">
        <v>196</v>
      </c>
      <c r="K516" s="38" t="s">
        <v>197</v>
      </c>
      <c r="L516" s="38" t="s">
        <v>198</v>
      </c>
      <c r="M516" s="38"/>
      <c r="N516" s="19"/>
      <c r="O516" s="76" t="s">
        <v>62</v>
      </c>
      <c r="P516" s="6" t="s">
        <v>62</v>
      </c>
      <c r="Q516" s="38" t="s">
        <v>62</v>
      </c>
      <c r="R516" s="38" t="s">
        <v>62</v>
      </c>
      <c r="S516" s="34"/>
      <c r="T516" s="34"/>
      <c r="U516" s="34"/>
      <c r="V516" s="8"/>
      <c r="W516" t="s">
        <v>1629</v>
      </c>
      <c r="X516"/>
      <c r="Y516" s="34"/>
    </row>
    <row r="517" spans="1:34" ht="15.75" customHeight="1" x14ac:dyDescent="0.15">
      <c r="A517" s="6">
        <v>511</v>
      </c>
      <c r="B517" s="18" t="s">
        <v>75</v>
      </c>
      <c r="C517" s="34" t="s">
        <v>57</v>
      </c>
      <c r="D517" s="75" t="s">
        <v>1630</v>
      </c>
      <c r="E517" s="2" t="s">
        <v>169</v>
      </c>
      <c r="F517">
        <v>15433</v>
      </c>
      <c r="G517" s="6">
        <v>17</v>
      </c>
      <c r="H517" s="6" t="s">
        <v>1631</v>
      </c>
      <c r="I517" s="34"/>
      <c r="J517" s="38" t="s">
        <v>171</v>
      </c>
      <c r="K517" s="38" t="s">
        <v>177</v>
      </c>
      <c r="L517" s="38" t="s">
        <v>173</v>
      </c>
      <c r="M517" s="38"/>
      <c r="N517" s="19"/>
      <c r="O517" s="76" t="s">
        <v>62</v>
      </c>
      <c r="P517" s="6" t="s">
        <v>62</v>
      </c>
      <c r="Q517" s="38" t="s">
        <v>62</v>
      </c>
      <c r="R517" s="38" t="s">
        <v>62</v>
      </c>
      <c r="S517" s="34"/>
      <c r="T517" s="34"/>
      <c r="U517" s="34"/>
      <c r="V517" s="8"/>
      <c r="W517" t="s">
        <v>1632</v>
      </c>
      <c r="Y517" s="34"/>
      <c r="Z517"/>
      <c r="AA517"/>
      <c r="AE517"/>
      <c r="AF517"/>
      <c r="AG517"/>
      <c r="AH517"/>
    </row>
    <row r="518" spans="1:34" ht="15.75" customHeight="1" x14ac:dyDescent="0.15">
      <c r="A518" s="6">
        <v>512</v>
      </c>
      <c r="B518" s="18" t="s">
        <v>75</v>
      </c>
      <c r="C518" s="34" t="s">
        <v>57</v>
      </c>
      <c r="D518" s="75" t="s">
        <v>1633</v>
      </c>
      <c r="E518" s="2" t="s">
        <v>169</v>
      </c>
      <c r="F518">
        <v>15433</v>
      </c>
      <c r="G518" s="6">
        <v>18</v>
      </c>
      <c r="H518" s="6" t="s">
        <v>1634</v>
      </c>
      <c r="I518" s="34"/>
      <c r="J518" s="38" t="s">
        <v>171</v>
      </c>
      <c r="K518" s="38" t="s">
        <v>177</v>
      </c>
      <c r="L518" s="38" t="s">
        <v>173</v>
      </c>
      <c r="M518" s="38"/>
      <c r="N518" s="19"/>
      <c r="O518" s="76" t="s">
        <v>62</v>
      </c>
      <c r="P518" s="6" t="s">
        <v>62</v>
      </c>
      <c r="Q518" s="38" t="s">
        <v>62</v>
      </c>
      <c r="R518" s="38" t="s">
        <v>62</v>
      </c>
      <c r="S518" s="34"/>
      <c r="T518" s="34"/>
      <c r="U518" s="34"/>
      <c r="V518" s="8"/>
      <c r="W518" t="s">
        <v>1635</v>
      </c>
      <c r="Y518" s="34"/>
      <c r="Z518"/>
      <c r="AA518"/>
      <c r="AE518"/>
      <c r="AF518"/>
      <c r="AG518"/>
      <c r="AH518"/>
    </row>
    <row r="519" spans="1:34" ht="15.75" customHeight="1" x14ac:dyDescent="0.15">
      <c r="A519" s="6">
        <v>513</v>
      </c>
      <c r="B519" s="18" t="s">
        <v>75</v>
      </c>
      <c r="C519" s="34" t="s">
        <v>57</v>
      </c>
      <c r="D519" s="75" t="s">
        <v>1636</v>
      </c>
      <c r="E519" s="2" t="s">
        <v>169</v>
      </c>
      <c r="F519">
        <v>15433</v>
      </c>
      <c r="G519" s="6">
        <v>19</v>
      </c>
      <c r="H519" s="6" t="s">
        <v>1637</v>
      </c>
      <c r="I519" s="34"/>
      <c r="J519" s="38" t="s">
        <v>171</v>
      </c>
      <c r="K519" s="38" t="s">
        <v>177</v>
      </c>
      <c r="L519" s="38" t="s">
        <v>173</v>
      </c>
      <c r="M519" s="38"/>
      <c r="N519" s="19"/>
      <c r="O519" s="76" t="s">
        <v>62</v>
      </c>
      <c r="P519" s="6" t="s">
        <v>62</v>
      </c>
      <c r="Q519" s="38" t="s">
        <v>62</v>
      </c>
      <c r="R519" s="38" t="s">
        <v>62</v>
      </c>
      <c r="S519" s="34"/>
      <c r="T519" s="34"/>
      <c r="U519" s="34"/>
      <c r="V519" s="8"/>
      <c r="W519" t="s">
        <v>1638</v>
      </c>
      <c r="Y519" s="34"/>
      <c r="Z519"/>
      <c r="AA519"/>
      <c r="AE519"/>
      <c r="AF519"/>
      <c r="AG519"/>
      <c r="AH519"/>
    </row>
    <row r="520" spans="1:34" s="59" customFormat="1" ht="15.75" customHeight="1" x14ac:dyDescent="0.15">
      <c r="A520" s="6">
        <v>514</v>
      </c>
      <c r="B520" s="18" t="s">
        <v>75</v>
      </c>
      <c r="C520" s="34" t="s">
        <v>57</v>
      </c>
      <c r="D520" s="75" t="s">
        <v>1639</v>
      </c>
      <c r="E520" s="2" t="s">
        <v>143</v>
      </c>
      <c r="F520">
        <v>15437</v>
      </c>
      <c r="G520" s="6"/>
      <c r="H520" s="6" t="s">
        <v>1640</v>
      </c>
      <c r="I520" s="34"/>
      <c r="J520" s="38"/>
      <c r="K520" s="38"/>
      <c r="L520" s="38"/>
      <c r="M520" s="38" t="s">
        <v>266</v>
      </c>
      <c r="N520" s="19">
        <v>10</v>
      </c>
      <c r="O520" s="76">
        <v>-32768</v>
      </c>
      <c r="P520" s="6">
        <v>32767</v>
      </c>
      <c r="Q520" s="38">
        <v>-3276.8</v>
      </c>
      <c r="R520" s="38">
        <v>3276.7</v>
      </c>
      <c r="S520" s="34"/>
      <c r="T520" s="34"/>
      <c r="U520" s="34"/>
      <c r="V520" s="8"/>
      <c r="W520" t="s">
        <v>1641</v>
      </c>
      <c r="X520"/>
      <c r="Y520" s="34"/>
    </row>
    <row r="521" spans="1:34" ht="15.75" customHeight="1" x14ac:dyDescent="0.15">
      <c r="A521" s="6">
        <v>515</v>
      </c>
      <c r="B521" s="18" t="s">
        <v>75</v>
      </c>
      <c r="C521" s="34" t="s">
        <v>57</v>
      </c>
      <c r="D521" s="75" t="s">
        <v>1642</v>
      </c>
      <c r="E521" s="2" t="s">
        <v>143</v>
      </c>
      <c r="F521">
        <v>15439</v>
      </c>
      <c r="G521" s="6"/>
      <c r="H521" s="6" t="s">
        <v>1643</v>
      </c>
      <c r="I521" s="34"/>
      <c r="J521" s="38"/>
      <c r="K521" s="38"/>
      <c r="L521" s="38"/>
      <c r="M521" s="38" t="s">
        <v>266</v>
      </c>
      <c r="N521" s="19">
        <v>10</v>
      </c>
      <c r="O521" s="76">
        <v>-32768</v>
      </c>
      <c r="P521" s="6">
        <v>32767</v>
      </c>
      <c r="Q521" s="38">
        <v>-3276.8</v>
      </c>
      <c r="R521" s="38">
        <v>3276.7</v>
      </c>
      <c r="S521" s="34"/>
      <c r="T521" s="34"/>
      <c r="U521" s="34"/>
      <c r="V521" s="8"/>
      <c r="W521" t="s">
        <v>1644</v>
      </c>
      <c r="Y521" s="34"/>
      <c r="Z521"/>
      <c r="AA521"/>
      <c r="AE521"/>
      <c r="AF521"/>
      <c r="AG521"/>
      <c r="AH521"/>
    </row>
    <row r="522" spans="1:34" ht="15.75" customHeight="1" x14ac:dyDescent="0.15">
      <c r="A522" s="6">
        <v>516</v>
      </c>
      <c r="B522" s="18" t="s">
        <v>75</v>
      </c>
      <c r="C522" s="34" t="s">
        <v>57</v>
      </c>
      <c r="D522" s="75" t="s">
        <v>1645</v>
      </c>
      <c r="E522" s="2" t="s">
        <v>143</v>
      </c>
      <c r="F522">
        <v>15441</v>
      </c>
      <c r="G522" s="6"/>
      <c r="H522" s="6" t="s">
        <v>1646</v>
      </c>
      <c r="I522" s="34"/>
      <c r="J522" s="38"/>
      <c r="K522" s="38"/>
      <c r="L522" s="38"/>
      <c r="M522" s="38" t="s">
        <v>266</v>
      </c>
      <c r="N522" s="19">
        <v>10</v>
      </c>
      <c r="O522" s="76">
        <v>-32768</v>
      </c>
      <c r="P522" s="6">
        <v>32767</v>
      </c>
      <c r="Q522" s="38">
        <v>-3276.8</v>
      </c>
      <c r="R522" s="38">
        <v>3276.7</v>
      </c>
      <c r="S522" s="34"/>
      <c r="T522" s="34"/>
      <c r="U522" s="34"/>
      <c r="V522" s="8"/>
      <c r="W522" t="s">
        <v>1647</v>
      </c>
      <c r="Y522" s="34"/>
      <c r="Z522"/>
      <c r="AA522"/>
      <c r="AE522"/>
      <c r="AF522"/>
      <c r="AG522"/>
      <c r="AH522"/>
    </row>
    <row r="523" spans="1:34" ht="15.75" customHeight="1" x14ac:dyDescent="0.15">
      <c r="A523" s="6">
        <v>517</v>
      </c>
      <c r="B523" s="18" t="s">
        <v>75</v>
      </c>
      <c r="C523" s="34" t="s">
        <v>57</v>
      </c>
      <c r="D523" s="75" t="s">
        <v>1648</v>
      </c>
      <c r="E523" s="2" t="s">
        <v>59</v>
      </c>
      <c r="F523">
        <v>15443</v>
      </c>
      <c r="G523" s="6"/>
      <c r="H523" s="6" t="s">
        <v>1649</v>
      </c>
      <c r="I523" s="34"/>
      <c r="J523" s="38"/>
      <c r="K523" s="38"/>
      <c r="L523" s="38"/>
      <c r="M523" s="38" t="s">
        <v>781</v>
      </c>
      <c r="N523" s="19">
        <v>100</v>
      </c>
      <c r="O523" s="76">
        <v>0</v>
      </c>
      <c r="P523" s="6">
        <v>4294967295</v>
      </c>
      <c r="Q523" s="38">
        <v>0</v>
      </c>
      <c r="R523" s="38">
        <v>42949672.950000003</v>
      </c>
      <c r="S523" s="34"/>
      <c r="T523" s="34"/>
      <c r="U523" s="34"/>
      <c r="V523" s="8"/>
      <c r="W523" t="s">
        <v>1650</v>
      </c>
      <c r="Y523" s="34"/>
      <c r="Z523"/>
      <c r="AA523"/>
      <c r="AE523"/>
      <c r="AF523"/>
      <c r="AG523"/>
      <c r="AH523"/>
    </row>
    <row r="524" spans="1:34" ht="15.75" customHeight="1" x14ac:dyDescent="0.15">
      <c r="A524" s="6">
        <v>518</v>
      </c>
      <c r="B524" s="18" t="s">
        <v>75</v>
      </c>
      <c r="C524" s="34" t="s">
        <v>57</v>
      </c>
      <c r="D524" s="75" t="s">
        <v>1651</v>
      </c>
      <c r="E524" s="2" t="s">
        <v>59</v>
      </c>
      <c r="F524">
        <v>15445</v>
      </c>
      <c r="G524" s="6"/>
      <c r="H524" s="6" t="s">
        <v>1652</v>
      </c>
      <c r="I524" s="34"/>
      <c r="J524" s="38"/>
      <c r="K524" s="38"/>
      <c r="L524" s="38"/>
      <c r="M524" s="38" t="s">
        <v>781</v>
      </c>
      <c r="N524" s="19">
        <v>100</v>
      </c>
      <c r="O524" s="76">
        <v>0</v>
      </c>
      <c r="P524" s="6">
        <v>4294967295</v>
      </c>
      <c r="Q524" s="38">
        <v>0</v>
      </c>
      <c r="R524" s="38">
        <v>42949672.950000003</v>
      </c>
      <c r="S524" s="34"/>
      <c r="T524" s="34"/>
      <c r="U524" s="34"/>
      <c r="V524" s="8"/>
      <c r="W524" t="s">
        <v>1653</v>
      </c>
      <c r="Y524" s="34"/>
      <c r="Z524"/>
      <c r="AA524"/>
      <c r="AE524"/>
      <c r="AF524"/>
      <c r="AG524"/>
      <c r="AH524"/>
    </row>
    <row r="525" spans="1:34" ht="15.75" customHeight="1" x14ac:dyDescent="0.15">
      <c r="A525" s="6">
        <v>519</v>
      </c>
      <c r="B525" s="18" t="s">
        <v>75</v>
      </c>
      <c r="C525" s="34" t="s">
        <v>57</v>
      </c>
      <c r="D525" s="75" t="s">
        <v>1654</v>
      </c>
      <c r="E525" s="2" t="s">
        <v>219</v>
      </c>
      <c r="F525">
        <v>15447</v>
      </c>
      <c r="G525" s="6"/>
      <c r="H525" s="6" t="s">
        <v>1655</v>
      </c>
      <c r="I525" s="34"/>
      <c r="J525" s="38"/>
      <c r="K525" s="38"/>
      <c r="L525" s="38"/>
      <c r="M525" s="38"/>
      <c r="N525" s="19"/>
      <c r="O525" s="76" t="s">
        <v>62</v>
      </c>
      <c r="P525" s="6" t="s">
        <v>62</v>
      </c>
      <c r="Q525" s="38" t="s">
        <v>62</v>
      </c>
      <c r="R525" s="38" t="s">
        <v>62</v>
      </c>
      <c r="S525" s="34"/>
      <c r="T525" s="34"/>
      <c r="U525" s="34"/>
      <c r="V525" s="8"/>
      <c r="W525" t="s">
        <v>1656</v>
      </c>
      <c r="Y525" s="34"/>
      <c r="Z525"/>
      <c r="AA525"/>
      <c r="AE525"/>
      <c r="AF525"/>
      <c r="AG525"/>
      <c r="AH525"/>
    </row>
    <row r="526" spans="1:34" ht="15.75" customHeight="1" x14ac:dyDescent="0.15">
      <c r="A526" s="6">
        <v>520</v>
      </c>
      <c r="B526" s="18" t="s">
        <v>75</v>
      </c>
      <c r="C526" s="34" t="s">
        <v>57</v>
      </c>
      <c r="D526" s="75" t="s">
        <v>1657</v>
      </c>
      <c r="E526" s="2" t="s">
        <v>169</v>
      </c>
      <c r="F526">
        <v>15447</v>
      </c>
      <c r="G526" s="6">
        <v>0</v>
      </c>
      <c r="H526" s="6" t="s">
        <v>1658</v>
      </c>
      <c r="I526" s="34"/>
      <c r="J526" s="38" t="s">
        <v>196</v>
      </c>
      <c r="K526" s="38" t="s">
        <v>222</v>
      </c>
      <c r="L526" s="38" t="s">
        <v>224</v>
      </c>
      <c r="M526" s="38"/>
      <c r="N526" s="19"/>
      <c r="O526" s="76" t="s">
        <v>62</v>
      </c>
      <c r="P526" s="6" t="s">
        <v>62</v>
      </c>
      <c r="Q526" s="38" t="s">
        <v>62</v>
      </c>
      <c r="R526" s="38" t="s">
        <v>62</v>
      </c>
      <c r="S526" s="34"/>
      <c r="T526" s="34"/>
      <c r="U526" s="34"/>
      <c r="V526" s="8"/>
      <c r="W526" t="s">
        <v>1659</v>
      </c>
      <c r="Y526" s="34"/>
      <c r="Z526"/>
      <c r="AA526"/>
      <c r="AE526"/>
      <c r="AF526"/>
      <c r="AG526"/>
      <c r="AH526"/>
    </row>
    <row r="527" spans="1:34" s="55" customFormat="1" ht="15.75" customHeight="1" x14ac:dyDescent="0.15">
      <c r="A527" s="6">
        <v>521</v>
      </c>
      <c r="B527" s="18" t="s">
        <v>75</v>
      </c>
      <c r="C527" s="34" t="s">
        <v>57</v>
      </c>
      <c r="D527" s="75" t="s">
        <v>1660</v>
      </c>
      <c r="E527" s="2" t="s">
        <v>169</v>
      </c>
      <c r="F527">
        <v>15447</v>
      </c>
      <c r="G527" s="6">
        <v>1</v>
      </c>
      <c r="H527" s="6" t="s">
        <v>1661</v>
      </c>
      <c r="I527" s="34"/>
      <c r="J527" s="38" t="s">
        <v>196</v>
      </c>
      <c r="K527" s="38" t="s">
        <v>226</v>
      </c>
      <c r="L527" s="38" t="s">
        <v>228</v>
      </c>
      <c r="M527" s="38"/>
      <c r="N527" s="19"/>
      <c r="O527" s="76" t="s">
        <v>62</v>
      </c>
      <c r="P527" s="6" t="s">
        <v>62</v>
      </c>
      <c r="Q527" s="38" t="s">
        <v>62</v>
      </c>
      <c r="R527" s="38" t="s">
        <v>62</v>
      </c>
      <c r="S527" s="34"/>
      <c r="T527" s="34"/>
      <c r="U527" s="34"/>
      <c r="V527" s="8"/>
      <c r="W527" t="s">
        <v>1662</v>
      </c>
      <c r="X527"/>
      <c r="Y527" s="34"/>
    </row>
    <row r="528" spans="1:34" s="55" customFormat="1" ht="15.75" customHeight="1" x14ac:dyDescent="0.15">
      <c r="A528" s="6">
        <v>522</v>
      </c>
      <c r="B528" s="18" t="s">
        <v>75</v>
      </c>
      <c r="C528" s="34" t="s">
        <v>57</v>
      </c>
      <c r="D528" s="75" t="s">
        <v>1663</v>
      </c>
      <c r="E528" s="2" t="s">
        <v>169</v>
      </c>
      <c r="F528">
        <v>15447</v>
      </c>
      <c r="G528" s="6">
        <v>2</v>
      </c>
      <c r="H528" s="6" t="s">
        <v>1664</v>
      </c>
      <c r="I528" s="34"/>
      <c r="J528" s="38" t="s">
        <v>196</v>
      </c>
      <c r="K528" s="38" t="s">
        <v>797</v>
      </c>
      <c r="L528" s="38" t="s">
        <v>798</v>
      </c>
      <c r="M528" s="38"/>
      <c r="N528" s="19"/>
      <c r="O528" s="76" t="s">
        <v>62</v>
      </c>
      <c r="P528" s="6" t="s">
        <v>62</v>
      </c>
      <c r="Q528" s="38" t="s">
        <v>62</v>
      </c>
      <c r="R528" s="38" t="s">
        <v>62</v>
      </c>
      <c r="S528" s="34"/>
      <c r="T528" s="34"/>
      <c r="U528" s="34"/>
      <c r="V528" s="8"/>
      <c r="W528" t="s">
        <v>1665</v>
      </c>
      <c r="X528"/>
      <c r="Y528" s="34"/>
    </row>
    <row r="529" spans="1:34" s="55" customFormat="1" ht="15.75" customHeight="1" x14ac:dyDescent="0.15">
      <c r="A529" s="6">
        <v>523</v>
      </c>
      <c r="B529" s="18" t="s">
        <v>75</v>
      </c>
      <c r="C529" s="34" t="s">
        <v>57</v>
      </c>
      <c r="D529" s="75" t="s">
        <v>1666</v>
      </c>
      <c r="E529" s="2" t="s">
        <v>169</v>
      </c>
      <c r="F529">
        <v>15447</v>
      </c>
      <c r="G529" s="6">
        <v>3</v>
      </c>
      <c r="H529" s="6" t="s">
        <v>1667</v>
      </c>
      <c r="I529" s="34"/>
      <c r="J529" s="38" t="s">
        <v>196</v>
      </c>
      <c r="K529" s="38" t="s">
        <v>226</v>
      </c>
      <c r="L529" s="38" t="s">
        <v>228</v>
      </c>
      <c r="M529" s="38"/>
      <c r="N529" s="19"/>
      <c r="O529" s="76" t="s">
        <v>62</v>
      </c>
      <c r="P529" s="6" t="s">
        <v>62</v>
      </c>
      <c r="Q529" s="38" t="s">
        <v>62</v>
      </c>
      <c r="R529" s="38" t="s">
        <v>62</v>
      </c>
      <c r="S529" s="34"/>
      <c r="T529" s="34"/>
      <c r="U529" s="34"/>
      <c r="V529" s="8"/>
      <c r="W529" t="s">
        <v>1668</v>
      </c>
      <c r="X529"/>
      <c r="Y529" s="34"/>
    </row>
    <row r="530" spans="1:34" s="55" customFormat="1" ht="15.75" customHeight="1" x14ac:dyDescent="0.15">
      <c r="A530" s="6">
        <v>524</v>
      </c>
      <c r="B530" s="18" t="s">
        <v>75</v>
      </c>
      <c r="C530" s="34" t="s">
        <v>57</v>
      </c>
      <c r="D530" s="75" t="s">
        <v>1669</v>
      </c>
      <c r="E530" s="2" t="s">
        <v>169</v>
      </c>
      <c r="F530">
        <v>15447</v>
      </c>
      <c r="G530" s="6">
        <v>4</v>
      </c>
      <c r="H530" s="6" t="s">
        <v>1670</v>
      </c>
      <c r="I530" s="34"/>
      <c r="J530" s="38" t="s">
        <v>196</v>
      </c>
      <c r="K530" s="38" t="s">
        <v>797</v>
      </c>
      <c r="L530" s="38" t="s">
        <v>798</v>
      </c>
      <c r="M530" s="38"/>
      <c r="N530" s="19"/>
      <c r="O530" s="76" t="s">
        <v>62</v>
      </c>
      <c r="P530" s="6" t="s">
        <v>62</v>
      </c>
      <c r="Q530" s="38" t="s">
        <v>62</v>
      </c>
      <c r="R530" s="38" t="s">
        <v>62</v>
      </c>
      <c r="S530" s="34"/>
      <c r="T530" s="34"/>
      <c r="U530" s="34"/>
      <c r="V530" s="8"/>
      <c r="W530" t="s">
        <v>1671</v>
      </c>
      <c r="X530"/>
      <c r="Y530" s="34"/>
    </row>
    <row r="531" spans="1:34" s="55" customFormat="1" ht="15.75" customHeight="1" x14ac:dyDescent="0.15">
      <c r="A531" s="6">
        <v>525</v>
      </c>
      <c r="B531" s="18" t="s">
        <v>75</v>
      </c>
      <c r="C531" s="34" t="s">
        <v>57</v>
      </c>
      <c r="D531" s="75" t="s">
        <v>1672</v>
      </c>
      <c r="E531" s="2" t="s">
        <v>169</v>
      </c>
      <c r="F531">
        <v>15447</v>
      </c>
      <c r="G531" s="6">
        <v>5</v>
      </c>
      <c r="H531" s="6" t="s">
        <v>1673</v>
      </c>
      <c r="I531" s="34"/>
      <c r="J531" s="38" t="s">
        <v>171</v>
      </c>
      <c r="K531" s="38" t="s">
        <v>177</v>
      </c>
      <c r="L531" s="38" t="s">
        <v>173</v>
      </c>
      <c r="M531" s="38"/>
      <c r="N531" s="19"/>
      <c r="O531" s="76" t="s">
        <v>62</v>
      </c>
      <c r="P531" s="6" t="s">
        <v>62</v>
      </c>
      <c r="Q531" s="38" t="s">
        <v>62</v>
      </c>
      <c r="R531" s="38" t="s">
        <v>62</v>
      </c>
      <c r="S531" s="34"/>
      <c r="T531" s="34"/>
      <c r="U531" s="34"/>
      <c r="V531" s="8"/>
      <c r="W531" t="s">
        <v>1674</v>
      </c>
      <c r="X531"/>
      <c r="Y531" s="34"/>
    </row>
    <row r="532" spans="1:34" s="55" customFormat="1" ht="15.75" customHeight="1" x14ac:dyDescent="0.15">
      <c r="A532" s="6">
        <v>526</v>
      </c>
      <c r="B532" s="18" t="s">
        <v>75</v>
      </c>
      <c r="C532" s="34" t="s">
        <v>57</v>
      </c>
      <c r="D532" s="75" t="s">
        <v>1675</v>
      </c>
      <c r="E532" s="2" t="s">
        <v>169</v>
      </c>
      <c r="F532">
        <v>15447</v>
      </c>
      <c r="G532" s="6">
        <v>6</v>
      </c>
      <c r="H532" s="6" t="s">
        <v>1676</v>
      </c>
      <c r="I532" s="34"/>
      <c r="J532" s="38" t="s">
        <v>196</v>
      </c>
      <c r="K532" s="38" t="s">
        <v>811</v>
      </c>
      <c r="L532" s="38" t="s">
        <v>812</v>
      </c>
      <c r="M532" s="38"/>
      <c r="N532" s="19"/>
      <c r="O532" s="76" t="s">
        <v>62</v>
      </c>
      <c r="P532" s="6" t="s">
        <v>62</v>
      </c>
      <c r="Q532" s="38" t="s">
        <v>62</v>
      </c>
      <c r="R532" s="38" t="s">
        <v>62</v>
      </c>
      <c r="S532" s="34"/>
      <c r="T532" s="34"/>
      <c r="U532" s="34"/>
      <c r="V532" s="8"/>
      <c r="W532" t="s">
        <v>1677</v>
      </c>
      <c r="X532"/>
      <c r="Y532" s="34"/>
    </row>
    <row r="533" spans="1:34" s="55" customFormat="1" ht="15.75" customHeight="1" x14ac:dyDescent="0.15">
      <c r="A533" s="6">
        <v>527</v>
      </c>
      <c r="B533" s="18" t="s">
        <v>75</v>
      </c>
      <c r="C533" s="34" t="s">
        <v>57</v>
      </c>
      <c r="D533" s="75" t="s">
        <v>1678</v>
      </c>
      <c r="E533" s="2" t="s">
        <v>169</v>
      </c>
      <c r="F533">
        <v>15447</v>
      </c>
      <c r="G533" s="6">
        <v>7</v>
      </c>
      <c r="H533" s="6" t="s">
        <v>1679</v>
      </c>
      <c r="I533" s="34"/>
      <c r="J533" s="38" t="s">
        <v>196</v>
      </c>
      <c r="K533" s="38" t="s">
        <v>816</v>
      </c>
      <c r="L533" s="38" t="s">
        <v>817</v>
      </c>
      <c r="M533" s="38"/>
      <c r="N533" s="19"/>
      <c r="O533" s="76" t="s">
        <v>62</v>
      </c>
      <c r="P533" s="6" t="s">
        <v>62</v>
      </c>
      <c r="Q533" s="38" t="s">
        <v>62</v>
      </c>
      <c r="R533" s="38" t="s">
        <v>62</v>
      </c>
      <c r="S533" s="34"/>
      <c r="T533" s="34"/>
      <c r="U533" s="34"/>
      <c r="V533" s="8"/>
      <c r="W533" t="s">
        <v>1680</v>
      </c>
      <c r="X533"/>
      <c r="Y533" s="34"/>
    </row>
    <row r="534" spans="1:34" s="55" customFormat="1" ht="15.75" customHeight="1" x14ac:dyDescent="0.15">
      <c r="A534" s="6">
        <v>528</v>
      </c>
      <c r="B534" s="18" t="s">
        <v>75</v>
      </c>
      <c r="C534" s="34" t="s">
        <v>57</v>
      </c>
      <c r="D534" s="75" t="s">
        <v>1681</v>
      </c>
      <c r="E534" s="2" t="s">
        <v>169</v>
      </c>
      <c r="F534">
        <v>15447</v>
      </c>
      <c r="G534" s="6">
        <v>9</v>
      </c>
      <c r="H534" s="6" t="s">
        <v>1682</v>
      </c>
      <c r="I534" s="34"/>
      <c r="J534" s="38" t="s">
        <v>171</v>
      </c>
      <c r="K534" s="38" t="s">
        <v>177</v>
      </c>
      <c r="L534" s="38" t="s">
        <v>173</v>
      </c>
      <c r="M534" s="38"/>
      <c r="N534" s="19"/>
      <c r="O534" s="76" t="s">
        <v>62</v>
      </c>
      <c r="P534" s="6" t="s">
        <v>62</v>
      </c>
      <c r="Q534" s="38" t="s">
        <v>62</v>
      </c>
      <c r="R534" s="38" t="s">
        <v>62</v>
      </c>
      <c r="S534" s="34"/>
      <c r="T534" s="34"/>
      <c r="U534" s="34"/>
      <c r="V534" s="8"/>
      <c r="W534" t="s">
        <v>1683</v>
      </c>
      <c r="X534"/>
      <c r="Y534" s="34"/>
    </row>
    <row r="535" spans="1:34" s="55" customFormat="1" ht="15.75" customHeight="1" x14ac:dyDescent="0.15">
      <c r="A535" s="6">
        <v>529</v>
      </c>
      <c r="B535" s="18" t="s">
        <v>75</v>
      </c>
      <c r="C535" s="34" t="s">
        <v>57</v>
      </c>
      <c r="D535" s="75" t="s">
        <v>1684</v>
      </c>
      <c r="E535" s="2" t="s">
        <v>169</v>
      </c>
      <c r="F535">
        <v>15447</v>
      </c>
      <c r="G535" s="6">
        <v>10</v>
      </c>
      <c r="H535" s="6" t="s">
        <v>1685</v>
      </c>
      <c r="I535" s="34"/>
      <c r="J535" s="38" t="s">
        <v>171</v>
      </c>
      <c r="K535" s="38" t="s">
        <v>177</v>
      </c>
      <c r="L535" s="38" t="s">
        <v>173</v>
      </c>
      <c r="M535" s="38"/>
      <c r="N535" s="19"/>
      <c r="O535" s="76" t="s">
        <v>62</v>
      </c>
      <c r="P535" s="6" t="s">
        <v>62</v>
      </c>
      <c r="Q535" s="38" t="s">
        <v>62</v>
      </c>
      <c r="R535" s="38" t="s">
        <v>62</v>
      </c>
      <c r="S535" s="34"/>
      <c r="T535" s="34"/>
      <c r="U535" s="34"/>
      <c r="V535" s="8"/>
      <c r="W535" t="s">
        <v>1686</v>
      </c>
      <c r="X535"/>
      <c r="Y535" s="34"/>
    </row>
    <row r="536" spans="1:34" s="55" customFormat="1" ht="15.75" customHeight="1" x14ac:dyDescent="0.15">
      <c r="A536" s="6">
        <v>530</v>
      </c>
      <c r="B536" s="18" t="s">
        <v>75</v>
      </c>
      <c r="C536" s="34" t="s">
        <v>57</v>
      </c>
      <c r="D536" s="75" t="s">
        <v>1687</v>
      </c>
      <c r="E536" s="2" t="s">
        <v>169</v>
      </c>
      <c r="F536">
        <v>15447</v>
      </c>
      <c r="G536" s="6">
        <v>11</v>
      </c>
      <c r="H536" s="6" t="s">
        <v>1688</v>
      </c>
      <c r="I536" s="34"/>
      <c r="J536" s="38" t="s">
        <v>171</v>
      </c>
      <c r="K536" s="38" t="s">
        <v>177</v>
      </c>
      <c r="L536" s="38" t="s">
        <v>173</v>
      </c>
      <c r="M536" s="38"/>
      <c r="N536" s="19"/>
      <c r="O536" s="76" t="s">
        <v>62</v>
      </c>
      <c r="P536" s="6" t="s">
        <v>62</v>
      </c>
      <c r="Q536" s="38" t="s">
        <v>62</v>
      </c>
      <c r="R536" s="38" t="s">
        <v>62</v>
      </c>
      <c r="S536" s="34"/>
      <c r="T536" s="34"/>
      <c r="U536" s="34"/>
      <c r="V536" s="8"/>
      <c r="W536" t="s">
        <v>1689</v>
      </c>
      <c r="X536"/>
      <c r="Y536" s="34"/>
    </row>
    <row r="537" spans="1:34" s="55" customFormat="1" ht="15.75" customHeight="1" x14ac:dyDescent="0.15">
      <c r="A537" s="6">
        <v>531</v>
      </c>
      <c r="B537" s="18" t="s">
        <v>75</v>
      </c>
      <c r="C537" s="34" t="s">
        <v>57</v>
      </c>
      <c r="D537" s="75" t="s">
        <v>1690</v>
      </c>
      <c r="E537" s="2" t="s">
        <v>169</v>
      </c>
      <c r="F537">
        <v>15447</v>
      </c>
      <c r="G537" s="6">
        <v>13</v>
      </c>
      <c r="H537" s="6" t="s">
        <v>1691</v>
      </c>
      <c r="I537" s="34"/>
      <c r="J537" s="38" t="s">
        <v>171</v>
      </c>
      <c r="K537" s="38" t="s">
        <v>177</v>
      </c>
      <c r="L537" s="38" t="s">
        <v>173</v>
      </c>
      <c r="M537" s="38"/>
      <c r="N537" s="19"/>
      <c r="O537" s="76" t="s">
        <v>62</v>
      </c>
      <c r="P537" s="6" t="s">
        <v>62</v>
      </c>
      <c r="Q537" s="38" t="s">
        <v>62</v>
      </c>
      <c r="R537" s="38" t="s">
        <v>62</v>
      </c>
      <c r="S537" s="34"/>
      <c r="T537" s="34"/>
      <c r="U537" s="34"/>
      <c r="V537" s="8"/>
      <c r="W537" t="s">
        <v>1692</v>
      </c>
      <c r="X537"/>
      <c r="Y537" s="34"/>
    </row>
    <row r="538" spans="1:34" ht="15.75" customHeight="1" x14ac:dyDescent="0.15">
      <c r="A538" s="6">
        <v>532</v>
      </c>
      <c r="B538" s="18" t="s">
        <v>75</v>
      </c>
      <c r="C538" s="34" t="s">
        <v>57</v>
      </c>
      <c r="D538" s="75" t="s">
        <v>1693</v>
      </c>
      <c r="E538" s="2" t="s">
        <v>169</v>
      </c>
      <c r="F538">
        <v>15447</v>
      </c>
      <c r="G538" s="6">
        <v>17</v>
      </c>
      <c r="H538" s="6" t="s">
        <v>1694</v>
      </c>
      <c r="I538" s="34"/>
      <c r="J538" s="38" t="s">
        <v>196</v>
      </c>
      <c r="K538" s="38" t="s">
        <v>222</v>
      </c>
      <c r="L538" s="38" t="s">
        <v>224</v>
      </c>
      <c r="M538" s="38"/>
      <c r="N538" s="19"/>
      <c r="O538" s="76" t="s">
        <v>62</v>
      </c>
      <c r="P538" s="6" t="s">
        <v>62</v>
      </c>
      <c r="Q538" s="38" t="s">
        <v>62</v>
      </c>
      <c r="R538" s="38" t="s">
        <v>62</v>
      </c>
      <c r="S538" s="34"/>
      <c r="T538" s="34"/>
      <c r="U538" s="34"/>
      <c r="V538" s="8"/>
      <c r="W538" t="s">
        <v>1695</v>
      </c>
      <c r="Y538" s="34"/>
      <c r="Z538"/>
      <c r="AA538"/>
      <c r="AE538"/>
      <c r="AF538"/>
      <c r="AG538"/>
      <c r="AH538"/>
    </row>
    <row r="539" spans="1:34" ht="15.75" customHeight="1" x14ac:dyDescent="0.15">
      <c r="A539" s="6">
        <v>533</v>
      </c>
      <c r="B539" s="18" t="s">
        <v>75</v>
      </c>
      <c r="C539" s="34" t="s">
        <v>57</v>
      </c>
      <c r="D539" s="75" t="s">
        <v>1696</v>
      </c>
      <c r="E539" s="2" t="s">
        <v>169</v>
      </c>
      <c r="F539">
        <v>15447</v>
      </c>
      <c r="G539" s="6">
        <v>18</v>
      </c>
      <c r="H539" s="6" t="s">
        <v>1697</v>
      </c>
      <c r="I539" s="34"/>
      <c r="J539" s="38" t="s">
        <v>196</v>
      </c>
      <c r="K539" s="38" t="s">
        <v>226</v>
      </c>
      <c r="L539" s="38" t="s">
        <v>228</v>
      </c>
      <c r="M539" s="38"/>
      <c r="N539" s="19"/>
      <c r="O539" s="76" t="s">
        <v>62</v>
      </c>
      <c r="P539" s="6" t="s">
        <v>62</v>
      </c>
      <c r="Q539" s="38" t="s">
        <v>62</v>
      </c>
      <c r="R539" s="38" t="s">
        <v>62</v>
      </c>
      <c r="S539" s="34"/>
      <c r="T539" s="34"/>
      <c r="U539" s="34"/>
      <c r="V539" s="8"/>
      <c r="W539" t="s">
        <v>1698</v>
      </c>
      <c r="Y539" s="34"/>
      <c r="Z539"/>
      <c r="AA539"/>
      <c r="AE539"/>
      <c r="AF539"/>
      <c r="AG539"/>
      <c r="AH539"/>
    </row>
    <row r="540" spans="1:34" ht="15.75" customHeight="1" x14ac:dyDescent="0.15">
      <c r="A540" s="6">
        <v>534</v>
      </c>
      <c r="B540" s="18" t="s">
        <v>75</v>
      </c>
      <c r="C540" s="34" t="s">
        <v>57</v>
      </c>
      <c r="D540" s="75" t="s">
        <v>1699</v>
      </c>
      <c r="E540" s="2" t="s">
        <v>169</v>
      </c>
      <c r="F540">
        <v>15447</v>
      </c>
      <c r="G540" s="6">
        <v>19</v>
      </c>
      <c r="H540" s="6" t="s">
        <v>1700</v>
      </c>
      <c r="I540" s="34"/>
      <c r="J540" s="38" t="s">
        <v>171</v>
      </c>
      <c r="K540" s="38" t="s">
        <v>839</v>
      </c>
      <c r="L540" s="38" t="s">
        <v>840</v>
      </c>
      <c r="M540" s="38"/>
      <c r="N540" s="19"/>
      <c r="O540" s="76" t="s">
        <v>62</v>
      </c>
      <c r="P540" s="6" t="s">
        <v>62</v>
      </c>
      <c r="Q540" s="38" t="s">
        <v>62</v>
      </c>
      <c r="R540" s="38" t="s">
        <v>62</v>
      </c>
      <c r="S540" s="34"/>
      <c r="T540" s="34"/>
      <c r="U540" s="34"/>
      <c r="V540" s="8"/>
      <c r="W540" t="s">
        <v>1701</v>
      </c>
      <c r="Y540" s="34"/>
      <c r="Z540"/>
      <c r="AA540"/>
      <c r="AE540"/>
      <c r="AF540"/>
      <c r="AG540"/>
      <c r="AH540"/>
    </row>
    <row r="541" spans="1:34" ht="15.75" customHeight="1" x14ac:dyDescent="0.15">
      <c r="A541" s="6">
        <v>535</v>
      </c>
      <c r="B541" s="18" t="s">
        <v>75</v>
      </c>
      <c r="C541" s="34" t="s">
        <v>57</v>
      </c>
      <c r="D541" s="75" t="s">
        <v>1702</v>
      </c>
      <c r="E541" s="2" t="s">
        <v>219</v>
      </c>
      <c r="F541">
        <v>15449</v>
      </c>
      <c r="G541" s="6"/>
      <c r="H541" s="6" t="s">
        <v>1703</v>
      </c>
      <c r="I541" s="34"/>
      <c r="J541" s="38"/>
      <c r="K541" s="38"/>
      <c r="L541" s="38"/>
      <c r="M541" s="38"/>
      <c r="N541" s="19"/>
      <c r="O541" s="76" t="s">
        <v>62</v>
      </c>
      <c r="P541" s="6" t="s">
        <v>62</v>
      </c>
      <c r="Q541" s="38" t="s">
        <v>62</v>
      </c>
      <c r="R541" s="38" t="s">
        <v>62</v>
      </c>
      <c r="S541" s="34"/>
      <c r="T541" s="34"/>
      <c r="U541" s="34"/>
      <c r="V541" s="8"/>
      <c r="W541" t="s">
        <v>1704</v>
      </c>
      <c r="Y541" s="34"/>
      <c r="Z541"/>
      <c r="AA541"/>
      <c r="AE541"/>
      <c r="AF541"/>
      <c r="AG541"/>
      <c r="AH541"/>
    </row>
    <row r="542" spans="1:34" ht="15.75" customHeight="1" x14ac:dyDescent="0.15">
      <c r="A542" s="6">
        <v>536</v>
      </c>
      <c r="B542" s="18" t="s">
        <v>75</v>
      </c>
      <c r="C542" s="34" t="s">
        <v>57</v>
      </c>
      <c r="D542" s="75" t="s">
        <v>1705</v>
      </c>
      <c r="E542" s="2" t="s">
        <v>169</v>
      </c>
      <c r="F542">
        <v>15449</v>
      </c>
      <c r="G542" s="6">
        <v>0</v>
      </c>
      <c r="H542" s="6" t="s">
        <v>1706</v>
      </c>
      <c r="I542" s="34"/>
      <c r="J542" s="38" t="s">
        <v>171</v>
      </c>
      <c r="K542" s="38" t="s">
        <v>177</v>
      </c>
      <c r="L542" s="38" t="s">
        <v>173</v>
      </c>
      <c r="M542" s="38"/>
      <c r="N542" s="19"/>
      <c r="O542" s="76" t="s">
        <v>62</v>
      </c>
      <c r="P542" s="6" t="s">
        <v>62</v>
      </c>
      <c r="Q542" s="38" t="s">
        <v>62</v>
      </c>
      <c r="R542" s="38" t="s">
        <v>62</v>
      </c>
      <c r="S542" s="34"/>
      <c r="T542" s="34"/>
      <c r="U542" s="34"/>
      <c r="V542" s="8"/>
      <c r="W542" t="s">
        <v>1707</v>
      </c>
      <c r="Y542" s="34"/>
      <c r="Z542"/>
      <c r="AA542"/>
      <c r="AE542"/>
      <c r="AF542"/>
      <c r="AG542"/>
      <c r="AH542"/>
    </row>
    <row r="543" spans="1:34" ht="15.75" customHeight="1" x14ac:dyDescent="0.15">
      <c r="A543" s="6">
        <v>537</v>
      </c>
      <c r="B543" s="18" t="s">
        <v>75</v>
      </c>
      <c r="C543" s="34" t="s">
        <v>57</v>
      </c>
      <c r="D543" s="75" t="s">
        <v>1708</v>
      </c>
      <c r="E543" s="2" t="s">
        <v>169</v>
      </c>
      <c r="F543">
        <v>15449</v>
      </c>
      <c r="G543" s="6">
        <v>1</v>
      </c>
      <c r="H543" s="6" t="s">
        <v>1709</v>
      </c>
      <c r="I543" s="34"/>
      <c r="J543" s="38" t="s">
        <v>171</v>
      </c>
      <c r="K543" s="38" t="s">
        <v>177</v>
      </c>
      <c r="L543" s="38" t="s">
        <v>173</v>
      </c>
      <c r="M543" s="38"/>
      <c r="N543" s="19"/>
      <c r="O543" s="76" t="s">
        <v>62</v>
      </c>
      <c r="P543" s="6" t="s">
        <v>62</v>
      </c>
      <c r="Q543" s="38" t="s">
        <v>62</v>
      </c>
      <c r="R543" s="38" t="s">
        <v>62</v>
      </c>
      <c r="S543" s="34"/>
      <c r="T543" s="34"/>
      <c r="U543" s="34"/>
      <c r="V543" s="8"/>
      <c r="W543" t="s">
        <v>1710</v>
      </c>
      <c r="Y543" s="34"/>
      <c r="Z543"/>
      <c r="AA543"/>
      <c r="AE543"/>
      <c r="AF543"/>
      <c r="AG543"/>
      <c r="AH543"/>
    </row>
    <row r="544" spans="1:34" ht="15.75" customHeight="1" x14ac:dyDescent="0.15">
      <c r="A544" s="6">
        <v>538</v>
      </c>
      <c r="B544" s="18" t="s">
        <v>75</v>
      </c>
      <c r="C544" s="34" t="s">
        <v>57</v>
      </c>
      <c r="D544" s="75" t="s">
        <v>1711</v>
      </c>
      <c r="E544" s="2" t="s">
        <v>169</v>
      </c>
      <c r="F544">
        <v>15449</v>
      </c>
      <c r="G544" s="6">
        <v>2</v>
      </c>
      <c r="H544" s="6" t="s">
        <v>1712</v>
      </c>
      <c r="I544" s="34"/>
      <c r="J544" s="38" t="s">
        <v>171</v>
      </c>
      <c r="K544" s="38" t="s">
        <v>177</v>
      </c>
      <c r="L544" s="38" t="s">
        <v>173</v>
      </c>
      <c r="M544" s="38"/>
      <c r="N544" s="19"/>
      <c r="O544" s="76" t="s">
        <v>62</v>
      </c>
      <c r="P544" s="6" t="s">
        <v>62</v>
      </c>
      <c r="Q544" s="38" t="s">
        <v>62</v>
      </c>
      <c r="R544" s="38" t="s">
        <v>62</v>
      </c>
      <c r="S544" s="34"/>
      <c r="T544" s="34"/>
      <c r="U544" s="34"/>
      <c r="V544" s="8"/>
      <c r="W544" t="s">
        <v>1713</v>
      </c>
      <c r="Y544" s="34"/>
      <c r="Z544"/>
      <c r="AA544"/>
      <c r="AE544"/>
      <c r="AF544"/>
      <c r="AG544"/>
      <c r="AH544"/>
    </row>
    <row r="545" spans="1:34" ht="15.75" customHeight="1" x14ac:dyDescent="0.15">
      <c r="A545" s="6">
        <v>539</v>
      </c>
      <c r="B545" s="18" t="s">
        <v>75</v>
      </c>
      <c r="C545" s="34" t="s">
        <v>57</v>
      </c>
      <c r="D545" s="75" t="s">
        <v>1714</v>
      </c>
      <c r="E545" s="2" t="s">
        <v>169</v>
      </c>
      <c r="F545">
        <v>15449</v>
      </c>
      <c r="G545" s="6">
        <v>3</v>
      </c>
      <c r="H545" s="6" t="s">
        <v>1715</v>
      </c>
      <c r="I545" s="34"/>
      <c r="J545" s="38" t="s">
        <v>171</v>
      </c>
      <c r="K545" s="38" t="s">
        <v>177</v>
      </c>
      <c r="L545" s="38" t="s">
        <v>173</v>
      </c>
      <c r="M545" s="38"/>
      <c r="N545" s="19"/>
      <c r="O545" s="76" t="s">
        <v>62</v>
      </c>
      <c r="P545" s="6" t="s">
        <v>62</v>
      </c>
      <c r="Q545" s="38" t="s">
        <v>62</v>
      </c>
      <c r="R545" s="38" t="s">
        <v>62</v>
      </c>
      <c r="S545" s="34"/>
      <c r="T545" s="34"/>
      <c r="U545" s="34"/>
      <c r="V545" s="8"/>
      <c r="W545" t="s">
        <v>1716</v>
      </c>
      <c r="Y545" s="34"/>
      <c r="Z545"/>
      <c r="AA545"/>
      <c r="AE545"/>
      <c r="AF545"/>
      <c r="AG545"/>
      <c r="AH545"/>
    </row>
    <row r="546" spans="1:34" ht="15.75" customHeight="1" x14ac:dyDescent="0.15">
      <c r="A546" s="6">
        <v>540</v>
      </c>
      <c r="B546" s="18" t="s">
        <v>75</v>
      </c>
      <c r="C546" s="34" t="s">
        <v>57</v>
      </c>
      <c r="D546" s="75" t="s">
        <v>1717</v>
      </c>
      <c r="E546" s="2" t="s">
        <v>169</v>
      </c>
      <c r="F546">
        <v>15449</v>
      </c>
      <c r="G546" s="6">
        <v>6</v>
      </c>
      <c r="H546" s="6" t="s">
        <v>1718</v>
      </c>
      <c r="I546" s="34"/>
      <c r="J546" s="38" t="s">
        <v>171</v>
      </c>
      <c r="K546" s="38" t="s">
        <v>177</v>
      </c>
      <c r="L546" s="38" t="s">
        <v>173</v>
      </c>
      <c r="M546" s="38"/>
      <c r="N546" s="19"/>
      <c r="O546" s="76" t="s">
        <v>62</v>
      </c>
      <c r="P546" s="6" t="s">
        <v>62</v>
      </c>
      <c r="Q546" s="38" t="s">
        <v>62</v>
      </c>
      <c r="R546" s="38" t="s">
        <v>62</v>
      </c>
      <c r="S546" s="34"/>
      <c r="T546" s="34"/>
      <c r="U546" s="34"/>
      <c r="V546" s="8"/>
      <c r="W546" t="s">
        <v>1719</v>
      </c>
      <c r="Y546" s="34"/>
      <c r="Z546"/>
      <c r="AA546"/>
      <c r="AE546"/>
      <c r="AF546"/>
      <c r="AG546"/>
      <c r="AH546"/>
    </row>
    <row r="547" spans="1:34" ht="15.75" customHeight="1" x14ac:dyDescent="0.15">
      <c r="A547" s="6">
        <v>541</v>
      </c>
      <c r="B547" s="18" t="s">
        <v>75</v>
      </c>
      <c r="C547" s="34" t="s">
        <v>57</v>
      </c>
      <c r="D547" s="75" t="s">
        <v>1543</v>
      </c>
      <c r="E547" s="2" t="s">
        <v>169</v>
      </c>
      <c r="F547">
        <v>15449</v>
      </c>
      <c r="G547" s="6">
        <v>7</v>
      </c>
      <c r="H547" s="6" t="s">
        <v>1720</v>
      </c>
      <c r="I547" s="34"/>
      <c r="J547" s="38" t="s">
        <v>171</v>
      </c>
      <c r="K547" s="38" t="s">
        <v>177</v>
      </c>
      <c r="L547" s="38" t="s">
        <v>173</v>
      </c>
      <c r="M547" s="38"/>
      <c r="N547" s="19"/>
      <c r="O547" s="76" t="s">
        <v>62</v>
      </c>
      <c r="P547" s="6" t="s">
        <v>62</v>
      </c>
      <c r="Q547" s="38" t="s">
        <v>62</v>
      </c>
      <c r="R547" s="38" t="s">
        <v>62</v>
      </c>
      <c r="S547" s="34"/>
      <c r="T547" s="34"/>
      <c r="U547" s="34"/>
      <c r="V547" s="8"/>
      <c r="W547" t="s">
        <v>1721</v>
      </c>
      <c r="Y547" s="34"/>
      <c r="Z547"/>
      <c r="AA547"/>
      <c r="AE547"/>
      <c r="AF547"/>
      <c r="AG547"/>
      <c r="AH547"/>
    </row>
    <row r="548" spans="1:34" ht="15.75" customHeight="1" x14ac:dyDescent="0.15">
      <c r="A548" s="6">
        <v>542</v>
      </c>
      <c r="B548" s="18" t="s">
        <v>75</v>
      </c>
      <c r="C548" s="34" t="s">
        <v>57</v>
      </c>
      <c r="D548" s="75" t="s">
        <v>1522</v>
      </c>
      <c r="E548" s="2" t="s">
        <v>169</v>
      </c>
      <c r="F548">
        <v>15449</v>
      </c>
      <c r="G548" s="6">
        <v>8</v>
      </c>
      <c r="H548" s="6" t="s">
        <v>1722</v>
      </c>
      <c r="I548" s="34"/>
      <c r="J548" s="38" t="s">
        <v>171</v>
      </c>
      <c r="K548" s="38" t="s">
        <v>177</v>
      </c>
      <c r="L548" s="38" t="s">
        <v>173</v>
      </c>
      <c r="M548" s="38"/>
      <c r="N548" s="19"/>
      <c r="O548" s="76" t="s">
        <v>62</v>
      </c>
      <c r="P548" s="6" t="s">
        <v>62</v>
      </c>
      <c r="Q548" s="38" t="s">
        <v>62</v>
      </c>
      <c r="R548" s="38" t="s">
        <v>62</v>
      </c>
      <c r="S548" s="34"/>
      <c r="T548" s="34"/>
      <c r="U548" s="34"/>
      <c r="V548" s="8"/>
      <c r="W548" t="s">
        <v>1723</v>
      </c>
      <c r="Y548" s="34"/>
      <c r="Z548"/>
      <c r="AA548"/>
      <c r="AE548"/>
      <c r="AF548"/>
      <c r="AG548"/>
      <c r="AH548"/>
    </row>
    <row r="549" spans="1:34" ht="15.75" customHeight="1" x14ac:dyDescent="0.15">
      <c r="A549" s="6">
        <v>543</v>
      </c>
      <c r="B549" s="18" t="s">
        <v>75</v>
      </c>
      <c r="C549" s="34" t="s">
        <v>57</v>
      </c>
      <c r="D549" s="75" t="s">
        <v>1552</v>
      </c>
      <c r="E549" s="2" t="s">
        <v>169</v>
      </c>
      <c r="F549">
        <v>15449</v>
      </c>
      <c r="G549" s="6">
        <v>12</v>
      </c>
      <c r="H549" s="6" t="s">
        <v>1724</v>
      </c>
      <c r="I549" s="34"/>
      <c r="J549" s="38" t="s">
        <v>171</v>
      </c>
      <c r="K549" s="38" t="s">
        <v>177</v>
      </c>
      <c r="L549" s="38" t="s">
        <v>173</v>
      </c>
      <c r="M549" s="38"/>
      <c r="N549" s="19"/>
      <c r="O549" s="76" t="s">
        <v>62</v>
      </c>
      <c r="P549" s="6" t="s">
        <v>62</v>
      </c>
      <c r="Q549" s="38" t="s">
        <v>62</v>
      </c>
      <c r="R549" s="38" t="s">
        <v>62</v>
      </c>
      <c r="S549" s="34"/>
      <c r="T549" s="34"/>
      <c r="U549" s="34"/>
      <c r="V549" s="8"/>
      <c r="W549" t="s">
        <v>1725</v>
      </c>
      <c r="Y549" s="34"/>
      <c r="Z549"/>
      <c r="AA549"/>
      <c r="AE549"/>
      <c r="AF549"/>
      <c r="AG549"/>
      <c r="AH549"/>
    </row>
    <row r="550" spans="1:34" ht="15.75" customHeight="1" x14ac:dyDescent="0.15">
      <c r="A550" s="6">
        <v>544</v>
      </c>
      <c r="B550" s="18" t="s">
        <v>75</v>
      </c>
      <c r="C550" s="34" t="s">
        <v>57</v>
      </c>
      <c r="D550" s="75" t="s">
        <v>1726</v>
      </c>
      <c r="E550" s="2" t="s">
        <v>169</v>
      </c>
      <c r="F550">
        <v>15449</v>
      </c>
      <c r="G550" s="6">
        <v>13</v>
      </c>
      <c r="H550" s="6" t="s">
        <v>1727</v>
      </c>
      <c r="I550" s="34"/>
      <c r="J550" s="38" t="s">
        <v>171</v>
      </c>
      <c r="K550" s="38" t="s">
        <v>177</v>
      </c>
      <c r="L550" s="38" t="s">
        <v>173</v>
      </c>
      <c r="M550" s="38"/>
      <c r="N550" s="19"/>
      <c r="O550" s="76" t="s">
        <v>62</v>
      </c>
      <c r="P550" s="6" t="s">
        <v>62</v>
      </c>
      <c r="Q550" s="38" t="s">
        <v>62</v>
      </c>
      <c r="R550" s="38" t="s">
        <v>62</v>
      </c>
      <c r="S550" s="34"/>
      <c r="T550" s="34"/>
      <c r="U550" s="34"/>
      <c r="V550" s="8"/>
      <c r="W550" t="s">
        <v>1728</v>
      </c>
      <c r="Y550" s="34"/>
      <c r="Z550"/>
      <c r="AA550"/>
      <c r="AE550"/>
      <c r="AF550"/>
      <c r="AG550"/>
      <c r="AH550"/>
    </row>
    <row r="551" spans="1:34" ht="15.75" customHeight="1" x14ac:dyDescent="0.15">
      <c r="A551" s="6">
        <v>545</v>
      </c>
      <c r="B551" s="18" t="s">
        <v>75</v>
      </c>
      <c r="C551" s="34" t="s">
        <v>57</v>
      </c>
      <c r="D551" s="75" t="s">
        <v>1486</v>
      </c>
      <c r="E551" s="2" t="s">
        <v>169</v>
      </c>
      <c r="F551">
        <v>15449</v>
      </c>
      <c r="G551" s="6">
        <v>14</v>
      </c>
      <c r="H551" s="6" t="s">
        <v>1729</v>
      </c>
      <c r="I551" s="34"/>
      <c r="J551" s="38" t="s">
        <v>171</v>
      </c>
      <c r="K551" s="38" t="s">
        <v>177</v>
      </c>
      <c r="L551" s="38" t="s">
        <v>173</v>
      </c>
      <c r="M551" s="38"/>
      <c r="N551" s="19"/>
      <c r="O551" s="76" t="s">
        <v>62</v>
      </c>
      <c r="P551" s="6" t="s">
        <v>62</v>
      </c>
      <c r="Q551" s="38" t="s">
        <v>62</v>
      </c>
      <c r="R551" s="38" t="s">
        <v>62</v>
      </c>
      <c r="S551" s="34"/>
      <c r="T551" s="34"/>
      <c r="U551" s="34"/>
      <c r="V551" s="8"/>
      <c r="W551" t="s">
        <v>1730</v>
      </c>
      <c r="Y551" s="34"/>
      <c r="Z551"/>
      <c r="AA551"/>
      <c r="AE551"/>
      <c r="AF551"/>
      <c r="AG551"/>
      <c r="AH551"/>
    </row>
    <row r="552" spans="1:34" ht="15.75" customHeight="1" x14ac:dyDescent="0.15">
      <c r="A552" s="6">
        <v>546</v>
      </c>
      <c r="B552" s="18" t="s">
        <v>75</v>
      </c>
      <c r="C552" s="34" t="s">
        <v>57</v>
      </c>
      <c r="D552" s="75" t="s">
        <v>1731</v>
      </c>
      <c r="E552" s="2" t="s">
        <v>169</v>
      </c>
      <c r="F552">
        <v>15449</v>
      </c>
      <c r="G552" s="6">
        <v>16</v>
      </c>
      <c r="H552" s="6" t="s">
        <v>1732</v>
      </c>
      <c r="I552" s="34"/>
      <c r="J552" s="38" t="s">
        <v>171</v>
      </c>
      <c r="K552" s="38" t="s">
        <v>177</v>
      </c>
      <c r="L552" s="38" t="s">
        <v>173</v>
      </c>
      <c r="M552" s="38"/>
      <c r="N552" s="19"/>
      <c r="O552" s="76" t="s">
        <v>62</v>
      </c>
      <c r="P552" s="6" t="s">
        <v>62</v>
      </c>
      <c r="Q552" s="38" t="s">
        <v>62</v>
      </c>
      <c r="R552" s="38" t="s">
        <v>62</v>
      </c>
      <c r="S552" s="34"/>
      <c r="T552" s="34"/>
      <c r="U552" s="34"/>
      <c r="V552" s="8"/>
      <c r="W552" t="s">
        <v>1733</v>
      </c>
      <c r="Y552" s="34"/>
      <c r="Z552"/>
      <c r="AA552"/>
      <c r="AE552"/>
      <c r="AF552"/>
      <c r="AG552"/>
      <c r="AH552"/>
    </row>
    <row r="553" spans="1:34" ht="15.75" customHeight="1" x14ac:dyDescent="0.15">
      <c r="A553" s="6">
        <v>547</v>
      </c>
      <c r="B553" s="18" t="s">
        <v>75</v>
      </c>
      <c r="C553" s="34" t="s">
        <v>57</v>
      </c>
      <c r="D553" s="75" t="s">
        <v>1734</v>
      </c>
      <c r="E553" s="2" t="s">
        <v>169</v>
      </c>
      <c r="F553">
        <v>15449</v>
      </c>
      <c r="G553" s="6">
        <v>17</v>
      </c>
      <c r="H553" s="6" t="s">
        <v>1735</v>
      </c>
      <c r="I553" s="34"/>
      <c r="J553" s="38" t="s">
        <v>171</v>
      </c>
      <c r="K553" s="38" t="s">
        <v>177</v>
      </c>
      <c r="L553" s="38" t="s">
        <v>173</v>
      </c>
      <c r="M553" s="38"/>
      <c r="N553" s="19"/>
      <c r="O553" s="76" t="s">
        <v>62</v>
      </c>
      <c r="P553" s="6" t="s">
        <v>62</v>
      </c>
      <c r="Q553" s="38" t="s">
        <v>62</v>
      </c>
      <c r="R553" s="38" t="s">
        <v>62</v>
      </c>
      <c r="S553" s="34"/>
      <c r="T553" s="34"/>
      <c r="U553" s="34"/>
      <c r="V553" s="8"/>
      <c r="W553" t="s">
        <v>1736</v>
      </c>
      <c r="Y553" s="34"/>
      <c r="Z553"/>
      <c r="AA553"/>
      <c r="AE553"/>
      <c r="AF553"/>
      <c r="AG553"/>
      <c r="AH553"/>
    </row>
    <row r="554" spans="1:34" ht="15.75" customHeight="1" x14ac:dyDescent="0.15">
      <c r="A554" s="6">
        <v>548</v>
      </c>
      <c r="B554" s="18" t="s">
        <v>75</v>
      </c>
      <c r="C554" s="34" t="s">
        <v>57</v>
      </c>
      <c r="D554" s="75" t="s">
        <v>1737</v>
      </c>
      <c r="E554" s="2" t="s">
        <v>169</v>
      </c>
      <c r="F554">
        <v>15449</v>
      </c>
      <c r="G554" s="6">
        <v>19</v>
      </c>
      <c r="H554" s="6" t="s">
        <v>1738</v>
      </c>
      <c r="I554" s="34"/>
      <c r="J554" s="38" t="s">
        <v>171</v>
      </c>
      <c r="K554" s="38" t="s">
        <v>177</v>
      </c>
      <c r="L554" s="38" t="s">
        <v>173</v>
      </c>
      <c r="M554" s="38"/>
      <c r="N554" s="19"/>
      <c r="O554" s="76" t="s">
        <v>62</v>
      </c>
      <c r="P554" s="6" t="s">
        <v>62</v>
      </c>
      <c r="Q554" s="38" t="s">
        <v>62</v>
      </c>
      <c r="R554" s="38" t="s">
        <v>62</v>
      </c>
      <c r="S554" s="34"/>
      <c r="T554" s="34"/>
      <c r="U554" s="34"/>
      <c r="V554" s="8"/>
      <c r="W554" t="s">
        <v>1739</v>
      </c>
      <c r="Y554" s="34"/>
      <c r="Z554"/>
      <c r="AA554"/>
      <c r="AE554"/>
      <c r="AF554"/>
      <c r="AG554"/>
      <c r="AH554"/>
    </row>
    <row r="555" spans="1:34" ht="15.75" customHeight="1" x14ac:dyDescent="0.15">
      <c r="A555" s="6">
        <v>549</v>
      </c>
      <c r="B555" s="18" t="s">
        <v>75</v>
      </c>
      <c r="C555" s="34" t="s">
        <v>57</v>
      </c>
      <c r="D555" s="75" t="s">
        <v>1740</v>
      </c>
      <c r="E555" s="2" t="s">
        <v>169</v>
      </c>
      <c r="F555">
        <v>15449</v>
      </c>
      <c r="G555" s="6">
        <v>20</v>
      </c>
      <c r="H555" s="6" t="s">
        <v>1741</v>
      </c>
      <c r="I555" s="34"/>
      <c r="J555" s="38" t="s">
        <v>171</v>
      </c>
      <c r="K555" s="38" t="s">
        <v>177</v>
      </c>
      <c r="L555" s="38" t="s">
        <v>173</v>
      </c>
      <c r="M555" s="38"/>
      <c r="N555" s="19"/>
      <c r="O555" s="76" t="s">
        <v>62</v>
      </c>
      <c r="P555" s="6" t="s">
        <v>62</v>
      </c>
      <c r="Q555" s="38" t="s">
        <v>62</v>
      </c>
      <c r="R555" s="38" t="s">
        <v>62</v>
      </c>
      <c r="S555" s="34"/>
      <c r="T555" s="34"/>
      <c r="U555" s="34"/>
      <c r="V555" s="8"/>
      <c r="W555" t="s">
        <v>1742</v>
      </c>
      <c r="Y555" s="34"/>
      <c r="Z555"/>
      <c r="AA555"/>
      <c r="AE555"/>
      <c r="AF555"/>
      <c r="AG555"/>
      <c r="AH555"/>
    </row>
    <row r="556" spans="1:34" ht="15.75" customHeight="1" x14ac:dyDescent="0.15">
      <c r="A556" s="6">
        <v>550</v>
      </c>
      <c r="B556" s="18" t="s">
        <v>75</v>
      </c>
      <c r="C556" s="34" t="s">
        <v>57</v>
      </c>
      <c r="D556" s="75" t="s">
        <v>1591</v>
      </c>
      <c r="E556" s="2" t="s">
        <v>169</v>
      </c>
      <c r="F556">
        <v>15449</v>
      </c>
      <c r="G556" s="6">
        <v>21</v>
      </c>
      <c r="H556" s="6" t="s">
        <v>1743</v>
      </c>
      <c r="I556" s="34"/>
      <c r="J556" s="38" t="s">
        <v>171</v>
      </c>
      <c r="K556" s="38" t="s">
        <v>177</v>
      </c>
      <c r="L556" s="38" t="s">
        <v>173</v>
      </c>
      <c r="M556" s="38"/>
      <c r="N556" s="19"/>
      <c r="O556" s="76" t="s">
        <v>62</v>
      </c>
      <c r="P556" s="6" t="s">
        <v>62</v>
      </c>
      <c r="Q556" s="38" t="s">
        <v>62</v>
      </c>
      <c r="R556" s="38" t="s">
        <v>62</v>
      </c>
      <c r="S556" s="34"/>
      <c r="T556" s="34"/>
      <c r="U556" s="34"/>
      <c r="V556" s="8"/>
      <c r="W556" t="s">
        <v>1744</v>
      </c>
      <c r="Y556" s="34"/>
      <c r="Z556"/>
      <c r="AA556"/>
      <c r="AE556"/>
      <c r="AF556"/>
      <c r="AG556"/>
      <c r="AH556"/>
    </row>
    <row r="557" spans="1:34" ht="15.75" customHeight="1" x14ac:dyDescent="0.15">
      <c r="A557" s="6">
        <v>551</v>
      </c>
      <c r="B557" s="18" t="s">
        <v>75</v>
      </c>
      <c r="C557" s="34" t="s">
        <v>57</v>
      </c>
      <c r="D557" s="75" t="s">
        <v>1745</v>
      </c>
      <c r="E557" s="2" t="s">
        <v>169</v>
      </c>
      <c r="F557">
        <v>15449</v>
      </c>
      <c r="G557" s="6">
        <v>23</v>
      </c>
      <c r="H557" s="6" t="s">
        <v>1746</v>
      </c>
      <c r="I557" s="34"/>
      <c r="J557" s="38" t="s">
        <v>171</v>
      </c>
      <c r="K557" s="38" t="s">
        <v>177</v>
      </c>
      <c r="L557" s="38" t="s">
        <v>173</v>
      </c>
      <c r="M557" s="38"/>
      <c r="N557" s="19"/>
      <c r="O557" s="76" t="s">
        <v>62</v>
      </c>
      <c r="P557" s="6" t="s">
        <v>62</v>
      </c>
      <c r="Q557" s="38" t="s">
        <v>62</v>
      </c>
      <c r="R557" s="38" t="s">
        <v>62</v>
      </c>
      <c r="S557" s="34"/>
      <c r="T557" s="34"/>
      <c r="U557" s="34"/>
      <c r="V557" s="8"/>
      <c r="W557" t="s">
        <v>1747</v>
      </c>
      <c r="Y557" s="34"/>
      <c r="Z557"/>
      <c r="AA557"/>
      <c r="AE557"/>
      <c r="AF557"/>
      <c r="AG557"/>
      <c r="AH557"/>
    </row>
    <row r="558" spans="1:34" ht="15.75" customHeight="1" x14ac:dyDescent="0.15">
      <c r="A558" s="6">
        <v>552</v>
      </c>
      <c r="B558" s="18" t="s">
        <v>75</v>
      </c>
      <c r="C558" s="34" t="s">
        <v>57</v>
      </c>
      <c r="D558" s="75" t="s">
        <v>1748</v>
      </c>
      <c r="E558" s="2" t="s">
        <v>169</v>
      </c>
      <c r="F558">
        <v>15449</v>
      </c>
      <c r="G558" s="6">
        <v>24</v>
      </c>
      <c r="H558" s="6" t="s">
        <v>1749</v>
      </c>
      <c r="I558" s="34"/>
      <c r="J558" s="38" t="s">
        <v>171</v>
      </c>
      <c r="K558" s="38" t="s">
        <v>177</v>
      </c>
      <c r="L558" s="38" t="s">
        <v>173</v>
      </c>
      <c r="M558" s="38"/>
      <c r="N558" s="19"/>
      <c r="O558" s="76" t="s">
        <v>62</v>
      </c>
      <c r="P558" s="6" t="s">
        <v>62</v>
      </c>
      <c r="Q558" s="38" t="s">
        <v>62</v>
      </c>
      <c r="R558" s="38" t="s">
        <v>62</v>
      </c>
      <c r="S558" s="34"/>
      <c r="T558" s="34"/>
      <c r="U558" s="34"/>
      <c r="V558" s="8"/>
      <c r="W558" t="s">
        <v>1750</v>
      </c>
      <c r="Y558" s="34"/>
      <c r="Z558"/>
      <c r="AA558"/>
      <c r="AE558"/>
      <c r="AF558"/>
      <c r="AG558"/>
      <c r="AH558"/>
    </row>
    <row r="559" spans="1:34" ht="15.75" customHeight="1" x14ac:dyDescent="0.15">
      <c r="A559" s="6">
        <v>553</v>
      </c>
      <c r="B559" s="18" t="s">
        <v>75</v>
      </c>
      <c r="C559" s="34" t="s">
        <v>57</v>
      </c>
      <c r="D559" s="75" t="s">
        <v>1751</v>
      </c>
      <c r="E559" s="2" t="s">
        <v>169</v>
      </c>
      <c r="F559">
        <v>15449</v>
      </c>
      <c r="G559" s="6">
        <v>25</v>
      </c>
      <c r="H559" s="6" t="s">
        <v>1752</v>
      </c>
      <c r="I559" s="34"/>
      <c r="J559" s="38" t="s">
        <v>171</v>
      </c>
      <c r="K559" s="38" t="s">
        <v>177</v>
      </c>
      <c r="L559" s="38" t="s">
        <v>173</v>
      </c>
      <c r="M559" s="38"/>
      <c r="N559" s="19"/>
      <c r="O559" s="76" t="s">
        <v>62</v>
      </c>
      <c r="P559" s="6" t="s">
        <v>62</v>
      </c>
      <c r="Q559" s="38" t="s">
        <v>62</v>
      </c>
      <c r="R559" s="38" t="s">
        <v>62</v>
      </c>
      <c r="S559" s="34"/>
      <c r="T559" s="34"/>
      <c r="U559" s="34"/>
      <c r="V559" s="8"/>
      <c r="W559" t="s">
        <v>1753</v>
      </c>
      <c r="Y559" s="34"/>
      <c r="Z559"/>
      <c r="AA559"/>
      <c r="AE559"/>
      <c r="AF559"/>
      <c r="AG559"/>
      <c r="AH559"/>
    </row>
    <row r="560" spans="1:34" ht="15.75" customHeight="1" x14ac:dyDescent="0.15">
      <c r="A560" s="6">
        <v>554</v>
      </c>
      <c r="B560" s="18" t="s">
        <v>75</v>
      </c>
      <c r="C560" s="34" t="s">
        <v>57</v>
      </c>
      <c r="D560" s="75" t="s">
        <v>1754</v>
      </c>
      <c r="E560" s="2" t="s">
        <v>169</v>
      </c>
      <c r="F560">
        <v>15449</v>
      </c>
      <c r="G560" s="6">
        <v>27</v>
      </c>
      <c r="H560" s="6" t="s">
        <v>1755</v>
      </c>
      <c r="I560" s="34"/>
      <c r="J560" s="38" t="s">
        <v>171</v>
      </c>
      <c r="K560" s="38" t="s">
        <v>177</v>
      </c>
      <c r="L560" s="38" t="s">
        <v>173</v>
      </c>
      <c r="M560" s="38"/>
      <c r="N560" s="19"/>
      <c r="O560" s="76" t="s">
        <v>62</v>
      </c>
      <c r="P560" s="6" t="s">
        <v>62</v>
      </c>
      <c r="Q560" s="38" t="s">
        <v>62</v>
      </c>
      <c r="R560" s="38" t="s">
        <v>62</v>
      </c>
      <c r="S560" s="34"/>
      <c r="T560" s="34"/>
      <c r="U560" s="34"/>
      <c r="V560" s="8"/>
      <c r="W560" t="s">
        <v>1756</v>
      </c>
      <c r="Y560" s="34"/>
      <c r="Z560"/>
      <c r="AA560"/>
      <c r="AE560"/>
      <c r="AF560"/>
      <c r="AG560"/>
      <c r="AH560"/>
    </row>
    <row r="561" spans="1:34" ht="15.75" customHeight="1" x14ac:dyDescent="0.15">
      <c r="A561" s="6">
        <v>555</v>
      </c>
      <c r="B561" s="18" t="s">
        <v>75</v>
      </c>
      <c r="C561" s="34" t="s">
        <v>57</v>
      </c>
      <c r="D561" s="75" t="s">
        <v>1757</v>
      </c>
      <c r="E561" s="2" t="s">
        <v>169</v>
      </c>
      <c r="F561">
        <v>15449</v>
      </c>
      <c r="G561" s="6">
        <v>28</v>
      </c>
      <c r="H561" s="6" t="s">
        <v>1758</v>
      </c>
      <c r="I561" s="34"/>
      <c r="J561" s="38" t="s">
        <v>171</v>
      </c>
      <c r="K561" s="38" t="s">
        <v>177</v>
      </c>
      <c r="L561" s="38" t="s">
        <v>173</v>
      </c>
      <c r="M561" s="38"/>
      <c r="N561" s="19"/>
      <c r="O561" s="76" t="s">
        <v>62</v>
      </c>
      <c r="P561" s="6" t="s">
        <v>62</v>
      </c>
      <c r="Q561" s="38" t="s">
        <v>62</v>
      </c>
      <c r="R561" s="38" t="s">
        <v>62</v>
      </c>
      <c r="S561" s="34"/>
      <c r="T561" s="34"/>
      <c r="U561" s="34"/>
      <c r="V561" s="8"/>
      <c r="W561" t="s">
        <v>1759</v>
      </c>
      <c r="Y561" s="34"/>
      <c r="Z561"/>
      <c r="AA561"/>
      <c r="AE561"/>
      <c r="AF561"/>
      <c r="AG561"/>
      <c r="AH561"/>
    </row>
    <row r="562" spans="1:34" ht="15.75" customHeight="1" x14ac:dyDescent="0.15">
      <c r="A562" s="6">
        <v>556</v>
      </c>
      <c r="B562" s="18" t="s">
        <v>75</v>
      </c>
      <c r="C562" s="34" t="s">
        <v>57</v>
      </c>
      <c r="D562" s="75" t="s">
        <v>1495</v>
      </c>
      <c r="E562" s="2" t="s">
        <v>169</v>
      </c>
      <c r="F562">
        <v>15449</v>
      </c>
      <c r="G562" s="6">
        <v>30</v>
      </c>
      <c r="H562" s="6" t="s">
        <v>1760</v>
      </c>
      <c r="I562" s="34"/>
      <c r="J562" s="38" t="s">
        <v>171</v>
      </c>
      <c r="K562" s="38" t="s">
        <v>177</v>
      </c>
      <c r="L562" s="38" t="s">
        <v>173</v>
      </c>
      <c r="M562" s="38"/>
      <c r="N562" s="19"/>
      <c r="O562" s="76" t="s">
        <v>62</v>
      </c>
      <c r="P562" s="6" t="s">
        <v>62</v>
      </c>
      <c r="Q562" s="38" t="s">
        <v>62</v>
      </c>
      <c r="R562" s="38" t="s">
        <v>62</v>
      </c>
      <c r="S562" s="34"/>
      <c r="T562" s="34"/>
      <c r="U562" s="34"/>
      <c r="V562" s="8"/>
      <c r="W562" t="s">
        <v>1761</v>
      </c>
      <c r="Y562" s="34"/>
      <c r="Z562"/>
      <c r="AA562"/>
      <c r="AE562"/>
      <c r="AF562"/>
      <c r="AG562"/>
      <c r="AH562"/>
    </row>
    <row r="563" spans="1:34" ht="15.75" customHeight="1" x14ac:dyDescent="0.15">
      <c r="A563" s="6">
        <v>557</v>
      </c>
      <c r="B563" s="18" t="s">
        <v>75</v>
      </c>
      <c r="C563" s="34" t="s">
        <v>57</v>
      </c>
      <c r="D563" s="75" t="s">
        <v>1762</v>
      </c>
      <c r="E563" s="2" t="s">
        <v>143</v>
      </c>
      <c r="F563">
        <v>15451</v>
      </c>
      <c r="G563" s="6"/>
      <c r="H563" s="6" t="s">
        <v>1763</v>
      </c>
      <c r="I563" s="34"/>
      <c r="J563" s="38"/>
      <c r="K563" s="38"/>
      <c r="L563" s="38"/>
      <c r="M563" s="38" t="s">
        <v>113</v>
      </c>
      <c r="N563" s="19">
        <v>10</v>
      </c>
      <c r="O563" s="76">
        <v>-32768</v>
      </c>
      <c r="P563" s="6">
        <v>32767</v>
      </c>
      <c r="Q563" s="38">
        <v>-3276.8</v>
      </c>
      <c r="R563" s="38">
        <v>3276.7</v>
      </c>
      <c r="S563" s="34"/>
      <c r="T563" s="34"/>
      <c r="U563" s="34"/>
      <c r="V563" s="8"/>
      <c r="W563" t="s">
        <v>1764</v>
      </c>
      <c r="Y563" s="34"/>
      <c r="Z563"/>
      <c r="AA563"/>
      <c r="AE563"/>
      <c r="AF563"/>
      <c r="AG563"/>
      <c r="AH563"/>
    </row>
    <row r="564" spans="1:34" ht="15.75" customHeight="1" x14ac:dyDescent="0.15">
      <c r="A564" s="6">
        <v>558</v>
      </c>
      <c r="B564" s="18" t="s">
        <v>75</v>
      </c>
      <c r="C564" s="34" t="s">
        <v>57</v>
      </c>
      <c r="D564" s="75" t="s">
        <v>1765</v>
      </c>
      <c r="E564" s="2" t="s">
        <v>59</v>
      </c>
      <c r="F564">
        <v>15452</v>
      </c>
      <c r="G564" s="6"/>
      <c r="H564" s="6" t="s">
        <v>1766</v>
      </c>
      <c r="I564" s="34"/>
      <c r="J564" s="38"/>
      <c r="K564" s="38"/>
      <c r="L564" s="38"/>
      <c r="M564" s="38" t="s">
        <v>86</v>
      </c>
      <c r="N564" s="19">
        <v>1</v>
      </c>
      <c r="O564" s="76">
        <v>0</v>
      </c>
      <c r="P564" s="6">
        <v>4294967295</v>
      </c>
      <c r="Q564" s="38">
        <v>0</v>
      </c>
      <c r="R564" s="38">
        <v>4294967295</v>
      </c>
      <c r="S564" s="34"/>
      <c r="T564" s="34"/>
      <c r="U564" s="34"/>
      <c r="V564" s="8"/>
      <c r="W564" t="s">
        <v>1767</v>
      </c>
      <c r="Y564" s="34" t="s">
        <v>64</v>
      </c>
      <c r="Z564"/>
      <c r="AA564"/>
      <c r="AE564"/>
      <c r="AF564"/>
      <c r="AG564"/>
      <c r="AH564"/>
    </row>
    <row r="565" spans="1:34" ht="15.75" customHeight="1" x14ac:dyDescent="0.15">
      <c r="A565" s="6">
        <v>559</v>
      </c>
      <c r="B565" s="18" t="s">
        <v>75</v>
      </c>
      <c r="C565" s="34" t="s">
        <v>57</v>
      </c>
      <c r="D565" s="75" t="s">
        <v>1768</v>
      </c>
      <c r="E565" s="2" t="s">
        <v>59</v>
      </c>
      <c r="F565">
        <v>15454</v>
      </c>
      <c r="G565" s="6"/>
      <c r="H565" s="6" t="s">
        <v>1769</v>
      </c>
      <c r="I565" s="34"/>
      <c r="J565" s="38"/>
      <c r="K565" s="38"/>
      <c r="L565" s="38"/>
      <c r="M565" s="38" t="s">
        <v>96</v>
      </c>
      <c r="N565" s="19">
        <v>1</v>
      </c>
      <c r="O565" s="76">
        <v>0</v>
      </c>
      <c r="P565" s="6">
        <v>4294967295</v>
      </c>
      <c r="Q565" s="38">
        <v>0</v>
      </c>
      <c r="R565" s="38">
        <v>4294967295</v>
      </c>
      <c r="S565" s="34"/>
      <c r="T565" s="34"/>
      <c r="U565" s="34"/>
      <c r="V565" s="8"/>
      <c r="W565" t="s">
        <v>1770</v>
      </c>
      <c r="Y565" s="34" t="s">
        <v>64</v>
      </c>
      <c r="Z565"/>
      <c r="AA565"/>
      <c r="AE565"/>
      <c r="AF565"/>
      <c r="AG565"/>
      <c r="AH565"/>
    </row>
    <row r="566" spans="1:34" ht="15.75" customHeight="1" x14ac:dyDescent="0.15">
      <c r="A566" s="6">
        <v>560</v>
      </c>
      <c r="B566" s="18" t="s">
        <v>75</v>
      </c>
      <c r="C566" s="34" t="s">
        <v>57</v>
      </c>
      <c r="D566" s="75" t="s">
        <v>1771</v>
      </c>
      <c r="E566" s="2" t="s">
        <v>77</v>
      </c>
      <c r="F566">
        <v>15484</v>
      </c>
      <c r="G566" s="6"/>
      <c r="H566" s="6" t="s">
        <v>1772</v>
      </c>
      <c r="I566" s="34"/>
      <c r="J566" s="38"/>
      <c r="K566" s="38"/>
      <c r="L566" s="38"/>
      <c r="M566" s="38" t="s">
        <v>123</v>
      </c>
      <c r="N566" s="19">
        <v>100</v>
      </c>
      <c r="O566" s="76">
        <v>0</v>
      </c>
      <c r="P566" s="6">
        <v>65535</v>
      </c>
      <c r="Q566" s="38">
        <v>0</v>
      </c>
      <c r="R566" s="38">
        <v>655.35</v>
      </c>
      <c r="S566" s="34"/>
      <c r="T566" s="34"/>
      <c r="U566" s="34"/>
      <c r="V566" s="8"/>
      <c r="W566" t="s">
        <v>1773</v>
      </c>
      <c r="Y566" s="34"/>
      <c r="Z566"/>
      <c r="AA566"/>
      <c r="AE566"/>
      <c r="AF566"/>
      <c r="AG566"/>
      <c r="AH566"/>
    </row>
    <row r="567" spans="1:34" ht="15.75" customHeight="1" x14ac:dyDescent="0.15">
      <c r="A567" s="6">
        <v>561</v>
      </c>
      <c r="B567" s="18" t="s">
        <v>75</v>
      </c>
      <c r="C567" s="34" t="s">
        <v>57</v>
      </c>
      <c r="D567" s="75" t="s">
        <v>1774</v>
      </c>
      <c r="E567" s="2" t="s">
        <v>143</v>
      </c>
      <c r="F567">
        <v>15489</v>
      </c>
      <c r="G567" s="6"/>
      <c r="H567" s="6" t="s">
        <v>1775</v>
      </c>
      <c r="I567" s="34"/>
      <c r="J567" s="38"/>
      <c r="K567" s="38"/>
      <c r="L567" s="38"/>
      <c r="M567" s="38" t="s">
        <v>123</v>
      </c>
      <c r="N567" s="19">
        <v>10</v>
      </c>
      <c r="O567" s="76">
        <v>-32768</v>
      </c>
      <c r="P567" s="6">
        <v>32767</v>
      </c>
      <c r="Q567" s="38">
        <v>-3276.8</v>
      </c>
      <c r="R567" s="38">
        <v>3276.7</v>
      </c>
      <c r="S567" s="34"/>
      <c r="T567" s="34"/>
      <c r="U567" s="34"/>
      <c r="V567" s="8"/>
      <c r="W567" t="s">
        <v>1776</v>
      </c>
      <c r="Y567" s="34"/>
      <c r="Z567"/>
      <c r="AA567"/>
      <c r="AE567"/>
      <c r="AF567"/>
      <c r="AG567"/>
      <c r="AH567"/>
    </row>
    <row r="568" spans="1:34" ht="15.75" customHeight="1" x14ac:dyDescent="0.15">
      <c r="A568" s="6">
        <v>562</v>
      </c>
      <c r="B568" s="18" t="s">
        <v>75</v>
      </c>
      <c r="C568" s="34" t="s">
        <v>57</v>
      </c>
      <c r="D568" s="75" t="s">
        <v>1777</v>
      </c>
      <c r="E568" s="2" t="s">
        <v>143</v>
      </c>
      <c r="F568">
        <v>15490</v>
      </c>
      <c r="G568" s="6"/>
      <c r="H568" s="6" t="s">
        <v>1778</v>
      </c>
      <c r="I568" s="34"/>
      <c r="J568" s="38"/>
      <c r="K568" s="38"/>
      <c r="L568" s="38"/>
      <c r="M568" s="38" t="s">
        <v>123</v>
      </c>
      <c r="N568" s="19">
        <v>10</v>
      </c>
      <c r="O568" s="76">
        <v>-32768</v>
      </c>
      <c r="P568" s="6">
        <v>32767</v>
      </c>
      <c r="Q568" s="38">
        <v>-3276.8</v>
      </c>
      <c r="R568" s="38">
        <v>3276.7</v>
      </c>
      <c r="S568" s="34"/>
      <c r="T568" s="34"/>
      <c r="U568" s="34"/>
      <c r="V568" s="8"/>
      <c r="W568" t="s">
        <v>1779</v>
      </c>
      <c r="Y568" s="34"/>
      <c r="Z568"/>
      <c r="AA568"/>
      <c r="AE568"/>
      <c r="AF568"/>
      <c r="AG568"/>
      <c r="AH568"/>
    </row>
    <row r="569" spans="1:34" s="59" customFormat="1" ht="15.75" customHeight="1" x14ac:dyDescent="0.15">
      <c r="A569" s="6">
        <v>563</v>
      </c>
      <c r="B569" s="18" t="s">
        <v>75</v>
      </c>
      <c r="C569" s="34" t="s">
        <v>57</v>
      </c>
      <c r="D569" s="75" t="s">
        <v>1780</v>
      </c>
      <c r="E569" s="2" t="s">
        <v>143</v>
      </c>
      <c r="F569">
        <v>15491</v>
      </c>
      <c r="G569" s="6"/>
      <c r="H569" s="6" t="s">
        <v>1781</v>
      </c>
      <c r="I569" s="34"/>
      <c r="J569" s="38"/>
      <c r="K569" s="38"/>
      <c r="L569" s="38"/>
      <c r="M569" s="38" t="s">
        <v>123</v>
      </c>
      <c r="N569" s="19">
        <v>10</v>
      </c>
      <c r="O569" s="76">
        <v>-32768</v>
      </c>
      <c r="P569" s="6">
        <v>32767</v>
      </c>
      <c r="Q569" s="38">
        <v>-3276.8</v>
      </c>
      <c r="R569" s="38">
        <v>3276.7</v>
      </c>
      <c r="S569" s="34"/>
      <c r="T569" s="34"/>
      <c r="U569" s="34"/>
      <c r="V569" s="8"/>
      <c r="W569" t="s">
        <v>1782</v>
      </c>
      <c r="X569"/>
      <c r="Y569" s="34"/>
    </row>
    <row r="570" spans="1:34" s="59" customFormat="1" ht="15.75" customHeight="1" x14ac:dyDescent="0.15">
      <c r="A570" s="6">
        <v>564</v>
      </c>
      <c r="B570" s="18" t="s">
        <v>75</v>
      </c>
      <c r="C570" s="34" t="s">
        <v>57</v>
      </c>
      <c r="D570" s="75" t="s">
        <v>1783</v>
      </c>
      <c r="E570" s="2" t="s">
        <v>143</v>
      </c>
      <c r="F570">
        <v>15492</v>
      </c>
      <c r="G570" s="6"/>
      <c r="H570" s="6" t="s">
        <v>1784</v>
      </c>
      <c r="I570" s="34"/>
      <c r="J570" s="38"/>
      <c r="K570" s="38"/>
      <c r="L570" s="38"/>
      <c r="M570" s="38" t="s">
        <v>123</v>
      </c>
      <c r="N570" s="19">
        <v>10</v>
      </c>
      <c r="O570" s="76">
        <v>-32768</v>
      </c>
      <c r="P570" s="6">
        <v>32767</v>
      </c>
      <c r="Q570" s="38">
        <v>-3276.8</v>
      </c>
      <c r="R570" s="38">
        <v>3276.7</v>
      </c>
      <c r="S570" s="34"/>
      <c r="T570" s="34"/>
      <c r="U570" s="34"/>
      <c r="V570" s="8"/>
      <c r="W570" t="s">
        <v>1785</v>
      </c>
      <c r="X570"/>
      <c r="Y570" s="34"/>
    </row>
    <row r="571" spans="1:34" s="59" customFormat="1" ht="15.75" customHeight="1" x14ac:dyDescent="0.15">
      <c r="A571" s="6">
        <v>565</v>
      </c>
      <c r="B571" s="18" t="s">
        <v>75</v>
      </c>
      <c r="C571" s="34" t="s">
        <v>57</v>
      </c>
      <c r="D571" s="75" t="s">
        <v>1786</v>
      </c>
      <c r="E571" s="2" t="s">
        <v>143</v>
      </c>
      <c r="F571">
        <v>15493</v>
      </c>
      <c r="G571" s="6"/>
      <c r="H571" s="6" t="s">
        <v>1787</v>
      </c>
      <c r="I571" s="34"/>
      <c r="J571" s="38"/>
      <c r="K571" s="38"/>
      <c r="L571" s="38"/>
      <c r="M571" s="38" t="s">
        <v>123</v>
      </c>
      <c r="N571" s="19">
        <v>10</v>
      </c>
      <c r="O571" s="76">
        <v>-32768</v>
      </c>
      <c r="P571" s="6">
        <v>32767</v>
      </c>
      <c r="Q571" s="38">
        <v>-3276.8</v>
      </c>
      <c r="R571" s="38">
        <v>3276.7</v>
      </c>
      <c r="S571" s="34"/>
      <c r="T571" s="34"/>
      <c r="U571" s="34"/>
      <c r="V571" s="8"/>
      <c r="W571" t="s">
        <v>1788</v>
      </c>
      <c r="X571"/>
      <c r="Y571" s="34"/>
    </row>
    <row r="572" spans="1:34" ht="15.75" customHeight="1" x14ac:dyDescent="0.15">
      <c r="A572" s="6">
        <v>566</v>
      </c>
      <c r="B572" s="18" t="s">
        <v>75</v>
      </c>
      <c r="C572" s="34" t="s">
        <v>57</v>
      </c>
      <c r="D572" s="75" t="s">
        <v>1789</v>
      </c>
      <c r="E572" s="2" t="s">
        <v>143</v>
      </c>
      <c r="F572">
        <v>15494</v>
      </c>
      <c r="G572" s="6"/>
      <c r="H572" s="6" t="s">
        <v>1790</v>
      </c>
      <c r="I572" s="34"/>
      <c r="J572" s="38"/>
      <c r="K572" s="38"/>
      <c r="L572" s="38"/>
      <c r="M572" s="38" t="s">
        <v>123</v>
      </c>
      <c r="N572" s="19">
        <v>10</v>
      </c>
      <c r="O572" s="76">
        <v>-32768</v>
      </c>
      <c r="P572" s="6">
        <v>32767</v>
      </c>
      <c r="Q572" s="38">
        <v>-3276.8</v>
      </c>
      <c r="R572" s="38">
        <v>3276.7</v>
      </c>
      <c r="S572" s="34"/>
      <c r="T572" s="34"/>
      <c r="U572" s="34"/>
      <c r="V572" s="8"/>
      <c r="W572" t="s">
        <v>1791</v>
      </c>
      <c r="Y572" s="34"/>
      <c r="Z572"/>
      <c r="AA572"/>
      <c r="AE572"/>
      <c r="AF572"/>
      <c r="AG572"/>
      <c r="AH572"/>
    </row>
    <row r="573" spans="1:34" s="59" customFormat="1" ht="15.75" customHeight="1" x14ac:dyDescent="0.15">
      <c r="A573" s="6">
        <v>567</v>
      </c>
      <c r="B573" s="18" t="s">
        <v>75</v>
      </c>
      <c r="C573" s="34" t="s">
        <v>57</v>
      </c>
      <c r="D573" s="75" t="s">
        <v>1792</v>
      </c>
      <c r="E573" s="2" t="s">
        <v>143</v>
      </c>
      <c r="F573">
        <v>15495</v>
      </c>
      <c r="G573" s="6"/>
      <c r="H573" s="6" t="s">
        <v>1793</v>
      </c>
      <c r="I573" s="34"/>
      <c r="J573" s="38"/>
      <c r="K573" s="38"/>
      <c r="L573" s="38"/>
      <c r="M573" s="38" t="s">
        <v>123</v>
      </c>
      <c r="N573" s="19">
        <v>10</v>
      </c>
      <c r="O573" s="76">
        <v>-32768</v>
      </c>
      <c r="P573" s="6">
        <v>32767</v>
      </c>
      <c r="Q573" s="38">
        <v>-3276.8</v>
      </c>
      <c r="R573" s="38">
        <v>3276.7</v>
      </c>
      <c r="S573" s="34"/>
      <c r="T573" s="34"/>
      <c r="U573" s="34"/>
      <c r="V573" s="8"/>
      <c r="W573" t="s">
        <v>1794</v>
      </c>
      <c r="X573"/>
      <c r="Y573" s="34"/>
    </row>
    <row r="574" spans="1:34" ht="15.75" customHeight="1" x14ac:dyDescent="0.15">
      <c r="A574" s="6">
        <v>568</v>
      </c>
      <c r="B574" s="18" t="s">
        <v>75</v>
      </c>
      <c r="C574" s="34" t="s">
        <v>57</v>
      </c>
      <c r="D574" s="75" t="s">
        <v>1795</v>
      </c>
      <c r="E574" s="2" t="s">
        <v>165</v>
      </c>
      <c r="F574">
        <v>15501</v>
      </c>
      <c r="G574" s="6"/>
      <c r="H574" s="6" t="s">
        <v>1796</v>
      </c>
      <c r="I574" s="34"/>
      <c r="J574" s="38"/>
      <c r="K574" s="38"/>
      <c r="L574" s="38"/>
      <c r="M574" s="38"/>
      <c r="N574" s="19"/>
      <c r="O574" s="76" t="s">
        <v>62</v>
      </c>
      <c r="P574" s="6" t="s">
        <v>62</v>
      </c>
      <c r="Q574" s="38" t="s">
        <v>62</v>
      </c>
      <c r="R574" s="38" t="s">
        <v>62</v>
      </c>
      <c r="S574" s="34"/>
      <c r="T574" s="34"/>
      <c r="U574" s="34"/>
      <c r="V574" s="8"/>
      <c r="W574" t="s">
        <v>1797</v>
      </c>
      <c r="Y574" s="34"/>
      <c r="Z574"/>
      <c r="AA574"/>
      <c r="AE574"/>
      <c r="AF574"/>
      <c r="AG574"/>
      <c r="AH574"/>
    </row>
    <row r="575" spans="1:34" ht="15.75" customHeight="1" x14ac:dyDescent="0.15">
      <c r="A575" s="6">
        <v>569</v>
      </c>
      <c r="B575" s="18" t="s">
        <v>75</v>
      </c>
      <c r="C575" s="34" t="s">
        <v>57</v>
      </c>
      <c r="D575" s="75" t="s">
        <v>1798</v>
      </c>
      <c r="E575" s="2" t="s">
        <v>169</v>
      </c>
      <c r="F575">
        <v>15501</v>
      </c>
      <c r="G575" s="6">
        <v>1</v>
      </c>
      <c r="H575" s="6" t="s">
        <v>1799</v>
      </c>
      <c r="I575" s="34"/>
      <c r="J575" s="38" t="s">
        <v>196</v>
      </c>
      <c r="K575" s="38" t="s">
        <v>940</v>
      </c>
      <c r="L575" s="38" t="s">
        <v>941</v>
      </c>
      <c r="M575" s="38"/>
      <c r="N575" s="19"/>
      <c r="O575" s="76" t="s">
        <v>62</v>
      </c>
      <c r="P575" s="6" t="s">
        <v>62</v>
      </c>
      <c r="Q575" s="38" t="s">
        <v>62</v>
      </c>
      <c r="R575" s="38" t="s">
        <v>62</v>
      </c>
      <c r="S575" s="34"/>
      <c r="T575" s="34"/>
      <c r="U575" s="34"/>
      <c r="V575" s="8"/>
      <c r="W575" t="s">
        <v>1800</v>
      </c>
      <c r="Y575" s="34"/>
      <c r="Z575"/>
      <c r="AA575"/>
      <c r="AE575"/>
      <c r="AF575"/>
      <c r="AG575"/>
      <c r="AH575"/>
    </row>
    <row r="576" spans="1:34" ht="15.75" customHeight="1" x14ac:dyDescent="0.15">
      <c r="A576" s="6">
        <v>570</v>
      </c>
      <c r="B576" s="18" t="s">
        <v>75</v>
      </c>
      <c r="C576" s="34" t="s">
        <v>57</v>
      </c>
      <c r="D576" s="75" t="s">
        <v>1801</v>
      </c>
      <c r="E576" s="2" t="s">
        <v>169</v>
      </c>
      <c r="F576">
        <v>15501</v>
      </c>
      <c r="G576" s="6">
        <v>2</v>
      </c>
      <c r="H576" s="6" t="s">
        <v>1802</v>
      </c>
      <c r="I576" s="34"/>
      <c r="J576" s="38" t="s">
        <v>196</v>
      </c>
      <c r="K576" s="38" t="s">
        <v>940</v>
      </c>
      <c r="L576" s="38" t="s">
        <v>941</v>
      </c>
      <c r="M576" s="38"/>
      <c r="N576" s="19"/>
      <c r="O576" s="76" t="s">
        <v>62</v>
      </c>
      <c r="P576" s="6" t="s">
        <v>62</v>
      </c>
      <c r="Q576" s="38" t="s">
        <v>62</v>
      </c>
      <c r="R576" s="38" t="s">
        <v>62</v>
      </c>
      <c r="S576" s="34"/>
      <c r="T576" s="34"/>
      <c r="U576" s="34"/>
      <c r="V576" s="8"/>
      <c r="W576" t="s">
        <v>1803</v>
      </c>
      <c r="Y576" s="34"/>
      <c r="Z576"/>
      <c r="AA576"/>
      <c r="AE576"/>
      <c r="AF576"/>
      <c r="AG576"/>
      <c r="AH576"/>
    </row>
    <row r="577" spans="1:34" s="59" customFormat="1" ht="15.75" customHeight="1" x14ac:dyDescent="0.15">
      <c r="A577" s="6">
        <v>571</v>
      </c>
      <c r="B577" s="18" t="s">
        <v>75</v>
      </c>
      <c r="C577" s="34" t="s">
        <v>57</v>
      </c>
      <c r="D577" s="75" t="s">
        <v>1804</v>
      </c>
      <c r="E577" s="2" t="s">
        <v>59</v>
      </c>
      <c r="F577">
        <v>15509</v>
      </c>
      <c r="G577" s="6"/>
      <c r="H577" s="6" t="s">
        <v>1805</v>
      </c>
      <c r="I577" s="34"/>
      <c r="J577" s="38"/>
      <c r="K577" s="38"/>
      <c r="L577" s="38"/>
      <c r="M577" s="38" t="s">
        <v>86</v>
      </c>
      <c r="N577" s="19">
        <v>10</v>
      </c>
      <c r="O577" s="76">
        <v>0</v>
      </c>
      <c r="P577" s="6">
        <v>4294967295</v>
      </c>
      <c r="Q577" s="38">
        <v>0</v>
      </c>
      <c r="R577" s="38">
        <v>429496729.5</v>
      </c>
      <c r="S577" s="34"/>
      <c r="T577" s="34"/>
      <c r="U577" s="34"/>
      <c r="V577" s="8"/>
      <c r="W577" t="s">
        <v>1806</v>
      </c>
      <c r="X577"/>
      <c r="Y577" s="34"/>
    </row>
    <row r="578" spans="1:34" s="59" customFormat="1" ht="15.75" customHeight="1" x14ac:dyDescent="0.15">
      <c r="A578" s="6">
        <v>572</v>
      </c>
      <c r="B578" s="18" t="s">
        <v>75</v>
      </c>
      <c r="C578" s="34" t="s">
        <v>57</v>
      </c>
      <c r="D578" s="75" t="s">
        <v>1807</v>
      </c>
      <c r="E578" s="2" t="s">
        <v>59</v>
      </c>
      <c r="F578">
        <v>15511</v>
      </c>
      <c r="G578" s="6"/>
      <c r="H578" s="6" t="s">
        <v>1808</v>
      </c>
      <c r="I578" s="34"/>
      <c r="J578" s="38"/>
      <c r="K578" s="38"/>
      <c r="L578" s="38"/>
      <c r="M578" s="38" t="s">
        <v>86</v>
      </c>
      <c r="N578" s="19">
        <v>1</v>
      </c>
      <c r="O578" s="76">
        <v>0</v>
      </c>
      <c r="P578" s="6">
        <v>4294967295</v>
      </c>
      <c r="Q578" s="38">
        <v>0</v>
      </c>
      <c r="R578" s="38">
        <v>4294967295</v>
      </c>
      <c r="S578" s="34"/>
      <c r="T578" s="34"/>
      <c r="U578" s="34"/>
      <c r="V578" s="8"/>
      <c r="W578" t="s">
        <v>1809</v>
      </c>
      <c r="X578"/>
      <c r="Y578" s="34" t="s">
        <v>64</v>
      </c>
    </row>
    <row r="579" spans="1:34" ht="15.75" customHeight="1" x14ac:dyDescent="0.15">
      <c r="A579" s="6">
        <v>573</v>
      </c>
      <c r="B579" s="18" t="s">
        <v>75</v>
      </c>
      <c r="C579" s="34" t="s">
        <v>57</v>
      </c>
      <c r="D579" s="75" t="s">
        <v>1810</v>
      </c>
      <c r="E579" s="2" t="s">
        <v>59</v>
      </c>
      <c r="F579">
        <v>15513</v>
      </c>
      <c r="G579" s="6"/>
      <c r="H579" s="6" t="s">
        <v>1811</v>
      </c>
      <c r="I579" s="34"/>
      <c r="J579" s="38"/>
      <c r="K579" s="38"/>
      <c r="L579" s="38"/>
      <c r="M579" s="38" t="s">
        <v>86</v>
      </c>
      <c r="N579" s="19">
        <v>1</v>
      </c>
      <c r="O579" s="76">
        <v>0</v>
      </c>
      <c r="P579" s="6">
        <v>4294967295</v>
      </c>
      <c r="Q579" s="38">
        <v>0</v>
      </c>
      <c r="R579" s="38">
        <v>4294967295</v>
      </c>
      <c r="S579" s="34"/>
      <c r="T579" s="34"/>
      <c r="U579" s="34"/>
      <c r="V579" s="8"/>
      <c r="W579" t="s">
        <v>1812</v>
      </c>
      <c r="Y579" s="34"/>
      <c r="Z579"/>
      <c r="AA579"/>
      <c r="AE579"/>
      <c r="AF579"/>
      <c r="AG579"/>
      <c r="AH579"/>
    </row>
    <row r="580" spans="1:34" s="59" customFormat="1" ht="15.75" customHeight="1" x14ac:dyDescent="0.15">
      <c r="A580" s="6">
        <v>574</v>
      </c>
      <c r="B580" s="18" t="s">
        <v>75</v>
      </c>
      <c r="C580" s="34" t="s">
        <v>57</v>
      </c>
      <c r="D580" s="75" t="s">
        <v>1813</v>
      </c>
      <c r="E580" s="2" t="s">
        <v>77</v>
      </c>
      <c r="F580">
        <v>15515</v>
      </c>
      <c r="G580" s="6"/>
      <c r="H580" s="6" t="s">
        <v>1814</v>
      </c>
      <c r="I580" s="34"/>
      <c r="J580" s="38"/>
      <c r="K580" s="38"/>
      <c r="L580" s="38"/>
      <c r="M580" s="38" t="s">
        <v>100</v>
      </c>
      <c r="N580" s="19">
        <v>1</v>
      </c>
      <c r="O580" s="76">
        <v>0</v>
      </c>
      <c r="P580" s="6">
        <v>65535</v>
      </c>
      <c r="Q580" s="38">
        <v>0</v>
      </c>
      <c r="R580" s="38">
        <v>65535</v>
      </c>
      <c r="S580" s="34"/>
      <c r="T580" s="34"/>
      <c r="U580" s="34"/>
      <c r="V580" s="8"/>
      <c r="W580" t="s">
        <v>1815</v>
      </c>
      <c r="X580"/>
      <c r="Y580" s="34"/>
    </row>
    <row r="581" spans="1:34" ht="15.75" customHeight="1" x14ac:dyDescent="0.15">
      <c r="A581" s="6">
        <v>575</v>
      </c>
      <c r="B581" s="18" t="s">
        <v>75</v>
      </c>
      <c r="C581" s="34" t="s">
        <v>57</v>
      </c>
      <c r="D581" s="75" t="s">
        <v>1816</v>
      </c>
      <c r="E581" s="2" t="s">
        <v>59</v>
      </c>
      <c r="F581">
        <v>15516</v>
      </c>
      <c r="G581" s="6"/>
      <c r="H581" s="6" t="s">
        <v>1817</v>
      </c>
      <c r="I581" s="34"/>
      <c r="J581" s="38"/>
      <c r="K581" s="38"/>
      <c r="L581" s="38"/>
      <c r="M581" s="38" t="s">
        <v>104</v>
      </c>
      <c r="N581" s="19">
        <v>1</v>
      </c>
      <c r="O581" s="76">
        <v>0</v>
      </c>
      <c r="P581" s="6">
        <v>4294967295</v>
      </c>
      <c r="Q581" s="38">
        <v>0</v>
      </c>
      <c r="R581" s="38">
        <v>4294967295</v>
      </c>
      <c r="S581" s="34"/>
      <c r="T581" s="34"/>
      <c r="U581" s="34"/>
      <c r="V581" s="8"/>
      <c r="W581" t="s">
        <v>1818</v>
      </c>
      <c r="Y581" s="34"/>
      <c r="Z581"/>
      <c r="AA581"/>
      <c r="AE581"/>
      <c r="AF581"/>
      <c r="AG581"/>
      <c r="AH581"/>
    </row>
    <row r="582" spans="1:34" ht="15.75" customHeight="1" x14ac:dyDescent="0.15">
      <c r="A582" s="6">
        <v>576</v>
      </c>
      <c r="B582" s="18" t="s">
        <v>75</v>
      </c>
      <c r="C582" s="34" t="s">
        <v>57</v>
      </c>
      <c r="D582" s="75" t="s">
        <v>1819</v>
      </c>
      <c r="E582" s="2" t="s">
        <v>143</v>
      </c>
      <c r="F582">
        <v>15518</v>
      </c>
      <c r="G582" s="6"/>
      <c r="H582" s="6" t="s">
        <v>1820</v>
      </c>
      <c r="I582" s="34"/>
      <c r="J582" s="38"/>
      <c r="K582" s="38"/>
      <c r="L582" s="38"/>
      <c r="M582" s="38" t="s">
        <v>266</v>
      </c>
      <c r="N582" s="19">
        <v>10</v>
      </c>
      <c r="O582" s="76">
        <v>-32768</v>
      </c>
      <c r="P582" s="6">
        <v>32767</v>
      </c>
      <c r="Q582" s="38">
        <v>-3276.8</v>
      </c>
      <c r="R582" s="38">
        <v>3276.7</v>
      </c>
      <c r="S582" s="34"/>
      <c r="T582" s="34"/>
      <c r="U582" s="34"/>
      <c r="V582" s="8"/>
      <c r="W582" t="s">
        <v>1821</v>
      </c>
      <c r="Y582" s="34"/>
      <c r="Z582"/>
      <c r="AA582"/>
      <c r="AE582"/>
      <c r="AF582"/>
      <c r="AG582"/>
      <c r="AH582"/>
    </row>
    <row r="583" spans="1:34" s="59" customFormat="1" ht="15.75" customHeight="1" x14ac:dyDescent="0.15">
      <c r="A583" s="6">
        <v>577</v>
      </c>
      <c r="B583" s="18" t="s">
        <v>75</v>
      </c>
      <c r="C583" s="34" t="s">
        <v>57</v>
      </c>
      <c r="D583" s="75" t="s">
        <v>1822</v>
      </c>
      <c r="E583" s="2" t="s">
        <v>77</v>
      </c>
      <c r="F583">
        <v>15519</v>
      </c>
      <c r="G583" s="6"/>
      <c r="H583" s="6" t="s">
        <v>1823</v>
      </c>
      <c r="I583" s="34"/>
      <c r="J583" s="38"/>
      <c r="K583" s="38"/>
      <c r="L583" s="38"/>
      <c r="M583" s="38" t="s">
        <v>113</v>
      </c>
      <c r="N583" s="19">
        <v>10</v>
      </c>
      <c r="O583" s="76">
        <v>0</v>
      </c>
      <c r="P583" s="6">
        <v>65535</v>
      </c>
      <c r="Q583" s="38">
        <v>0</v>
      </c>
      <c r="R583" s="38">
        <v>6553.5</v>
      </c>
      <c r="S583" s="34"/>
      <c r="T583" s="34"/>
      <c r="U583" s="34"/>
      <c r="V583" s="8"/>
      <c r="W583" t="s">
        <v>1824</v>
      </c>
      <c r="X583"/>
      <c r="Y583" s="34"/>
    </row>
    <row r="584" spans="1:34" s="59" customFormat="1" ht="15.75" customHeight="1" x14ac:dyDescent="0.15">
      <c r="A584" s="6">
        <v>578</v>
      </c>
      <c r="B584" s="18" t="s">
        <v>75</v>
      </c>
      <c r="C584" s="34" t="s">
        <v>57</v>
      </c>
      <c r="D584" s="75" t="s">
        <v>1825</v>
      </c>
      <c r="E584" s="2" t="s">
        <v>77</v>
      </c>
      <c r="F584">
        <v>15520</v>
      </c>
      <c r="G584" s="6"/>
      <c r="H584" s="6" t="s">
        <v>1826</v>
      </c>
      <c r="I584" s="34"/>
      <c r="J584" s="38"/>
      <c r="K584" s="38"/>
      <c r="L584" s="38"/>
      <c r="M584" s="38" t="s">
        <v>123</v>
      </c>
      <c r="N584" s="19">
        <v>10</v>
      </c>
      <c r="O584" s="76">
        <v>0</v>
      </c>
      <c r="P584" s="6">
        <v>65535</v>
      </c>
      <c r="Q584" s="38">
        <v>0</v>
      </c>
      <c r="R584" s="38">
        <v>6553.5</v>
      </c>
      <c r="S584" s="34"/>
      <c r="T584" s="34"/>
      <c r="U584" s="34"/>
      <c r="V584" s="8"/>
      <c r="W584" t="s">
        <v>1827</v>
      </c>
      <c r="X584"/>
      <c r="Y584" s="34"/>
    </row>
    <row r="585" spans="1:34" ht="15.75" customHeight="1" x14ac:dyDescent="0.15">
      <c r="A585" s="6">
        <v>579</v>
      </c>
      <c r="B585" s="18" t="s">
        <v>75</v>
      </c>
      <c r="C585" s="34" t="s">
        <v>57</v>
      </c>
      <c r="D585" s="75" t="s">
        <v>1828</v>
      </c>
      <c r="E585" s="2" t="s">
        <v>107</v>
      </c>
      <c r="F585">
        <v>15521</v>
      </c>
      <c r="G585" s="6"/>
      <c r="H585" s="6" t="s">
        <v>1829</v>
      </c>
      <c r="I585" s="34"/>
      <c r="J585" s="38"/>
      <c r="K585" s="38"/>
      <c r="L585" s="38"/>
      <c r="M585" s="38" t="s">
        <v>109</v>
      </c>
      <c r="N585" s="19">
        <v>1</v>
      </c>
      <c r="O585" s="76">
        <v>-2147483648</v>
      </c>
      <c r="P585" s="6">
        <v>2147483647</v>
      </c>
      <c r="Q585" s="38">
        <v>-2147483648</v>
      </c>
      <c r="R585" s="38">
        <v>2147483647</v>
      </c>
      <c r="S585" s="34"/>
      <c r="T585" s="34"/>
      <c r="U585" s="34"/>
      <c r="V585" s="8"/>
      <c r="W585" t="s">
        <v>1830</v>
      </c>
      <c r="Y585" s="34"/>
      <c r="Z585"/>
      <c r="AA585"/>
      <c r="AE585"/>
      <c r="AF585"/>
      <c r="AG585"/>
      <c r="AH585"/>
    </row>
    <row r="586" spans="1:34" ht="15.75" customHeight="1" x14ac:dyDescent="0.15">
      <c r="A586" s="6">
        <v>580</v>
      </c>
      <c r="B586" s="18" t="s">
        <v>75</v>
      </c>
      <c r="C586" s="34" t="s">
        <v>57</v>
      </c>
      <c r="D586" s="75" t="s">
        <v>1831</v>
      </c>
      <c r="E586" s="2" t="s">
        <v>77</v>
      </c>
      <c r="F586">
        <v>15523</v>
      </c>
      <c r="G586" s="6"/>
      <c r="H586" s="6" t="s">
        <v>1832</v>
      </c>
      <c r="I586" s="34"/>
      <c r="J586" s="38"/>
      <c r="K586" s="38"/>
      <c r="L586" s="38"/>
      <c r="M586" s="38" t="s">
        <v>113</v>
      </c>
      <c r="N586" s="19">
        <v>10</v>
      </c>
      <c r="O586" s="76">
        <v>0</v>
      </c>
      <c r="P586" s="6">
        <v>65535</v>
      </c>
      <c r="Q586" s="38">
        <v>0</v>
      </c>
      <c r="R586" s="38">
        <v>6553.5</v>
      </c>
      <c r="S586" s="34"/>
      <c r="T586" s="34"/>
      <c r="U586" s="34"/>
      <c r="V586" s="8"/>
      <c r="W586" t="s">
        <v>1833</v>
      </c>
      <c r="Y586" s="34"/>
      <c r="Z586"/>
      <c r="AA586"/>
      <c r="AE586"/>
      <c r="AF586"/>
      <c r="AG586"/>
      <c r="AH586"/>
    </row>
    <row r="587" spans="1:34" ht="15.75" customHeight="1" x14ac:dyDescent="0.15">
      <c r="A587" s="6">
        <v>581</v>
      </c>
      <c r="B587" s="18" t="s">
        <v>75</v>
      </c>
      <c r="C587" s="34" t="s">
        <v>57</v>
      </c>
      <c r="D587" s="75" t="s">
        <v>1834</v>
      </c>
      <c r="E587" s="2" t="s">
        <v>77</v>
      </c>
      <c r="F587">
        <v>15524</v>
      </c>
      <c r="G587" s="6"/>
      <c r="H587" s="6" t="s">
        <v>1835</v>
      </c>
      <c r="I587" s="34"/>
      <c r="J587" s="38"/>
      <c r="K587" s="38"/>
      <c r="L587" s="38"/>
      <c r="M587" s="38" t="s">
        <v>113</v>
      </c>
      <c r="N587" s="19">
        <v>10</v>
      </c>
      <c r="O587" s="76">
        <v>0</v>
      </c>
      <c r="P587" s="6">
        <v>65535</v>
      </c>
      <c r="Q587" s="38">
        <v>0</v>
      </c>
      <c r="R587" s="38">
        <v>6553.5</v>
      </c>
      <c r="S587" s="34"/>
      <c r="T587" s="34"/>
      <c r="U587" s="34"/>
      <c r="V587" s="8"/>
      <c r="W587" t="s">
        <v>1836</v>
      </c>
      <c r="Y587" s="34"/>
      <c r="Z587"/>
      <c r="AA587"/>
      <c r="AE587"/>
      <c r="AF587"/>
      <c r="AG587"/>
      <c r="AH587"/>
    </row>
    <row r="588" spans="1:34" ht="15.75" customHeight="1" x14ac:dyDescent="0.15">
      <c r="A588" s="6">
        <v>582</v>
      </c>
      <c r="B588" s="18" t="s">
        <v>75</v>
      </c>
      <c r="C588" s="34" t="s">
        <v>57</v>
      </c>
      <c r="D588" s="75" t="s">
        <v>1837</v>
      </c>
      <c r="E588" s="2" t="s">
        <v>77</v>
      </c>
      <c r="F588">
        <v>15525</v>
      </c>
      <c r="G588" s="6"/>
      <c r="H588" s="6" t="s">
        <v>1838</v>
      </c>
      <c r="I588" s="34"/>
      <c r="J588" s="38"/>
      <c r="K588" s="38"/>
      <c r="L588" s="38"/>
      <c r="M588" s="38" t="s">
        <v>113</v>
      </c>
      <c r="N588" s="19">
        <v>10</v>
      </c>
      <c r="O588" s="76">
        <v>0</v>
      </c>
      <c r="P588" s="6">
        <v>65535</v>
      </c>
      <c r="Q588" s="38">
        <v>0</v>
      </c>
      <c r="R588" s="38">
        <v>6553.5</v>
      </c>
      <c r="S588" s="34"/>
      <c r="T588" s="34"/>
      <c r="U588" s="34"/>
      <c r="V588" s="8"/>
      <c r="W588" t="s">
        <v>1839</v>
      </c>
      <c r="Y588" s="34"/>
      <c r="Z588"/>
      <c r="AA588"/>
      <c r="AE588"/>
      <c r="AF588"/>
      <c r="AG588"/>
      <c r="AH588"/>
    </row>
    <row r="589" spans="1:34" ht="15.75" customHeight="1" x14ac:dyDescent="0.15">
      <c r="A589" s="6">
        <v>583</v>
      </c>
      <c r="B589" s="18" t="s">
        <v>75</v>
      </c>
      <c r="C589" s="34" t="s">
        <v>57</v>
      </c>
      <c r="D589" s="75" t="s">
        <v>1840</v>
      </c>
      <c r="E589" s="2" t="s">
        <v>77</v>
      </c>
      <c r="F589">
        <v>15526</v>
      </c>
      <c r="G589" s="6"/>
      <c r="H589" s="6" t="s">
        <v>1841</v>
      </c>
      <c r="I589" s="34"/>
      <c r="J589" s="38"/>
      <c r="K589" s="38"/>
      <c r="L589" s="38"/>
      <c r="M589" s="38" t="s">
        <v>123</v>
      </c>
      <c r="N589" s="19">
        <v>10</v>
      </c>
      <c r="O589" s="76">
        <v>0</v>
      </c>
      <c r="P589" s="6">
        <v>65535</v>
      </c>
      <c r="Q589" s="38">
        <v>0</v>
      </c>
      <c r="R589" s="38">
        <v>6553.5</v>
      </c>
      <c r="S589" s="34"/>
      <c r="T589" s="34"/>
      <c r="U589" s="34"/>
      <c r="V589" s="8"/>
      <c r="W589" t="s">
        <v>1842</v>
      </c>
      <c r="Y589" s="34"/>
      <c r="Z589"/>
      <c r="AA589"/>
      <c r="AE589"/>
      <c r="AF589"/>
      <c r="AG589"/>
      <c r="AH589"/>
    </row>
    <row r="590" spans="1:34" ht="15.75" customHeight="1" x14ac:dyDescent="0.15">
      <c r="A590" s="6">
        <v>584</v>
      </c>
      <c r="B590" s="18" t="s">
        <v>75</v>
      </c>
      <c r="C590" s="34" t="s">
        <v>57</v>
      </c>
      <c r="D590" s="75" t="s">
        <v>1843</v>
      </c>
      <c r="E590" s="2" t="s">
        <v>77</v>
      </c>
      <c r="F590">
        <v>15527</v>
      </c>
      <c r="G590" s="6"/>
      <c r="H590" s="6" t="s">
        <v>1844</v>
      </c>
      <c r="I590" s="34"/>
      <c r="J590" s="38"/>
      <c r="K590" s="38"/>
      <c r="L590" s="38"/>
      <c r="M590" s="38" t="s">
        <v>123</v>
      </c>
      <c r="N590" s="19">
        <v>10</v>
      </c>
      <c r="O590" s="76">
        <v>0</v>
      </c>
      <c r="P590" s="6">
        <v>65535</v>
      </c>
      <c r="Q590" s="38">
        <v>0</v>
      </c>
      <c r="R590" s="38">
        <v>6553.5</v>
      </c>
      <c r="S590" s="34"/>
      <c r="T590" s="34"/>
      <c r="U590" s="34"/>
      <c r="V590" s="8"/>
      <c r="W590" t="s">
        <v>1845</v>
      </c>
      <c r="Y590" s="34"/>
      <c r="Z590"/>
      <c r="AA590"/>
      <c r="AE590"/>
      <c r="AF590"/>
      <c r="AG590"/>
      <c r="AH590"/>
    </row>
    <row r="591" spans="1:34" ht="15.75" customHeight="1" x14ac:dyDescent="0.15">
      <c r="A591" s="6">
        <v>585</v>
      </c>
      <c r="B591" s="18" t="s">
        <v>75</v>
      </c>
      <c r="C591" s="34" t="s">
        <v>57</v>
      </c>
      <c r="D591" s="75" t="s">
        <v>1846</v>
      </c>
      <c r="E591" s="2" t="s">
        <v>77</v>
      </c>
      <c r="F591">
        <v>15528</v>
      </c>
      <c r="G591" s="6"/>
      <c r="H591" s="6" t="s">
        <v>1847</v>
      </c>
      <c r="I591" s="34"/>
      <c r="J591" s="38"/>
      <c r="K591" s="38"/>
      <c r="L591" s="38"/>
      <c r="M591" s="38" t="s">
        <v>123</v>
      </c>
      <c r="N591" s="19">
        <v>10</v>
      </c>
      <c r="O591" s="76">
        <v>0</v>
      </c>
      <c r="P591" s="6">
        <v>65535</v>
      </c>
      <c r="Q591" s="38">
        <v>0</v>
      </c>
      <c r="R591" s="38">
        <v>6553.5</v>
      </c>
      <c r="S591" s="34"/>
      <c r="T591" s="34"/>
      <c r="U591" s="34"/>
      <c r="V591" s="8"/>
      <c r="W591" t="s">
        <v>1848</v>
      </c>
      <c r="Y591" s="34"/>
      <c r="Z591"/>
      <c r="AA591"/>
      <c r="AE591"/>
      <c r="AF591"/>
      <c r="AG591"/>
      <c r="AH591"/>
    </row>
    <row r="592" spans="1:34" ht="15.75" customHeight="1" x14ac:dyDescent="0.15">
      <c r="A592" s="6">
        <v>586</v>
      </c>
      <c r="B592" s="18" t="s">
        <v>75</v>
      </c>
      <c r="C592" s="34" t="s">
        <v>57</v>
      </c>
      <c r="D592" s="75" t="s">
        <v>1849</v>
      </c>
      <c r="E592" s="2" t="s">
        <v>107</v>
      </c>
      <c r="F592">
        <v>15529</v>
      </c>
      <c r="G592" s="6"/>
      <c r="H592" s="6" t="s">
        <v>1850</v>
      </c>
      <c r="I592" s="34"/>
      <c r="J592" s="38"/>
      <c r="K592" s="38"/>
      <c r="L592" s="38"/>
      <c r="M592" s="38" t="s">
        <v>109</v>
      </c>
      <c r="N592" s="19">
        <v>1</v>
      </c>
      <c r="O592" s="76">
        <v>-2147483648</v>
      </c>
      <c r="P592" s="6">
        <v>2147483647</v>
      </c>
      <c r="Q592" s="38">
        <v>-2147483648</v>
      </c>
      <c r="R592" s="38">
        <v>2147483647</v>
      </c>
      <c r="S592" s="34"/>
      <c r="T592" s="34"/>
      <c r="U592" s="34"/>
      <c r="V592" s="8"/>
      <c r="W592" t="s">
        <v>1851</v>
      </c>
      <c r="Y592" s="34"/>
      <c r="Z592"/>
      <c r="AA592"/>
      <c r="AE592"/>
      <c r="AF592"/>
      <c r="AG592"/>
      <c r="AH592"/>
    </row>
    <row r="593" spans="1:34" ht="15.75" customHeight="1" x14ac:dyDescent="0.15">
      <c r="A593" s="6">
        <v>587</v>
      </c>
      <c r="B593" s="18" t="s">
        <v>75</v>
      </c>
      <c r="C593" s="34" t="s">
        <v>57</v>
      </c>
      <c r="D593" s="75" t="s">
        <v>1852</v>
      </c>
      <c r="E593" s="2" t="s">
        <v>107</v>
      </c>
      <c r="F593">
        <v>15531</v>
      </c>
      <c r="G593" s="6"/>
      <c r="H593" s="6" t="s">
        <v>1853</v>
      </c>
      <c r="I593" s="34"/>
      <c r="J593" s="38"/>
      <c r="K593" s="38"/>
      <c r="L593" s="38"/>
      <c r="M593" s="38" t="s">
        <v>136</v>
      </c>
      <c r="N593" s="19">
        <v>1</v>
      </c>
      <c r="O593" s="76">
        <v>-2147483648</v>
      </c>
      <c r="P593" s="6">
        <v>2147483647</v>
      </c>
      <c r="Q593" s="38">
        <v>-2147483648</v>
      </c>
      <c r="R593" s="38">
        <v>2147483647</v>
      </c>
      <c r="S593" s="34"/>
      <c r="T593" s="34"/>
      <c r="U593" s="34"/>
      <c r="V593" s="8"/>
      <c r="W593" t="s">
        <v>1854</v>
      </c>
      <c r="Y593" s="34"/>
      <c r="Z593"/>
      <c r="AA593"/>
      <c r="AE593"/>
      <c r="AF593"/>
      <c r="AG593"/>
      <c r="AH593"/>
    </row>
    <row r="594" spans="1:34" ht="15.75" customHeight="1" x14ac:dyDescent="0.15">
      <c r="A594" s="6">
        <v>588</v>
      </c>
      <c r="B594" s="18" t="s">
        <v>75</v>
      </c>
      <c r="C594" s="34" t="s">
        <v>57</v>
      </c>
      <c r="D594" s="75" t="s">
        <v>1855</v>
      </c>
      <c r="E594" s="2" t="s">
        <v>143</v>
      </c>
      <c r="F594">
        <v>15533</v>
      </c>
      <c r="G594" s="6"/>
      <c r="H594" s="6" t="s">
        <v>1856</v>
      </c>
      <c r="I594" s="34"/>
      <c r="J594" s="38"/>
      <c r="K594" s="38"/>
      <c r="L594" s="38"/>
      <c r="M594" s="38" t="s">
        <v>145</v>
      </c>
      <c r="N594" s="19">
        <v>1000</v>
      </c>
      <c r="O594" s="76">
        <v>-32768</v>
      </c>
      <c r="P594" s="6">
        <v>32767</v>
      </c>
      <c r="Q594" s="38">
        <v>-32.768000000000001</v>
      </c>
      <c r="R594" s="38">
        <v>32.767000000000003</v>
      </c>
      <c r="S594" s="34"/>
      <c r="T594" s="34"/>
      <c r="U594" s="34"/>
      <c r="V594" s="8"/>
      <c r="W594" t="s">
        <v>1857</v>
      </c>
      <c r="Y594" s="34"/>
      <c r="Z594"/>
      <c r="AA594"/>
      <c r="AE594"/>
      <c r="AF594"/>
      <c r="AG594"/>
      <c r="AH594"/>
    </row>
    <row r="595" spans="1:34" ht="15.75" customHeight="1" x14ac:dyDescent="0.15">
      <c r="A595" s="6">
        <v>589</v>
      </c>
      <c r="B595" s="18" t="s">
        <v>75</v>
      </c>
      <c r="C595" s="34" t="s">
        <v>57</v>
      </c>
      <c r="D595" s="75" t="s">
        <v>1858</v>
      </c>
      <c r="E595" s="2" t="s">
        <v>77</v>
      </c>
      <c r="F595">
        <v>15534</v>
      </c>
      <c r="G595" s="6"/>
      <c r="H595" s="6" t="s">
        <v>1859</v>
      </c>
      <c r="I595" s="34"/>
      <c r="J595" s="38"/>
      <c r="K595" s="38"/>
      <c r="L595" s="38"/>
      <c r="M595" s="38" t="s">
        <v>149</v>
      </c>
      <c r="N595" s="19">
        <v>10</v>
      </c>
      <c r="O595" s="76">
        <v>0</v>
      </c>
      <c r="P595" s="6">
        <v>65535</v>
      </c>
      <c r="Q595" s="38">
        <v>0</v>
      </c>
      <c r="R595" s="38">
        <v>6553.5</v>
      </c>
      <c r="S595" s="34"/>
      <c r="T595" s="34"/>
      <c r="U595" s="34"/>
      <c r="V595" s="8"/>
      <c r="W595" t="s">
        <v>1860</v>
      </c>
      <c r="Y595" s="34"/>
      <c r="Z595"/>
      <c r="AA595"/>
      <c r="AE595"/>
      <c r="AF595"/>
      <c r="AG595"/>
      <c r="AH595"/>
    </row>
    <row r="596" spans="1:34" ht="15.75" customHeight="1" x14ac:dyDescent="0.15">
      <c r="A596" s="6">
        <v>590</v>
      </c>
      <c r="B596" s="18" t="s">
        <v>75</v>
      </c>
      <c r="C596" s="34" t="s">
        <v>57</v>
      </c>
      <c r="D596" s="75" t="s">
        <v>1861</v>
      </c>
      <c r="E596" s="2" t="s">
        <v>77</v>
      </c>
      <c r="F596">
        <v>15535</v>
      </c>
      <c r="G596" s="6"/>
      <c r="H596" s="6" t="s">
        <v>1862</v>
      </c>
      <c r="I596" s="34"/>
      <c r="J596" s="38"/>
      <c r="K596" s="38"/>
      <c r="L596" s="38"/>
      <c r="M596" s="38" t="s">
        <v>560</v>
      </c>
      <c r="N596" s="19">
        <v>10</v>
      </c>
      <c r="O596" s="76">
        <v>0</v>
      </c>
      <c r="P596" s="6">
        <v>65535</v>
      </c>
      <c r="Q596" s="38">
        <v>0</v>
      </c>
      <c r="R596" s="38">
        <v>6553.5</v>
      </c>
      <c r="S596" s="34"/>
      <c r="T596" s="34"/>
      <c r="U596" s="34"/>
      <c r="V596" s="8"/>
      <c r="W596" t="s">
        <v>1863</v>
      </c>
      <c r="Y596" s="34"/>
      <c r="Z596"/>
      <c r="AA596"/>
      <c r="AE596"/>
      <c r="AF596"/>
      <c r="AG596"/>
      <c r="AH596"/>
    </row>
    <row r="597" spans="1:34" ht="15.75" customHeight="1" x14ac:dyDescent="0.15">
      <c r="A597" s="6">
        <v>591</v>
      </c>
      <c r="B597" s="18" t="s">
        <v>75</v>
      </c>
      <c r="C597" s="34" t="s">
        <v>57</v>
      </c>
      <c r="D597" s="75" t="s">
        <v>1864</v>
      </c>
      <c r="E597" s="2" t="s">
        <v>77</v>
      </c>
      <c r="F597">
        <v>15537</v>
      </c>
      <c r="G597" s="6"/>
      <c r="H597" s="6" t="s">
        <v>1865</v>
      </c>
      <c r="I597" s="34"/>
      <c r="J597" s="38"/>
      <c r="K597" s="38"/>
      <c r="L597" s="38"/>
      <c r="M597" s="38" t="s">
        <v>564</v>
      </c>
      <c r="N597" s="19">
        <v>1</v>
      </c>
      <c r="O597" s="76">
        <v>0</v>
      </c>
      <c r="P597" s="6">
        <v>65535</v>
      </c>
      <c r="Q597" s="38">
        <v>0</v>
      </c>
      <c r="R597" s="38">
        <v>65535</v>
      </c>
      <c r="S597" s="34"/>
      <c r="T597" s="34"/>
      <c r="U597" s="34"/>
      <c r="V597" s="8"/>
      <c r="W597" t="s">
        <v>1866</v>
      </c>
      <c r="Y597" s="34" t="s">
        <v>64</v>
      </c>
      <c r="Z597"/>
      <c r="AA597"/>
      <c r="AE597"/>
      <c r="AF597"/>
      <c r="AG597"/>
      <c r="AH597"/>
    </row>
    <row r="598" spans="1:34" ht="15.75" customHeight="1" x14ac:dyDescent="0.15">
      <c r="A598" s="6">
        <v>592</v>
      </c>
      <c r="B598" s="18" t="s">
        <v>75</v>
      </c>
      <c r="C598" s="34" t="s">
        <v>57</v>
      </c>
      <c r="D598" s="75" t="s">
        <v>1867</v>
      </c>
      <c r="E598" s="2" t="s">
        <v>77</v>
      </c>
      <c r="F598">
        <v>15538</v>
      </c>
      <c r="G598" s="6"/>
      <c r="H598" s="6" t="s">
        <v>1868</v>
      </c>
      <c r="I598" s="34"/>
      <c r="J598" s="38"/>
      <c r="K598" s="38"/>
      <c r="L598" s="38"/>
      <c r="M598" s="38" t="s">
        <v>568</v>
      </c>
      <c r="N598" s="19">
        <v>1</v>
      </c>
      <c r="O598" s="76">
        <v>0</v>
      </c>
      <c r="P598" s="6">
        <v>65535</v>
      </c>
      <c r="Q598" s="38">
        <v>0</v>
      </c>
      <c r="R598" s="38">
        <v>65535</v>
      </c>
      <c r="S598" s="34"/>
      <c r="T598" s="34"/>
      <c r="U598" s="34"/>
      <c r="V598" s="8"/>
      <c r="W598" t="s">
        <v>1869</v>
      </c>
      <c r="Y598" s="34" t="s">
        <v>64</v>
      </c>
      <c r="Z598"/>
      <c r="AA598"/>
      <c r="AE598"/>
      <c r="AF598"/>
      <c r="AG598"/>
      <c r="AH598"/>
    </row>
    <row r="599" spans="1:34" ht="15.75" customHeight="1" x14ac:dyDescent="0.15">
      <c r="A599" s="6">
        <v>593</v>
      </c>
      <c r="B599" s="18" t="s">
        <v>75</v>
      </c>
      <c r="C599" s="34" t="s">
        <v>57</v>
      </c>
      <c r="D599" s="75" t="s">
        <v>1870</v>
      </c>
      <c r="E599" s="2" t="s">
        <v>77</v>
      </c>
      <c r="F599">
        <v>15539</v>
      </c>
      <c r="G599" s="6"/>
      <c r="H599" s="6" t="s">
        <v>1871</v>
      </c>
      <c r="I599" s="34"/>
      <c r="J599" s="38"/>
      <c r="K599" s="38"/>
      <c r="L599" s="38"/>
      <c r="M599" s="38" t="s">
        <v>572</v>
      </c>
      <c r="N599" s="19">
        <v>1</v>
      </c>
      <c r="O599" s="76">
        <v>0</v>
      </c>
      <c r="P599" s="6">
        <v>65535</v>
      </c>
      <c r="Q599" s="38">
        <v>0</v>
      </c>
      <c r="R599" s="38">
        <v>65535</v>
      </c>
      <c r="S599" s="34"/>
      <c r="T599" s="34"/>
      <c r="U599" s="34"/>
      <c r="V599" s="8"/>
      <c r="W599" t="s">
        <v>1872</v>
      </c>
      <c r="Y599" s="34" t="s">
        <v>64</v>
      </c>
      <c r="Z599"/>
      <c r="AA599"/>
      <c r="AE599"/>
      <c r="AF599"/>
      <c r="AG599"/>
      <c r="AH599"/>
    </row>
    <row r="600" spans="1:34" ht="15.75" customHeight="1" x14ac:dyDescent="0.15">
      <c r="A600" s="6">
        <v>594</v>
      </c>
      <c r="B600" s="18" t="s">
        <v>75</v>
      </c>
      <c r="C600" s="34" t="s">
        <v>57</v>
      </c>
      <c r="D600" s="75" t="s">
        <v>1873</v>
      </c>
      <c r="E600" s="2" t="s">
        <v>77</v>
      </c>
      <c r="F600">
        <v>15540</v>
      </c>
      <c r="G600" s="6"/>
      <c r="H600" s="6" t="s">
        <v>1874</v>
      </c>
      <c r="I600" s="34"/>
      <c r="J600" s="38"/>
      <c r="K600" s="38"/>
      <c r="L600" s="38"/>
      <c r="M600" s="38" t="s">
        <v>104</v>
      </c>
      <c r="N600" s="19">
        <v>1</v>
      </c>
      <c r="O600" s="76">
        <v>0</v>
      </c>
      <c r="P600" s="6">
        <v>65535</v>
      </c>
      <c r="Q600" s="38">
        <v>0</v>
      </c>
      <c r="R600" s="38">
        <v>65535</v>
      </c>
      <c r="S600" s="34"/>
      <c r="T600" s="34"/>
      <c r="U600" s="34"/>
      <c r="V600" s="8"/>
      <c r="W600" t="s">
        <v>1875</v>
      </c>
      <c r="Y600" s="34" t="s">
        <v>64</v>
      </c>
      <c r="Z600"/>
      <c r="AA600"/>
      <c r="AE600"/>
      <c r="AF600"/>
      <c r="AG600"/>
      <c r="AH600"/>
    </row>
    <row r="601" spans="1:34" ht="15.75" customHeight="1" x14ac:dyDescent="0.15">
      <c r="A601" s="6">
        <v>595</v>
      </c>
      <c r="B601" s="18" t="s">
        <v>75</v>
      </c>
      <c r="C601" s="34" t="s">
        <v>57</v>
      </c>
      <c r="D601" s="75" t="s">
        <v>1876</v>
      </c>
      <c r="E601" s="2" t="s">
        <v>77</v>
      </c>
      <c r="F601">
        <v>15541</v>
      </c>
      <c r="G601" s="6"/>
      <c r="H601" s="6" t="s">
        <v>1877</v>
      </c>
      <c r="I601" s="34"/>
      <c r="J601" s="38"/>
      <c r="K601" s="38"/>
      <c r="L601" s="38"/>
      <c r="M601" s="38" t="s">
        <v>100</v>
      </c>
      <c r="N601" s="19">
        <v>1</v>
      </c>
      <c r="O601" s="76">
        <v>0</v>
      </c>
      <c r="P601" s="6">
        <v>65535</v>
      </c>
      <c r="Q601" s="38">
        <v>0</v>
      </c>
      <c r="R601" s="38">
        <v>65535</v>
      </c>
      <c r="S601" s="34"/>
      <c r="T601" s="34"/>
      <c r="U601" s="34"/>
      <c r="V601" s="8"/>
      <c r="W601" t="s">
        <v>1878</v>
      </c>
      <c r="Y601" s="34" t="s">
        <v>64</v>
      </c>
      <c r="Z601"/>
      <c r="AA601"/>
      <c r="AE601"/>
      <c r="AF601"/>
      <c r="AG601"/>
      <c r="AH601"/>
    </row>
    <row r="602" spans="1:34" ht="15.75" customHeight="1" x14ac:dyDescent="0.15">
      <c r="A602" s="6">
        <v>596</v>
      </c>
      <c r="B602" s="18" t="s">
        <v>75</v>
      </c>
      <c r="C602" s="34" t="s">
        <v>57</v>
      </c>
      <c r="D602" s="75" t="s">
        <v>1879</v>
      </c>
      <c r="E602" s="2" t="s">
        <v>77</v>
      </c>
      <c r="F602">
        <v>15542</v>
      </c>
      <c r="G602" s="6"/>
      <c r="H602" s="6" t="s">
        <v>1880</v>
      </c>
      <c r="I602" s="34"/>
      <c r="J602" s="38"/>
      <c r="K602" s="38"/>
      <c r="L602" s="38"/>
      <c r="M602" s="38" t="s">
        <v>582</v>
      </c>
      <c r="N602" s="19">
        <v>1</v>
      </c>
      <c r="O602" s="76">
        <v>0</v>
      </c>
      <c r="P602" s="6">
        <v>65535</v>
      </c>
      <c r="Q602" s="38">
        <v>0</v>
      </c>
      <c r="R602" s="38">
        <v>65535</v>
      </c>
      <c r="S602" s="34"/>
      <c r="T602" s="34"/>
      <c r="U602" s="34"/>
      <c r="V602" s="8"/>
      <c r="W602" t="s">
        <v>1881</v>
      </c>
      <c r="Y602" s="34" t="s">
        <v>64</v>
      </c>
      <c r="Z602"/>
      <c r="AA602"/>
      <c r="AE602"/>
      <c r="AF602"/>
      <c r="AG602"/>
      <c r="AH602"/>
    </row>
    <row r="603" spans="1:34" ht="15.75" customHeight="1" x14ac:dyDescent="0.15">
      <c r="A603" s="6">
        <v>597</v>
      </c>
      <c r="B603" s="18" t="s">
        <v>75</v>
      </c>
      <c r="C603" s="34" t="s">
        <v>57</v>
      </c>
      <c r="D603" s="75" t="s">
        <v>1882</v>
      </c>
      <c r="E603" s="2" t="s">
        <v>219</v>
      </c>
      <c r="F603">
        <v>15545</v>
      </c>
      <c r="G603" s="6"/>
      <c r="H603" s="6" t="s">
        <v>1883</v>
      </c>
      <c r="I603" s="34"/>
      <c r="J603" s="38"/>
      <c r="K603" s="38"/>
      <c r="L603" s="38"/>
      <c r="M603" s="38"/>
      <c r="N603" s="19"/>
      <c r="O603" s="76" t="s">
        <v>62</v>
      </c>
      <c r="P603" s="6" t="s">
        <v>62</v>
      </c>
      <c r="Q603" s="38" t="s">
        <v>62</v>
      </c>
      <c r="R603" s="38" t="s">
        <v>62</v>
      </c>
      <c r="S603" s="34"/>
      <c r="T603" s="34"/>
      <c r="U603" s="34"/>
      <c r="V603" s="8"/>
      <c r="W603" t="s">
        <v>1884</v>
      </c>
      <c r="Y603" s="34"/>
      <c r="Z603"/>
      <c r="AA603"/>
      <c r="AE603"/>
      <c r="AF603"/>
      <c r="AG603"/>
      <c r="AH603"/>
    </row>
    <row r="604" spans="1:34" ht="15.75" customHeight="1" x14ac:dyDescent="0.15">
      <c r="A604" s="6">
        <v>598</v>
      </c>
      <c r="B604" s="18" t="s">
        <v>75</v>
      </c>
      <c r="C604" s="34" t="s">
        <v>57</v>
      </c>
      <c r="D604" s="75" t="s">
        <v>1885</v>
      </c>
      <c r="E604" s="2" t="s">
        <v>169</v>
      </c>
      <c r="F604">
        <v>15545</v>
      </c>
      <c r="G604" s="6">
        <v>0</v>
      </c>
      <c r="H604" s="6" t="s">
        <v>1886</v>
      </c>
      <c r="I604" s="34"/>
      <c r="J604" s="38" t="s">
        <v>171</v>
      </c>
      <c r="K604" s="38" t="s">
        <v>177</v>
      </c>
      <c r="L604" s="38" t="s">
        <v>173</v>
      </c>
      <c r="M604" s="38"/>
      <c r="N604" s="19"/>
      <c r="O604" s="76" t="s">
        <v>62</v>
      </c>
      <c r="P604" s="6" t="s">
        <v>62</v>
      </c>
      <c r="Q604" s="38" t="s">
        <v>62</v>
      </c>
      <c r="R604" s="38" t="s">
        <v>62</v>
      </c>
      <c r="S604" s="34"/>
      <c r="T604" s="34"/>
      <c r="U604" s="34"/>
      <c r="V604" s="8"/>
      <c r="W604" t="s">
        <v>1887</v>
      </c>
      <c r="Y604" s="34"/>
      <c r="Z604"/>
      <c r="AA604"/>
      <c r="AE604"/>
      <c r="AF604"/>
      <c r="AG604"/>
      <c r="AH604"/>
    </row>
    <row r="605" spans="1:34" ht="15.75" customHeight="1" x14ac:dyDescent="0.15">
      <c r="A605" s="6">
        <v>599</v>
      </c>
      <c r="B605" s="18" t="s">
        <v>75</v>
      </c>
      <c r="C605" s="34" t="s">
        <v>57</v>
      </c>
      <c r="D605" s="75" t="s">
        <v>1888</v>
      </c>
      <c r="E605" s="2" t="s">
        <v>169</v>
      </c>
      <c r="F605">
        <v>15545</v>
      </c>
      <c r="G605" s="6">
        <v>1</v>
      </c>
      <c r="H605" s="6" t="s">
        <v>1889</v>
      </c>
      <c r="I605" s="34"/>
      <c r="J605" s="38" t="s">
        <v>171</v>
      </c>
      <c r="K605" s="38" t="s">
        <v>177</v>
      </c>
      <c r="L605" s="38" t="s">
        <v>173</v>
      </c>
      <c r="M605" s="38"/>
      <c r="N605" s="19"/>
      <c r="O605" s="76" t="s">
        <v>62</v>
      </c>
      <c r="P605" s="6" t="s">
        <v>62</v>
      </c>
      <c r="Q605" s="38" t="s">
        <v>62</v>
      </c>
      <c r="R605" s="38" t="s">
        <v>62</v>
      </c>
      <c r="S605" s="34"/>
      <c r="T605" s="34"/>
      <c r="U605" s="34"/>
      <c r="V605" s="8"/>
      <c r="W605" t="s">
        <v>1890</v>
      </c>
      <c r="Y605" s="34"/>
      <c r="Z605"/>
      <c r="AA605"/>
      <c r="AE605"/>
      <c r="AF605"/>
      <c r="AG605"/>
      <c r="AH605"/>
    </row>
    <row r="606" spans="1:34" ht="15.75" customHeight="1" x14ac:dyDescent="0.15">
      <c r="A606" s="6">
        <v>600</v>
      </c>
      <c r="B606" s="18" t="s">
        <v>75</v>
      </c>
      <c r="C606" s="34" t="s">
        <v>57</v>
      </c>
      <c r="D606" s="75" t="s">
        <v>1891</v>
      </c>
      <c r="E606" s="2" t="s">
        <v>169</v>
      </c>
      <c r="F606">
        <v>15545</v>
      </c>
      <c r="G606" s="6">
        <v>2</v>
      </c>
      <c r="H606" s="6" t="s">
        <v>1892</v>
      </c>
      <c r="I606" s="34"/>
      <c r="J606" s="38" t="s">
        <v>171</v>
      </c>
      <c r="K606" s="38" t="s">
        <v>177</v>
      </c>
      <c r="L606" s="38" t="s">
        <v>173</v>
      </c>
      <c r="M606" s="38"/>
      <c r="N606" s="19"/>
      <c r="O606" s="76" t="s">
        <v>62</v>
      </c>
      <c r="P606" s="6" t="s">
        <v>62</v>
      </c>
      <c r="Q606" s="38" t="s">
        <v>62</v>
      </c>
      <c r="R606" s="38" t="s">
        <v>62</v>
      </c>
      <c r="S606" s="34"/>
      <c r="T606" s="34"/>
      <c r="U606" s="34"/>
      <c r="V606" s="8"/>
      <c r="W606" t="s">
        <v>1893</v>
      </c>
      <c r="Y606" s="34"/>
      <c r="Z606"/>
      <c r="AA606"/>
      <c r="AE606"/>
      <c r="AF606"/>
      <c r="AG606"/>
      <c r="AH606"/>
    </row>
    <row r="607" spans="1:34" ht="15.75" customHeight="1" x14ac:dyDescent="0.15">
      <c r="A607" s="6">
        <v>601</v>
      </c>
      <c r="B607" s="18" t="s">
        <v>75</v>
      </c>
      <c r="C607" s="34" t="s">
        <v>57</v>
      </c>
      <c r="D607" s="75" t="s">
        <v>1894</v>
      </c>
      <c r="E607" s="2" t="s">
        <v>169</v>
      </c>
      <c r="F607">
        <v>15545</v>
      </c>
      <c r="G607" s="6">
        <v>3</v>
      </c>
      <c r="H607" s="6" t="s">
        <v>1895</v>
      </c>
      <c r="I607" s="34"/>
      <c r="J607" s="38" t="s">
        <v>171</v>
      </c>
      <c r="K607" s="38" t="s">
        <v>177</v>
      </c>
      <c r="L607" s="38" t="s">
        <v>173</v>
      </c>
      <c r="M607" s="38"/>
      <c r="N607" s="19"/>
      <c r="O607" s="76" t="s">
        <v>62</v>
      </c>
      <c r="P607" s="6" t="s">
        <v>62</v>
      </c>
      <c r="Q607" s="38" t="s">
        <v>62</v>
      </c>
      <c r="R607" s="38" t="s">
        <v>62</v>
      </c>
      <c r="S607" s="34"/>
      <c r="T607" s="34"/>
      <c r="U607" s="34"/>
      <c r="V607" s="8"/>
      <c r="W607" t="s">
        <v>1896</v>
      </c>
      <c r="Y607" s="34"/>
      <c r="Z607"/>
      <c r="AA607"/>
      <c r="AE607"/>
      <c r="AF607"/>
      <c r="AG607"/>
      <c r="AH607"/>
    </row>
    <row r="608" spans="1:34" ht="15.75" customHeight="1" x14ac:dyDescent="0.15">
      <c r="A608" s="6">
        <v>602</v>
      </c>
      <c r="B608" s="18" t="s">
        <v>75</v>
      </c>
      <c r="C608" s="34" t="s">
        <v>57</v>
      </c>
      <c r="D608" s="75" t="s">
        <v>1897</v>
      </c>
      <c r="E608" s="2" t="s">
        <v>169</v>
      </c>
      <c r="F608">
        <v>15545</v>
      </c>
      <c r="G608" s="6">
        <v>7</v>
      </c>
      <c r="H608" s="6" t="s">
        <v>1898</v>
      </c>
      <c r="I608" s="34"/>
      <c r="J608" s="38" t="s">
        <v>171</v>
      </c>
      <c r="K608" s="38" t="s">
        <v>177</v>
      </c>
      <c r="L608" s="38" t="s">
        <v>173</v>
      </c>
      <c r="M608" s="38"/>
      <c r="N608" s="19"/>
      <c r="O608" s="76" t="s">
        <v>62</v>
      </c>
      <c r="P608" s="6" t="s">
        <v>62</v>
      </c>
      <c r="Q608" s="38" t="s">
        <v>62</v>
      </c>
      <c r="R608" s="38" t="s">
        <v>62</v>
      </c>
      <c r="S608" s="34"/>
      <c r="T608" s="34"/>
      <c r="U608" s="34"/>
      <c r="V608" s="8"/>
      <c r="W608" t="s">
        <v>1899</v>
      </c>
      <c r="Y608" s="34"/>
      <c r="Z608"/>
      <c r="AA608"/>
      <c r="AE608"/>
      <c r="AF608"/>
      <c r="AG608"/>
      <c r="AH608"/>
    </row>
    <row r="609" spans="1:34" ht="15.75" customHeight="1" x14ac:dyDescent="0.15">
      <c r="A609" s="6">
        <v>603</v>
      </c>
      <c r="B609" s="18" t="s">
        <v>75</v>
      </c>
      <c r="C609" s="34" t="s">
        <v>57</v>
      </c>
      <c r="D609" s="75" t="s">
        <v>1900</v>
      </c>
      <c r="E609" s="2" t="s">
        <v>169</v>
      </c>
      <c r="F609">
        <v>15545</v>
      </c>
      <c r="G609" s="6">
        <v>9</v>
      </c>
      <c r="H609" s="6" t="s">
        <v>1901</v>
      </c>
      <c r="I609" s="34"/>
      <c r="J609" s="38" t="s">
        <v>171</v>
      </c>
      <c r="K609" s="38" t="s">
        <v>177</v>
      </c>
      <c r="L609" s="38" t="s">
        <v>173</v>
      </c>
      <c r="M609" s="38"/>
      <c r="N609" s="19"/>
      <c r="O609" s="76" t="s">
        <v>62</v>
      </c>
      <c r="P609" s="6" t="s">
        <v>62</v>
      </c>
      <c r="Q609" s="38" t="s">
        <v>62</v>
      </c>
      <c r="R609" s="38" t="s">
        <v>62</v>
      </c>
      <c r="S609" s="34"/>
      <c r="T609" s="34"/>
      <c r="U609" s="34"/>
      <c r="V609" s="8"/>
      <c r="W609" t="s">
        <v>1902</v>
      </c>
      <c r="Y609" s="34"/>
      <c r="Z609"/>
      <c r="AA609"/>
      <c r="AE609"/>
      <c r="AF609"/>
      <c r="AG609"/>
      <c r="AH609"/>
    </row>
    <row r="610" spans="1:34" ht="15.75" customHeight="1" x14ac:dyDescent="0.15">
      <c r="A610" s="6">
        <v>604</v>
      </c>
      <c r="B610" s="18" t="s">
        <v>75</v>
      </c>
      <c r="C610" s="34" t="s">
        <v>57</v>
      </c>
      <c r="D610" s="75" t="s">
        <v>1903</v>
      </c>
      <c r="E610" s="2" t="s">
        <v>169</v>
      </c>
      <c r="F610">
        <v>15545</v>
      </c>
      <c r="G610" s="6">
        <v>10</v>
      </c>
      <c r="H610" s="6" t="s">
        <v>1904</v>
      </c>
      <c r="I610" s="34"/>
      <c r="J610" s="38" t="s">
        <v>171</v>
      </c>
      <c r="K610" s="38" t="s">
        <v>177</v>
      </c>
      <c r="L610" s="38" t="s">
        <v>173</v>
      </c>
      <c r="M610" s="38"/>
      <c r="N610" s="19"/>
      <c r="O610" s="76" t="s">
        <v>62</v>
      </c>
      <c r="P610" s="6" t="s">
        <v>62</v>
      </c>
      <c r="Q610" s="38" t="s">
        <v>62</v>
      </c>
      <c r="R610" s="38" t="s">
        <v>62</v>
      </c>
      <c r="S610" s="34"/>
      <c r="T610" s="34"/>
      <c r="U610" s="34"/>
      <c r="V610" s="8"/>
      <c r="W610" t="s">
        <v>1905</v>
      </c>
      <c r="Y610" s="34"/>
      <c r="Z610"/>
      <c r="AA610"/>
      <c r="AE610"/>
      <c r="AF610"/>
      <c r="AG610"/>
      <c r="AH610"/>
    </row>
    <row r="611" spans="1:34" ht="15.75" customHeight="1" x14ac:dyDescent="0.15">
      <c r="A611" s="6">
        <v>605</v>
      </c>
      <c r="B611" s="18" t="s">
        <v>75</v>
      </c>
      <c r="C611" s="34" t="s">
        <v>57</v>
      </c>
      <c r="D611" s="75" t="s">
        <v>1906</v>
      </c>
      <c r="E611" s="2" t="s">
        <v>169</v>
      </c>
      <c r="F611">
        <v>15545</v>
      </c>
      <c r="G611" s="6">
        <v>11</v>
      </c>
      <c r="H611" s="6" t="s">
        <v>1907</v>
      </c>
      <c r="I611" s="34"/>
      <c r="J611" s="38" t="s">
        <v>171</v>
      </c>
      <c r="K611" s="38" t="s">
        <v>177</v>
      </c>
      <c r="L611" s="38" t="s">
        <v>173</v>
      </c>
      <c r="M611" s="38"/>
      <c r="N611" s="19"/>
      <c r="O611" s="76" t="s">
        <v>62</v>
      </c>
      <c r="P611" s="6" t="s">
        <v>62</v>
      </c>
      <c r="Q611" s="38" t="s">
        <v>62</v>
      </c>
      <c r="R611" s="38" t="s">
        <v>62</v>
      </c>
      <c r="S611" s="34"/>
      <c r="T611" s="34"/>
      <c r="U611" s="34"/>
      <c r="V611" s="8"/>
      <c r="W611" t="s">
        <v>1908</v>
      </c>
      <c r="Y611" s="34"/>
      <c r="Z611"/>
      <c r="AA611"/>
      <c r="AE611"/>
      <c r="AF611"/>
      <c r="AG611"/>
      <c r="AH611"/>
    </row>
    <row r="612" spans="1:34" ht="15.75" customHeight="1" x14ac:dyDescent="0.15">
      <c r="A612" s="6">
        <v>606</v>
      </c>
      <c r="B612" s="18" t="s">
        <v>75</v>
      </c>
      <c r="C612" s="34" t="s">
        <v>57</v>
      </c>
      <c r="D612" s="75" t="s">
        <v>1909</v>
      </c>
      <c r="E612" s="2" t="s">
        <v>169</v>
      </c>
      <c r="F612">
        <v>15545</v>
      </c>
      <c r="G612" s="6">
        <v>14</v>
      </c>
      <c r="H612" s="6" t="s">
        <v>1910</v>
      </c>
      <c r="I612" s="34"/>
      <c r="J612" s="38" t="s">
        <v>171</v>
      </c>
      <c r="K612" s="38" t="s">
        <v>177</v>
      </c>
      <c r="L612" s="38" t="s">
        <v>173</v>
      </c>
      <c r="M612" s="38"/>
      <c r="N612" s="19"/>
      <c r="O612" s="76" t="s">
        <v>62</v>
      </c>
      <c r="P612" s="6" t="s">
        <v>62</v>
      </c>
      <c r="Q612" s="38" t="s">
        <v>62</v>
      </c>
      <c r="R612" s="38" t="s">
        <v>62</v>
      </c>
      <c r="S612" s="34"/>
      <c r="T612" s="34"/>
      <c r="U612" s="34"/>
      <c r="V612" s="8"/>
      <c r="W612" t="s">
        <v>1911</v>
      </c>
      <c r="Y612" s="34"/>
      <c r="Z612"/>
      <c r="AA612"/>
      <c r="AE612"/>
      <c r="AF612"/>
      <c r="AG612"/>
      <c r="AH612"/>
    </row>
    <row r="613" spans="1:34" s="55" customFormat="1" ht="15.75" customHeight="1" x14ac:dyDescent="0.15">
      <c r="A613" s="6">
        <v>607</v>
      </c>
      <c r="B613" s="18" t="s">
        <v>75</v>
      </c>
      <c r="C613" s="34" t="s">
        <v>57</v>
      </c>
      <c r="D613" s="75" t="s">
        <v>1912</v>
      </c>
      <c r="E613" s="2" t="s">
        <v>169</v>
      </c>
      <c r="F613">
        <v>15545</v>
      </c>
      <c r="G613" s="6">
        <v>17</v>
      </c>
      <c r="H613" s="6" t="s">
        <v>1913</v>
      </c>
      <c r="I613" s="34"/>
      <c r="J613" s="38" t="s">
        <v>171</v>
      </c>
      <c r="K613" s="38" t="s">
        <v>177</v>
      </c>
      <c r="L613" s="38" t="s">
        <v>173</v>
      </c>
      <c r="M613" s="38"/>
      <c r="N613" s="19"/>
      <c r="O613" s="76" t="s">
        <v>62</v>
      </c>
      <c r="P613" s="6" t="s">
        <v>62</v>
      </c>
      <c r="Q613" s="38" t="s">
        <v>62</v>
      </c>
      <c r="R613" s="38" t="s">
        <v>62</v>
      </c>
      <c r="S613" s="34"/>
      <c r="T613" s="34"/>
      <c r="U613" s="34"/>
      <c r="V613" s="8"/>
      <c r="W613" t="s">
        <v>1914</v>
      </c>
      <c r="X613"/>
      <c r="Y613" s="34"/>
    </row>
    <row r="614" spans="1:34" ht="15.75" customHeight="1" x14ac:dyDescent="0.15">
      <c r="A614" s="6">
        <v>608</v>
      </c>
      <c r="B614" s="18" t="s">
        <v>75</v>
      </c>
      <c r="C614" s="34" t="s">
        <v>57</v>
      </c>
      <c r="D614" s="75" t="s">
        <v>1915</v>
      </c>
      <c r="E614" s="2" t="s">
        <v>169</v>
      </c>
      <c r="F614">
        <v>15545</v>
      </c>
      <c r="G614" s="6">
        <v>18</v>
      </c>
      <c r="H614" s="6" t="s">
        <v>1916</v>
      </c>
      <c r="I614" s="34"/>
      <c r="J614" s="38" t="s">
        <v>171</v>
      </c>
      <c r="K614" s="38" t="s">
        <v>177</v>
      </c>
      <c r="L614" s="38" t="s">
        <v>173</v>
      </c>
      <c r="M614" s="38"/>
      <c r="N614" s="19"/>
      <c r="O614" s="76" t="s">
        <v>62</v>
      </c>
      <c r="P614" s="6" t="s">
        <v>62</v>
      </c>
      <c r="Q614" s="38" t="s">
        <v>62</v>
      </c>
      <c r="R614" s="38" t="s">
        <v>62</v>
      </c>
      <c r="S614" s="34"/>
      <c r="T614" s="34"/>
      <c r="U614" s="34"/>
      <c r="V614" s="8"/>
      <c r="W614" t="s">
        <v>1917</v>
      </c>
      <c r="Y614" s="34"/>
      <c r="Z614"/>
      <c r="AA614"/>
      <c r="AE614"/>
      <c r="AF614"/>
      <c r="AG614"/>
      <c r="AH614"/>
    </row>
    <row r="615" spans="1:34" ht="15.75" customHeight="1" x14ac:dyDescent="0.15">
      <c r="A615" s="6">
        <v>609</v>
      </c>
      <c r="B615" s="18" t="s">
        <v>75</v>
      </c>
      <c r="C615" s="34" t="s">
        <v>57</v>
      </c>
      <c r="D615" s="75" t="s">
        <v>1918</v>
      </c>
      <c r="E615" s="2" t="s">
        <v>169</v>
      </c>
      <c r="F615">
        <v>15545</v>
      </c>
      <c r="G615" s="6">
        <v>21</v>
      </c>
      <c r="H615" s="6" t="s">
        <v>1919</v>
      </c>
      <c r="I615" s="34"/>
      <c r="J615" s="38" t="s">
        <v>171</v>
      </c>
      <c r="K615" s="38" t="s">
        <v>177</v>
      </c>
      <c r="L615" s="38" t="s">
        <v>173</v>
      </c>
      <c r="M615" s="38"/>
      <c r="N615" s="19"/>
      <c r="O615" s="76" t="s">
        <v>62</v>
      </c>
      <c r="P615" s="6" t="s">
        <v>62</v>
      </c>
      <c r="Q615" s="38" t="s">
        <v>62</v>
      </c>
      <c r="R615" s="38" t="s">
        <v>62</v>
      </c>
      <c r="S615" s="34"/>
      <c r="T615" s="34"/>
      <c r="U615" s="34"/>
      <c r="V615" s="8"/>
      <c r="W615" t="s">
        <v>1920</v>
      </c>
      <c r="Y615" s="34"/>
      <c r="Z615"/>
      <c r="AA615"/>
      <c r="AE615"/>
      <c r="AF615"/>
      <c r="AG615"/>
      <c r="AH615"/>
    </row>
    <row r="616" spans="1:34" ht="15.75" customHeight="1" x14ac:dyDescent="0.15">
      <c r="A616" s="6">
        <v>610</v>
      </c>
      <c r="B616" s="18" t="s">
        <v>75</v>
      </c>
      <c r="C616" s="34" t="s">
        <v>57</v>
      </c>
      <c r="D616" s="75" t="s">
        <v>1921</v>
      </c>
      <c r="E616" s="2" t="s">
        <v>169</v>
      </c>
      <c r="F616">
        <v>15545</v>
      </c>
      <c r="G616" s="6">
        <v>22</v>
      </c>
      <c r="H616" s="6" t="s">
        <v>1922</v>
      </c>
      <c r="I616" s="34"/>
      <c r="J616" s="38" t="s">
        <v>171</v>
      </c>
      <c r="K616" s="38" t="s">
        <v>177</v>
      </c>
      <c r="L616" s="38" t="s">
        <v>173</v>
      </c>
      <c r="M616" s="38"/>
      <c r="N616" s="19"/>
      <c r="O616" s="76" t="s">
        <v>62</v>
      </c>
      <c r="P616" s="6" t="s">
        <v>62</v>
      </c>
      <c r="Q616" s="38" t="s">
        <v>62</v>
      </c>
      <c r="R616" s="38" t="s">
        <v>62</v>
      </c>
      <c r="S616" s="34"/>
      <c r="T616" s="34"/>
      <c r="U616" s="34"/>
      <c r="V616" s="8"/>
      <c r="W616" t="s">
        <v>1923</v>
      </c>
      <c r="Y616" s="34"/>
      <c r="Z616"/>
      <c r="AA616"/>
      <c r="AE616"/>
      <c r="AF616"/>
      <c r="AG616"/>
      <c r="AH616"/>
    </row>
    <row r="617" spans="1:34" ht="15.75" customHeight="1" x14ac:dyDescent="0.15">
      <c r="A617" s="6">
        <v>611</v>
      </c>
      <c r="B617" s="18" t="s">
        <v>75</v>
      </c>
      <c r="C617" s="34" t="s">
        <v>57</v>
      </c>
      <c r="D617" s="75" t="s">
        <v>1924</v>
      </c>
      <c r="E617" s="2" t="s">
        <v>169</v>
      </c>
      <c r="F617">
        <v>15545</v>
      </c>
      <c r="G617" s="6">
        <v>23</v>
      </c>
      <c r="H617" s="6" t="s">
        <v>1925</v>
      </c>
      <c r="I617" s="34"/>
      <c r="J617" s="38" t="s">
        <v>171</v>
      </c>
      <c r="K617" s="38" t="s">
        <v>177</v>
      </c>
      <c r="L617" s="38" t="s">
        <v>173</v>
      </c>
      <c r="M617" s="38"/>
      <c r="N617" s="19"/>
      <c r="O617" s="76" t="s">
        <v>62</v>
      </c>
      <c r="P617" s="6" t="s">
        <v>62</v>
      </c>
      <c r="Q617" s="38" t="s">
        <v>62</v>
      </c>
      <c r="R617" s="38" t="s">
        <v>62</v>
      </c>
      <c r="S617" s="34"/>
      <c r="T617" s="34"/>
      <c r="U617" s="34"/>
      <c r="V617" s="8"/>
      <c r="W617" t="s">
        <v>1926</v>
      </c>
      <c r="Y617" s="34"/>
      <c r="Z617"/>
      <c r="AA617"/>
      <c r="AE617"/>
      <c r="AF617"/>
      <c r="AG617"/>
      <c r="AH617"/>
    </row>
    <row r="618" spans="1:34" ht="15.75" customHeight="1" x14ac:dyDescent="0.15">
      <c r="A618" s="6">
        <v>612</v>
      </c>
      <c r="B618" s="18" t="s">
        <v>75</v>
      </c>
      <c r="C618" s="34" t="s">
        <v>57</v>
      </c>
      <c r="D618" s="75" t="s">
        <v>1927</v>
      </c>
      <c r="E618" s="2" t="s">
        <v>169</v>
      </c>
      <c r="F618">
        <v>15545</v>
      </c>
      <c r="G618" s="6">
        <v>24</v>
      </c>
      <c r="H618" s="6" t="s">
        <v>1928</v>
      </c>
      <c r="I618" s="34"/>
      <c r="J618" s="38" t="s">
        <v>171</v>
      </c>
      <c r="K618" s="38" t="s">
        <v>177</v>
      </c>
      <c r="L618" s="38" t="s">
        <v>173</v>
      </c>
      <c r="M618" s="38"/>
      <c r="N618" s="19"/>
      <c r="O618" s="76" t="s">
        <v>62</v>
      </c>
      <c r="P618" s="6" t="s">
        <v>62</v>
      </c>
      <c r="Q618" s="38" t="s">
        <v>62</v>
      </c>
      <c r="R618" s="38" t="s">
        <v>62</v>
      </c>
      <c r="S618" s="34"/>
      <c r="T618" s="34"/>
      <c r="U618" s="34"/>
      <c r="V618" s="8"/>
      <c r="W618" t="s">
        <v>1929</v>
      </c>
      <c r="Y618" s="34"/>
      <c r="Z618"/>
      <c r="AA618"/>
      <c r="AE618"/>
      <c r="AF618"/>
      <c r="AG618"/>
      <c r="AH618"/>
    </row>
    <row r="619" spans="1:34" ht="15.75" customHeight="1" x14ac:dyDescent="0.15">
      <c r="A619" s="6">
        <v>613</v>
      </c>
      <c r="B619" s="18" t="s">
        <v>75</v>
      </c>
      <c r="C619" s="34" t="s">
        <v>57</v>
      </c>
      <c r="D619" s="75" t="s">
        <v>1930</v>
      </c>
      <c r="E619" s="2" t="s">
        <v>169</v>
      </c>
      <c r="F619">
        <v>15545</v>
      </c>
      <c r="G619" s="6">
        <v>25</v>
      </c>
      <c r="H619" s="6" t="s">
        <v>1931</v>
      </c>
      <c r="I619" s="34"/>
      <c r="J619" s="38" t="s">
        <v>171</v>
      </c>
      <c r="K619" s="38" t="s">
        <v>177</v>
      </c>
      <c r="L619" s="38" t="s">
        <v>173</v>
      </c>
      <c r="M619" s="38"/>
      <c r="N619" s="19"/>
      <c r="O619" s="76" t="s">
        <v>62</v>
      </c>
      <c r="P619" s="6" t="s">
        <v>62</v>
      </c>
      <c r="Q619" s="38" t="s">
        <v>62</v>
      </c>
      <c r="R619" s="38" t="s">
        <v>62</v>
      </c>
      <c r="S619" s="34"/>
      <c r="T619" s="34"/>
      <c r="U619" s="34"/>
      <c r="V619" s="8"/>
      <c r="W619" t="s">
        <v>1932</v>
      </c>
      <c r="Y619" s="34"/>
      <c r="Z619"/>
      <c r="AA619"/>
      <c r="AE619"/>
      <c r="AF619"/>
      <c r="AG619"/>
      <c r="AH619"/>
    </row>
    <row r="620" spans="1:34" ht="15.75" customHeight="1" x14ac:dyDescent="0.15">
      <c r="A620" s="6">
        <v>614</v>
      </c>
      <c r="B620" s="18" t="s">
        <v>75</v>
      </c>
      <c r="C620" s="34" t="s">
        <v>57</v>
      </c>
      <c r="D620" s="75" t="s">
        <v>1933</v>
      </c>
      <c r="E620" s="2" t="s">
        <v>169</v>
      </c>
      <c r="F620">
        <v>15545</v>
      </c>
      <c r="G620" s="6">
        <v>26</v>
      </c>
      <c r="H620" s="6" t="s">
        <v>1934</v>
      </c>
      <c r="I620" s="34"/>
      <c r="J620" s="38" t="s">
        <v>171</v>
      </c>
      <c r="K620" s="38" t="s">
        <v>177</v>
      </c>
      <c r="L620" s="38" t="s">
        <v>173</v>
      </c>
      <c r="M620" s="38"/>
      <c r="N620" s="19"/>
      <c r="O620" s="76" t="s">
        <v>62</v>
      </c>
      <c r="P620" s="6" t="s">
        <v>62</v>
      </c>
      <c r="Q620" s="38" t="s">
        <v>62</v>
      </c>
      <c r="R620" s="38" t="s">
        <v>62</v>
      </c>
      <c r="S620" s="34"/>
      <c r="T620" s="34"/>
      <c r="U620" s="34"/>
      <c r="V620" s="8"/>
      <c r="W620" t="s">
        <v>1935</v>
      </c>
      <c r="Y620" s="34"/>
      <c r="Z620"/>
      <c r="AA620"/>
      <c r="AE620"/>
      <c r="AF620"/>
      <c r="AG620"/>
      <c r="AH620"/>
    </row>
    <row r="621" spans="1:34" ht="15.75" customHeight="1" x14ac:dyDescent="0.15">
      <c r="A621" s="6">
        <v>615</v>
      </c>
      <c r="B621" s="18" t="s">
        <v>75</v>
      </c>
      <c r="C621" s="34" t="s">
        <v>57</v>
      </c>
      <c r="D621" s="75" t="s">
        <v>1936</v>
      </c>
      <c r="E621" s="2" t="s">
        <v>169</v>
      </c>
      <c r="F621">
        <v>15545</v>
      </c>
      <c r="G621" s="6">
        <v>27</v>
      </c>
      <c r="H621" s="6" t="s">
        <v>1937</v>
      </c>
      <c r="I621" s="34"/>
      <c r="J621" s="38" t="s">
        <v>171</v>
      </c>
      <c r="K621" s="38" t="s">
        <v>177</v>
      </c>
      <c r="L621" s="38" t="s">
        <v>173</v>
      </c>
      <c r="M621" s="38"/>
      <c r="N621" s="19"/>
      <c r="O621" s="76" t="s">
        <v>62</v>
      </c>
      <c r="P621" s="6" t="s">
        <v>62</v>
      </c>
      <c r="Q621" s="38" t="s">
        <v>62</v>
      </c>
      <c r="R621" s="38" t="s">
        <v>62</v>
      </c>
      <c r="S621" s="34"/>
      <c r="T621" s="34"/>
      <c r="U621" s="34"/>
      <c r="V621" s="8"/>
      <c r="W621" t="s">
        <v>1938</v>
      </c>
      <c r="Y621" s="34"/>
      <c r="Z621"/>
      <c r="AA621"/>
      <c r="AE621"/>
      <c r="AF621"/>
      <c r="AG621"/>
      <c r="AH621"/>
    </row>
    <row r="622" spans="1:34" s="59" customFormat="1" ht="15.75" customHeight="1" x14ac:dyDescent="0.15">
      <c r="A622" s="6">
        <v>616</v>
      </c>
      <c r="B622" s="18" t="s">
        <v>75</v>
      </c>
      <c r="C622" s="34" t="s">
        <v>57</v>
      </c>
      <c r="D622" s="75" t="s">
        <v>1939</v>
      </c>
      <c r="E622" s="2" t="s">
        <v>169</v>
      </c>
      <c r="F622">
        <v>15545</v>
      </c>
      <c r="G622" s="6">
        <v>28</v>
      </c>
      <c r="H622" s="6" t="s">
        <v>1940</v>
      </c>
      <c r="I622" s="34"/>
      <c r="J622" s="38" t="s">
        <v>171</v>
      </c>
      <c r="K622" s="38" t="s">
        <v>177</v>
      </c>
      <c r="L622" s="38" t="s">
        <v>173</v>
      </c>
      <c r="M622" s="38"/>
      <c r="N622" s="19"/>
      <c r="O622" s="76" t="s">
        <v>62</v>
      </c>
      <c r="P622" s="6" t="s">
        <v>62</v>
      </c>
      <c r="Q622" s="38" t="s">
        <v>62</v>
      </c>
      <c r="R622" s="38" t="s">
        <v>62</v>
      </c>
      <c r="S622" s="34"/>
      <c r="T622" s="34"/>
      <c r="U622" s="34"/>
      <c r="V622" s="8"/>
      <c r="W622" t="s">
        <v>1941</v>
      </c>
      <c r="X622"/>
      <c r="Y622" s="34"/>
    </row>
    <row r="623" spans="1:34" ht="15.75" customHeight="1" x14ac:dyDescent="0.15">
      <c r="A623" s="6">
        <v>617</v>
      </c>
      <c r="B623" s="18" t="s">
        <v>75</v>
      </c>
      <c r="C623" s="34" t="s">
        <v>57</v>
      </c>
      <c r="D623" s="75" t="s">
        <v>1942</v>
      </c>
      <c r="E623" s="2" t="s">
        <v>169</v>
      </c>
      <c r="F623">
        <v>15545</v>
      </c>
      <c r="G623" s="6">
        <v>29</v>
      </c>
      <c r="H623" s="6" t="s">
        <v>1943</v>
      </c>
      <c r="I623" s="34"/>
      <c r="J623" s="38" t="s">
        <v>171</v>
      </c>
      <c r="K623" s="38" t="s">
        <v>177</v>
      </c>
      <c r="L623" s="38" t="s">
        <v>173</v>
      </c>
      <c r="M623" s="38"/>
      <c r="N623" s="19"/>
      <c r="O623" s="76" t="s">
        <v>62</v>
      </c>
      <c r="P623" s="6" t="s">
        <v>62</v>
      </c>
      <c r="Q623" s="38" t="s">
        <v>62</v>
      </c>
      <c r="R623" s="38" t="s">
        <v>62</v>
      </c>
      <c r="S623" s="34"/>
      <c r="T623" s="34"/>
      <c r="U623" s="34"/>
      <c r="V623" s="8"/>
      <c r="W623" t="s">
        <v>1944</v>
      </c>
      <c r="Y623" s="34"/>
      <c r="Z623"/>
      <c r="AA623"/>
      <c r="AE623"/>
      <c r="AF623"/>
      <c r="AG623"/>
      <c r="AH623"/>
    </row>
    <row r="624" spans="1:34" ht="15.75" customHeight="1" x14ac:dyDescent="0.15">
      <c r="A624" s="6">
        <v>618</v>
      </c>
      <c r="B624" s="18" t="s">
        <v>75</v>
      </c>
      <c r="C624" s="34" t="s">
        <v>57</v>
      </c>
      <c r="D624" s="75" t="s">
        <v>1945</v>
      </c>
      <c r="E624" s="2" t="s">
        <v>219</v>
      </c>
      <c r="F624">
        <v>15547</v>
      </c>
      <c r="G624" s="6"/>
      <c r="H624" s="6" t="s">
        <v>1946</v>
      </c>
      <c r="I624" s="34"/>
      <c r="J624" s="38"/>
      <c r="K624" s="38"/>
      <c r="L624" s="38"/>
      <c r="M624" s="38"/>
      <c r="N624" s="19"/>
      <c r="O624" s="76" t="s">
        <v>62</v>
      </c>
      <c r="P624" s="6" t="s">
        <v>62</v>
      </c>
      <c r="Q624" s="38" t="s">
        <v>62</v>
      </c>
      <c r="R624" s="38" t="s">
        <v>62</v>
      </c>
      <c r="S624" s="34"/>
      <c r="T624" s="34"/>
      <c r="U624" s="34"/>
      <c r="V624" s="8"/>
      <c r="W624" t="s">
        <v>1947</v>
      </c>
      <c r="Y624" s="34"/>
      <c r="Z624"/>
      <c r="AA624"/>
      <c r="AE624"/>
      <c r="AF624"/>
      <c r="AG624"/>
      <c r="AH624"/>
    </row>
    <row r="625" spans="1:34" ht="15.75" customHeight="1" x14ac:dyDescent="0.15">
      <c r="A625" s="6">
        <v>619</v>
      </c>
      <c r="B625" s="18" t="s">
        <v>75</v>
      </c>
      <c r="C625" s="34" t="s">
        <v>57</v>
      </c>
      <c r="D625" s="75" t="s">
        <v>1948</v>
      </c>
      <c r="E625" s="2" t="s">
        <v>169</v>
      </c>
      <c r="F625">
        <v>15547</v>
      </c>
      <c r="G625" s="6">
        <v>0</v>
      </c>
      <c r="H625" s="6" t="s">
        <v>1949</v>
      </c>
      <c r="I625" s="34"/>
      <c r="J625" s="38" t="s">
        <v>171</v>
      </c>
      <c r="K625" s="38" t="s">
        <v>177</v>
      </c>
      <c r="L625" s="38" t="s">
        <v>173</v>
      </c>
      <c r="M625" s="38"/>
      <c r="N625" s="19"/>
      <c r="O625" s="76" t="s">
        <v>62</v>
      </c>
      <c r="P625" s="6" t="s">
        <v>62</v>
      </c>
      <c r="Q625" s="38" t="s">
        <v>62</v>
      </c>
      <c r="R625" s="38" t="s">
        <v>62</v>
      </c>
      <c r="S625" s="34"/>
      <c r="T625" s="34"/>
      <c r="U625" s="34"/>
      <c r="V625" s="8"/>
      <c r="W625" t="s">
        <v>1950</v>
      </c>
      <c r="Y625" s="34"/>
      <c r="Z625"/>
      <c r="AA625"/>
      <c r="AE625"/>
      <c r="AF625"/>
      <c r="AG625"/>
      <c r="AH625"/>
    </row>
    <row r="626" spans="1:34" s="55" customFormat="1" ht="15.75" customHeight="1" x14ac:dyDescent="0.15">
      <c r="A626" s="6">
        <v>620</v>
      </c>
      <c r="B626" s="18" t="s">
        <v>75</v>
      </c>
      <c r="C626" s="34" t="s">
        <v>57</v>
      </c>
      <c r="D626" s="75" t="s">
        <v>1951</v>
      </c>
      <c r="E626" s="2" t="s">
        <v>169</v>
      </c>
      <c r="F626">
        <v>15547</v>
      </c>
      <c r="G626" s="6">
        <v>1</v>
      </c>
      <c r="H626" s="6" t="s">
        <v>1952</v>
      </c>
      <c r="I626" s="34"/>
      <c r="J626" s="38" t="s">
        <v>171</v>
      </c>
      <c r="K626" s="38" t="s">
        <v>177</v>
      </c>
      <c r="L626" s="38" t="s">
        <v>173</v>
      </c>
      <c r="M626" s="38"/>
      <c r="N626" s="19"/>
      <c r="O626" s="76" t="s">
        <v>62</v>
      </c>
      <c r="P626" s="6" t="s">
        <v>62</v>
      </c>
      <c r="Q626" s="38" t="s">
        <v>62</v>
      </c>
      <c r="R626" s="38" t="s">
        <v>62</v>
      </c>
      <c r="S626" s="34"/>
      <c r="T626" s="34"/>
      <c r="U626" s="34"/>
      <c r="V626" s="8"/>
      <c r="W626" t="s">
        <v>1953</v>
      </c>
      <c r="X626"/>
      <c r="Y626" s="34"/>
    </row>
    <row r="627" spans="1:34" s="55" customFormat="1" ht="15.75" customHeight="1" x14ac:dyDescent="0.15">
      <c r="A627" s="6">
        <v>621</v>
      </c>
      <c r="B627" s="18" t="s">
        <v>75</v>
      </c>
      <c r="C627" s="34" t="s">
        <v>57</v>
      </c>
      <c r="D627" s="75" t="s">
        <v>1954</v>
      </c>
      <c r="E627" s="2" t="s">
        <v>169</v>
      </c>
      <c r="F627">
        <v>15547</v>
      </c>
      <c r="G627" s="6">
        <v>2</v>
      </c>
      <c r="H627" s="6" t="s">
        <v>1955</v>
      </c>
      <c r="I627" s="34"/>
      <c r="J627" s="38" t="s">
        <v>171</v>
      </c>
      <c r="K627" s="38" t="s">
        <v>177</v>
      </c>
      <c r="L627" s="38" t="s">
        <v>173</v>
      </c>
      <c r="M627" s="38"/>
      <c r="N627" s="19"/>
      <c r="O627" s="76" t="s">
        <v>62</v>
      </c>
      <c r="P627" s="6" t="s">
        <v>62</v>
      </c>
      <c r="Q627" s="38" t="s">
        <v>62</v>
      </c>
      <c r="R627" s="38" t="s">
        <v>62</v>
      </c>
      <c r="S627" s="34"/>
      <c r="T627" s="34"/>
      <c r="U627" s="34"/>
      <c r="V627" s="8"/>
      <c r="W627" t="s">
        <v>1956</v>
      </c>
      <c r="X627"/>
      <c r="Y627" s="34"/>
    </row>
    <row r="628" spans="1:34" s="55" customFormat="1" ht="15.75" customHeight="1" x14ac:dyDescent="0.15">
      <c r="A628" s="6">
        <v>622</v>
      </c>
      <c r="B628" s="18" t="s">
        <v>75</v>
      </c>
      <c r="C628" s="34" t="s">
        <v>57</v>
      </c>
      <c r="D628" s="75" t="s">
        <v>1957</v>
      </c>
      <c r="E628" s="2" t="s">
        <v>169</v>
      </c>
      <c r="F628">
        <v>15547</v>
      </c>
      <c r="G628" s="6">
        <v>3</v>
      </c>
      <c r="H628" s="6" t="s">
        <v>1958</v>
      </c>
      <c r="I628" s="34"/>
      <c r="J628" s="38" t="s">
        <v>171</v>
      </c>
      <c r="K628" s="38" t="s">
        <v>177</v>
      </c>
      <c r="L628" s="38" t="s">
        <v>173</v>
      </c>
      <c r="M628" s="38"/>
      <c r="N628" s="19"/>
      <c r="O628" s="76" t="s">
        <v>62</v>
      </c>
      <c r="P628" s="6" t="s">
        <v>62</v>
      </c>
      <c r="Q628" s="38" t="s">
        <v>62</v>
      </c>
      <c r="R628" s="38" t="s">
        <v>62</v>
      </c>
      <c r="S628" s="34"/>
      <c r="T628" s="34"/>
      <c r="U628" s="34"/>
      <c r="V628" s="8"/>
      <c r="W628" t="s">
        <v>1959</v>
      </c>
      <c r="X628"/>
      <c r="Y628" s="34"/>
    </row>
    <row r="629" spans="1:34" s="55" customFormat="1" ht="15.75" customHeight="1" x14ac:dyDescent="0.15">
      <c r="A629" s="6">
        <v>623</v>
      </c>
      <c r="B629" s="18" t="s">
        <v>75</v>
      </c>
      <c r="C629" s="34" t="s">
        <v>57</v>
      </c>
      <c r="D629" s="75" t="s">
        <v>1960</v>
      </c>
      <c r="E629" s="2" t="s">
        <v>169</v>
      </c>
      <c r="F629">
        <v>15547</v>
      </c>
      <c r="G629" s="6">
        <v>4</v>
      </c>
      <c r="H629" s="6" t="s">
        <v>1961</v>
      </c>
      <c r="I629" s="34"/>
      <c r="J629" s="38" t="s">
        <v>171</v>
      </c>
      <c r="K629" s="38" t="s">
        <v>177</v>
      </c>
      <c r="L629" s="38" t="s">
        <v>173</v>
      </c>
      <c r="M629" s="38"/>
      <c r="N629" s="19"/>
      <c r="O629" s="76" t="s">
        <v>62</v>
      </c>
      <c r="P629" s="6" t="s">
        <v>62</v>
      </c>
      <c r="Q629" s="38" t="s">
        <v>62</v>
      </c>
      <c r="R629" s="38" t="s">
        <v>62</v>
      </c>
      <c r="S629" s="34"/>
      <c r="T629" s="34"/>
      <c r="U629" s="34"/>
      <c r="V629" s="8"/>
      <c r="W629" t="s">
        <v>1962</v>
      </c>
      <c r="X629"/>
      <c r="Y629" s="34"/>
    </row>
    <row r="630" spans="1:34" ht="15.75" customHeight="1" x14ac:dyDescent="0.15">
      <c r="A630" s="6">
        <v>624</v>
      </c>
      <c r="B630" s="18" t="s">
        <v>75</v>
      </c>
      <c r="C630" s="34" t="s">
        <v>57</v>
      </c>
      <c r="D630" s="75" t="s">
        <v>1963</v>
      </c>
      <c r="E630" s="2" t="s">
        <v>169</v>
      </c>
      <c r="F630">
        <v>15547</v>
      </c>
      <c r="G630" s="6">
        <v>5</v>
      </c>
      <c r="H630" s="6" t="s">
        <v>1964</v>
      </c>
      <c r="I630" s="34"/>
      <c r="J630" s="38" t="s">
        <v>171</v>
      </c>
      <c r="K630" s="38" t="s">
        <v>177</v>
      </c>
      <c r="L630" s="38" t="s">
        <v>173</v>
      </c>
      <c r="M630" s="38"/>
      <c r="N630" s="19"/>
      <c r="O630" s="76" t="s">
        <v>62</v>
      </c>
      <c r="P630" s="6" t="s">
        <v>62</v>
      </c>
      <c r="Q630" s="38" t="s">
        <v>62</v>
      </c>
      <c r="R630" s="38" t="s">
        <v>62</v>
      </c>
      <c r="S630" s="34"/>
      <c r="T630" s="34"/>
      <c r="U630" s="34"/>
      <c r="V630" s="8"/>
      <c r="W630" t="s">
        <v>1965</v>
      </c>
      <c r="Y630" s="34"/>
      <c r="Z630"/>
      <c r="AA630"/>
      <c r="AE630"/>
      <c r="AF630"/>
      <c r="AG630"/>
      <c r="AH630"/>
    </row>
    <row r="631" spans="1:34" ht="15.75" customHeight="1" x14ac:dyDescent="0.15">
      <c r="A631" s="6">
        <v>625</v>
      </c>
      <c r="B631" s="18" t="s">
        <v>75</v>
      </c>
      <c r="C631" s="34" t="s">
        <v>57</v>
      </c>
      <c r="D631" s="75" t="s">
        <v>1966</v>
      </c>
      <c r="E631" s="2" t="s">
        <v>169</v>
      </c>
      <c r="F631">
        <v>15547</v>
      </c>
      <c r="G631" s="6">
        <v>6</v>
      </c>
      <c r="H631" s="6" t="s">
        <v>1967</v>
      </c>
      <c r="I631" s="34"/>
      <c r="J631" s="38" t="s">
        <v>171</v>
      </c>
      <c r="K631" s="38" t="s">
        <v>177</v>
      </c>
      <c r="L631" s="38" t="s">
        <v>173</v>
      </c>
      <c r="M631" s="38"/>
      <c r="N631" s="19"/>
      <c r="O631" s="76" t="s">
        <v>62</v>
      </c>
      <c r="P631" s="6" t="s">
        <v>62</v>
      </c>
      <c r="Q631" s="38" t="s">
        <v>62</v>
      </c>
      <c r="R631" s="38" t="s">
        <v>62</v>
      </c>
      <c r="S631" s="34"/>
      <c r="T631" s="34"/>
      <c r="U631" s="34"/>
      <c r="V631" s="8"/>
      <c r="W631" t="s">
        <v>1968</v>
      </c>
      <c r="Y631" s="34"/>
      <c r="Z631"/>
      <c r="AA631"/>
      <c r="AE631"/>
      <c r="AF631"/>
      <c r="AG631"/>
      <c r="AH631"/>
    </row>
    <row r="632" spans="1:34" s="59" customFormat="1" ht="15.75" customHeight="1" x14ac:dyDescent="0.15">
      <c r="A632" s="6">
        <v>626</v>
      </c>
      <c r="B632" s="18" t="s">
        <v>75</v>
      </c>
      <c r="C632" s="34" t="s">
        <v>57</v>
      </c>
      <c r="D632" s="75" t="s">
        <v>1969</v>
      </c>
      <c r="E632" s="2" t="s">
        <v>169</v>
      </c>
      <c r="F632">
        <v>15547</v>
      </c>
      <c r="G632" s="6">
        <v>7</v>
      </c>
      <c r="H632" s="6" t="s">
        <v>1970</v>
      </c>
      <c r="I632" s="34"/>
      <c r="J632" s="38" t="s">
        <v>171</v>
      </c>
      <c r="K632" s="38" t="s">
        <v>177</v>
      </c>
      <c r="L632" s="38" t="s">
        <v>173</v>
      </c>
      <c r="M632" s="38"/>
      <c r="N632" s="19"/>
      <c r="O632" s="76" t="s">
        <v>62</v>
      </c>
      <c r="P632" s="6" t="s">
        <v>62</v>
      </c>
      <c r="Q632" s="38" t="s">
        <v>62</v>
      </c>
      <c r="R632" s="38" t="s">
        <v>62</v>
      </c>
      <c r="S632" s="34"/>
      <c r="T632" s="34"/>
      <c r="U632" s="34"/>
      <c r="V632" s="8"/>
      <c r="W632" t="s">
        <v>1971</v>
      </c>
      <c r="X632"/>
      <c r="Y632" s="34"/>
    </row>
    <row r="633" spans="1:34" s="55" customFormat="1" ht="15.75" customHeight="1" x14ac:dyDescent="0.15">
      <c r="A633" s="6">
        <v>627</v>
      </c>
      <c r="B633" s="18" t="s">
        <v>75</v>
      </c>
      <c r="C633" s="34" t="s">
        <v>57</v>
      </c>
      <c r="D633" s="75" t="s">
        <v>1972</v>
      </c>
      <c r="E633" s="2" t="s">
        <v>169</v>
      </c>
      <c r="F633">
        <v>15547</v>
      </c>
      <c r="G633" s="6">
        <v>8</v>
      </c>
      <c r="H633" s="6" t="s">
        <v>1973</v>
      </c>
      <c r="I633" s="34"/>
      <c r="J633" s="38" t="s">
        <v>171</v>
      </c>
      <c r="K633" s="38" t="s">
        <v>177</v>
      </c>
      <c r="L633" s="38" t="s">
        <v>173</v>
      </c>
      <c r="M633" s="38"/>
      <c r="N633" s="19"/>
      <c r="O633" s="76" t="s">
        <v>62</v>
      </c>
      <c r="P633" s="6" t="s">
        <v>62</v>
      </c>
      <c r="Q633" s="38" t="s">
        <v>62</v>
      </c>
      <c r="R633" s="38" t="s">
        <v>62</v>
      </c>
      <c r="S633" s="34"/>
      <c r="T633" s="34"/>
      <c r="U633" s="34"/>
      <c r="V633" s="8"/>
      <c r="W633" t="s">
        <v>1974</v>
      </c>
      <c r="X633"/>
      <c r="Y633" s="34"/>
    </row>
    <row r="634" spans="1:34" s="59" customFormat="1" ht="15.75" customHeight="1" x14ac:dyDescent="0.15">
      <c r="A634" s="6">
        <v>628</v>
      </c>
      <c r="B634" s="18" t="s">
        <v>75</v>
      </c>
      <c r="C634" s="34" t="s">
        <v>57</v>
      </c>
      <c r="D634" s="75" t="s">
        <v>1975</v>
      </c>
      <c r="E634" s="2" t="s">
        <v>169</v>
      </c>
      <c r="F634">
        <v>15547</v>
      </c>
      <c r="G634" s="6">
        <v>9</v>
      </c>
      <c r="H634" s="6" t="s">
        <v>1976</v>
      </c>
      <c r="I634" s="34"/>
      <c r="J634" s="38" t="s">
        <v>171</v>
      </c>
      <c r="K634" s="38" t="s">
        <v>177</v>
      </c>
      <c r="L634" s="38" t="s">
        <v>173</v>
      </c>
      <c r="M634" s="38"/>
      <c r="N634" s="19"/>
      <c r="O634" s="76" t="s">
        <v>62</v>
      </c>
      <c r="P634" s="6" t="s">
        <v>62</v>
      </c>
      <c r="Q634" s="38" t="s">
        <v>62</v>
      </c>
      <c r="R634" s="38" t="s">
        <v>62</v>
      </c>
      <c r="S634" s="34"/>
      <c r="T634" s="34"/>
      <c r="U634" s="34"/>
      <c r="V634" s="8"/>
      <c r="W634" t="s">
        <v>1977</v>
      </c>
      <c r="X634"/>
      <c r="Y634" s="34"/>
    </row>
    <row r="635" spans="1:34" s="59" customFormat="1" ht="15.75" customHeight="1" x14ac:dyDescent="0.15">
      <c r="A635" s="6">
        <v>629</v>
      </c>
      <c r="B635" s="18" t="s">
        <v>75</v>
      </c>
      <c r="C635" s="34" t="s">
        <v>57</v>
      </c>
      <c r="D635" s="75" t="s">
        <v>1978</v>
      </c>
      <c r="E635" s="2" t="s">
        <v>169</v>
      </c>
      <c r="F635">
        <v>15547</v>
      </c>
      <c r="G635" s="6">
        <v>10</v>
      </c>
      <c r="H635" s="6" t="s">
        <v>1979</v>
      </c>
      <c r="I635" s="34"/>
      <c r="J635" s="38" t="s">
        <v>171</v>
      </c>
      <c r="K635" s="38" t="s">
        <v>177</v>
      </c>
      <c r="L635" s="38" t="s">
        <v>173</v>
      </c>
      <c r="M635" s="38"/>
      <c r="N635" s="19"/>
      <c r="O635" s="76" t="s">
        <v>62</v>
      </c>
      <c r="P635" s="6" t="s">
        <v>62</v>
      </c>
      <c r="Q635" s="38" t="s">
        <v>62</v>
      </c>
      <c r="R635" s="38" t="s">
        <v>62</v>
      </c>
      <c r="S635" s="34"/>
      <c r="T635" s="34"/>
      <c r="U635" s="34"/>
      <c r="V635" s="8"/>
      <c r="W635" t="s">
        <v>1980</v>
      </c>
      <c r="X635"/>
      <c r="Y635" s="34"/>
    </row>
    <row r="636" spans="1:34" s="55" customFormat="1" ht="15.75" customHeight="1" x14ac:dyDescent="0.15">
      <c r="A636" s="6">
        <v>630</v>
      </c>
      <c r="B636" s="18" t="s">
        <v>75</v>
      </c>
      <c r="C636" s="34" t="s">
        <v>57</v>
      </c>
      <c r="D636" s="75" t="s">
        <v>1981</v>
      </c>
      <c r="E636" s="2" t="s">
        <v>169</v>
      </c>
      <c r="F636">
        <v>15547</v>
      </c>
      <c r="G636" s="6">
        <v>11</v>
      </c>
      <c r="H636" s="6" t="s">
        <v>1982</v>
      </c>
      <c r="I636" s="34"/>
      <c r="J636" s="38" t="s">
        <v>171</v>
      </c>
      <c r="K636" s="38" t="s">
        <v>177</v>
      </c>
      <c r="L636" s="38" t="s">
        <v>173</v>
      </c>
      <c r="M636" s="38"/>
      <c r="N636" s="19"/>
      <c r="O636" s="76" t="s">
        <v>62</v>
      </c>
      <c r="P636" s="6" t="s">
        <v>62</v>
      </c>
      <c r="Q636" s="38" t="s">
        <v>62</v>
      </c>
      <c r="R636" s="38" t="s">
        <v>62</v>
      </c>
      <c r="S636" s="34"/>
      <c r="T636" s="34"/>
      <c r="U636" s="34"/>
      <c r="V636" s="8"/>
      <c r="W636" t="s">
        <v>1983</v>
      </c>
      <c r="X636"/>
      <c r="Y636" s="34"/>
    </row>
    <row r="637" spans="1:34" s="55" customFormat="1" ht="15.75" customHeight="1" x14ac:dyDescent="0.15">
      <c r="A637" s="6">
        <v>631</v>
      </c>
      <c r="B637" s="18" t="s">
        <v>75</v>
      </c>
      <c r="C637" s="34" t="s">
        <v>57</v>
      </c>
      <c r="D637" s="75" t="s">
        <v>1984</v>
      </c>
      <c r="E637" s="2" t="s">
        <v>169</v>
      </c>
      <c r="F637">
        <v>15547</v>
      </c>
      <c r="G637" s="6">
        <v>12</v>
      </c>
      <c r="H637" s="6" t="s">
        <v>1985</v>
      </c>
      <c r="I637" s="34"/>
      <c r="J637" s="38" t="s">
        <v>171</v>
      </c>
      <c r="K637" s="38" t="s">
        <v>177</v>
      </c>
      <c r="L637" s="38" t="s">
        <v>173</v>
      </c>
      <c r="M637" s="38"/>
      <c r="N637" s="19"/>
      <c r="O637" s="76" t="s">
        <v>62</v>
      </c>
      <c r="P637" s="6" t="s">
        <v>62</v>
      </c>
      <c r="Q637" s="38" t="s">
        <v>62</v>
      </c>
      <c r="R637" s="38" t="s">
        <v>62</v>
      </c>
      <c r="S637" s="34"/>
      <c r="T637" s="34"/>
      <c r="U637" s="34"/>
      <c r="V637" s="8"/>
      <c r="W637" t="s">
        <v>1986</v>
      </c>
      <c r="X637"/>
      <c r="Y637" s="34"/>
    </row>
    <row r="638" spans="1:34" s="55" customFormat="1" ht="15.75" customHeight="1" x14ac:dyDescent="0.15">
      <c r="A638" s="6">
        <v>632</v>
      </c>
      <c r="B638" s="18" t="s">
        <v>75</v>
      </c>
      <c r="C638" s="34" t="s">
        <v>57</v>
      </c>
      <c r="D638" s="75" t="s">
        <v>1987</v>
      </c>
      <c r="E638" s="2" t="s">
        <v>169</v>
      </c>
      <c r="F638">
        <v>15547</v>
      </c>
      <c r="G638" s="6">
        <v>13</v>
      </c>
      <c r="H638" s="6" t="s">
        <v>1988</v>
      </c>
      <c r="I638" s="34"/>
      <c r="J638" s="38" t="s">
        <v>171</v>
      </c>
      <c r="K638" s="38" t="s">
        <v>177</v>
      </c>
      <c r="L638" s="38" t="s">
        <v>173</v>
      </c>
      <c r="M638" s="38"/>
      <c r="N638" s="19"/>
      <c r="O638" s="76" t="s">
        <v>62</v>
      </c>
      <c r="P638" s="6" t="s">
        <v>62</v>
      </c>
      <c r="Q638" s="38" t="s">
        <v>62</v>
      </c>
      <c r="R638" s="38" t="s">
        <v>62</v>
      </c>
      <c r="S638" s="34"/>
      <c r="T638" s="34"/>
      <c r="U638" s="34"/>
      <c r="V638" s="8"/>
      <c r="W638" t="s">
        <v>1989</v>
      </c>
      <c r="X638"/>
      <c r="Y638" s="34"/>
    </row>
    <row r="639" spans="1:34" s="59" customFormat="1" ht="15.75" customHeight="1" x14ac:dyDescent="0.15">
      <c r="A639" s="6">
        <v>633</v>
      </c>
      <c r="B639" s="18" t="s">
        <v>75</v>
      </c>
      <c r="C639" s="34" t="s">
        <v>57</v>
      </c>
      <c r="D639" s="75" t="s">
        <v>1990</v>
      </c>
      <c r="E639" s="2" t="s">
        <v>169</v>
      </c>
      <c r="F639">
        <v>15547</v>
      </c>
      <c r="G639" s="6">
        <v>14</v>
      </c>
      <c r="H639" s="6" t="s">
        <v>1991</v>
      </c>
      <c r="I639" s="34"/>
      <c r="J639" s="38" t="s">
        <v>171</v>
      </c>
      <c r="K639" s="38" t="s">
        <v>177</v>
      </c>
      <c r="L639" s="38" t="s">
        <v>173</v>
      </c>
      <c r="M639" s="38"/>
      <c r="N639" s="19"/>
      <c r="O639" s="76" t="s">
        <v>62</v>
      </c>
      <c r="P639" s="6" t="s">
        <v>62</v>
      </c>
      <c r="Q639" s="38" t="s">
        <v>62</v>
      </c>
      <c r="R639" s="38" t="s">
        <v>62</v>
      </c>
      <c r="S639" s="34"/>
      <c r="T639" s="34"/>
      <c r="U639" s="34"/>
      <c r="V639" s="8"/>
      <c r="W639" t="s">
        <v>1992</v>
      </c>
      <c r="X639"/>
      <c r="Y639" s="34"/>
    </row>
    <row r="640" spans="1:34" s="59" customFormat="1" ht="15.75" customHeight="1" x14ac:dyDescent="0.15">
      <c r="A640" s="6">
        <v>634</v>
      </c>
      <c r="B640" s="18" t="s">
        <v>75</v>
      </c>
      <c r="C640" s="34" t="s">
        <v>57</v>
      </c>
      <c r="D640" s="75" t="s">
        <v>1993</v>
      </c>
      <c r="E640" s="2" t="s">
        <v>169</v>
      </c>
      <c r="F640">
        <v>15547</v>
      </c>
      <c r="G640" s="6">
        <v>15</v>
      </c>
      <c r="H640" s="6" t="s">
        <v>1994</v>
      </c>
      <c r="I640" s="34"/>
      <c r="J640" s="38" t="s">
        <v>171</v>
      </c>
      <c r="K640" s="38" t="s">
        <v>177</v>
      </c>
      <c r="L640" s="38" t="s">
        <v>173</v>
      </c>
      <c r="M640" s="38"/>
      <c r="N640" s="19"/>
      <c r="O640" s="76" t="s">
        <v>62</v>
      </c>
      <c r="P640" s="6" t="s">
        <v>62</v>
      </c>
      <c r="Q640" s="38" t="s">
        <v>62</v>
      </c>
      <c r="R640" s="38" t="s">
        <v>62</v>
      </c>
      <c r="S640" s="34"/>
      <c r="T640" s="34"/>
      <c r="U640" s="34"/>
      <c r="V640" s="8"/>
      <c r="W640" t="s">
        <v>1995</v>
      </c>
      <c r="X640"/>
      <c r="Y640" s="34"/>
    </row>
    <row r="641" spans="1:34" s="59" customFormat="1" ht="15.75" customHeight="1" x14ac:dyDescent="0.15">
      <c r="A641" s="6">
        <v>635</v>
      </c>
      <c r="B641" s="18" t="s">
        <v>75</v>
      </c>
      <c r="C641" s="34" t="s">
        <v>57</v>
      </c>
      <c r="D641" s="75" t="s">
        <v>1996</v>
      </c>
      <c r="E641" s="2" t="s">
        <v>169</v>
      </c>
      <c r="F641">
        <v>15547</v>
      </c>
      <c r="G641" s="6">
        <v>16</v>
      </c>
      <c r="H641" s="6" t="s">
        <v>1997</v>
      </c>
      <c r="I641" s="34"/>
      <c r="J641" s="38" t="s">
        <v>171</v>
      </c>
      <c r="K641" s="38" t="s">
        <v>177</v>
      </c>
      <c r="L641" s="38" t="s">
        <v>173</v>
      </c>
      <c r="M641" s="38"/>
      <c r="N641" s="19"/>
      <c r="O641" s="76" t="s">
        <v>62</v>
      </c>
      <c r="P641" s="6" t="s">
        <v>62</v>
      </c>
      <c r="Q641" s="38" t="s">
        <v>62</v>
      </c>
      <c r="R641" s="38" t="s">
        <v>62</v>
      </c>
      <c r="S641" s="34"/>
      <c r="T641" s="34"/>
      <c r="U641" s="34"/>
      <c r="V641" s="8"/>
      <c r="W641" t="s">
        <v>1998</v>
      </c>
      <c r="X641"/>
      <c r="Y641" s="34"/>
    </row>
    <row r="642" spans="1:34" s="59" customFormat="1" ht="15.75" customHeight="1" x14ac:dyDescent="0.15">
      <c r="A642" s="6">
        <v>636</v>
      </c>
      <c r="B642" s="18" t="s">
        <v>75</v>
      </c>
      <c r="C642" s="34" t="s">
        <v>57</v>
      </c>
      <c r="D642" s="75" t="s">
        <v>1999</v>
      </c>
      <c r="E642" s="2" t="s">
        <v>169</v>
      </c>
      <c r="F642">
        <v>15547</v>
      </c>
      <c r="G642" s="6">
        <v>17</v>
      </c>
      <c r="H642" s="6" t="s">
        <v>2000</v>
      </c>
      <c r="I642" s="34"/>
      <c r="J642" s="38" t="s">
        <v>171</v>
      </c>
      <c r="K642" s="38" t="s">
        <v>177</v>
      </c>
      <c r="L642" s="38" t="s">
        <v>173</v>
      </c>
      <c r="M642" s="38"/>
      <c r="N642" s="19"/>
      <c r="O642" s="76" t="s">
        <v>62</v>
      </c>
      <c r="P642" s="6" t="s">
        <v>62</v>
      </c>
      <c r="Q642" s="38" t="s">
        <v>62</v>
      </c>
      <c r="R642" s="38" t="s">
        <v>62</v>
      </c>
      <c r="S642" s="34"/>
      <c r="T642" s="34"/>
      <c r="U642" s="34"/>
      <c r="V642" s="8"/>
      <c r="W642" t="s">
        <v>2001</v>
      </c>
      <c r="X642"/>
      <c r="Y642" s="34"/>
    </row>
    <row r="643" spans="1:34" s="59" customFormat="1" ht="15.75" customHeight="1" x14ac:dyDescent="0.15">
      <c r="A643" s="6">
        <v>637</v>
      </c>
      <c r="B643" s="18" t="s">
        <v>75</v>
      </c>
      <c r="C643" s="34" t="s">
        <v>57</v>
      </c>
      <c r="D643" s="75" t="s">
        <v>2002</v>
      </c>
      <c r="E643" s="2" t="s">
        <v>169</v>
      </c>
      <c r="F643">
        <v>15547</v>
      </c>
      <c r="G643" s="6">
        <v>19</v>
      </c>
      <c r="H643" s="6" t="s">
        <v>2003</v>
      </c>
      <c r="I643" s="34"/>
      <c r="J643" s="38" t="s">
        <v>171</v>
      </c>
      <c r="K643" s="38" t="s">
        <v>177</v>
      </c>
      <c r="L643" s="38" t="s">
        <v>173</v>
      </c>
      <c r="M643" s="38"/>
      <c r="N643" s="19"/>
      <c r="O643" s="76" t="s">
        <v>62</v>
      </c>
      <c r="P643" s="6" t="s">
        <v>62</v>
      </c>
      <c r="Q643" s="38" t="s">
        <v>62</v>
      </c>
      <c r="R643" s="38" t="s">
        <v>62</v>
      </c>
      <c r="S643" s="34"/>
      <c r="T643" s="34"/>
      <c r="U643" s="34"/>
      <c r="V643" s="8"/>
      <c r="W643" t="s">
        <v>2004</v>
      </c>
      <c r="X643"/>
      <c r="Y643" s="34"/>
    </row>
    <row r="644" spans="1:34" s="59" customFormat="1" ht="15.75" customHeight="1" x14ac:dyDescent="0.15">
      <c r="A644" s="6">
        <v>638</v>
      </c>
      <c r="B644" s="18" t="s">
        <v>75</v>
      </c>
      <c r="C644" s="34" t="s">
        <v>57</v>
      </c>
      <c r="D644" s="75" t="s">
        <v>2005</v>
      </c>
      <c r="E644" s="2" t="s">
        <v>169</v>
      </c>
      <c r="F644">
        <v>15547</v>
      </c>
      <c r="G644" s="6">
        <v>20</v>
      </c>
      <c r="H644" s="6" t="s">
        <v>2006</v>
      </c>
      <c r="I644" s="34"/>
      <c r="J644" s="38" t="s">
        <v>171</v>
      </c>
      <c r="K644" s="38" t="s">
        <v>177</v>
      </c>
      <c r="L644" s="38" t="s">
        <v>173</v>
      </c>
      <c r="M644" s="38"/>
      <c r="N644" s="19"/>
      <c r="O644" s="76" t="s">
        <v>62</v>
      </c>
      <c r="P644" s="6" t="s">
        <v>62</v>
      </c>
      <c r="Q644" s="38" t="s">
        <v>62</v>
      </c>
      <c r="R644" s="38" t="s">
        <v>62</v>
      </c>
      <c r="S644" s="34"/>
      <c r="T644" s="34"/>
      <c r="U644" s="34"/>
      <c r="V644" s="8"/>
      <c r="W644" t="s">
        <v>2007</v>
      </c>
      <c r="X644"/>
      <c r="Y644" s="34"/>
    </row>
    <row r="645" spans="1:34" ht="15.75" customHeight="1" x14ac:dyDescent="0.15">
      <c r="A645" s="6">
        <v>639</v>
      </c>
      <c r="B645" s="18" t="s">
        <v>75</v>
      </c>
      <c r="C645" s="34" t="s">
        <v>57</v>
      </c>
      <c r="D645" s="75" t="s">
        <v>2008</v>
      </c>
      <c r="E645" s="2" t="s">
        <v>169</v>
      </c>
      <c r="F645">
        <v>15547</v>
      </c>
      <c r="G645" s="6">
        <v>21</v>
      </c>
      <c r="H645" s="6" t="s">
        <v>2009</v>
      </c>
      <c r="I645" s="34"/>
      <c r="J645" s="38" t="s">
        <v>171</v>
      </c>
      <c r="K645" s="38" t="s">
        <v>177</v>
      </c>
      <c r="L645" s="38" t="s">
        <v>173</v>
      </c>
      <c r="M645" s="38"/>
      <c r="N645" s="19"/>
      <c r="O645" s="76" t="s">
        <v>62</v>
      </c>
      <c r="P645" s="6" t="s">
        <v>62</v>
      </c>
      <c r="Q645" s="38" t="s">
        <v>62</v>
      </c>
      <c r="R645" s="38" t="s">
        <v>62</v>
      </c>
      <c r="S645" s="34"/>
      <c r="T645" s="34"/>
      <c r="U645" s="34"/>
      <c r="V645" s="8"/>
      <c r="W645" t="s">
        <v>2010</v>
      </c>
      <c r="Y645" s="34"/>
      <c r="Z645"/>
      <c r="AA645"/>
      <c r="AE645"/>
      <c r="AF645"/>
      <c r="AG645"/>
      <c r="AH645"/>
    </row>
    <row r="646" spans="1:34" s="64" customFormat="1" ht="15.75" customHeight="1" x14ac:dyDescent="0.15">
      <c r="A646" s="6">
        <v>640</v>
      </c>
      <c r="B646" s="18" t="s">
        <v>75</v>
      </c>
      <c r="C646" s="34" t="s">
        <v>57</v>
      </c>
      <c r="D646" s="75" t="s">
        <v>2011</v>
      </c>
      <c r="E646" s="2" t="s">
        <v>169</v>
      </c>
      <c r="F646">
        <v>15547</v>
      </c>
      <c r="G646" s="6">
        <v>22</v>
      </c>
      <c r="H646" s="6" t="s">
        <v>2012</v>
      </c>
      <c r="I646" s="34"/>
      <c r="J646" s="38" t="s">
        <v>171</v>
      </c>
      <c r="K646" s="38" t="s">
        <v>177</v>
      </c>
      <c r="L646" s="38" t="s">
        <v>173</v>
      </c>
      <c r="M646" s="38"/>
      <c r="N646" s="19"/>
      <c r="O646" s="76" t="s">
        <v>62</v>
      </c>
      <c r="P646" s="6" t="s">
        <v>62</v>
      </c>
      <c r="Q646" s="38" t="s">
        <v>62</v>
      </c>
      <c r="R646" s="38" t="s">
        <v>62</v>
      </c>
      <c r="S646" s="34"/>
      <c r="T646" s="34"/>
      <c r="U646" s="34"/>
      <c r="V646" s="8"/>
      <c r="W646" t="s">
        <v>2013</v>
      </c>
      <c r="X646"/>
      <c r="Y646" s="34"/>
    </row>
    <row r="647" spans="1:34" ht="15.75" customHeight="1" x14ac:dyDescent="0.15">
      <c r="A647" s="6">
        <v>641</v>
      </c>
      <c r="B647" s="18" t="s">
        <v>75</v>
      </c>
      <c r="C647" s="34" t="s">
        <v>57</v>
      </c>
      <c r="D647" s="75" t="s">
        <v>2014</v>
      </c>
      <c r="E647" s="2" t="s">
        <v>169</v>
      </c>
      <c r="F647">
        <v>15547</v>
      </c>
      <c r="G647" s="6">
        <v>23</v>
      </c>
      <c r="H647" s="6" t="s">
        <v>2015</v>
      </c>
      <c r="I647" s="34"/>
      <c r="J647" s="38" t="s">
        <v>171</v>
      </c>
      <c r="K647" s="38" t="s">
        <v>177</v>
      </c>
      <c r="L647" s="38" t="s">
        <v>173</v>
      </c>
      <c r="M647" s="38"/>
      <c r="N647" s="19"/>
      <c r="O647" s="76" t="s">
        <v>62</v>
      </c>
      <c r="P647" s="6" t="s">
        <v>62</v>
      </c>
      <c r="Q647" s="38" t="s">
        <v>62</v>
      </c>
      <c r="R647" s="38" t="s">
        <v>62</v>
      </c>
      <c r="S647" s="34"/>
      <c r="T647" s="34"/>
      <c r="U647" s="34"/>
      <c r="V647" s="8"/>
      <c r="W647" t="s">
        <v>2016</v>
      </c>
      <c r="Y647" s="34"/>
      <c r="Z647"/>
      <c r="AA647"/>
      <c r="AE647"/>
      <c r="AF647"/>
      <c r="AG647"/>
      <c r="AH647"/>
    </row>
    <row r="648" spans="1:34" s="64" customFormat="1" ht="15.75" customHeight="1" x14ac:dyDescent="0.15">
      <c r="A648" s="6">
        <v>642</v>
      </c>
      <c r="B648" s="18" t="s">
        <v>75</v>
      </c>
      <c r="C648" s="34" t="s">
        <v>57</v>
      </c>
      <c r="D648" s="75" t="s">
        <v>2017</v>
      </c>
      <c r="E648" s="2" t="s">
        <v>169</v>
      </c>
      <c r="F648">
        <v>15547</v>
      </c>
      <c r="G648" s="6">
        <v>24</v>
      </c>
      <c r="H648" s="6" t="s">
        <v>2018</v>
      </c>
      <c r="I648" s="34"/>
      <c r="J648" s="38" t="s">
        <v>171</v>
      </c>
      <c r="K648" s="38" t="s">
        <v>177</v>
      </c>
      <c r="L648" s="38" t="s">
        <v>173</v>
      </c>
      <c r="M648" s="38"/>
      <c r="N648" s="19"/>
      <c r="O648" s="76" t="s">
        <v>62</v>
      </c>
      <c r="P648" s="6" t="s">
        <v>62</v>
      </c>
      <c r="Q648" s="38" t="s">
        <v>62</v>
      </c>
      <c r="R648" s="38" t="s">
        <v>62</v>
      </c>
      <c r="S648" s="34"/>
      <c r="T648" s="34"/>
      <c r="U648" s="34"/>
      <c r="V648" s="8"/>
      <c r="W648" t="s">
        <v>2019</v>
      </c>
      <c r="X648"/>
      <c r="Y648" s="34"/>
    </row>
    <row r="649" spans="1:34" ht="15.75" customHeight="1" x14ac:dyDescent="0.15">
      <c r="A649" s="6">
        <v>643</v>
      </c>
      <c r="B649" s="18" t="s">
        <v>75</v>
      </c>
      <c r="C649" s="34" t="s">
        <v>57</v>
      </c>
      <c r="D649" s="75" t="s">
        <v>2020</v>
      </c>
      <c r="E649" s="2" t="s">
        <v>169</v>
      </c>
      <c r="F649">
        <v>15547</v>
      </c>
      <c r="G649" s="6">
        <v>25</v>
      </c>
      <c r="H649" s="6" t="s">
        <v>2021</v>
      </c>
      <c r="I649" s="34"/>
      <c r="J649" s="38" t="s">
        <v>171</v>
      </c>
      <c r="K649" s="38" t="s">
        <v>177</v>
      </c>
      <c r="L649" s="38" t="s">
        <v>173</v>
      </c>
      <c r="M649" s="38"/>
      <c r="N649" s="19"/>
      <c r="O649" s="76" t="s">
        <v>62</v>
      </c>
      <c r="P649" s="6" t="s">
        <v>62</v>
      </c>
      <c r="Q649" s="38" t="s">
        <v>62</v>
      </c>
      <c r="R649" s="38" t="s">
        <v>62</v>
      </c>
      <c r="S649" s="34"/>
      <c r="T649" s="34"/>
      <c r="U649" s="34"/>
      <c r="V649" s="8"/>
      <c r="W649" t="s">
        <v>2022</v>
      </c>
      <c r="Y649" s="34"/>
      <c r="Z649"/>
      <c r="AA649"/>
      <c r="AE649"/>
      <c r="AF649"/>
      <c r="AG649"/>
      <c r="AH649"/>
    </row>
    <row r="650" spans="1:34" s="64" customFormat="1" ht="15.75" customHeight="1" x14ac:dyDescent="0.15">
      <c r="A650" s="6">
        <v>644</v>
      </c>
      <c r="B650" s="18" t="s">
        <v>75</v>
      </c>
      <c r="C650" s="34" t="s">
        <v>57</v>
      </c>
      <c r="D650" s="75" t="s">
        <v>2023</v>
      </c>
      <c r="E650" s="2" t="s">
        <v>169</v>
      </c>
      <c r="F650">
        <v>15547</v>
      </c>
      <c r="G650" s="6">
        <v>26</v>
      </c>
      <c r="H650" s="6" t="s">
        <v>2024</v>
      </c>
      <c r="I650" s="34"/>
      <c r="J650" s="38" t="s">
        <v>171</v>
      </c>
      <c r="K650" s="38" t="s">
        <v>177</v>
      </c>
      <c r="L650" s="38" t="s">
        <v>173</v>
      </c>
      <c r="M650" s="38"/>
      <c r="N650" s="19"/>
      <c r="O650" s="76" t="s">
        <v>62</v>
      </c>
      <c r="P650" s="6" t="s">
        <v>62</v>
      </c>
      <c r="Q650" s="38" t="s">
        <v>62</v>
      </c>
      <c r="R650" s="38" t="s">
        <v>62</v>
      </c>
      <c r="S650" s="34"/>
      <c r="T650" s="34"/>
      <c r="U650" s="34"/>
      <c r="V650" s="8"/>
      <c r="W650" t="s">
        <v>2025</v>
      </c>
      <c r="X650"/>
      <c r="Y650" s="34"/>
    </row>
    <row r="651" spans="1:34" ht="15.75" customHeight="1" x14ac:dyDescent="0.15">
      <c r="A651" s="6">
        <v>645</v>
      </c>
      <c r="B651" s="18" t="s">
        <v>75</v>
      </c>
      <c r="C651" s="34" t="s">
        <v>57</v>
      </c>
      <c r="D651" s="75" t="s">
        <v>2026</v>
      </c>
      <c r="E651" s="2" t="s">
        <v>169</v>
      </c>
      <c r="F651">
        <v>15547</v>
      </c>
      <c r="G651" s="6">
        <v>27</v>
      </c>
      <c r="H651" s="6" t="s">
        <v>2027</v>
      </c>
      <c r="I651" s="34"/>
      <c r="J651" s="38" t="s">
        <v>171</v>
      </c>
      <c r="K651" s="38" t="s">
        <v>177</v>
      </c>
      <c r="L651" s="38" t="s">
        <v>173</v>
      </c>
      <c r="M651" s="38"/>
      <c r="N651" s="19"/>
      <c r="O651" s="76" t="s">
        <v>62</v>
      </c>
      <c r="P651" s="6" t="s">
        <v>62</v>
      </c>
      <c r="Q651" s="38" t="s">
        <v>62</v>
      </c>
      <c r="R651" s="38" t="s">
        <v>62</v>
      </c>
      <c r="S651" s="34"/>
      <c r="T651" s="34"/>
      <c r="U651" s="34"/>
      <c r="V651" s="8"/>
      <c r="W651" t="s">
        <v>2028</v>
      </c>
      <c r="Y651" s="34"/>
      <c r="Z651"/>
      <c r="AA651"/>
      <c r="AE651"/>
      <c r="AF651"/>
      <c r="AG651"/>
      <c r="AH651"/>
    </row>
    <row r="652" spans="1:34" ht="15.75" customHeight="1" x14ac:dyDescent="0.15">
      <c r="A652" s="6">
        <v>646</v>
      </c>
      <c r="B652" s="18" t="s">
        <v>75</v>
      </c>
      <c r="C652" s="34" t="s">
        <v>57</v>
      </c>
      <c r="D652" s="75" t="s">
        <v>2029</v>
      </c>
      <c r="E652" s="2" t="s">
        <v>169</v>
      </c>
      <c r="F652">
        <v>15547</v>
      </c>
      <c r="G652" s="6">
        <v>29</v>
      </c>
      <c r="H652" s="6" t="s">
        <v>2030</v>
      </c>
      <c r="I652" s="34"/>
      <c r="J652" s="38" t="s">
        <v>171</v>
      </c>
      <c r="K652" s="38" t="s">
        <v>177</v>
      </c>
      <c r="L652" s="38" t="s">
        <v>173</v>
      </c>
      <c r="M652" s="38"/>
      <c r="N652" s="19"/>
      <c r="O652" s="76" t="s">
        <v>62</v>
      </c>
      <c r="P652" s="6" t="s">
        <v>62</v>
      </c>
      <c r="Q652" s="38" t="s">
        <v>62</v>
      </c>
      <c r="R652" s="38" t="s">
        <v>62</v>
      </c>
      <c r="S652" s="34"/>
      <c r="T652" s="34"/>
      <c r="U652" s="34"/>
      <c r="V652" s="8"/>
      <c r="W652" t="s">
        <v>2031</v>
      </c>
      <c r="Y652" s="34"/>
      <c r="Z652"/>
      <c r="AA652"/>
      <c r="AE652"/>
      <c r="AF652"/>
      <c r="AG652"/>
      <c r="AH652"/>
    </row>
    <row r="653" spans="1:34" ht="15.75" customHeight="1" x14ac:dyDescent="0.15">
      <c r="A653" s="6">
        <v>647</v>
      </c>
      <c r="B653" s="18" t="s">
        <v>75</v>
      </c>
      <c r="C653" s="34" t="s">
        <v>57</v>
      </c>
      <c r="D653" s="75" t="s">
        <v>2032</v>
      </c>
      <c r="E653" s="2" t="s">
        <v>169</v>
      </c>
      <c r="F653">
        <v>15547</v>
      </c>
      <c r="G653" s="6">
        <v>30</v>
      </c>
      <c r="H653" s="6" t="s">
        <v>2033</v>
      </c>
      <c r="I653" s="34"/>
      <c r="J653" s="38" t="s">
        <v>171</v>
      </c>
      <c r="K653" s="38" t="s">
        <v>177</v>
      </c>
      <c r="L653" s="38" t="s">
        <v>173</v>
      </c>
      <c r="M653" s="38"/>
      <c r="N653" s="19"/>
      <c r="O653" s="76" t="s">
        <v>62</v>
      </c>
      <c r="P653" s="6" t="s">
        <v>62</v>
      </c>
      <c r="Q653" s="38" t="s">
        <v>62</v>
      </c>
      <c r="R653" s="38" t="s">
        <v>62</v>
      </c>
      <c r="S653" s="34"/>
      <c r="T653" s="34"/>
      <c r="U653" s="34"/>
      <c r="V653" s="8"/>
      <c r="W653" t="s">
        <v>2034</v>
      </c>
      <c r="Y653" s="34"/>
      <c r="Z653"/>
      <c r="AA653"/>
      <c r="AE653"/>
      <c r="AF653"/>
      <c r="AG653"/>
      <c r="AH653"/>
    </row>
    <row r="654" spans="1:34" ht="15.75" customHeight="1" x14ac:dyDescent="0.15">
      <c r="A654" s="6">
        <v>648</v>
      </c>
      <c r="B654" s="18" t="s">
        <v>75</v>
      </c>
      <c r="C654" s="34" t="s">
        <v>57</v>
      </c>
      <c r="D654" s="75" t="s">
        <v>2035</v>
      </c>
      <c r="E654" s="2" t="s">
        <v>169</v>
      </c>
      <c r="F654">
        <v>15547</v>
      </c>
      <c r="G654" s="6">
        <v>31</v>
      </c>
      <c r="H654" s="6" t="s">
        <v>2036</v>
      </c>
      <c r="I654" s="34"/>
      <c r="J654" s="38" t="s">
        <v>171</v>
      </c>
      <c r="K654" s="38" t="s">
        <v>177</v>
      </c>
      <c r="L654" s="38" t="s">
        <v>173</v>
      </c>
      <c r="M654" s="38"/>
      <c r="N654" s="19"/>
      <c r="O654" s="76" t="s">
        <v>62</v>
      </c>
      <c r="P654" s="6" t="s">
        <v>62</v>
      </c>
      <c r="Q654" s="38" t="s">
        <v>62</v>
      </c>
      <c r="R654" s="38" t="s">
        <v>62</v>
      </c>
      <c r="S654" s="34"/>
      <c r="T654" s="34"/>
      <c r="U654" s="34"/>
      <c r="V654" s="8"/>
      <c r="W654" t="s">
        <v>2037</v>
      </c>
      <c r="Y654" s="34"/>
      <c r="Z654"/>
      <c r="AA654"/>
      <c r="AE654"/>
      <c r="AF654"/>
      <c r="AG654"/>
      <c r="AH654"/>
    </row>
    <row r="655" spans="1:34" ht="15.75" customHeight="1" x14ac:dyDescent="0.15">
      <c r="A655" s="6">
        <v>649</v>
      </c>
      <c r="B655" s="18" t="s">
        <v>75</v>
      </c>
      <c r="C655" s="34" t="s">
        <v>57</v>
      </c>
      <c r="D655" s="75" t="s">
        <v>2038</v>
      </c>
      <c r="E655" s="2" t="s">
        <v>219</v>
      </c>
      <c r="F655">
        <v>15549</v>
      </c>
      <c r="G655" s="6"/>
      <c r="H655" s="6" t="s">
        <v>2039</v>
      </c>
      <c r="I655" s="34"/>
      <c r="J655" s="38"/>
      <c r="K655" s="38"/>
      <c r="L655" s="38"/>
      <c r="M655" s="38"/>
      <c r="N655" s="19"/>
      <c r="O655" s="76" t="s">
        <v>62</v>
      </c>
      <c r="P655" s="6" t="s">
        <v>62</v>
      </c>
      <c r="Q655" s="38" t="s">
        <v>62</v>
      </c>
      <c r="R655" s="38" t="s">
        <v>62</v>
      </c>
      <c r="S655" s="34"/>
      <c r="T655" s="34"/>
      <c r="U655" s="34"/>
      <c r="V655" s="8"/>
      <c r="W655" t="s">
        <v>2040</v>
      </c>
      <c r="Y655" s="34"/>
      <c r="Z655"/>
      <c r="AA655"/>
      <c r="AE655"/>
      <c r="AF655"/>
      <c r="AG655"/>
      <c r="AH655"/>
    </row>
    <row r="656" spans="1:34" ht="15.75" customHeight="1" x14ac:dyDescent="0.15">
      <c r="A656" s="6">
        <v>650</v>
      </c>
      <c r="B656" s="18" t="s">
        <v>75</v>
      </c>
      <c r="C656" s="34" t="s">
        <v>57</v>
      </c>
      <c r="D656" s="75" t="s">
        <v>2041</v>
      </c>
      <c r="E656" s="2" t="s">
        <v>169</v>
      </c>
      <c r="F656">
        <v>15549</v>
      </c>
      <c r="G656" s="6">
        <v>0</v>
      </c>
      <c r="H656" s="6" t="s">
        <v>2042</v>
      </c>
      <c r="I656" s="34"/>
      <c r="J656" s="38" t="s">
        <v>171</v>
      </c>
      <c r="K656" s="38" t="s">
        <v>177</v>
      </c>
      <c r="L656" s="38" t="s">
        <v>173</v>
      </c>
      <c r="M656" s="38"/>
      <c r="N656" s="19"/>
      <c r="O656" s="76" t="s">
        <v>62</v>
      </c>
      <c r="P656" s="6" t="s">
        <v>62</v>
      </c>
      <c r="Q656" s="38" t="s">
        <v>62</v>
      </c>
      <c r="R656" s="38" t="s">
        <v>62</v>
      </c>
      <c r="S656" s="34"/>
      <c r="T656" s="34"/>
      <c r="U656" s="34"/>
      <c r="V656" s="8"/>
      <c r="W656" t="s">
        <v>2043</v>
      </c>
      <c r="Y656" s="34"/>
      <c r="Z656"/>
      <c r="AA656"/>
      <c r="AE656"/>
      <c r="AF656"/>
      <c r="AG656"/>
      <c r="AH656"/>
    </row>
    <row r="657" spans="1:34" ht="15.75" customHeight="1" x14ac:dyDescent="0.15">
      <c r="A657" s="6">
        <v>651</v>
      </c>
      <c r="B657" s="18" t="s">
        <v>75</v>
      </c>
      <c r="C657" s="34" t="s">
        <v>57</v>
      </c>
      <c r="D657" s="75" t="s">
        <v>2044</v>
      </c>
      <c r="E657" s="2" t="s">
        <v>169</v>
      </c>
      <c r="F657">
        <v>15549</v>
      </c>
      <c r="G657" s="6">
        <v>1</v>
      </c>
      <c r="H657" s="6" t="s">
        <v>2045</v>
      </c>
      <c r="I657" s="34"/>
      <c r="J657" s="38" t="s">
        <v>171</v>
      </c>
      <c r="K657" s="38" t="s">
        <v>177</v>
      </c>
      <c r="L657" s="38" t="s">
        <v>173</v>
      </c>
      <c r="M657" s="38"/>
      <c r="N657" s="19"/>
      <c r="O657" s="76" t="s">
        <v>62</v>
      </c>
      <c r="P657" s="6" t="s">
        <v>62</v>
      </c>
      <c r="Q657" s="38" t="s">
        <v>62</v>
      </c>
      <c r="R657" s="38" t="s">
        <v>62</v>
      </c>
      <c r="S657" s="34"/>
      <c r="T657" s="34"/>
      <c r="U657" s="34"/>
      <c r="V657" s="8"/>
      <c r="W657" t="s">
        <v>2046</v>
      </c>
      <c r="Y657" s="34"/>
      <c r="Z657"/>
      <c r="AA657"/>
      <c r="AE657"/>
      <c r="AF657"/>
      <c r="AG657"/>
      <c r="AH657"/>
    </row>
    <row r="658" spans="1:34" ht="15.75" customHeight="1" x14ac:dyDescent="0.15">
      <c r="A658" s="6">
        <v>652</v>
      </c>
      <c r="B658" s="18" t="s">
        <v>75</v>
      </c>
      <c r="C658" s="34" t="s">
        <v>57</v>
      </c>
      <c r="D658" s="75" t="s">
        <v>2047</v>
      </c>
      <c r="E658" s="2" t="s">
        <v>169</v>
      </c>
      <c r="F658">
        <v>15549</v>
      </c>
      <c r="G658" s="6">
        <v>2</v>
      </c>
      <c r="H658" s="6" t="s">
        <v>2048</v>
      </c>
      <c r="I658" s="34"/>
      <c r="J658" s="38" t="s">
        <v>171</v>
      </c>
      <c r="K658" s="38" t="s">
        <v>177</v>
      </c>
      <c r="L658" s="38" t="s">
        <v>173</v>
      </c>
      <c r="M658" s="38"/>
      <c r="N658" s="19"/>
      <c r="O658" s="76" t="s">
        <v>62</v>
      </c>
      <c r="P658" s="6" t="s">
        <v>62</v>
      </c>
      <c r="Q658" s="38" t="s">
        <v>62</v>
      </c>
      <c r="R658" s="38" t="s">
        <v>62</v>
      </c>
      <c r="S658" s="34"/>
      <c r="T658" s="34"/>
      <c r="U658" s="34"/>
      <c r="V658" s="8"/>
      <c r="W658" t="s">
        <v>2049</v>
      </c>
      <c r="Y658" s="34"/>
      <c r="Z658"/>
      <c r="AA658"/>
      <c r="AE658"/>
      <c r="AF658"/>
      <c r="AG658"/>
      <c r="AH658"/>
    </row>
    <row r="659" spans="1:34" ht="15.75" customHeight="1" x14ac:dyDescent="0.15">
      <c r="A659" s="6">
        <v>653</v>
      </c>
      <c r="B659" s="18" t="s">
        <v>75</v>
      </c>
      <c r="C659" s="34" t="s">
        <v>57</v>
      </c>
      <c r="D659" s="75" t="s">
        <v>2050</v>
      </c>
      <c r="E659" s="2" t="s">
        <v>219</v>
      </c>
      <c r="F659">
        <v>15553</v>
      </c>
      <c r="G659" s="6"/>
      <c r="H659" s="6" t="s">
        <v>2051</v>
      </c>
      <c r="I659" s="34"/>
      <c r="J659" s="38"/>
      <c r="K659" s="38"/>
      <c r="L659" s="38"/>
      <c r="M659" s="38"/>
      <c r="N659" s="19"/>
      <c r="O659" s="76" t="s">
        <v>62</v>
      </c>
      <c r="P659" s="6" t="s">
        <v>62</v>
      </c>
      <c r="Q659" s="38" t="s">
        <v>62</v>
      </c>
      <c r="R659" s="38" t="s">
        <v>62</v>
      </c>
      <c r="S659" s="34"/>
      <c r="T659" s="34"/>
      <c r="U659" s="34"/>
      <c r="V659" s="8"/>
      <c r="W659" t="s">
        <v>2052</v>
      </c>
      <c r="Y659" s="34"/>
      <c r="Z659"/>
      <c r="AA659"/>
      <c r="AE659"/>
      <c r="AF659"/>
      <c r="AG659"/>
      <c r="AH659"/>
    </row>
    <row r="660" spans="1:34" ht="15.75" customHeight="1" x14ac:dyDescent="0.15">
      <c r="A660" s="6">
        <v>654</v>
      </c>
      <c r="B660" s="18" t="s">
        <v>75</v>
      </c>
      <c r="C660" s="34" t="s">
        <v>57</v>
      </c>
      <c r="D660" s="75" t="s">
        <v>2053</v>
      </c>
      <c r="E660" s="2" t="s">
        <v>169</v>
      </c>
      <c r="F660">
        <v>15553</v>
      </c>
      <c r="G660" s="6">
        <v>0</v>
      </c>
      <c r="H660" s="6" t="s">
        <v>2054</v>
      </c>
      <c r="I660" s="34"/>
      <c r="J660" s="38" t="s">
        <v>196</v>
      </c>
      <c r="K660" s="38" t="s">
        <v>197</v>
      </c>
      <c r="L660" s="38" t="s">
        <v>198</v>
      </c>
      <c r="M660" s="38"/>
      <c r="N660" s="19"/>
      <c r="O660" s="76" t="s">
        <v>62</v>
      </c>
      <c r="P660" s="6" t="s">
        <v>62</v>
      </c>
      <c r="Q660" s="38" t="s">
        <v>62</v>
      </c>
      <c r="R660" s="38" t="s">
        <v>62</v>
      </c>
      <c r="S660" s="34"/>
      <c r="T660" s="34"/>
      <c r="U660" s="34"/>
      <c r="V660" s="8"/>
      <c r="W660" t="s">
        <v>2055</v>
      </c>
      <c r="Y660" s="34"/>
      <c r="Z660"/>
      <c r="AA660"/>
      <c r="AE660"/>
      <c r="AF660"/>
      <c r="AG660"/>
      <c r="AH660"/>
    </row>
    <row r="661" spans="1:34" ht="15.75" customHeight="1" x14ac:dyDescent="0.15">
      <c r="A661" s="6">
        <v>655</v>
      </c>
      <c r="B661" s="18" t="s">
        <v>75</v>
      </c>
      <c r="C661" s="34" t="s">
        <v>57</v>
      </c>
      <c r="D661" s="75" t="s">
        <v>2056</v>
      </c>
      <c r="E661" s="2" t="s">
        <v>169</v>
      </c>
      <c r="F661">
        <v>15553</v>
      </c>
      <c r="G661" s="6">
        <v>3</v>
      </c>
      <c r="H661" s="6" t="s">
        <v>2057</v>
      </c>
      <c r="I661" s="34"/>
      <c r="J661" s="38" t="s">
        <v>196</v>
      </c>
      <c r="K661" s="38" t="s">
        <v>197</v>
      </c>
      <c r="L661" s="38" t="s">
        <v>198</v>
      </c>
      <c r="M661" s="38"/>
      <c r="N661" s="19"/>
      <c r="O661" s="76" t="s">
        <v>62</v>
      </c>
      <c r="P661" s="6" t="s">
        <v>62</v>
      </c>
      <c r="Q661" s="38" t="s">
        <v>62</v>
      </c>
      <c r="R661" s="38" t="s">
        <v>62</v>
      </c>
      <c r="S661" s="34"/>
      <c r="T661" s="34"/>
      <c r="U661" s="34"/>
      <c r="V661" s="8"/>
      <c r="W661" t="s">
        <v>2058</v>
      </c>
      <c r="Y661" s="34"/>
      <c r="Z661"/>
      <c r="AA661"/>
      <c r="AE661"/>
      <c r="AF661"/>
      <c r="AG661"/>
      <c r="AH661"/>
    </row>
    <row r="662" spans="1:34" ht="15.75" customHeight="1" x14ac:dyDescent="0.15">
      <c r="A662" s="6">
        <v>656</v>
      </c>
      <c r="B662" s="18" t="s">
        <v>75</v>
      </c>
      <c r="C662" s="34" t="s">
        <v>57</v>
      </c>
      <c r="D662" s="75" t="s">
        <v>2059</v>
      </c>
      <c r="E662" s="2" t="s">
        <v>169</v>
      </c>
      <c r="F662">
        <v>15553</v>
      </c>
      <c r="G662" s="6">
        <v>17</v>
      </c>
      <c r="H662" s="6" t="s">
        <v>2060</v>
      </c>
      <c r="I662" s="34"/>
      <c r="J662" s="38" t="s">
        <v>171</v>
      </c>
      <c r="K662" s="38" t="s">
        <v>177</v>
      </c>
      <c r="L662" s="38" t="s">
        <v>173</v>
      </c>
      <c r="M662" s="38"/>
      <c r="N662" s="19"/>
      <c r="O662" s="76" t="s">
        <v>62</v>
      </c>
      <c r="P662" s="6" t="s">
        <v>62</v>
      </c>
      <c r="Q662" s="38" t="s">
        <v>62</v>
      </c>
      <c r="R662" s="38" t="s">
        <v>62</v>
      </c>
      <c r="S662" s="34"/>
      <c r="T662" s="34"/>
      <c r="U662" s="34"/>
      <c r="V662" s="8"/>
      <c r="W662" t="s">
        <v>2061</v>
      </c>
      <c r="Y662" s="34"/>
      <c r="Z662"/>
      <c r="AA662"/>
      <c r="AE662"/>
      <c r="AF662"/>
      <c r="AG662"/>
      <c r="AH662"/>
    </row>
    <row r="663" spans="1:34" ht="15.75" customHeight="1" x14ac:dyDescent="0.15">
      <c r="A663" s="6">
        <v>657</v>
      </c>
      <c r="B663" s="18" t="s">
        <v>75</v>
      </c>
      <c r="C663" s="34" t="s">
        <v>57</v>
      </c>
      <c r="D663" s="75" t="s">
        <v>2062</v>
      </c>
      <c r="E663" s="2" t="s">
        <v>169</v>
      </c>
      <c r="F663">
        <v>15553</v>
      </c>
      <c r="G663" s="6">
        <v>18</v>
      </c>
      <c r="H663" s="6" t="s">
        <v>2063</v>
      </c>
      <c r="I663" s="34"/>
      <c r="J663" s="38" t="s">
        <v>171</v>
      </c>
      <c r="K663" s="38" t="s">
        <v>177</v>
      </c>
      <c r="L663" s="38" t="s">
        <v>173</v>
      </c>
      <c r="M663" s="38"/>
      <c r="N663" s="19"/>
      <c r="O663" s="76" t="s">
        <v>62</v>
      </c>
      <c r="P663" s="6" t="s">
        <v>62</v>
      </c>
      <c r="Q663" s="38" t="s">
        <v>62</v>
      </c>
      <c r="R663" s="38" t="s">
        <v>62</v>
      </c>
      <c r="S663" s="34"/>
      <c r="T663" s="34"/>
      <c r="U663" s="34"/>
      <c r="V663" s="8"/>
      <c r="W663" t="s">
        <v>2064</v>
      </c>
      <c r="Y663" s="34"/>
      <c r="Z663"/>
      <c r="AA663"/>
      <c r="AE663"/>
      <c r="AF663"/>
      <c r="AG663"/>
      <c r="AH663"/>
    </row>
    <row r="664" spans="1:34" ht="15.75" customHeight="1" x14ac:dyDescent="0.15">
      <c r="A664" s="6">
        <v>658</v>
      </c>
      <c r="B664" s="18" t="s">
        <v>75</v>
      </c>
      <c r="C664" s="34" t="s">
        <v>57</v>
      </c>
      <c r="D664" s="75" t="s">
        <v>2065</v>
      </c>
      <c r="E664" s="2" t="s">
        <v>169</v>
      </c>
      <c r="F664">
        <v>15553</v>
      </c>
      <c r="G664" s="6">
        <v>19</v>
      </c>
      <c r="H664" s="6" t="s">
        <v>2066</v>
      </c>
      <c r="I664" s="34"/>
      <c r="J664" s="38" t="s">
        <v>171</v>
      </c>
      <c r="K664" s="38" t="s">
        <v>177</v>
      </c>
      <c r="L664" s="38" t="s">
        <v>173</v>
      </c>
      <c r="M664" s="38"/>
      <c r="N664" s="19"/>
      <c r="O664" s="76" t="s">
        <v>62</v>
      </c>
      <c r="P664" s="6" t="s">
        <v>62</v>
      </c>
      <c r="Q664" s="38" t="s">
        <v>62</v>
      </c>
      <c r="R664" s="38" t="s">
        <v>62</v>
      </c>
      <c r="S664" s="34"/>
      <c r="T664" s="34"/>
      <c r="U664" s="34"/>
      <c r="V664" s="8"/>
      <c r="W664" t="s">
        <v>2067</v>
      </c>
      <c r="Y664" s="34"/>
      <c r="Z664"/>
      <c r="AA664"/>
      <c r="AE664"/>
      <c r="AF664"/>
      <c r="AG664"/>
      <c r="AH664"/>
    </row>
    <row r="665" spans="1:34" ht="15.75" customHeight="1" x14ac:dyDescent="0.15">
      <c r="A665" s="6">
        <v>659</v>
      </c>
      <c r="B665" s="18" t="s">
        <v>75</v>
      </c>
      <c r="C665" s="34" t="s">
        <v>57</v>
      </c>
      <c r="D665" s="75" t="s">
        <v>2068</v>
      </c>
      <c r="E665" s="2" t="s">
        <v>143</v>
      </c>
      <c r="F665">
        <v>15557</v>
      </c>
      <c r="G665" s="6"/>
      <c r="H665" s="6" t="s">
        <v>2069</v>
      </c>
      <c r="I665" s="34"/>
      <c r="J665" s="38"/>
      <c r="K665" s="38"/>
      <c r="L665" s="38"/>
      <c r="M665" s="38" t="s">
        <v>266</v>
      </c>
      <c r="N665" s="19">
        <v>10</v>
      </c>
      <c r="O665" s="76">
        <v>-32768</v>
      </c>
      <c r="P665" s="6">
        <v>32767</v>
      </c>
      <c r="Q665" s="38">
        <v>-3276.8</v>
      </c>
      <c r="R665" s="38">
        <v>3276.7</v>
      </c>
      <c r="S665" s="34"/>
      <c r="T665" s="34"/>
      <c r="U665" s="34"/>
      <c r="V665" s="8"/>
      <c r="W665" t="s">
        <v>2070</v>
      </c>
      <c r="Y665" s="34"/>
      <c r="Z665"/>
      <c r="AA665"/>
      <c r="AE665"/>
      <c r="AF665"/>
      <c r="AG665"/>
      <c r="AH665"/>
    </row>
    <row r="666" spans="1:34" ht="15.75" customHeight="1" x14ac:dyDescent="0.15">
      <c r="A666" s="6">
        <v>660</v>
      </c>
      <c r="B666" s="18" t="s">
        <v>75</v>
      </c>
      <c r="C666" s="34" t="s">
        <v>57</v>
      </c>
      <c r="D666" s="75" t="s">
        <v>2071</v>
      </c>
      <c r="E666" s="2" t="s">
        <v>143</v>
      </c>
      <c r="F666">
        <v>15559</v>
      </c>
      <c r="G666" s="6"/>
      <c r="H666" s="6" t="s">
        <v>2072</v>
      </c>
      <c r="I666" s="34"/>
      <c r="J666" s="38"/>
      <c r="K666" s="38"/>
      <c r="L666" s="38"/>
      <c r="M666" s="38" t="s">
        <v>266</v>
      </c>
      <c r="N666" s="19">
        <v>10</v>
      </c>
      <c r="O666" s="76">
        <v>-32768</v>
      </c>
      <c r="P666" s="6">
        <v>32767</v>
      </c>
      <c r="Q666" s="38">
        <v>-3276.8</v>
      </c>
      <c r="R666" s="38">
        <v>3276.7</v>
      </c>
      <c r="S666" s="34"/>
      <c r="T666" s="34"/>
      <c r="U666" s="34"/>
      <c r="V666" s="8"/>
      <c r="W666" t="s">
        <v>2073</v>
      </c>
      <c r="Y666" s="34"/>
      <c r="Z666"/>
      <c r="AA666"/>
      <c r="AE666"/>
      <c r="AF666"/>
      <c r="AG666"/>
      <c r="AH666"/>
    </row>
    <row r="667" spans="1:34" ht="15.75" customHeight="1" x14ac:dyDescent="0.15">
      <c r="A667" s="6">
        <v>661</v>
      </c>
      <c r="B667" s="18" t="s">
        <v>75</v>
      </c>
      <c r="C667" s="34" t="s">
        <v>57</v>
      </c>
      <c r="D667" s="75" t="s">
        <v>2074</v>
      </c>
      <c r="E667" s="2" t="s">
        <v>143</v>
      </c>
      <c r="F667">
        <v>15561</v>
      </c>
      <c r="G667" s="6"/>
      <c r="H667" s="6" t="s">
        <v>2075</v>
      </c>
      <c r="I667" s="34"/>
      <c r="J667" s="38"/>
      <c r="K667" s="38"/>
      <c r="L667" s="38"/>
      <c r="M667" s="38" t="s">
        <v>266</v>
      </c>
      <c r="N667" s="19">
        <v>10</v>
      </c>
      <c r="O667" s="76">
        <v>-32768</v>
      </c>
      <c r="P667" s="6">
        <v>32767</v>
      </c>
      <c r="Q667" s="38">
        <v>-3276.8</v>
      </c>
      <c r="R667" s="38">
        <v>3276.7</v>
      </c>
      <c r="S667" s="34"/>
      <c r="T667" s="34"/>
      <c r="U667" s="34"/>
      <c r="V667" s="8"/>
      <c r="W667" t="s">
        <v>2076</v>
      </c>
      <c r="Y667" s="34"/>
      <c r="Z667"/>
      <c r="AA667"/>
      <c r="AE667"/>
      <c r="AF667"/>
      <c r="AG667"/>
      <c r="AH667"/>
    </row>
    <row r="668" spans="1:34" ht="15.75" customHeight="1" x14ac:dyDescent="0.15">
      <c r="A668" s="6">
        <v>662</v>
      </c>
      <c r="B668" s="18" t="s">
        <v>75</v>
      </c>
      <c r="C668" s="34" t="s">
        <v>57</v>
      </c>
      <c r="D668" s="75" t="s">
        <v>2077</v>
      </c>
      <c r="E668" s="2" t="s">
        <v>59</v>
      </c>
      <c r="F668">
        <v>15563</v>
      </c>
      <c r="G668" s="6"/>
      <c r="H668" s="6" t="s">
        <v>2078</v>
      </c>
      <c r="I668" s="34"/>
      <c r="J668" s="38"/>
      <c r="K668" s="38"/>
      <c r="L668" s="38"/>
      <c r="M668" s="38" t="s">
        <v>781</v>
      </c>
      <c r="N668" s="19">
        <v>100</v>
      </c>
      <c r="O668" s="76">
        <v>0</v>
      </c>
      <c r="P668" s="6">
        <v>4294967295</v>
      </c>
      <c r="Q668" s="38">
        <v>0</v>
      </c>
      <c r="R668" s="38">
        <v>42949672.950000003</v>
      </c>
      <c r="S668" s="34"/>
      <c r="T668" s="34"/>
      <c r="U668" s="34"/>
      <c r="V668" s="8"/>
      <c r="W668" t="s">
        <v>2079</v>
      </c>
      <c r="Y668" s="34"/>
      <c r="Z668"/>
      <c r="AA668"/>
      <c r="AE668"/>
      <c r="AF668"/>
      <c r="AG668"/>
      <c r="AH668"/>
    </row>
    <row r="669" spans="1:34" s="59" customFormat="1" ht="15.75" customHeight="1" x14ac:dyDescent="0.15">
      <c r="A669" s="6">
        <v>663</v>
      </c>
      <c r="B669" s="18" t="s">
        <v>75</v>
      </c>
      <c r="C669" s="34" t="s">
        <v>57</v>
      </c>
      <c r="D669" s="75" t="s">
        <v>2080</v>
      </c>
      <c r="E669" s="2" t="s">
        <v>59</v>
      </c>
      <c r="F669">
        <v>15565</v>
      </c>
      <c r="G669" s="6"/>
      <c r="H669" s="6" t="s">
        <v>2081</v>
      </c>
      <c r="I669" s="34"/>
      <c r="J669" s="38"/>
      <c r="K669" s="38"/>
      <c r="L669" s="38"/>
      <c r="M669" s="38" t="s">
        <v>781</v>
      </c>
      <c r="N669" s="19">
        <v>100</v>
      </c>
      <c r="O669" s="76">
        <v>0</v>
      </c>
      <c r="P669" s="6">
        <v>4294967295</v>
      </c>
      <c r="Q669" s="38">
        <v>0</v>
      </c>
      <c r="R669" s="38">
        <v>42949672.950000003</v>
      </c>
      <c r="S669" s="34"/>
      <c r="T669" s="34"/>
      <c r="U669" s="34"/>
      <c r="V669" s="8"/>
      <c r="W669" t="s">
        <v>2082</v>
      </c>
      <c r="X669"/>
      <c r="Y669" s="34"/>
    </row>
    <row r="670" spans="1:34" ht="15.75" customHeight="1" x14ac:dyDescent="0.15">
      <c r="A670" s="6">
        <v>664</v>
      </c>
      <c r="B670" s="18" t="s">
        <v>75</v>
      </c>
      <c r="C670" s="34" t="s">
        <v>57</v>
      </c>
      <c r="D670" s="75" t="s">
        <v>2083</v>
      </c>
      <c r="E670" s="2" t="s">
        <v>219</v>
      </c>
      <c r="F670">
        <v>15567</v>
      </c>
      <c r="G670" s="6"/>
      <c r="H670" s="6" t="s">
        <v>2084</v>
      </c>
      <c r="I670" s="34"/>
      <c r="J670" s="38"/>
      <c r="K670" s="38"/>
      <c r="L670" s="38"/>
      <c r="M670" s="38"/>
      <c r="N670" s="19"/>
      <c r="O670" s="76" t="s">
        <v>62</v>
      </c>
      <c r="P670" s="6" t="s">
        <v>62</v>
      </c>
      <c r="Q670" s="38" t="s">
        <v>62</v>
      </c>
      <c r="R670" s="38" t="s">
        <v>62</v>
      </c>
      <c r="S670" s="34"/>
      <c r="T670" s="34"/>
      <c r="U670" s="34"/>
      <c r="V670" s="8"/>
      <c r="W670" t="s">
        <v>2085</v>
      </c>
      <c r="Y670" s="34"/>
      <c r="Z670"/>
      <c r="AA670"/>
      <c r="AE670"/>
      <c r="AF670"/>
      <c r="AG670"/>
      <c r="AH670"/>
    </row>
    <row r="671" spans="1:34" ht="15.75" customHeight="1" x14ac:dyDescent="0.15">
      <c r="A671" s="6">
        <v>665</v>
      </c>
      <c r="B671" s="18" t="s">
        <v>75</v>
      </c>
      <c r="C671" s="34" t="s">
        <v>57</v>
      </c>
      <c r="D671" s="75" t="s">
        <v>2086</v>
      </c>
      <c r="E671" s="2" t="s">
        <v>169</v>
      </c>
      <c r="F671">
        <v>15567</v>
      </c>
      <c r="G671" s="6">
        <v>0</v>
      </c>
      <c r="H671" s="6" t="s">
        <v>2087</v>
      </c>
      <c r="I671" s="34"/>
      <c r="J671" s="38" t="s">
        <v>196</v>
      </c>
      <c r="K671" s="38" t="s">
        <v>222</v>
      </c>
      <c r="L671" s="38" t="s">
        <v>224</v>
      </c>
      <c r="M671" s="38"/>
      <c r="N671" s="19"/>
      <c r="O671" s="76" t="s">
        <v>62</v>
      </c>
      <c r="P671" s="6" t="s">
        <v>62</v>
      </c>
      <c r="Q671" s="38" t="s">
        <v>62</v>
      </c>
      <c r="R671" s="38" t="s">
        <v>62</v>
      </c>
      <c r="S671" s="34"/>
      <c r="T671" s="34"/>
      <c r="U671" s="34"/>
      <c r="V671" s="8"/>
      <c r="W671" t="s">
        <v>2088</v>
      </c>
      <c r="Y671" s="34"/>
      <c r="Z671"/>
      <c r="AA671"/>
      <c r="AE671"/>
      <c r="AF671"/>
      <c r="AG671"/>
      <c r="AH671"/>
    </row>
    <row r="672" spans="1:34" ht="15.75" customHeight="1" x14ac:dyDescent="0.15">
      <c r="A672" s="6">
        <v>666</v>
      </c>
      <c r="B672" s="18" t="s">
        <v>75</v>
      </c>
      <c r="C672" s="34" t="s">
        <v>57</v>
      </c>
      <c r="D672" s="75" t="s">
        <v>2089</v>
      </c>
      <c r="E672" s="2" t="s">
        <v>169</v>
      </c>
      <c r="F672">
        <v>15567</v>
      </c>
      <c r="G672" s="6">
        <v>1</v>
      </c>
      <c r="H672" s="6" t="s">
        <v>2090</v>
      </c>
      <c r="I672" s="34"/>
      <c r="J672" s="38" t="s">
        <v>196</v>
      </c>
      <c r="K672" s="38" t="s">
        <v>226</v>
      </c>
      <c r="L672" s="38" t="s">
        <v>228</v>
      </c>
      <c r="M672" s="38"/>
      <c r="N672" s="19"/>
      <c r="O672" s="76" t="s">
        <v>62</v>
      </c>
      <c r="P672" s="6" t="s">
        <v>62</v>
      </c>
      <c r="Q672" s="38" t="s">
        <v>62</v>
      </c>
      <c r="R672" s="38" t="s">
        <v>62</v>
      </c>
      <c r="S672" s="34"/>
      <c r="T672" s="34"/>
      <c r="U672" s="34"/>
      <c r="V672" s="8"/>
      <c r="W672" t="s">
        <v>2091</v>
      </c>
      <c r="Y672" s="34"/>
      <c r="Z672"/>
      <c r="AA672"/>
      <c r="AE672"/>
      <c r="AF672"/>
      <c r="AG672"/>
      <c r="AH672"/>
    </row>
    <row r="673" spans="1:34" ht="15.75" customHeight="1" x14ac:dyDescent="0.15">
      <c r="A673" s="6">
        <v>667</v>
      </c>
      <c r="B673" s="18" t="s">
        <v>75</v>
      </c>
      <c r="C673" s="34" t="s">
        <v>57</v>
      </c>
      <c r="D673" s="75" t="s">
        <v>2092</v>
      </c>
      <c r="E673" s="2" t="s">
        <v>169</v>
      </c>
      <c r="F673">
        <v>15567</v>
      </c>
      <c r="G673" s="6">
        <v>2</v>
      </c>
      <c r="H673" s="6" t="s">
        <v>2093</v>
      </c>
      <c r="I673" s="34"/>
      <c r="J673" s="38" t="s">
        <v>196</v>
      </c>
      <c r="K673" s="38" t="s">
        <v>797</v>
      </c>
      <c r="L673" s="38" t="s">
        <v>798</v>
      </c>
      <c r="M673" s="38"/>
      <c r="N673" s="19"/>
      <c r="O673" s="76" t="s">
        <v>62</v>
      </c>
      <c r="P673" s="6" t="s">
        <v>62</v>
      </c>
      <c r="Q673" s="38" t="s">
        <v>62</v>
      </c>
      <c r="R673" s="38" t="s">
        <v>62</v>
      </c>
      <c r="S673" s="34"/>
      <c r="T673" s="34"/>
      <c r="U673" s="34"/>
      <c r="V673" s="8"/>
      <c r="W673" t="s">
        <v>2094</v>
      </c>
      <c r="Y673" s="34"/>
      <c r="Z673"/>
      <c r="AA673"/>
      <c r="AE673"/>
      <c r="AF673"/>
      <c r="AG673"/>
      <c r="AH673"/>
    </row>
    <row r="674" spans="1:34" ht="15.75" customHeight="1" x14ac:dyDescent="0.15">
      <c r="A674" s="6">
        <v>668</v>
      </c>
      <c r="B674" s="18" t="s">
        <v>75</v>
      </c>
      <c r="C674" s="34" t="s">
        <v>57</v>
      </c>
      <c r="D674" s="75" t="s">
        <v>2095</v>
      </c>
      <c r="E674" s="2" t="s">
        <v>169</v>
      </c>
      <c r="F674">
        <v>15567</v>
      </c>
      <c r="G674" s="6">
        <v>3</v>
      </c>
      <c r="H674" s="6" t="s">
        <v>2096</v>
      </c>
      <c r="I674" s="34"/>
      <c r="J674" s="38" t="s">
        <v>196</v>
      </c>
      <c r="K674" s="38" t="s">
        <v>226</v>
      </c>
      <c r="L674" s="38" t="s">
        <v>228</v>
      </c>
      <c r="M674" s="38"/>
      <c r="N674" s="19"/>
      <c r="O674" s="76" t="s">
        <v>62</v>
      </c>
      <c r="P674" s="6" t="s">
        <v>62</v>
      </c>
      <c r="Q674" s="38" t="s">
        <v>62</v>
      </c>
      <c r="R674" s="38" t="s">
        <v>62</v>
      </c>
      <c r="S674" s="34"/>
      <c r="T674" s="34"/>
      <c r="U674" s="34"/>
      <c r="V674" s="8"/>
      <c r="W674" t="s">
        <v>2097</v>
      </c>
      <c r="Y674" s="34"/>
      <c r="Z674"/>
      <c r="AA674"/>
      <c r="AE674"/>
      <c r="AF674"/>
      <c r="AG674"/>
      <c r="AH674"/>
    </row>
    <row r="675" spans="1:34" s="59" customFormat="1" ht="15.75" customHeight="1" x14ac:dyDescent="0.15">
      <c r="A675" s="6">
        <v>669</v>
      </c>
      <c r="B675" s="18" t="s">
        <v>75</v>
      </c>
      <c r="C675" s="34" t="s">
        <v>57</v>
      </c>
      <c r="D675" s="75" t="s">
        <v>2098</v>
      </c>
      <c r="E675" s="2" t="s">
        <v>169</v>
      </c>
      <c r="F675">
        <v>15567</v>
      </c>
      <c r="G675" s="6">
        <v>4</v>
      </c>
      <c r="H675" s="6" t="s">
        <v>2099</v>
      </c>
      <c r="I675" s="34"/>
      <c r="J675" s="38" t="s">
        <v>196</v>
      </c>
      <c r="K675" s="38" t="s">
        <v>797</v>
      </c>
      <c r="L675" s="38" t="s">
        <v>798</v>
      </c>
      <c r="M675" s="38"/>
      <c r="N675" s="19"/>
      <c r="O675" s="76" t="s">
        <v>62</v>
      </c>
      <c r="P675" s="6" t="s">
        <v>62</v>
      </c>
      <c r="Q675" s="38" t="s">
        <v>62</v>
      </c>
      <c r="R675" s="38" t="s">
        <v>62</v>
      </c>
      <c r="S675" s="34"/>
      <c r="T675" s="34"/>
      <c r="U675" s="34"/>
      <c r="V675" s="8"/>
      <c r="W675" t="s">
        <v>2100</v>
      </c>
      <c r="X675"/>
      <c r="Y675" s="34"/>
    </row>
    <row r="676" spans="1:34" s="59" customFormat="1" ht="15.75" customHeight="1" x14ac:dyDescent="0.15">
      <c r="A676" s="6">
        <v>670</v>
      </c>
      <c r="B676" s="18" t="s">
        <v>75</v>
      </c>
      <c r="C676" s="34" t="s">
        <v>57</v>
      </c>
      <c r="D676" s="75" t="s">
        <v>2101</v>
      </c>
      <c r="E676" s="2" t="s">
        <v>169</v>
      </c>
      <c r="F676">
        <v>15567</v>
      </c>
      <c r="G676" s="6">
        <v>5</v>
      </c>
      <c r="H676" s="6" t="s">
        <v>2102</v>
      </c>
      <c r="I676" s="34"/>
      <c r="J676" s="38" t="s">
        <v>171</v>
      </c>
      <c r="K676" s="38" t="s">
        <v>177</v>
      </c>
      <c r="L676" s="38" t="s">
        <v>173</v>
      </c>
      <c r="M676" s="38"/>
      <c r="N676" s="19"/>
      <c r="O676" s="76" t="s">
        <v>62</v>
      </c>
      <c r="P676" s="6" t="s">
        <v>62</v>
      </c>
      <c r="Q676" s="38" t="s">
        <v>62</v>
      </c>
      <c r="R676" s="38" t="s">
        <v>62</v>
      </c>
      <c r="S676" s="34"/>
      <c r="T676" s="34"/>
      <c r="U676" s="34"/>
      <c r="V676" s="8"/>
      <c r="W676" t="s">
        <v>2103</v>
      </c>
      <c r="X676"/>
      <c r="Y676" s="34"/>
    </row>
    <row r="677" spans="1:34" ht="15.75" customHeight="1" x14ac:dyDescent="0.15">
      <c r="A677" s="6">
        <v>671</v>
      </c>
      <c r="B677" s="18" t="s">
        <v>75</v>
      </c>
      <c r="C677" s="34" t="s">
        <v>57</v>
      </c>
      <c r="D677" s="75" t="s">
        <v>2104</v>
      </c>
      <c r="E677" s="2" t="s">
        <v>169</v>
      </c>
      <c r="F677">
        <v>15567</v>
      </c>
      <c r="G677" s="6">
        <v>6</v>
      </c>
      <c r="H677" s="6" t="s">
        <v>2105</v>
      </c>
      <c r="I677" s="34"/>
      <c r="J677" s="38" t="s">
        <v>196</v>
      </c>
      <c r="K677" s="38" t="s">
        <v>811</v>
      </c>
      <c r="L677" s="38" t="s">
        <v>812</v>
      </c>
      <c r="M677" s="38"/>
      <c r="N677" s="19"/>
      <c r="O677" s="76" t="s">
        <v>62</v>
      </c>
      <c r="P677" s="6" t="s">
        <v>62</v>
      </c>
      <c r="Q677" s="38" t="s">
        <v>62</v>
      </c>
      <c r="R677" s="38" t="s">
        <v>62</v>
      </c>
      <c r="S677" s="34"/>
      <c r="T677" s="34"/>
      <c r="U677" s="34"/>
      <c r="V677" s="8"/>
      <c r="W677" t="s">
        <v>2106</v>
      </c>
      <c r="Y677" s="34"/>
      <c r="Z677"/>
      <c r="AA677"/>
      <c r="AE677"/>
      <c r="AF677"/>
      <c r="AG677"/>
      <c r="AH677"/>
    </row>
    <row r="678" spans="1:34" ht="15.75" customHeight="1" x14ac:dyDescent="0.15">
      <c r="A678" s="6">
        <v>672</v>
      </c>
      <c r="B678" s="18" t="s">
        <v>75</v>
      </c>
      <c r="C678" s="34" t="s">
        <v>57</v>
      </c>
      <c r="D678" s="75" t="s">
        <v>2107</v>
      </c>
      <c r="E678" s="2" t="s">
        <v>169</v>
      </c>
      <c r="F678">
        <v>15567</v>
      </c>
      <c r="G678" s="6">
        <v>7</v>
      </c>
      <c r="H678" s="6" t="s">
        <v>2108</v>
      </c>
      <c r="I678" s="34"/>
      <c r="J678" s="38" t="s">
        <v>196</v>
      </c>
      <c r="K678" s="38" t="s">
        <v>816</v>
      </c>
      <c r="L678" s="38" t="s">
        <v>817</v>
      </c>
      <c r="M678" s="38"/>
      <c r="N678" s="19"/>
      <c r="O678" s="76" t="s">
        <v>62</v>
      </c>
      <c r="P678" s="6" t="s">
        <v>62</v>
      </c>
      <c r="Q678" s="38" t="s">
        <v>62</v>
      </c>
      <c r="R678" s="38" t="s">
        <v>62</v>
      </c>
      <c r="S678" s="34"/>
      <c r="T678" s="34"/>
      <c r="U678" s="34"/>
      <c r="V678" s="8"/>
      <c r="W678" t="s">
        <v>2109</v>
      </c>
      <c r="Y678" s="34"/>
      <c r="Z678"/>
      <c r="AA678"/>
      <c r="AE678"/>
      <c r="AF678"/>
      <c r="AG678"/>
      <c r="AH678"/>
    </row>
    <row r="679" spans="1:34" ht="15.75" customHeight="1" x14ac:dyDescent="0.15">
      <c r="A679" s="6">
        <v>673</v>
      </c>
      <c r="B679" s="18" t="s">
        <v>75</v>
      </c>
      <c r="C679" s="34" t="s">
        <v>57</v>
      </c>
      <c r="D679" s="75" t="s">
        <v>2110</v>
      </c>
      <c r="E679" s="2" t="s">
        <v>169</v>
      </c>
      <c r="F679">
        <v>15567</v>
      </c>
      <c r="G679" s="6">
        <v>9</v>
      </c>
      <c r="H679" s="6" t="s">
        <v>2111</v>
      </c>
      <c r="I679" s="34"/>
      <c r="J679" s="38" t="s">
        <v>171</v>
      </c>
      <c r="K679" s="38" t="s">
        <v>177</v>
      </c>
      <c r="L679" s="38" t="s">
        <v>173</v>
      </c>
      <c r="M679" s="38"/>
      <c r="N679" s="19"/>
      <c r="O679" s="76" t="s">
        <v>62</v>
      </c>
      <c r="P679" s="6" t="s">
        <v>62</v>
      </c>
      <c r="Q679" s="38" t="s">
        <v>62</v>
      </c>
      <c r="R679" s="38" t="s">
        <v>62</v>
      </c>
      <c r="S679" s="34"/>
      <c r="T679" s="34"/>
      <c r="U679" s="34"/>
      <c r="V679" s="8"/>
      <c r="W679" t="s">
        <v>2112</v>
      </c>
      <c r="Y679" s="34"/>
      <c r="Z679"/>
      <c r="AA679"/>
      <c r="AE679"/>
      <c r="AF679"/>
      <c r="AG679"/>
      <c r="AH679"/>
    </row>
    <row r="680" spans="1:34" s="59" customFormat="1" ht="15.75" customHeight="1" x14ac:dyDescent="0.15">
      <c r="A680" s="6">
        <v>674</v>
      </c>
      <c r="B680" s="18" t="s">
        <v>75</v>
      </c>
      <c r="C680" s="34" t="s">
        <v>57</v>
      </c>
      <c r="D680" s="75" t="s">
        <v>2113</v>
      </c>
      <c r="E680" s="2" t="s">
        <v>169</v>
      </c>
      <c r="F680">
        <v>15567</v>
      </c>
      <c r="G680" s="6">
        <v>10</v>
      </c>
      <c r="H680" s="6" t="s">
        <v>2114</v>
      </c>
      <c r="I680" s="34"/>
      <c r="J680" s="38" t="s">
        <v>171</v>
      </c>
      <c r="K680" s="38" t="s">
        <v>177</v>
      </c>
      <c r="L680" s="38" t="s">
        <v>173</v>
      </c>
      <c r="M680" s="38"/>
      <c r="N680" s="19"/>
      <c r="O680" s="76" t="s">
        <v>62</v>
      </c>
      <c r="P680" s="6" t="s">
        <v>62</v>
      </c>
      <c r="Q680" s="38" t="s">
        <v>62</v>
      </c>
      <c r="R680" s="38" t="s">
        <v>62</v>
      </c>
      <c r="S680" s="34"/>
      <c r="T680" s="34"/>
      <c r="U680" s="34"/>
      <c r="V680" s="8"/>
      <c r="W680" t="s">
        <v>2115</v>
      </c>
      <c r="X680"/>
      <c r="Y680" s="34"/>
    </row>
    <row r="681" spans="1:34" s="59" customFormat="1" ht="15.75" customHeight="1" x14ac:dyDescent="0.15">
      <c r="A681" s="6">
        <v>675</v>
      </c>
      <c r="B681" s="18" t="s">
        <v>75</v>
      </c>
      <c r="C681" s="34" t="s">
        <v>57</v>
      </c>
      <c r="D681" s="75" t="s">
        <v>2116</v>
      </c>
      <c r="E681" s="2" t="s">
        <v>169</v>
      </c>
      <c r="F681">
        <v>15567</v>
      </c>
      <c r="G681" s="6">
        <v>11</v>
      </c>
      <c r="H681" s="6" t="s">
        <v>2117</v>
      </c>
      <c r="I681" s="34"/>
      <c r="J681" s="38" t="s">
        <v>171</v>
      </c>
      <c r="K681" s="38" t="s">
        <v>177</v>
      </c>
      <c r="L681" s="38" t="s">
        <v>173</v>
      </c>
      <c r="M681" s="38"/>
      <c r="N681" s="19"/>
      <c r="O681" s="76" t="s">
        <v>62</v>
      </c>
      <c r="P681" s="6" t="s">
        <v>62</v>
      </c>
      <c r="Q681" s="38" t="s">
        <v>62</v>
      </c>
      <c r="R681" s="38" t="s">
        <v>62</v>
      </c>
      <c r="S681" s="34"/>
      <c r="T681" s="34"/>
      <c r="U681" s="34"/>
      <c r="V681" s="8"/>
      <c r="W681" t="s">
        <v>2118</v>
      </c>
      <c r="X681"/>
      <c r="Y681" s="34"/>
    </row>
    <row r="682" spans="1:34" s="59" customFormat="1" ht="15.75" customHeight="1" x14ac:dyDescent="0.15">
      <c r="A682" s="6">
        <v>676</v>
      </c>
      <c r="B682" s="18" t="s">
        <v>75</v>
      </c>
      <c r="C682" s="34" t="s">
        <v>57</v>
      </c>
      <c r="D682" s="75" t="s">
        <v>2119</v>
      </c>
      <c r="E682" s="2" t="s">
        <v>169</v>
      </c>
      <c r="F682">
        <v>15567</v>
      </c>
      <c r="G682" s="6">
        <v>13</v>
      </c>
      <c r="H682" s="6" t="s">
        <v>2120</v>
      </c>
      <c r="I682" s="34"/>
      <c r="J682" s="38" t="s">
        <v>171</v>
      </c>
      <c r="K682" s="38" t="s">
        <v>177</v>
      </c>
      <c r="L682" s="38" t="s">
        <v>173</v>
      </c>
      <c r="M682" s="38"/>
      <c r="N682" s="19"/>
      <c r="O682" s="76" t="s">
        <v>62</v>
      </c>
      <c r="P682" s="6" t="s">
        <v>62</v>
      </c>
      <c r="Q682" s="38" t="s">
        <v>62</v>
      </c>
      <c r="R682" s="38" t="s">
        <v>62</v>
      </c>
      <c r="S682" s="34"/>
      <c r="T682" s="34"/>
      <c r="U682" s="34"/>
      <c r="V682" s="8"/>
      <c r="W682" t="s">
        <v>2121</v>
      </c>
      <c r="X682"/>
      <c r="Y682" s="34"/>
    </row>
    <row r="683" spans="1:34" ht="15.75" customHeight="1" x14ac:dyDescent="0.15">
      <c r="A683" s="6">
        <v>677</v>
      </c>
      <c r="B683" s="18" t="s">
        <v>75</v>
      </c>
      <c r="C683" s="34" t="s">
        <v>57</v>
      </c>
      <c r="D683" s="75" t="s">
        <v>2122</v>
      </c>
      <c r="E683" s="2" t="s">
        <v>169</v>
      </c>
      <c r="F683">
        <v>15567</v>
      </c>
      <c r="G683" s="6">
        <v>17</v>
      </c>
      <c r="H683" s="6" t="s">
        <v>2123</v>
      </c>
      <c r="I683" s="34"/>
      <c r="J683" s="38" t="s">
        <v>196</v>
      </c>
      <c r="K683" s="38" t="s">
        <v>222</v>
      </c>
      <c r="L683" s="38" t="s">
        <v>224</v>
      </c>
      <c r="M683" s="38"/>
      <c r="N683" s="19"/>
      <c r="O683" s="76" t="s">
        <v>62</v>
      </c>
      <c r="P683" s="6" t="s">
        <v>62</v>
      </c>
      <c r="Q683" s="38" t="s">
        <v>62</v>
      </c>
      <c r="R683" s="38" t="s">
        <v>62</v>
      </c>
      <c r="S683" s="34"/>
      <c r="T683" s="34"/>
      <c r="U683" s="34"/>
      <c r="V683" s="8"/>
      <c r="W683" t="s">
        <v>2124</v>
      </c>
      <c r="Y683" s="34"/>
      <c r="Z683"/>
      <c r="AA683"/>
      <c r="AE683"/>
      <c r="AF683"/>
      <c r="AG683"/>
      <c r="AH683"/>
    </row>
    <row r="684" spans="1:34" ht="15.75" customHeight="1" x14ac:dyDescent="0.15">
      <c r="A684" s="6">
        <v>678</v>
      </c>
      <c r="B684" s="18" t="s">
        <v>75</v>
      </c>
      <c r="C684" s="34" t="s">
        <v>57</v>
      </c>
      <c r="D684" s="75" t="s">
        <v>2125</v>
      </c>
      <c r="E684" s="2" t="s">
        <v>169</v>
      </c>
      <c r="F684">
        <v>15567</v>
      </c>
      <c r="G684" s="6">
        <v>18</v>
      </c>
      <c r="H684" s="6" t="s">
        <v>2126</v>
      </c>
      <c r="I684" s="34"/>
      <c r="J684" s="38" t="s">
        <v>196</v>
      </c>
      <c r="K684" s="38" t="s">
        <v>226</v>
      </c>
      <c r="L684" s="38" t="s">
        <v>228</v>
      </c>
      <c r="M684" s="38"/>
      <c r="N684" s="19"/>
      <c r="O684" s="76" t="s">
        <v>62</v>
      </c>
      <c r="P684" s="6" t="s">
        <v>62</v>
      </c>
      <c r="Q684" s="38" t="s">
        <v>62</v>
      </c>
      <c r="R684" s="38" t="s">
        <v>62</v>
      </c>
      <c r="S684" s="34"/>
      <c r="T684" s="34"/>
      <c r="U684" s="34"/>
      <c r="V684" s="8"/>
      <c r="W684" t="s">
        <v>2127</v>
      </c>
      <c r="Y684" s="34"/>
      <c r="Z684"/>
      <c r="AA684"/>
      <c r="AE684"/>
      <c r="AF684"/>
      <c r="AG684"/>
      <c r="AH684"/>
    </row>
    <row r="685" spans="1:34" ht="15.75" customHeight="1" x14ac:dyDescent="0.15">
      <c r="A685" s="6">
        <v>679</v>
      </c>
      <c r="B685" s="18" t="s">
        <v>75</v>
      </c>
      <c r="C685" s="34" t="s">
        <v>57</v>
      </c>
      <c r="D685" s="75" t="s">
        <v>2128</v>
      </c>
      <c r="E685" s="2" t="s">
        <v>169</v>
      </c>
      <c r="F685">
        <v>15567</v>
      </c>
      <c r="G685" s="6">
        <v>19</v>
      </c>
      <c r="H685" s="6" t="s">
        <v>2129</v>
      </c>
      <c r="I685" s="34"/>
      <c r="J685" s="38" t="s">
        <v>171</v>
      </c>
      <c r="K685" s="38" t="s">
        <v>839</v>
      </c>
      <c r="L685" s="38" t="s">
        <v>840</v>
      </c>
      <c r="M685" s="38"/>
      <c r="N685" s="19"/>
      <c r="O685" s="76" t="s">
        <v>62</v>
      </c>
      <c r="P685" s="6" t="s">
        <v>62</v>
      </c>
      <c r="Q685" s="38" t="s">
        <v>62</v>
      </c>
      <c r="R685" s="38" t="s">
        <v>62</v>
      </c>
      <c r="S685" s="34"/>
      <c r="T685" s="34"/>
      <c r="U685" s="34"/>
      <c r="V685" s="8"/>
      <c r="W685" t="s">
        <v>2130</v>
      </c>
      <c r="Y685" s="34"/>
      <c r="Z685"/>
      <c r="AA685"/>
      <c r="AE685"/>
      <c r="AF685"/>
      <c r="AG685"/>
      <c r="AH685"/>
    </row>
    <row r="686" spans="1:34" s="59" customFormat="1" ht="15.75" customHeight="1" x14ac:dyDescent="0.15">
      <c r="A686" s="6">
        <v>680</v>
      </c>
      <c r="B686" s="18" t="s">
        <v>75</v>
      </c>
      <c r="C686" s="34" t="s">
        <v>57</v>
      </c>
      <c r="D686" s="75" t="s">
        <v>2131</v>
      </c>
      <c r="E686" s="2" t="s">
        <v>219</v>
      </c>
      <c r="F686">
        <v>15569</v>
      </c>
      <c r="G686" s="6"/>
      <c r="H686" s="6" t="s">
        <v>2132</v>
      </c>
      <c r="I686" s="34"/>
      <c r="J686" s="38"/>
      <c r="K686" s="38"/>
      <c r="L686" s="38"/>
      <c r="M686" s="38"/>
      <c r="N686" s="19"/>
      <c r="O686" s="76" t="s">
        <v>62</v>
      </c>
      <c r="P686" s="6" t="s">
        <v>62</v>
      </c>
      <c r="Q686" s="38" t="s">
        <v>62</v>
      </c>
      <c r="R686" s="38" t="s">
        <v>62</v>
      </c>
      <c r="S686" s="34"/>
      <c r="T686" s="34"/>
      <c r="U686" s="34"/>
      <c r="V686" s="8"/>
      <c r="W686" t="s">
        <v>2133</v>
      </c>
      <c r="X686"/>
      <c r="Y686" s="34"/>
    </row>
    <row r="687" spans="1:34" ht="15.75" customHeight="1" x14ac:dyDescent="0.15">
      <c r="A687" s="6">
        <v>681</v>
      </c>
      <c r="B687" s="18" t="s">
        <v>75</v>
      </c>
      <c r="C687" s="34" t="s">
        <v>57</v>
      </c>
      <c r="D687" s="75" t="s">
        <v>2134</v>
      </c>
      <c r="E687" s="2" t="s">
        <v>169</v>
      </c>
      <c r="F687">
        <v>15569</v>
      </c>
      <c r="G687" s="6">
        <v>0</v>
      </c>
      <c r="H687" s="6" t="s">
        <v>2135</v>
      </c>
      <c r="I687" s="34"/>
      <c r="J687" s="38" t="s">
        <v>171</v>
      </c>
      <c r="K687" s="38" t="s">
        <v>177</v>
      </c>
      <c r="L687" s="38" t="s">
        <v>173</v>
      </c>
      <c r="M687" s="38"/>
      <c r="N687" s="19"/>
      <c r="O687" s="76" t="s">
        <v>62</v>
      </c>
      <c r="P687" s="6" t="s">
        <v>62</v>
      </c>
      <c r="Q687" s="38" t="s">
        <v>62</v>
      </c>
      <c r="R687" s="38" t="s">
        <v>62</v>
      </c>
      <c r="S687" s="34"/>
      <c r="T687" s="34"/>
      <c r="U687" s="34"/>
      <c r="V687" s="8"/>
      <c r="W687" t="s">
        <v>2136</v>
      </c>
      <c r="Y687" s="34"/>
      <c r="Z687"/>
      <c r="AA687"/>
      <c r="AE687"/>
      <c r="AF687"/>
      <c r="AG687"/>
      <c r="AH687"/>
    </row>
    <row r="688" spans="1:34" ht="15.75" customHeight="1" x14ac:dyDescent="0.15">
      <c r="A688" s="6">
        <v>682</v>
      </c>
      <c r="B688" s="18" t="s">
        <v>75</v>
      </c>
      <c r="C688" s="34" t="s">
        <v>57</v>
      </c>
      <c r="D688" s="75" t="s">
        <v>2137</v>
      </c>
      <c r="E688" s="2" t="s">
        <v>169</v>
      </c>
      <c r="F688">
        <v>15569</v>
      </c>
      <c r="G688" s="6">
        <v>1</v>
      </c>
      <c r="H688" s="6" t="s">
        <v>2138</v>
      </c>
      <c r="I688" s="34"/>
      <c r="J688" s="38" t="s">
        <v>171</v>
      </c>
      <c r="K688" s="38" t="s">
        <v>177</v>
      </c>
      <c r="L688" s="38" t="s">
        <v>173</v>
      </c>
      <c r="M688" s="38"/>
      <c r="N688" s="19"/>
      <c r="O688" s="76" t="s">
        <v>62</v>
      </c>
      <c r="P688" s="6" t="s">
        <v>62</v>
      </c>
      <c r="Q688" s="38" t="s">
        <v>62</v>
      </c>
      <c r="R688" s="38" t="s">
        <v>62</v>
      </c>
      <c r="S688" s="34"/>
      <c r="T688" s="34"/>
      <c r="U688" s="34"/>
      <c r="V688" s="8"/>
      <c r="W688" t="s">
        <v>2139</v>
      </c>
      <c r="Y688" s="34"/>
      <c r="Z688"/>
      <c r="AA688"/>
      <c r="AE688"/>
      <c r="AF688"/>
      <c r="AG688"/>
      <c r="AH688"/>
    </row>
    <row r="689" spans="1:34" s="59" customFormat="1" ht="15.75" customHeight="1" x14ac:dyDescent="0.15">
      <c r="A689" s="6">
        <v>683</v>
      </c>
      <c r="B689" s="18" t="s">
        <v>75</v>
      </c>
      <c r="C689" s="34" t="s">
        <v>57</v>
      </c>
      <c r="D689" s="75" t="s">
        <v>2140</v>
      </c>
      <c r="E689" s="2" t="s">
        <v>169</v>
      </c>
      <c r="F689">
        <v>15569</v>
      </c>
      <c r="G689" s="6">
        <v>2</v>
      </c>
      <c r="H689" s="6" t="s">
        <v>2141</v>
      </c>
      <c r="I689" s="34"/>
      <c r="J689" s="38" t="s">
        <v>171</v>
      </c>
      <c r="K689" s="38" t="s">
        <v>177</v>
      </c>
      <c r="L689" s="38" t="s">
        <v>173</v>
      </c>
      <c r="M689" s="38"/>
      <c r="N689" s="19"/>
      <c r="O689" s="76" t="s">
        <v>62</v>
      </c>
      <c r="P689" s="6" t="s">
        <v>62</v>
      </c>
      <c r="Q689" s="38" t="s">
        <v>62</v>
      </c>
      <c r="R689" s="38" t="s">
        <v>62</v>
      </c>
      <c r="S689" s="34"/>
      <c r="T689" s="34"/>
      <c r="U689" s="34"/>
      <c r="V689" s="8"/>
      <c r="W689" t="s">
        <v>2142</v>
      </c>
      <c r="X689"/>
      <c r="Y689" s="34"/>
    </row>
    <row r="690" spans="1:34" ht="15.75" customHeight="1" x14ac:dyDescent="0.15">
      <c r="A690" s="6">
        <v>684</v>
      </c>
      <c r="B690" s="18" t="s">
        <v>75</v>
      </c>
      <c r="C690" s="34" t="s">
        <v>57</v>
      </c>
      <c r="D690" s="75" t="s">
        <v>2143</v>
      </c>
      <c r="E690" s="2" t="s">
        <v>169</v>
      </c>
      <c r="F690">
        <v>15569</v>
      </c>
      <c r="G690" s="6">
        <v>3</v>
      </c>
      <c r="H690" s="6" t="s">
        <v>2144</v>
      </c>
      <c r="I690" s="34"/>
      <c r="J690" s="38" t="s">
        <v>171</v>
      </c>
      <c r="K690" s="38" t="s">
        <v>177</v>
      </c>
      <c r="L690" s="38" t="s">
        <v>173</v>
      </c>
      <c r="M690" s="38"/>
      <c r="N690" s="19"/>
      <c r="O690" s="76" t="s">
        <v>62</v>
      </c>
      <c r="P690" s="6" t="s">
        <v>62</v>
      </c>
      <c r="Q690" s="38" t="s">
        <v>62</v>
      </c>
      <c r="R690" s="38" t="s">
        <v>62</v>
      </c>
      <c r="S690" s="34"/>
      <c r="T690" s="34"/>
      <c r="U690" s="34"/>
      <c r="V690" s="8"/>
      <c r="W690" t="s">
        <v>2145</v>
      </c>
      <c r="Y690" s="34"/>
      <c r="Z690"/>
      <c r="AA690"/>
      <c r="AE690"/>
      <c r="AF690"/>
      <c r="AG690"/>
      <c r="AH690"/>
    </row>
    <row r="691" spans="1:34" ht="15.75" customHeight="1" x14ac:dyDescent="0.15">
      <c r="A691" s="6">
        <v>685</v>
      </c>
      <c r="B691" s="18" t="s">
        <v>75</v>
      </c>
      <c r="C691" s="34" t="s">
        <v>57</v>
      </c>
      <c r="D691" s="75" t="s">
        <v>2146</v>
      </c>
      <c r="E691" s="2" t="s">
        <v>169</v>
      </c>
      <c r="F691">
        <v>15569</v>
      </c>
      <c r="G691" s="6">
        <v>6</v>
      </c>
      <c r="H691" s="6" t="s">
        <v>2147</v>
      </c>
      <c r="I691" s="34"/>
      <c r="J691" s="38" t="s">
        <v>171</v>
      </c>
      <c r="K691" s="38" t="s">
        <v>177</v>
      </c>
      <c r="L691" s="38" t="s">
        <v>173</v>
      </c>
      <c r="M691" s="38"/>
      <c r="N691" s="19"/>
      <c r="O691" s="76" t="s">
        <v>62</v>
      </c>
      <c r="P691" s="6" t="s">
        <v>62</v>
      </c>
      <c r="Q691" s="38" t="s">
        <v>62</v>
      </c>
      <c r="R691" s="38" t="s">
        <v>62</v>
      </c>
      <c r="S691" s="34"/>
      <c r="T691" s="34"/>
      <c r="U691" s="34"/>
      <c r="V691" s="8"/>
      <c r="W691" t="s">
        <v>2148</v>
      </c>
      <c r="Y691" s="34"/>
      <c r="Z691"/>
      <c r="AA691"/>
      <c r="AE691"/>
      <c r="AF691"/>
      <c r="AG691"/>
      <c r="AH691"/>
    </row>
    <row r="692" spans="1:34" ht="15.75" customHeight="1" x14ac:dyDescent="0.15">
      <c r="A692" s="6">
        <v>686</v>
      </c>
      <c r="B692" s="18" t="s">
        <v>75</v>
      </c>
      <c r="C692" s="34" t="s">
        <v>57</v>
      </c>
      <c r="D692" s="75" t="s">
        <v>1972</v>
      </c>
      <c r="E692" s="2" t="s">
        <v>169</v>
      </c>
      <c r="F692">
        <v>15569</v>
      </c>
      <c r="G692" s="6">
        <v>7</v>
      </c>
      <c r="H692" s="6" t="s">
        <v>2149</v>
      </c>
      <c r="I692" s="34"/>
      <c r="J692" s="38" t="s">
        <v>171</v>
      </c>
      <c r="K692" s="38" t="s">
        <v>177</v>
      </c>
      <c r="L692" s="38" t="s">
        <v>173</v>
      </c>
      <c r="M692" s="38"/>
      <c r="N692" s="19"/>
      <c r="O692" s="76" t="s">
        <v>62</v>
      </c>
      <c r="P692" s="6" t="s">
        <v>62</v>
      </c>
      <c r="Q692" s="38" t="s">
        <v>62</v>
      </c>
      <c r="R692" s="38" t="s">
        <v>62</v>
      </c>
      <c r="S692" s="34"/>
      <c r="T692" s="34"/>
      <c r="U692" s="34"/>
      <c r="V692" s="8"/>
      <c r="W692" t="s">
        <v>2150</v>
      </c>
      <c r="Y692" s="34"/>
      <c r="Z692"/>
      <c r="AA692"/>
      <c r="AE692"/>
      <c r="AF692"/>
      <c r="AG692"/>
      <c r="AH692"/>
    </row>
    <row r="693" spans="1:34" s="59" customFormat="1" ht="15.75" customHeight="1" x14ac:dyDescent="0.15">
      <c r="A693" s="6">
        <v>687</v>
      </c>
      <c r="B693" s="18" t="s">
        <v>75</v>
      </c>
      <c r="C693" s="34" t="s">
        <v>57</v>
      </c>
      <c r="D693" s="75" t="s">
        <v>1951</v>
      </c>
      <c r="E693" s="2" t="s">
        <v>169</v>
      </c>
      <c r="F693">
        <v>15569</v>
      </c>
      <c r="G693" s="6">
        <v>8</v>
      </c>
      <c r="H693" s="6" t="s">
        <v>2151</v>
      </c>
      <c r="I693" s="34"/>
      <c r="J693" s="38" t="s">
        <v>171</v>
      </c>
      <c r="K693" s="38" t="s">
        <v>177</v>
      </c>
      <c r="L693" s="38" t="s">
        <v>173</v>
      </c>
      <c r="M693" s="38"/>
      <c r="N693" s="19"/>
      <c r="O693" s="76" t="s">
        <v>62</v>
      </c>
      <c r="P693" s="6" t="s">
        <v>62</v>
      </c>
      <c r="Q693" s="38" t="s">
        <v>62</v>
      </c>
      <c r="R693" s="38" t="s">
        <v>62</v>
      </c>
      <c r="S693" s="34"/>
      <c r="T693" s="34"/>
      <c r="U693" s="34"/>
      <c r="V693" s="8"/>
      <c r="W693" t="s">
        <v>2152</v>
      </c>
      <c r="X693"/>
      <c r="Y693" s="34"/>
    </row>
    <row r="694" spans="1:34" ht="15.75" customHeight="1" x14ac:dyDescent="0.15">
      <c r="A694" s="6">
        <v>688</v>
      </c>
      <c r="B694" s="18" t="s">
        <v>75</v>
      </c>
      <c r="C694" s="34" t="s">
        <v>57</v>
      </c>
      <c r="D694" s="75" t="s">
        <v>1981</v>
      </c>
      <c r="E694" s="2" t="s">
        <v>169</v>
      </c>
      <c r="F694">
        <v>15569</v>
      </c>
      <c r="G694" s="6">
        <v>12</v>
      </c>
      <c r="H694" s="6" t="s">
        <v>2153</v>
      </c>
      <c r="I694" s="34"/>
      <c r="J694" s="38" t="s">
        <v>171</v>
      </c>
      <c r="K694" s="38" t="s">
        <v>177</v>
      </c>
      <c r="L694" s="38" t="s">
        <v>173</v>
      </c>
      <c r="M694" s="38"/>
      <c r="N694" s="19"/>
      <c r="O694" s="76" t="s">
        <v>62</v>
      </c>
      <c r="P694" s="6" t="s">
        <v>62</v>
      </c>
      <c r="Q694" s="38" t="s">
        <v>62</v>
      </c>
      <c r="R694" s="38" t="s">
        <v>62</v>
      </c>
      <c r="S694" s="34"/>
      <c r="T694" s="34"/>
      <c r="U694" s="34"/>
      <c r="V694" s="8"/>
      <c r="W694" t="s">
        <v>2154</v>
      </c>
      <c r="Y694" s="34"/>
      <c r="Z694"/>
      <c r="AA694"/>
      <c r="AE694"/>
      <c r="AF694"/>
      <c r="AG694"/>
      <c r="AH694"/>
    </row>
    <row r="695" spans="1:34" ht="15.75" customHeight="1" x14ac:dyDescent="0.15">
      <c r="A695" s="6">
        <v>689</v>
      </c>
      <c r="B695" s="18" t="s">
        <v>75</v>
      </c>
      <c r="C695" s="34" t="s">
        <v>57</v>
      </c>
      <c r="D695" s="75" t="s">
        <v>2155</v>
      </c>
      <c r="E695" s="2" t="s">
        <v>169</v>
      </c>
      <c r="F695">
        <v>15569</v>
      </c>
      <c r="G695" s="6">
        <v>13</v>
      </c>
      <c r="H695" s="6" t="s">
        <v>2156</v>
      </c>
      <c r="I695" s="34"/>
      <c r="J695" s="38" t="s">
        <v>171</v>
      </c>
      <c r="K695" s="38" t="s">
        <v>177</v>
      </c>
      <c r="L695" s="38" t="s">
        <v>173</v>
      </c>
      <c r="M695" s="38"/>
      <c r="N695" s="19"/>
      <c r="O695" s="76" t="s">
        <v>62</v>
      </c>
      <c r="P695" s="6" t="s">
        <v>62</v>
      </c>
      <c r="Q695" s="38" t="s">
        <v>62</v>
      </c>
      <c r="R695" s="38" t="s">
        <v>62</v>
      </c>
      <c r="S695" s="34"/>
      <c r="T695" s="34"/>
      <c r="U695" s="34"/>
      <c r="V695" s="8"/>
      <c r="W695" t="s">
        <v>2157</v>
      </c>
      <c r="Y695" s="34"/>
      <c r="Z695"/>
      <c r="AA695"/>
      <c r="AE695"/>
      <c r="AF695"/>
      <c r="AG695"/>
      <c r="AH695"/>
    </row>
    <row r="696" spans="1:34" ht="15.75" customHeight="1" x14ac:dyDescent="0.15">
      <c r="A696" s="6">
        <v>690</v>
      </c>
      <c r="B696" s="18" t="s">
        <v>75</v>
      </c>
      <c r="C696" s="34" t="s">
        <v>57</v>
      </c>
      <c r="D696" s="75" t="s">
        <v>1915</v>
      </c>
      <c r="E696" s="2" t="s">
        <v>169</v>
      </c>
      <c r="F696">
        <v>15569</v>
      </c>
      <c r="G696" s="6">
        <v>14</v>
      </c>
      <c r="H696" s="6" t="s">
        <v>2158</v>
      </c>
      <c r="I696" s="34"/>
      <c r="J696" s="38" t="s">
        <v>171</v>
      </c>
      <c r="K696" s="38" t="s">
        <v>177</v>
      </c>
      <c r="L696" s="38" t="s">
        <v>173</v>
      </c>
      <c r="M696" s="38"/>
      <c r="N696" s="19"/>
      <c r="O696" s="76" t="s">
        <v>62</v>
      </c>
      <c r="P696" s="6" t="s">
        <v>62</v>
      </c>
      <c r="Q696" s="38" t="s">
        <v>62</v>
      </c>
      <c r="R696" s="38" t="s">
        <v>62</v>
      </c>
      <c r="S696" s="34"/>
      <c r="T696" s="34"/>
      <c r="U696" s="34"/>
      <c r="V696" s="8"/>
      <c r="W696" t="s">
        <v>2159</v>
      </c>
      <c r="Y696" s="34"/>
      <c r="Z696"/>
      <c r="AA696"/>
      <c r="AE696"/>
      <c r="AF696"/>
      <c r="AG696"/>
      <c r="AH696"/>
    </row>
    <row r="697" spans="1:34" s="59" customFormat="1" ht="15.75" customHeight="1" x14ac:dyDescent="0.15">
      <c r="A697" s="6">
        <v>691</v>
      </c>
      <c r="B697" s="18" t="s">
        <v>75</v>
      </c>
      <c r="C697" s="34" t="s">
        <v>57</v>
      </c>
      <c r="D697" s="75" t="s">
        <v>2160</v>
      </c>
      <c r="E697" s="2" t="s">
        <v>169</v>
      </c>
      <c r="F697">
        <v>15569</v>
      </c>
      <c r="G697" s="6">
        <v>16</v>
      </c>
      <c r="H697" s="6" t="s">
        <v>2161</v>
      </c>
      <c r="I697" s="34"/>
      <c r="J697" s="38" t="s">
        <v>171</v>
      </c>
      <c r="K697" s="38" t="s">
        <v>177</v>
      </c>
      <c r="L697" s="38" t="s">
        <v>173</v>
      </c>
      <c r="M697" s="38"/>
      <c r="N697" s="19"/>
      <c r="O697" s="76" t="s">
        <v>62</v>
      </c>
      <c r="P697" s="6" t="s">
        <v>62</v>
      </c>
      <c r="Q697" s="38" t="s">
        <v>62</v>
      </c>
      <c r="R697" s="38" t="s">
        <v>62</v>
      </c>
      <c r="S697" s="34"/>
      <c r="T697" s="34"/>
      <c r="U697" s="34"/>
      <c r="V697" s="8"/>
      <c r="W697" t="s">
        <v>2162</v>
      </c>
      <c r="X697"/>
      <c r="Y697" s="34"/>
    </row>
    <row r="698" spans="1:34" ht="15.75" customHeight="1" x14ac:dyDescent="0.15">
      <c r="A698" s="6">
        <v>692</v>
      </c>
      <c r="B698" s="18" t="s">
        <v>75</v>
      </c>
      <c r="C698" s="34" t="s">
        <v>57</v>
      </c>
      <c r="D698" s="75" t="s">
        <v>2163</v>
      </c>
      <c r="E698" s="2" t="s">
        <v>169</v>
      </c>
      <c r="F698">
        <v>15569</v>
      </c>
      <c r="G698" s="6">
        <v>17</v>
      </c>
      <c r="H698" s="6" t="s">
        <v>2164</v>
      </c>
      <c r="I698" s="34"/>
      <c r="J698" s="38" t="s">
        <v>171</v>
      </c>
      <c r="K698" s="38" t="s">
        <v>177</v>
      </c>
      <c r="L698" s="38" t="s">
        <v>173</v>
      </c>
      <c r="M698" s="38"/>
      <c r="N698" s="19"/>
      <c r="O698" s="76" t="s">
        <v>62</v>
      </c>
      <c r="P698" s="6" t="s">
        <v>62</v>
      </c>
      <c r="Q698" s="38" t="s">
        <v>62</v>
      </c>
      <c r="R698" s="38" t="s">
        <v>62</v>
      </c>
      <c r="S698" s="34"/>
      <c r="T698" s="34"/>
      <c r="U698" s="34"/>
      <c r="V698" s="8"/>
      <c r="W698" t="s">
        <v>2165</v>
      </c>
      <c r="Y698" s="34"/>
      <c r="Z698"/>
      <c r="AA698"/>
      <c r="AE698"/>
      <c r="AF698"/>
      <c r="AG698"/>
      <c r="AH698"/>
    </row>
    <row r="699" spans="1:34" ht="15.75" customHeight="1" x14ac:dyDescent="0.15">
      <c r="A699" s="6">
        <v>693</v>
      </c>
      <c r="B699" s="18" t="s">
        <v>75</v>
      </c>
      <c r="C699" s="34" t="s">
        <v>57</v>
      </c>
      <c r="D699" s="75" t="s">
        <v>2166</v>
      </c>
      <c r="E699" s="2" t="s">
        <v>169</v>
      </c>
      <c r="F699">
        <v>15569</v>
      </c>
      <c r="G699" s="6">
        <v>19</v>
      </c>
      <c r="H699" s="6" t="s">
        <v>2167</v>
      </c>
      <c r="I699" s="34"/>
      <c r="J699" s="38" t="s">
        <v>171</v>
      </c>
      <c r="K699" s="38" t="s">
        <v>177</v>
      </c>
      <c r="L699" s="38" t="s">
        <v>173</v>
      </c>
      <c r="M699" s="38"/>
      <c r="N699" s="19"/>
      <c r="O699" s="76" t="s">
        <v>62</v>
      </c>
      <c r="P699" s="6" t="s">
        <v>62</v>
      </c>
      <c r="Q699" s="38" t="s">
        <v>62</v>
      </c>
      <c r="R699" s="38" t="s">
        <v>62</v>
      </c>
      <c r="S699" s="34"/>
      <c r="T699" s="34"/>
      <c r="U699" s="34"/>
      <c r="V699" s="8"/>
      <c r="W699" t="s">
        <v>2168</v>
      </c>
      <c r="Y699" s="34"/>
      <c r="Z699"/>
      <c r="AA699"/>
      <c r="AE699"/>
      <c r="AF699"/>
      <c r="AG699"/>
      <c r="AH699"/>
    </row>
    <row r="700" spans="1:34" ht="15.75" customHeight="1" x14ac:dyDescent="0.15">
      <c r="A700" s="6">
        <v>694</v>
      </c>
      <c r="B700" s="18" t="s">
        <v>75</v>
      </c>
      <c r="C700" s="34" t="s">
        <v>57</v>
      </c>
      <c r="D700" s="75" t="s">
        <v>2169</v>
      </c>
      <c r="E700" s="2" t="s">
        <v>169</v>
      </c>
      <c r="F700">
        <v>15569</v>
      </c>
      <c r="G700" s="6">
        <v>20</v>
      </c>
      <c r="H700" s="6" t="s">
        <v>2170</v>
      </c>
      <c r="I700" s="34"/>
      <c r="J700" s="38" t="s">
        <v>171</v>
      </c>
      <c r="K700" s="38" t="s">
        <v>177</v>
      </c>
      <c r="L700" s="38" t="s">
        <v>173</v>
      </c>
      <c r="M700" s="38"/>
      <c r="N700" s="19"/>
      <c r="O700" s="76" t="s">
        <v>62</v>
      </c>
      <c r="P700" s="6" t="s">
        <v>62</v>
      </c>
      <c r="Q700" s="38" t="s">
        <v>62</v>
      </c>
      <c r="R700" s="38" t="s">
        <v>62</v>
      </c>
      <c r="S700" s="34"/>
      <c r="T700" s="34"/>
      <c r="U700" s="34"/>
      <c r="V700" s="8"/>
      <c r="W700" t="s">
        <v>2171</v>
      </c>
      <c r="Y700" s="34"/>
      <c r="Z700"/>
      <c r="AA700"/>
      <c r="AE700"/>
      <c r="AF700"/>
      <c r="AG700"/>
      <c r="AH700"/>
    </row>
    <row r="701" spans="1:34" ht="15.75" customHeight="1" x14ac:dyDescent="0.15">
      <c r="A701" s="6">
        <v>695</v>
      </c>
      <c r="B701" s="18" t="s">
        <v>75</v>
      </c>
      <c r="C701" s="34" t="s">
        <v>57</v>
      </c>
      <c r="D701" s="75" t="s">
        <v>2020</v>
      </c>
      <c r="E701" s="2" t="s">
        <v>169</v>
      </c>
      <c r="F701">
        <v>15569</v>
      </c>
      <c r="G701" s="6">
        <v>21</v>
      </c>
      <c r="H701" s="6" t="s">
        <v>2172</v>
      </c>
      <c r="I701" s="34"/>
      <c r="J701" s="38" t="s">
        <v>171</v>
      </c>
      <c r="K701" s="38" t="s">
        <v>177</v>
      </c>
      <c r="L701" s="38" t="s">
        <v>173</v>
      </c>
      <c r="M701" s="38"/>
      <c r="N701" s="19"/>
      <c r="O701" s="76" t="s">
        <v>62</v>
      </c>
      <c r="P701" s="6" t="s">
        <v>62</v>
      </c>
      <c r="Q701" s="38" t="s">
        <v>62</v>
      </c>
      <c r="R701" s="38" t="s">
        <v>62</v>
      </c>
      <c r="S701" s="34"/>
      <c r="T701" s="34"/>
      <c r="U701" s="34"/>
      <c r="V701" s="8"/>
      <c r="W701" t="s">
        <v>2173</v>
      </c>
      <c r="Y701" s="34"/>
      <c r="Z701"/>
      <c r="AA701"/>
      <c r="AE701"/>
      <c r="AF701"/>
      <c r="AG701"/>
      <c r="AH701"/>
    </row>
    <row r="702" spans="1:34" ht="15.75" customHeight="1" x14ac:dyDescent="0.15">
      <c r="A702" s="6">
        <v>696</v>
      </c>
      <c r="B702" s="18" t="s">
        <v>75</v>
      </c>
      <c r="C702" s="34" t="s">
        <v>57</v>
      </c>
      <c r="D702" s="75" t="s">
        <v>2174</v>
      </c>
      <c r="E702" s="2" t="s">
        <v>169</v>
      </c>
      <c r="F702">
        <v>15569</v>
      </c>
      <c r="G702" s="6">
        <v>23</v>
      </c>
      <c r="H702" s="6" t="s">
        <v>2175</v>
      </c>
      <c r="I702" s="34"/>
      <c r="J702" s="38" t="s">
        <v>171</v>
      </c>
      <c r="K702" s="38" t="s">
        <v>177</v>
      </c>
      <c r="L702" s="38" t="s">
        <v>173</v>
      </c>
      <c r="M702" s="38"/>
      <c r="N702" s="19"/>
      <c r="O702" s="76" t="s">
        <v>62</v>
      </c>
      <c r="P702" s="6" t="s">
        <v>62</v>
      </c>
      <c r="Q702" s="38" t="s">
        <v>62</v>
      </c>
      <c r="R702" s="38" t="s">
        <v>62</v>
      </c>
      <c r="S702" s="34"/>
      <c r="T702" s="34"/>
      <c r="U702" s="34"/>
      <c r="V702" s="8"/>
      <c r="W702" t="s">
        <v>2176</v>
      </c>
      <c r="Y702" s="34"/>
      <c r="Z702"/>
      <c r="AA702"/>
      <c r="AE702"/>
      <c r="AF702"/>
      <c r="AG702"/>
      <c r="AH702"/>
    </row>
    <row r="703" spans="1:34" ht="15.75" customHeight="1" x14ac:dyDescent="0.15">
      <c r="A703" s="6">
        <v>697</v>
      </c>
      <c r="B703" s="18" t="s">
        <v>75</v>
      </c>
      <c r="C703" s="34" t="s">
        <v>57</v>
      </c>
      <c r="D703" s="75" t="s">
        <v>2177</v>
      </c>
      <c r="E703" s="2" t="s">
        <v>169</v>
      </c>
      <c r="F703">
        <v>15569</v>
      </c>
      <c r="G703" s="6">
        <v>24</v>
      </c>
      <c r="H703" s="6" t="s">
        <v>2178</v>
      </c>
      <c r="I703" s="34"/>
      <c r="J703" s="38" t="s">
        <v>171</v>
      </c>
      <c r="K703" s="38" t="s">
        <v>177</v>
      </c>
      <c r="L703" s="38" t="s">
        <v>173</v>
      </c>
      <c r="M703" s="38"/>
      <c r="N703" s="19"/>
      <c r="O703" s="76" t="s">
        <v>62</v>
      </c>
      <c r="P703" s="6" t="s">
        <v>62</v>
      </c>
      <c r="Q703" s="38" t="s">
        <v>62</v>
      </c>
      <c r="R703" s="38" t="s">
        <v>62</v>
      </c>
      <c r="S703" s="34"/>
      <c r="T703" s="34"/>
      <c r="U703" s="34"/>
      <c r="V703" s="8"/>
      <c r="W703" t="s">
        <v>2179</v>
      </c>
      <c r="Y703" s="34"/>
      <c r="Z703"/>
      <c r="AA703"/>
      <c r="AE703"/>
      <c r="AF703"/>
      <c r="AG703"/>
      <c r="AH703"/>
    </row>
    <row r="704" spans="1:34" s="55" customFormat="1" ht="15.75" customHeight="1" x14ac:dyDescent="0.15">
      <c r="A704" s="6">
        <v>698</v>
      </c>
      <c r="B704" s="18" t="s">
        <v>75</v>
      </c>
      <c r="C704" s="34" t="s">
        <v>57</v>
      </c>
      <c r="D704" s="75" t="s">
        <v>2180</v>
      </c>
      <c r="E704" s="2" t="s">
        <v>169</v>
      </c>
      <c r="F704">
        <v>15569</v>
      </c>
      <c r="G704" s="6">
        <v>25</v>
      </c>
      <c r="H704" s="6" t="s">
        <v>2181</v>
      </c>
      <c r="I704" s="34"/>
      <c r="J704" s="38" t="s">
        <v>171</v>
      </c>
      <c r="K704" s="38" t="s">
        <v>177</v>
      </c>
      <c r="L704" s="38" t="s">
        <v>173</v>
      </c>
      <c r="M704" s="38"/>
      <c r="N704" s="19"/>
      <c r="O704" s="76" t="s">
        <v>62</v>
      </c>
      <c r="P704" s="6" t="s">
        <v>62</v>
      </c>
      <c r="Q704" s="38" t="s">
        <v>62</v>
      </c>
      <c r="R704" s="38" t="s">
        <v>62</v>
      </c>
      <c r="S704" s="34"/>
      <c r="T704" s="34"/>
      <c r="U704" s="34"/>
      <c r="V704" s="8"/>
      <c r="W704" t="s">
        <v>2182</v>
      </c>
      <c r="X704"/>
      <c r="Y704" s="34"/>
    </row>
    <row r="705" spans="1:34" s="55" customFormat="1" ht="15.75" customHeight="1" x14ac:dyDescent="0.15">
      <c r="A705" s="6">
        <v>699</v>
      </c>
      <c r="B705" s="18" t="s">
        <v>75</v>
      </c>
      <c r="C705" s="34" t="s">
        <v>57</v>
      </c>
      <c r="D705" s="75" t="s">
        <v>2183</v>
      </c>
      <c r="E705" s="2" t="s">
        <v>169</v>
      </c>
      <c r="F705">
        <v>15569</v>
      </c>
      <c r="G705" s="6">
        <v>27</v>
      </c>
      <c r="H705" s="6" t="s">
        <v>2184</v>
      </c>
      <c r="I705" s="34"/>
      <c r="J705" s="38" t="s">
        <v>171</v>
      </c>
      <c r="K705" s="38" t="s">
        <v>177</v>
      </c>
      <c r="L705" s="38" t="s">
        <v>173</v>
      </c>
      <c r="M705" s="38"/>
      <c r="N705" s="19"/>
      <c r="O705" s="76" t="s">
        <v>62</v>
      </c>
      <c r="P705" s="6" t="s">
        <v>62</v>
      </c>
      <c r="Q705" s="38" t="s">
        <v>62</v>
      </c>
      <c r="R705" s="38" t="s">
        <v>62</v>
      </c>
      <c r="S705" s="34"/>
      <c r="T705" s="34"/>
      <c r="U705" s="34"/>
      <c r="V705" s="8"/>
      <c r="W705" t="s">
        <v>2185</v>
      </c>
      <c r="X705"/>
      <c r="Y705" s="34"/>
    </row>
    <row r="706" spans="1:34" s="55" customFormat="1" ht="15.75" customHeight="1" x14ac:dyDescent="0.15">
      <c r="A706" s="6">
        <v>700</v>
      </c>
      <c r="B706" s="18" t="s">
        <v>75</v>
      </c>
      <c r="C706" s="34" t="s">
        <v>57</v>
      </c>
      <c r="D706" s="75" t="s">
        <v>2186</v>
      </c>
      <c r="E706" s="2" t="s">
        <v>169</v>
      </c>
      <c r="F706">
        <v>15569</v>
      </c>
      <c r="G706" s="6">
        <v>28</v>
      </c>
      <c r="H706" s="6" t="s">
        <v>2187</v>
      </c>
      <c r="I706" s="34"/>
      <c r="J706" s="38" t="s">
        <v>171</v>
      </c>
      <c r="K706" s="38" t="s">
        <v>177</v>
      </c>
      <c r="L706" s="38" t="s">
        <v>173</v>
      </c>
      <c r="M706" s="38"/>
      <c r="N706" s="19"/>
      <c r="O706" s="76" t="s">
        <v>62</v>
      </c>
      <c r="P706" s="6" t="s">
        <v>62</v>
      </c>
      <c r="Q706" s="38" t="s">
        <v>62</v>
      </c>
      <c r="R706" s="38" t="s">
        <v>62</v>
      </c>
      <c r="S706" s="34"/>
      <c r="T706" s="34"/>
      <c r="U706" s="34"/>
      <c r="V706" s="8"/>
      <c r="W706" t="s">
        <v>2188</v>
      </c>
      <c r="X706"/>
      <c r="Y706" s="34"/>
    </row>
    <row r="707" spans="1:34" s="55" customFormat="1" ht="15.75" customHeight="1" x14ac:dyDescent="0.15">
      <c r="A707" s="6">
        <v>701</v>
      </c>
      <c r="B707" s="18" t="s">
        <v>75</v>
      </c>
      <c r="C707" s="34" t="s">
        <v>57</v>
      </c>
      <c r="D707" s="75" t="s">
        <v>1924</v>
      </c>
      <c r="E707" s="2" t="s">
        <v>169</v>
      </c>
      <c r="F707">
        <v>15569</v>
      </c>
      <c r="G707" s="6">
        <v>30</v>
      </c>
      <c r="H707" s="6" t="s">
        <v>2189</v>
      </c>
      <c r="I707" s="34"/>
      <c r="J707" s="38" t="s">
        <v>171</v>
      </c>
      <c r="K707" s="38" t="s">
        <v>177</v>
      </c>
      <c r="L707" s="38" t="s">
        <v>173</v>
      </c>
      <c r="M707" s="38"/>
      <c r="N707" s="19"/>
      <c r="O707" s="76" t="s">
        <v>62</v>
      </c>
      <c r="P707" s="6" t="s">
        <v>62</v>
      </c>
      <c r="Q707" s="38" t="s">
        <v>62</v>
      </c>
      <c r="R707" s="38" t="s">
        <v>62</v>
      </c>
      <c r="S707" s="34"/>
      <c r="T707" s="34"/>
      <c r="U707" s="34"/>
      <c r="V707" s="8"/>
      <c r="W707" t="s">
        <v>2190</v>
      </c>
      <c r="X707"/>
      <c r="Y707" s="34"/>
    </row>
    <row r="708" spans="1:34" s="55" customFormat="1" ht="15.75" customHeight="1" x14ac:dyDescent="0.15">
      <c r="A708" s="6">
        <v>702</v>
      </c>
      <c r="B708" s="18" t="s">
        <v>75</v>
      </c>
      <c r="C708" s="34" t="s">
        <v>57</v>
      </c>
      <c r="D708" s="75" t="s">
        <v>2191</v>
      </c>
      <c r="E708" s="2" t="s">
        <v>143</v>
      </c>
      <c r="F708">
        <v>15571</v>
      </c>
      <c r="G708" s="6"/>
      <c r="H708" s="6" t="s">
        <v>2192</v>
      </c>
      <c r="I708" s="34"/>
      <c r="J708" s="38"/>
      <c r="K708" s="38"/>
      <c r="L708" s="38"/>
      <c r="M708" s="38" t="s">
        <v>113</v>
      </c>
      <c r="N708" s="19">
        <v>10</v>
      </c>
      <c r="O708" s="76">
        <v>-32768</v>
      </c>
      <c r="P708" s="6">
        <v>32767</v>
      </c>
      <c r="Q708" s="38">
        <v>-3276.8</v>
      </c>
      <c r="R708" s="38">
        <v>3276.7</v>
      </c>
      <c r="S708" s="34"/>
      <c r="T708" s="34"/>
      <c r="U708" s="34"/>
      <c r="V708" s="8"/>
      <c r="W708" t="s">
        <v>2193</v>
      </c>
      <c r="X708"/>
      <c r="Y708" s="34"/>
    </row>
    <row r="709" spans="1:34" s="55" customFormat="1" ht="15.75" customHeight="1" x14ac:dyDescent="0.15">
      <c r="A709" s="6">
        <v>703</v>
      </c>
      <c r="B709" s="18" t="s">
        <v>75</v>
      </c>
      <c r="C709" s="34" t="s">
        <v>57</v>
      </c>
      <c r="D709" s="75" t="s">
        <v>2194</v>
      </c>
      <c r="E709" s="2" t="s">
        <v>59</v>
      </c>
      <c r="F709">
        <v>15572</v>
      </c>
      <c r="G709" s="6"/>
      <c r="H709" s="6" t="s">
        <v>2195</v>
      </c>
      <c r="I709" s="34"/>
      <c r="J709" s="38"/>
      <c r="K709" s="38"/>
      <c r="L709" s="38"/>
      <c r="M709" s="38" t="s">
        <v>86</v>
      </c>
      <c r="N709" s="19">
        <v>1</v>
      </c>
      <c r="O709" s="76">
        <v>0</v>
      </c>
      <c r="P709" s="6">
        <v>4294967295</v>
      </c>
      <c r="Q709" s="38">
        <v>0</v>
      </c>
      <c r="R709" s="38">
        <v>4294967295</v>
      </c>
      <c r="S709" s="34"/>
      <c r="T709" s="34"/>
      <c r="U709" s="34"/>
      <c r="V709" s="8"/>
      <c r="W709" t="s">
        <v>2196</v>
      </c>
      <c r="X709"/>
      <c r="Y709" s="34" t="s">
        <v>64</v>
      </c>
    </row>
    <row r="710" spans="1:34" s="55" customFormat="1" ht="15.75" customHeight="1" x14ac:dyDescent="0.15">
      <c r="A710" s="6">
        <v>704</v>
      </c>
      <c r="B710" s="18" t="s">
        <v>75</v>
      </c>
      <c r="C710" s="34" t="s">
        <v>57</v>
      </c>
      <c r="D710" s="75" t="s">
        <v>2197</v>
      </c>
      <c r="E710" s="2" t="s">
        <v>59</v>
      </c>
      <c r="F710">
        <v>15574</v>
      </c>
      <c r="G710" s="6"/>
      <c r="H710" s="6" t="s">
        <v>2198</v>
      </c>
      <c r="I710" s="34"/>
      <c r="J710" s="38"/>
      <c r="K710" s="38"/>
      <c r="L710" s="38"/>
      <c r="M710" s="38" t="s">
        <v>96</v>
      </c>
      <c r="N710" s="19">
        <v>1</v>
      </c>
      <c r="O710" s="76">
        <v>0</v>
      </c>
      <c r="P710" s="6">
        <v>4294967295</v>
      </c>
      <c r="Q710" s="38">
        <v>0</v>
      </c>
      <c r="R710" s="38">
        <v>4294967295</v>
      </c>
      <c r="S710" s="34"/>
      <c r="T710" s="34"/>
      <c r="U710" s="34"/>
      <c r="V710" s="8"/>
      <c r="W710" t="s">
        <v>2199</v>
      </c>
      <c r="X710"/>
      <c r="Y710" s="34" t="s">
        <v>64</v>
      </c>
    </row>
    <row r="711" spans="1:34" s="55" customFormat="1" ht="15.75" customHeight="1" x14ac:dyDescent="0.15">
      <c r="A711" s="6">
        <v>705</v>
      </c>
      <c r="B711" s="18" t="s">
        <v>75</v>
      </c>
      <c r="C711" s="34" t="s">
        <v>57</v>
      </c>
      <c r="D711" s="75" t="s">
        <v>2200</v>
      </c>
      <c r="E711" s="2" t="s">
        <v>77</v>
      </c>
      <c r="F711">
        <v>15604</v>
      </c>
      <c r="G711" s="6"/>
      <c r="H711" s="6" t="s">
        <v>2201</v>
      </c>
      <c r="I711" s="34"/>
      <c r="J711" s="38"/>
      <c r="K711" s="38"/>
      <c r="L711" s="38"/>
      <c r="M711" s="38" t="s">
        <v>123</v>
      </c>
      <c r="N711" s="19">
        <v>100</v>
      </c>
      <c r="O711" s="76">
        <v>0</v>
      </c>
      <c r="P711" s="6">
        <v>65535</v>
      </c>
      <c r="Q711" s="38">
        <v>0</v>
      </c>
      <c r="R711" s="38">
        <v>655.35</v>
      </c>
      <c r="S711" s="34"/>
      <c r="T711" s="34"/>
      <c r="U711" s="34"/>
      <c r="V711" s="8"/>
      <c r="W711" t="s">
        <v>2202</v>
      </c>
      <c r="X711"/>
      <c r="Y711" s="34"/>
    </row>
    <row r="712" spans="1:34" s="55" customFormat="1" ht="15.75" customHeight="1" x14ac:dyDescent="0.15">
      <c r="A712" s="6">
        <v>706</v>
      </c>
      <c r="B712" s="18" t="s">
        <v>75</v>
      </c>
      <c r="C712" s="34" t="s">
        <v>57</v>
      </c>
      <c r="D712" s="75" t="s">
        <v>2203</v>
      </c>
      <c r="E712" s="2" t="s">
        <v>143</v>
      </c>
      <c r="F712">
        <v>15609</v>
      </c>
      <c r="G712" s="6"/>
      <c r="H712" s="6" t="s">
        <v>2204</v>
      </c>
      <c r="I712" s="34"/>
      <c r="J712" s="38"/>
      <c r="K712" s="38"/>
      <c r="L712" s="38"/>
      <c r="M712" s="38" t="s">
        <v>123</v>
      </c>
      <c r="N712" s="19">
        <v>10</v>
      </c>
      <c r="O712" s="76">
        <v>-32768</v>
      </c>
      <c r="P712" s="6">
        <v>32767</v>
      </c>
      <c r="Q712" s="38">
        <v>-3276.8</v>
      </c>
      <c r="R712" s="38">
        <v>3276.7</v>
      </c>
      <c r="S712" s="34"/>
      <c r="T712" s="34"/>
      <c r="U712" s="34"/>
      <c r="V712" s="8"/>
      <c r="W712" t="s">
        <v>2205</v>
      </c>
      <c r="X712"/>
      <c r="Y712" s="34"/>
    </row>
    <row r="713" spans="1:34" s="55" customFormat="1" ht="15.75" customHeight="1" x14ac:dyDescent="0.15">
      <c r="A713" s="6">
        <v>707</v>
      </c>
      <c r="B713" s="18" t="s">
        <v>75</v>
      </c>
      <c r="C713" s="34" t="s">
        <v>57</v>
      </c>
      <c r="D713" s="75" t="s">
        <v>2206</v>
      </c>
      <c r="E713" s="2" t="s">
        <v>143</v>
      </c>
      <c r="F713">
        <v>15610</v>
      </c>
      <c r="G713" s="6"/>
      <c r="H713" s="6" t="s">
        <v>2207</v>
      </c>
      <c r="I713" s="34"/>
      <c r="J713" s="38"/>
      <c r="K713" s="38"/>
      <c r="L713" s="38"/>
      <c r="M713" s="38" t="s">
        <v>123</v>
      </c>
      <c r="N713" s="19">
        <v>10</v>
      </c>
      <c r="O713" s="76">
        <v>-32768</v>
      </c>
      <c r="P713" s="6">
        <v>32767</v>
      </c>
      <c r="Q713" s="38">
        <v>-3276.8</v>
      </c>
      <c r="R713" s="38">
        <v>3276.7</v>
      </c>
      <c r="S713" s="34"/>
      <c r="T713" s="34"/>
      <c r="U713" s="34"/>
      <c r="V713" s="8"/>
      <c r="W713" t="s">
        <v>2208</v>
      </c>
      <c r="X713"/>
      <c r="Y713" s="34"/>
    </row>
    <row r="714" spans="1:34" s="55" customFormat="1" ht="15.75" customHeight="1" x14ac:dyDescent="0.15">
      <c r="A714" s="6">
        <v>708</v>
      </c>
      <c r="B714" s="18" t="s">
        <v>75</v>
      </c>
      <c r="C714" s="34" t="s">
        <v>57</v>
      </c>
      <c r="D714" s="75" t="s">
        <v>2209</v>
      </c>
      <c r="E714" s="2" t="s">
        <v>143</v>
      </c>
      <c r="F714">
        <v>15611</v>
      </c>
      <c r="G714" s="6"/>
      <c r="H714" s="6" t="s">
        <v>2210</v>
      </c>
      <c r="I714" s="34"/>
      <c r="J714" s="38"/>
      <c r="K714" s="38"/>
      <c r="L714" s="38"/>
      <c r="M714" s="38" t="s">
        <v>123</v>
      </c>
      <c r="N714" s="19">
        <v>10</v>
      </c>
      <c r="O714" s="76">
        <v>-32768</v>
      </c>
      <c r="P714" s="6">
        <v>32767</v>
      </c>
      <c r="Q714" s="38">
        <v>-3276.8</v>
      </c>
      <c r="R714" s="38">
        <v>3276.7</v>
      </c>
      <c r="S714" s="34"/>
      <c r="T714" s="34"/>
      <c r="U714" s="34"/>
      <c r="V714" s="8"/>
      <c r="W714" t="s">
        <v>2211</v>
      </c>
      <c r="X714"/>
      <c r="Y714" s="34"/>
    </row>
    <row r="715" spans="1:34" ht="15.75" customHeight="1" x14ac:dyDescent="0.15">
      <c r="A715" s="6">
        <v>709</v>
      </c>
      <c r="B715" s="18" t="s">
        <v>75</v>
      </c>
      <c r="C715" s="34" t="s">
        <v>57</v>
      </c>
      <c r="D715" s="75" t="s">
        <v>2212</v>
      </c>
      <c r="E715" s="2" t="s">
        <v>143</v>
      </c>
      <c r="F715">
        <v>15612</v>
      </c>
      <c r="G715" s="6"/>
      <c r="H715" s="6" t="s">
        <v>2213</v>
      </c>
      <c r="I715" s="34"/>
      <c r="J715" s="38"/>
      <c r="K715" s="38"/>
      <c r="L715" s="38"/>
      <c r="M715" s="38" t="s">
        <v>123</v>
      </c>
      <c r="N715" s="19">
        <v>10</v>
      </c>
      <c r="O715" s="76">
        <v>-32768</v>
      </c>
      <c r="P715" s="6">
        <v>32767</v>
      </c>
      <c r="Q715" s="38">
        <v>-3276.8</v>
      </c>
      <c r="R715" s="38">
        <v>3276.7</v>
      </c>
      <c r="S715" s="34"/>
      <c r="T715" s="34"/>
      <c r="U715" s="34"/>
      <c r="V715" s="8"/>
      <c r="W715" t="s">
        <v>2214</v>
      </c>
      <c r="Y715" s="34"/>
      <c r="Z715"/>
      <c r="AA715"/>
      <c r="AE715"/>
      <c r="AF715"/>
      <c r="AG715"/>
      <c r="AH715"/>
    </row>
    <row r="716" spans="1:34" ht="15.75" customHeight="1" x14ac:dyDescent="0.15">
      <c r="A716" s="6">
        <v>710</v>
      </c>
      <c r="B716" s="18" t="s">
        <v>75</v>
      </c>
      <c r="C716" s="34" t="s">
        <v>57</v>
      </c>
      <c r="D716" s="75" t="s">
        <v>2215</v>
      </c>
      <c r="E716" s="2" t="s">
        <v>143</v>
      </c>
      <c r="F716">
        <v>15613</v>
      </c>
      <c r="G716" s="6"/>
      <c r="H716" s="6" t="s">
        <v>2216</v>
      </c>
      <c r="I716" s="34"/>
      <c r="J716" s="38"/>
      <c r="K716" s="38"/>
      <c r="L716" s="38"/>
      <c r="M716" s="38" t="s">
        <v>123</v>
      </c>
      <c r="N716" s="19">
        <v>10</v>
      </c>
      <c r="O716" s="76">
        <v>-32768</v>
      </c>
      <c r="P716" s="6">
        <v>32767</v>
      </c>
      <c r="Q716" s="38">
        <v>-3276.8</v>
      </c>
      <c r="R716" s="38">
        <v>3276.7</v>
      </c>
      <c r="S716" s="34"/>
      <c r="T716" s="34"/>
      <c r="U716" s="34"/>
      <c r="V716" s="8"/>
      <c r="W716" t="s">
        <v>2217</v>
      </c>
      <c r="Y716" s="34"/>
      <c r="Z716"/>
      <c r="AA716"/>
      <c r="AE716"/>
      <c r="AF716"/>
      <c r="AG716"/>
      <c r="AH716"/>
    </row>
    <row r="717" spans="1:34" ht="15.75" customHeight="1" x14ac:dyDescent="0.15">
      <c r="A717" s="6">
        <v>711</v>
      </c>
      <c r="B717" s="18" t="s">
        <v>75</v>
      </c>
      <c r="C717" s="34" t="s">
        <v>57</v>
      </c>
      <c r="D717" s="75" t="s">
        <v>2218</v>
      </c>
      <c r="E717" s="2" t="s">
        <v>143</v>
      </c>
      <c r="F717">
        <v>15614</v>
      </c>
      <c r="G717" s="6"/>
      <c r="H717" s="6" t="s">
        <v>2219</v>
      </c>
      <c r="I717" s="34"/>
      <c r="J717" s="38"/>
      <c r="K717" s="38"/>
      <c r="L717" s="38"/>
      <c r="M717" s="38" t="s">
        <v>123</v>
      </c>
      <c r="N717" s="19">
        <v>10</v>
      </c>
      <c r="O717" s="76">
        <v>-32768</v>
      </c>
      <c r="P717" s="6">
        <v>32767</v>
      </c>
      <c r="Q717" s="38">
        <v>-3276.8</v>
      </c>
      <c r="R717" s="38">
        <v>3276.7</v>
      </c>
      <c r="S717" s="34"/>
      <c r="T717" s="34"/>
      <c r="U717" s="34"/>
      <c r="V717" s="8"/>
      <c r="W717" t="s">
        <v>2220</v>
      </c>
      <c r="Y717" s="34"/>
      <c r="Z717"/>
      <c r="AA717"/>
      <c r="AE717"/>
      <c r="AF717"/>
      <c r="AG717"/>
      <c r="AH717"/>
    </row>
    <row r="718" spans="1:34" ht="15.75" customHeight="1" x14ac:dyDescent="0.15">
      <c r="A718" s="6">
        <v>712</v>
      </c>
      <c r="B718" s="18" t="s">
        <v>75</v>
      </c>
      <c r="C718" s="34" t="s">
        <v>57</v>
      </c>
      <c r="D718" s="75" t="s">
        <v>2221</v>
      </c>
      <c r="E718" s="2" t="s">
        <v>143</v>
      </c>
      <c r="F718">
        <v>15615</v>
      </c>
      <c r="G718" s="6"/>
      <c r="H718" s="6" t="s">
        <v>2222</v>
      </c>
      <c r="I718" s="34"/>
      <c r="J718" s="38"/>
      <c r="K718" s="38"/>
      <c r="L718" s="38"/>
      <c r="M718" s="38" t="s">
        <v>123</v>
      </c>
      <c r="N718" s="19">
        <v>10</v>
      </c>
      <c r="O718" s="76">
        <v>-32768</v>
      </c>
      <c r="P718" s="6">
        <v>32767</v>
      </c>
      <c r="Q718" s="38">
        <v>-3276.8</v>
      </c>
      <c r="R718" s="38">
        <v>3276.7</v>
      </c>
      <c r="S718" s="34"/>
      <c r="T718" s="34"/>
      <c r="U718" s="34"/>
      <c r="V718" s="8"/>
      <c r="W718" t="s">
        <v>2223</v>
      </c>
      <c r="Y718" s="34"/>
      <c r="Z718"/>
      <c r="AA718"/>
      <c r="AE718"/>
      <c r="AF718"/>
      <c r="AG718"/>
      <c r="AH718"/>
    </row>
    <row r="719" spans="1:34" ht="15.75" customHeight="1" x14ac:dyDescent="0.15">
      <c r="A719" s="6">
        <v>713</v>
      </c>
      <c r="B719" s="18" t="s">
        <v>75</v>
      </c>
      <c r="C719" s="34" t="s">
        <v>57</v>
      </c>
      <c r="D719" s="75" t="s">
        <v>2224</v>
      </c>
      <c r="E719" s="2" t="s">
        <v>165</v>
      </c>
      <c r="F719">
        <v>15621</v>
      </c>
      <c r="G719" s="6"/>
      <c r="H719" s="6" t="s">
        <v>2225</v>
      </c>
      <c r="I719" s="34"/>
      <c r="J719" s="38"/>
      <c r="K719" s="38"/>
      <c r="L719" s="38"/>
      <c r="M719" s="38"/>
      <c r="N719" s="19"/>
      <c r="O719" s="76" t="s">
        <v>62</v>
      </c>
      <c r="P719" s="6" t="s">
        <v>62</v>
      </c>
      <c r="Q719" s="38" t="s">
        <v>62</v>
      </c>
      <c r="R719" s="38" t="s">
        <v>62</v>
      </c>
      <c r="S719" s="34"/>
      <c r="T719" s="34"/>
      <c r="U719" s="34"/>
      <c r="V719" s="8"/>
      <c r="W719" t="s">
        <v>2226</v>
      </c>
      <c r="Y719" s="34"/>
      <c r="Z719"/>
      <c r="AA719"/>
      <c r="AE719"/>
      <c r="AF719"/>
      <c r="AG719"/>
      <c r="AH719"/>
    </row>
    <row r="720" spans="1:34" ht="15.75" customHeight="1" x14ac:dyDescent="0.15">
      <c r="A720" s="6">
        <v>714</v>
      </c>
      <c r="B720" s="18" t="s">
        <v>75</v>
      </c>
      <c r="C720" s="34" t="s">
        <v>57</v>
      </c>
      <c r="D720" s="75" t="s">
        <v>2227</v>
      </c>
      <c r="E720" s="2" t="s">
        <v>169</v>
      </c>
      <c r="F720">
        <v>15621</v>
      </c>
      <c r="G720" s="6">
        <v>1</v>
      </c>
      <c r="H720" s="6" t="s">
        <v>2228</v>
      </c>
      <c r="I720" s="34"/>
      <c r="J720" s="38" t="s">
        <v>196</v>
      </c>
      <c r="K720" s="38" t="s">
        <v>940</v>
      </c>
      <c r="L720" s="38" t="s">
        <v>941</v>
      </c>
      <c r="M720" s="38"/>
      <c r="N720" s="19"/>
      <c r="O720" s="76" t="s">
        <v>62</v>
      </c>
      <c r="P720" s="6" t="s">
        <v>62</v>
      </c>
      <c r="Q720" s="38" t="s">
        <v>62</v>
      </c>
      <c r="R720" s="38" t="s">
        <v>62</v>
      </c>
      <c r="S720" s="34"/>
      <c r="T720" s="34"/>
      <c r="U720" s="34"/>
      <c r="V720" s="8"/>
      <c r="W720" t="s">
        <v>2229</v>
      </c>
      <c r="Y720" s="34"/>
      <c r="Z720"/>
      <c r="AA720"/>
      <c r="AE720"/>
      <c r="AF720"/>
      <c r="AG720"/>
      <c r="AH720"/>
    </row>
    <row r="721" spans="1:34" ht="15.75" customHeight="1" x14ac:dyDescent="0.15">
      <c r="A721" s="6">
        <v>715</v>
      </c>
      <c r="B721" s="18" t="s">
        <v>75</v>
      </c>
      <c r="C721" s="34" t="s">
        <v>57</v>
      </c>
      <c r="D721" s="75" t="s">
        <v>2230</v>
      </c>
      <c r="E721" s="2" t="s">
        <v>169</v>
      </c>
      <c r="F721">
        <v>15621</v>
      </c>
      <c r="G721" s="6">
        <v>2</v>
      </c>
      <c r="H721" s="6" t="s">
        <v>2231</v>
      </c>
      <c r="I721" s="34"/>
      <c r="J721" s="38" t="s">
        <v>196</v>
      </c>
      <c r="K721" s="38" t="s">
        <v>940</v>
      </c>
      <c r="L721" s="38" t="s">
        <v>941</v>
      </c>
      <c r="M721" s="38"/>
      <c r="N721" s="19"/>
      <c r="O721" s="76" t="s">
        <v>62</v>
      </c>
      <c r="P721" s="6" t="s">
        <v>62</v>
      </c>
      <c r="Q721" s="38" t="s">
        <v>62</v>
      </c>
      <c r="R721" s="38" t="s">
        <v>62</v>
      </c>
      <c r="S721" s="34"/>
      <c r="T721" s="34"/>
      <c r="U721" s="34"/>
      <c r="V721" s="8"/>
      <c r="W721" t="s">
        <v>2232</v>
      </c>
      <c r="Y721" s="34"/>
      <c r="Z721"/>
      <c r="AA721"/>
      <c r="AE721"/>
      <c r="AF721"/>
      <c r="AG721"/>
      <c r="AH721"/>
    </row>
    <row r="722" spans="1:34" ht="15.75" customHeight="1" x14ac:dyDescent="0.15">
      <c r="A722" s="6">
        <v>716</v>
      </c>
      <c r="B722" s="18" t="s">
        <v>75</v>
      </c>
      <c r="C722" s="34" t="s">
        <v>57</v>
      </c>
      <c r="D722" s="75" t="s">
        <v>2233</v>
      </c>
      <c r="E722" s="2" t="s">
        <v>165</v>
      </c>
      <c r="F722">
        <v>15629</v>
      </c>
      <c r="G722" s="6"/>
      <c r="H722" s="6" t="s">
        <v>2234</v>
      </c>
      <c r="I722" s="34"/>
      <c r="J722" s="38"/>
      <c r="K722" s="38"/>
      <c r="L722" s="38"/>
      <c r="M722" s="38"/>
      <c r="N722" s="19"/>
      <c r="O722" s="76" t="s">
        <v>62</v>
      </c>
      <c r="P722" s="6" t="s">
        <v>62</v>
      </c>
      <c r="Q722" s="38" t="s">
        <v>62</v>
      </c>
      <c r="R722" s="38" t="s">
        <v>62</v>
      </c>
      <c r="S722" s="34"/>
      <c r="T722" s="34"/>
      <c r="U722" s="34"/>
      <c r="V722" s="8"/>
      <c r="W722" t="s">
        <v>2235</v>
      </c>
      <c r="Y722" s="34"/>
      <c r="Z722"/>
      <c r="AA722"/>
      <c r="AE722"/>
      <c r="AF722"/>
      <c r="AG722"/>
      <c r="AH722"/>
    </row>
    <row r="723" spans="1:34" ht="15.75" customHeight="1" x14ac:dyDescent="0.15">
      <c r="A723" s="6">
        <v>717</v>
      </c>
      <c r="B723" s="18" t="s">
        <v>75</v>
      </c>
      <c r="C723" s="34" t="s">
        <v>57</v>
      </c>
      <c r="D723" s="75" t="s">
        <v>2236</v>
      </c>
      <c r="E723" s="2" t="s">
        <v>169</v>
      </c>
      <c r="F723">
        <v>15629</v>
      </c>
      <c r="G723" s="6">
        <v>0</v>
      </c>
      <c r="H723" s="6" t="s">
        <v>2237</v>
      </c>
      <c r="I723" s="34"/>
      <c r="J723" s="38" t="s">
        <v>171</v>
      </c>
      <c r="K723" s="38" t="s">
        <v>177</v>
      </c>
      <c r="L723" s="38" t="s">
        <v>173</v>
      </c>
      <c r="M723" s="38"/>
      <c r="N723" s="19"/>
      <c r="O723" s="76" t="s">
        <v>62</v>
      </c>
      <c r="P723" s="6" t="s">
        <v>62</v>
      </c>
      <c r="Q723" s="38" t="s">
        <v>62</v>
      </c>
      <c r="R723" s="38" t="s">
        <v>62</v>
      </c>
      <c r="S723" s="34"/>
      <c r="T723" s="34"/>
      <c r="U723" s="34"/>
      <c r="V723" s="8"/>
      <c r="W723" t="s">
        <v>2238</v>
      </c>
      <c r="Y723" s="34"/>
      <c r="Z723"/>
      <c r="AA723"/>
      <c r="AE723"/>
      <c r="AF723"/>
      <c r="AG723"/>
      <c r="AH723"/>
    </row>
    <row r="724" spans="1:34" ht="15.75" customHeight="1" x14ac:dyDescent="0.15">
      <c r="A724" s="6">
        <v>718</v>
      </c>
      <c r="B724" s="18" t="s">
        <v>75</v>
      </c>
      <c r="C724" s="34" t="s">
        <v>57</v>
      </c>
      <c r="D724" s="75" t="s">
        <v>2239</v>
      </c>
      <c r="E724" s="2" t="s">
        <v>169</v>
      </c>
      <c r="F724">
        <v>15629</v>
      </c>
      <c r="G724" s="6">
        <v>3</v>
      </c>
      <c r="H724" s="6" t="s">
        <v>2240</v>
      </c>
      <c r="I724" s="34"/>
      <c r="J724" s="38" t="s">
        <v>171</v>
      </c>
      <c r="K724" s="38" t="s">
        <v>177</v>
      </c>
      <c r="L724" s="38" t="s">
        <v>173</v>
      </c>
      <c r="M724" s="38"/>
      <c r="N724" s="19"/>
      <c r="O724" s="76" t="s">
        <v>62</v>
      </c>
      <c r="P724" s="6" t="s">
        <v>62</v>
      </c>
      <c r="Q724" s="38" t="s">
        <v>62</v>
      </c>
      <c r="R724" s="38" t="s">
        <v>62</v>
      </c>
      <c r="S724" s="34"/>
      <c r="T724" s="34"/>
      <c r="U724" s="34"/>
      <c r="V724" s="8"/>
      <c r="W724" t="s">
        <v>2241</v>
      </c>
      <c r="Y724" s="34"/>
      <c r="Z724"/>
      <c r="AA724"/>
      <c r="AE724"/>
      <c r="AF724"/>
      <c r="AG724"/>
      <c r="AH724"/>
    </row>
    <row r="725" spans="1:34" ht="15.75" customHeight="1" x14ac:dyDescent="0.15">
      <c r="A725" s="6">
        <v>719</v>
      </c>
      <c r="B725" s="18" t="s">
        <v>75</v>
      </c>
      <c r="C725" s="34" t="s">
        <v>57</v>
      </c>
      <c r="D725" s="75" t="s">
        <v>2242</v>
      </c>
      <c r="E725" s="2" t="s">
        <v>169</v>
      </c>
      <c r="F725">
        <v>15629</v>
      </c>
      <c r="G725" s="6">
        <v>4</v>
      </c>
      <c r="H725" s="6" t="s">
        <v>2243</v>
      </c>
      <c r="I725" s="34"/>
      <c r="J725" s="38" t="s">
        <v>171</v>
      </c>
      <c r="K725" s="38" t="s">
        <v>177</v>
      </c>
      <c r="L725" s="38" t="s">
        <v>173</v>
      </c>
      <c r="M725" s="38"/>
      <c r="N725" s="19"/>
      <c r="O725" s="76" t="s">
        <v>62</v>
      </c>
      <c r="P725" s="6" t="s">
        <v>62</v>
      </c>
      <c r="Q725" s="38" t="s">
        <v>62</v>
      </c>
      <c r="R725" s="38" t="s">
        <v>62</v>
      </c>
      <c r="S725" s="34"/>
      <c r="T725" s="34"/>
      <c r="U725" s="34"/>
      <c r="V725" s="8"/>
      <c r="W725" t="s">
        <v>2244</v>
      </c>
      <c r="Y725" s="34"/>
      <c r="Z725"/>
      <c r="AA725"/>
      <c r="AE725"/>
      <c r="AF725"/>
      <c r="AG725"/>
      <c r="AH725"/>
    </row>
    <row r="726" spans="1:34" ht="15.75" customHeight="1" x14ac:dyDescent="0.15">
      <c r="A726" s="6">
        <v>720</v>
      </c>
      <c r="B726" s="18" t="s">
        <v>75</v>
      </c>
      <c r="C726" s="34" t="s">
        <v>57</v>
      </c>
      <c r="D726" s="75" t="s">
        <v>2245</v>
      </c>
      <c r="E726" s="2" t="s">
        <v>169</v>
      </c>
      <c r="F726">
        <v>15629</v>
      </c>
      <c r="G726" s="6">
        <v>5</v>
      </c>
      <c r="H726" s="6" t="s">
        <v>2246</v>
      </c>
      <c r="I726" s="34"/>
      <c r="J726" s="38" t="s">
        <v>171</v>
      </c>
      <c r="K726" s="38" t="s">
        <v>177</v>
      </c>
      <c r="L726" s="38" t="s">
        <v>173</v>
      </c>
      <c r="M726" s="38"/>
      <c r="N726" s="19"/>
      <c r="O726" s="76" t="s">
        <v>62</v>
      </c>
      <c r="P726" s="6" t="s">
        <v>62</v>
      </c>
      <c r="Q726" s="38" t="s">
        <v>62</v>
      </c>
      <c r="R726" s="38" t="s">
        <v>62</v>
      </c>
      <c r="S726" s="34"/>
      <c r="T726" s="34"/>
      <c r="U726" s="34"/>
      <c r="V726" s="8"/>
      <c r="W726" t="s">
        <v>2247</v>
      </c>
      <c r="Y726" s="34"/>
      <c r="Z726"/>
      <c r="AA726"/>
      <c r="AE726"/>
      <c r="AF726"/>
      <c r="AG726"/>
      <c r="AH726"/>
    </row>
    <row r="727" spans="1:34" ht="15.75" customHeight="1" x14ac:dyDescent="0.15">
      <c r="A727" s="6">
        <v>721</v>
      </c>
      <c r="B727" s="18" t="s">
        <v>75</v>
      </c>
      <c r="C727" s="34" t="s">
        <v>57</v>
      </c>
      <c r="D727" s="75" t="s">
        <v>2248</v>
      </c>
      <c r="E727" s="2" t="s">
        <v>165</v>
      </c>
      <c r="F727">
        <v>15630</v>
      </c>
      <c r="G727" s="6"/>
      <c r="H727" s="6" t="s">
        <v>2249</v>
      </c>
      <c r="I727" s="34"/>
      <c r="J727" s="38"/>
      <c r="K727" s="38"/>
      <c r="L727" s="38"/>
      <c r="M727" s="38"/>
      <c r="N727" s="19"/>
      <c r="O727" s="76" t="s">
        <v>62</v>
      </c>
      <c r="P727" s="6" t="s">
        <v>62</v>
      </c>
      <c r="Q727" s="38" t="s">
        <v>62</v>
      </c>
      <c r="R727" s="38" t="s">
        <v>62</v>
      </c>
      <c r="S727" s="34"/>
      <c r="T727" s="34"/>
      <c r="U727" s="34"/>
      <c r="V727" s="8"/>
      <c r="W727" t="s">
        <v>2250</v>
      </c>
      <c r="Y727" s="34"/>
      <c r="Z727"/>
      <c r="AA727"/>
      <c r="AE727"/>
      <c r="AF727"/>
      <c r="AG727"/>
      <c r="AH727"/>
    </row>
    <row r="728" spans="1:34" ht="15.75" customHeight="1" x14ac:dyDescent="0.15">
      <c r="A728" s="6">
        <v>722</v>
      </c>
      <c r="B728" s="18" t="s">
        <v>75</v>
      </c>
      <c r="C728" s="34" t="s">
        <v>57</v>
      </c>
      <c r="D728" s="75" t="s">
        <v>2236</v>
      </c>
      <c r="E728" s="2" t="s">
        <v>169</v>
      </c>
      <c r="F728">
        <v>15630</v>
      </c>
      <c r="G728" s="6">
        <v>0</v>
      </c>
      <c r="H728" s="6" t="s">
        <v>2251</v>
      </c>
      <c r="I728" s="34"/>
      <c r="J728" s="38" t="s">
        <v>171</v>
      </c>
      <c r="K728" s="38" t="s">
        <v>177</v>
      </c>
      <c r="L728" s="38" t="s">
        <v>173</v>
      </c>
      <c r="M728" s="38"/>
      <c r="N728" s="19"/>
      <c r="O728" s="76" t="s">
        <v>62</v>
      </c>
      <c r="P728" s="6" t="s">
        <v>62</v>
      </c>
      <c r="Q728" s="38" t="s">
        <v>62</v>
      </c>
      <c r="R728" s="38" t="s">
        <v>62</v>
      </c>
      <c r="S728" s="34"/>
      <c r="T728" s="34"/>
      <c r="U728" s="34"/>
      <c r="V728" s="8"/>
      <c r="W728" t="s">
        <v>2252</v>
      </c>
      <c r="Y728" s="34"/>
      <c r="Z728"/>
      <c r="AA728"/>
      <c r="AE728"/>
      <c r="AF728"/>
      <c r="AG728"/>
      <c r="AH728"/>
    </row>
    <row r="729" spans="1:34" ht="15.75" customHeight="1" x14ac:dyDescent="0.15">
      <c r="A729" s="6">
        <v>723</v>
      </c>
      <c r="B729" s="18" t="s">
        <v>75</v>
      </c>
      <c r="C729" s="34" t="s">
        <v>57</v>
      </c>
      <c r="D729" s="75" t="s">
        <v>2253</v>
      </c>
      <c r="E729" s="2" t="s">
        <v>169</v>
      </c>
      <c r="F729">
        <v>15630</v>
      </c>
      <c r="G729" s="6">
        <v>3</v>
      </c>
      <c r="H729" s="6" t="s">
        <v>2254</v>
      </c>
      <c r="I729" s="34"/>
      <c r="J729" s="38" t="s">
        <v>171</v>
      </c>
      <c r="K729" s="38" t="s">
        <v>177</v>
      </c>
      <c r="L729" s="38" t="s">
        <v>173</v>
      </c>
      <c r="M729" s="38"/>
      <c r="N729" s="19"/>
      <c r="O729" s="76" t="s">
        <v>62</v>
      </c>
      <c r="P729" s="6" t="s">
        <v>62</v>
      </c>
      <c r="Q729" s="38" t="s">
        <v>62</v>
      </c>
      <c r="R729" s="38" t="s">
        <v>62</v>
      </c>
      <c r="S729" s="34"/>
      <c r="T729" s="34"/>
      <c r="U729" s="34"/>
      <c r="V729" s="8"/>
      <c r="W729" t="s">
        <v>2255</v>
      </c>
      <c r="Y729" s="34"/>
      <c r="Z729"/>
      <c r="AA729"/>
      <c r="AE729"/>
      <c r="AF729"/>
      <c r="AG729"/>
      <c r="AH729"/>
    </row>
    <row r="730" spans="1:34" ht="15.75" customHeight="1" x14ac:dyDescent="0.15">
      <c r="A730" s="6">
        <v>724</v>
      </c>
      <c r="B730" s="18" t="s">
        <v>75</v>
      </c>
      <c r="C730" s="34" t="s">
        <v>57</v>
      </c>
      <c r="D730" s="75" t="s">
        <v>2256</v>
      </c>
      <c r="E730" s="2" t="s">
        <v>169</v>
      </c>
      <c r="F730">
        <v>15630</v>
      </c>
      <c r="G730" s="6">
        <v>4</v>
      </c>
      <c r="H730" s="6" t="s">
        <v>2257</v>
      </c>
      <c r="I730" s="34"/>
      <c r="J730" s="38" t="s">
        <v>171</v>
      </c>
      <c r="K730" s="38" t="s">
        <v>177</v>
      </c>
      <c r="L730" s="38" t="s">
        <v>173</v>
      </c>
      <c r="M730" s="38"/>
      <c r="N730" s="19"/>
      <c r="O730" s="76" t="s">
        <v>62</v>
      </c>
      <c r="P730" s="6" t="s">
        <v>62</v>
      </c>
      <c r="Q730" s="38" t="s">
        <v>62</v>
      </c>
      <c r="R730" s="38" t="s">
        <v>62</v>
      </c>
      <c r="S730" s="34"/>
      <c r="T730" s="34"/>
      <c r="U730" s="34"/>
      <c r="V730" s="8"/>
      <c r="W730" t="s">
        <v>2258</v>
      </c>
      <c r="Y730" s="34"/>
      <c r="Z730"/>
      <c r="AA730"/>
      <c r="AE730"/>
      <c r="AF730"/>
      <c r="AG730"/>
      <c r="AH730"/>
    </row>
    <row r="731" spans="1:34" ht="15.75" customHeight="1" x14ac:dyDescent="0.15">
      <c r="A731" s="6">
        <v>725</v>
      </c>
      <c r="B731" s="18" t="s">
        <v>75</v>
      </c>
      <c r="C731" s="34" t="s">
        <v>57</v>
      </c>
      <c r="D731" s="75" t="s">
        <v>2259</v>
      </c>
      <c r="E731" s="2" t="s">
        <v>77</v>
      </c>
      <c r="F731">
        <v>15631</v>
      </c>
      <c r="G731" s="6"/>
      <c r="H731" s="6" t="s">
        <v>2260</v>
      </c>
      <c r="I731" s="34"/>
      <c r="J731" s="38"/>
      <c r="K731" s="38"/>
      <c r="L731" s="38"/>
      <c r="M731" s="38" t="s">
        <v>2261</v>
      </c>
      <c r="N731" s="19">
        <v>1</v>
      </c>
      <c r="O731" s="76">
        <v>0</v>
      </c>
      <c r="P731" s="6">
        <v>65535</v>
      </c>
      <c r="Q731" s="38">
        <v>0</v>
      </c>
      <c r="R731" s="38">
        <v>65535</v>
      </c>
      <c r="S731" s="34"/>
      <c r="T731" s="34"/>
      <c r="U731" s="34"/>
      <c r="V731" s="8"/>
      <c r="W731" t="s">
        <v>2262</v>
      </c>
      <c r="Y731" s="34"/>
      <c r="Z731"/>
      <c r="AA731"/>
      <c r="AE731"/>
      <c r="AF731"/>
      <c r="AG731"/>
      <c r="AH731"/>
    </row>
    <row r="732" spans="1:34" ht="15.75" customHeight="1" x14ac:dyDescent="0.15">
      <c r="A732" s="6">
        <v>726</v>
      </c>
      <c r="B732" s="18" t="s">
        <v>75</v>
      </c>
      <c r="C732" s="34" t="s">
        <v>57</v>
      </c>
      <c r="D732" s="75" t="s">
        <v>2263</v>
      </c>
      <c r="E732" s="2" t="s">
        <v>69</v>
      </c>
      <c r="F732">
        <v>15633</v>
      </c>
      <c r="G732" s="6"/>
      <c r="H732" s="6" t="s">
        <v>2264</v>
      </c>
      <c r="I732" s="34"/>
      <c r="J732" s="38"/>
      <c r="K732" s="38"/>
      <c r="L732" s="38"/>
      <c r="M732" s="38"/>
      <c r="N732" s="19"/>
      <c r="O732" s="76" t="s">
        <v>62</v>
      </c>
      <c r="P732" s="6" t="s">
        <v>62</v>
      </c>
      <c r="Q732" s="38" t="s">
        <v>62</v>
      </c>
      <c r="R732" s="38" t="s">
        <v>62</v>
      </c>
      <c r="S732" s="34"/>
      <c r="T732" s="34"/>
      <c r="U732" s="34"/>
      <c r="V732" s="8"/>
      <c r="W732" t="s">
        <v>2265</v>
      </c>
      <c r="Y732" s="34" t="s">
        <v>64</v>
      </c>
      <c r="Z732"/>
      <c r="AA732"/>
      <c r="AE732"/>
      <c r="AF732"/>
      <c r="AG732"/>
      <c r="AH732"/>
    </row>
    <row r="733" spans="1:34" ht="15.75" customHeight="1" x14ac:dyDescent="0.15">
      <c r="A733" s="6">
        <v>727</v>
      </c>
      <c r="B733" s="18" t="s">
        <v>75</v>
      </c>
      <c r="C733" s="34" t="s">
        <v>57</v>
      </c>
      <c r="D733" s="75" t="s">
        <v>2266</v>
      </c>
      <c r="E733" s="2" t="s">
        <v>107</v>
      </c>
      <c r="F733">
        <v>15698</v>
      </c>
      <c r="G733" s="6"/>
      <c r="H733" s="6" t="s">
        <v>2267</v>
      </c>
      <c r="I733" s="34"/>
      <c r="J733" s="38"/>
      <c r="K733" s="38"/>
      <c r="L733" s="38"/>
      <c r="M733" s="38" t="s">
        <v>82</v>
      </c>
      <c r="N733" s="19">
        <v>10</v>
      </c>
      <c r="O733" s="76">
        <v>-2147483648</v>
      </c>
      <c r="P733" s="6">
        <v>2147483647</v>
      </c>
      <c r="Q733" s="38">
        <v>-214748364.80000001</v>
      </c>
      <c r="R733" s="38">
        <v>214748364.69999999</v>
      </c>
      <c r="S733" s="34"/>
      <c r="T733" s="34"/>
      <c r="U733" s="34"/>
      <c r="V733" s="8"/>
      <c r="W733" t="s">
        <v>2268</v>
      </c>
      <c r="Y733" s="34" t="s">
        <v>64</v>
      </c>
      <c r="Z733"/>
      <c r="AA733"/>
      <c r="AE733"/>
      <c r="AF733"/>
      <c r="AG733"/>
      <c r="AH733"/>
    </row>
    <row r="734" spans="1:34" ht="15.75" customHeight="1" x14ac:dyDescent="0.15">
      <c r="A734" s="6">
        <v>728</v>
      </c>
      <c r="B734" s="18" t="s">
        <v>75</v>
      </c>
      <c r="C734" s="34" t="s">
        <v>57</v>
      </c>
      <c r="D734" s="75" t="s">
        <v>2269</v>
      </c>
      <c r="E734" s="2" t="s">
        <v>107</v>
      </c>
      <c r="F734">
        <v>15700</v>
      </c>
      <c r="G734" s="6"/>
      <c r="H734" s="6" t="s">
        <v>2270</v>
      </c>
      <c r="I734" s="34"/>
      <c r="J734" s="38"/>
      <c r="K734" s="38"/>
      <c r="L734" s="38"/>
      <c r="M734" s="38" t="s">
        <v>82</v>
      </c>
      <c r="N734" s="19">
        <v>10</v>
      </c>
      <c r="O734" s="76">
        <v>-2147483648</v>
      </c>
      <c r="P734" s="6">
        <v>2147483647</v>
      </c>
      <c r="Q734" s="38">
        <v>-214748364.80000001</v>
      </c>
      <c r="R734" s="38">
        <v>214748364.69999999</v>
      </c>
      <c r="S734" s="34"/>
      <c r="T734" s="34"/>
      <c r="U734" s="34"/>
      <c r="V734" s="8"/>
      <c r="W734" t="s">
        <v>2271</v>
      </c>
      <c r="Y734" s="34" t="s">
        <v>64</v>
      </c>
      <c r="Z734"/>
      <c r="AA734"/>
      <c r="AE734"/>
      <c r="AF734"/>
      <c r="AG734"/>
      <c r="AH734"/>
    </row>
    <row r="735" spans="1:34" ht="15.75" customHeight="1" x14ac:dyDescent="0.15">
      <c r="A735" s="6">
        <v>729</v>
      </c>
      <c r="B735" s="18" t="s">
        <v>75</v>
      </c>
      <c r="C735" s="34" t="s">
        <v>57</v>
      </c>
      <c r="D735" s="75" t="s">
        <v>2272</v>
      </c>
      <c r="E735" s="2" t="s">
        <v>77</v>
      </c>
      <c r="F735">
        <v>15702</v>
      </c>
      <c r="G735" s="6"/>
      <c r="H735" s="6" t="s">
        <v>2273</v>
      </c>
      <c r="I735" s="34"/>
      <c r="J735" s="38" t="s">
        <v>2274</v>
      </c>
      <c r="K735" s="38" t="s">
        <v>222</v>
      </c>
      <c r="L735" s="38" t="s">
        <v>2275</v>
      </c>
      <c r="M735" s="38" t="s">
        <v>2276</v>
      </c>
      <c r="N735" s="19"/>
      <c r="O735" s="76">
        <v>0</v>
      </c>
      <c r="P735" s="6">
        <v>65535</v>
      </c>
      <c r="Q735" s="38" t="s">
        <v>62</v>
      </c>
      <c r="R735" s="38" t="s">
        <v>62</v>
      </c>
      <c r="S735" s="34"/>
      <c r="T735" s="34"/>
      <c r="U735" s="34"/>
      <c r="V735" s="8"/>
      <c r="W735" t="s">
        <v>2277</v>
      </c>
      <c r="Y735" s="34" t="s">
        <v>64</v>
      </c>
      <c r="Z735"/>
      <c r="AA735"/>
      <c r="AE735"/>
      <c r="AF735"/>
      <c r="AG735"/>
      <c r="AH735"/>
    </row>
    <row r="736" spans="1:34" ht="15.75" customHeight="1" x14ac:dyDescent="0.15">
      <c r="A736" s="6">
        <v>730</v>
      </c>
      <c r="B736" s="18" t="s">
        <v>2278</v>
      </c>
      <c r="C736" s="34" t="s">
        <v>57</v>
      </c>
      <c r="D736" s="75" t="s">
        <v>2279</v>
      </c>
      <c r="E736" s="2" t="s">
        <v>77</v>
      </c>
      <c r="F736">
        <v>15703</v>
      </c>
      <c r="G736" s="6"/>
      <c r="H736" s="6" t="s">
        <v>2280</v>
      </c>
      <c r="I736" s="34"/>
      <c r="J736" s="38"/>
      <c r="K736" s="38"/>
      <c r="L736" s="38"/>
      <c r="M736" s="38" t="s">
        <v>2281</v>
      </c>
      <c r="N736" s="19">
        <v>10</v>
      </c>
      <c r="O736" s="76">
        <v>0</v>
      </c>
      <c r="P736" s="6">
        <v>65535</v>
      </c>
      <c r="Q736" s="38">
        <v>0</v>
      </c>
      <c r="R736" s="38">
        <v>6553.5</v>
      </c>
      <c r="S736" s="34"/>
      <c r="T736" s="34"/>
      <c r="U736" s="34"/>
      <c r="V736" s="8"/>
      <c r="W736" t="s">
        <v>2282</v>
      </c>
      <c r="Y736" s="34"/>
      <c r="Z736"/>
      <c r="AA736"/>
      <c r="AE736"/>
      <c r="AF736"/>
      <c r="AG736"/>
      <c r="AH736"/>
    </row>
    <row r="737" spans="1:34" ht="15.75" customHeight="1" x14ac:dyDescent="0.15">
      <c r="A737" s="6">
        <v>731</v>
      </c>
      <c r="B737" s="18" t="s">
        <v>2278</v>
      </c>
      <c r="C737" s="34" t="s">
        <v>57</v>
      </c>
      <c r="D737" s="75" t="s">
        <v>2283</v>
      </c>
      <c r="E737" s="2" t="s">
        <v>77</v>
      </c>
      <c r="F737">
        <v>15704</v>
      </c>
      <c r="G737" s="6"/>
      <c r="H737" s="6" t="s">
        <v>2284</v>
      </c>
      <c r="I737" s="34"/>
      <c r="J737" s="38"/>
      <c r="K737" s="38"/>
      <c r="L737" s="38"/>
      <c r="M737" s="38" t="s">
        <v>82</v>
      </c>
      <c r="N737" s="19">
        <v>10</v>
      </c>
      <c r="O737" s="76">
        <v>0</v>
      </c>
      <c r="P737" s="6">
        <v>65535</v>
      </c>
      <c r="Q737" s="38">
        <v>0</v>
      </c>
      <c r="R737" s="38">
        <v>6553.5</v>
      </c>
      <c r="S737" s="34"/>
      <c r="T737" s="34"/>
      <c r="U737" s="34"/>
      <c r="V737" s="8"/>
      <c r="W737" t="s">
        <v>2285</v>
      </c>
      <c r="Y737" s="34" t="s">
        <v>64</v>
      </c>
      <c r="Z737"/>
      <c r="AA737"/>
      <c r="AE737"/>
      <c r="AF737"/>
      <c r="AG737"/>
      <c r="AH737"/>
    </row>
    <row r="738" spans="1:34" ht="15.75" customHeight="1" x14ac:dyDescent="0.15">
      <c r="A738" s="6">
        <v>732</v>
      </c>
      <c r="B738" s="18" t="s">
        <v>2278</v>
      </c>
      <c r="C738" s="34" t="s">
        <v>57</v>
      </c>
      <c r="D738" s="75" t="s">
        <v>2286</v>
      </c>
      <c r="E738" s="2" t="s">
        <v>143</v>
      </c>
      <c r="F738">
        <v>15705</v>
      </c>
      <c r="G738" s="6"/>
      <c r="H738" s="6" t="s">
        <v>2287</v>
      </c>
      <c r="I738" s="34"/>
      <c r="J738" s="38"/>
      <c r="K738" s="38"/>
      <c r="L738" s="38"/>
      <c r="M738" s="38" t="s">
        <v>153</v>
      </c>
      <c r="N738" s="19">
        <v>10</v>
      </c>
      <c r="O738" s="76">
        <v>-32768</v>
      </c>
      <c r="P738" s="6">
        <v>32767</v>
      </c>
      <c r="Q738" s="38">
        <v>-3276.8</v>
      </c>
      <c r="R738" s="38">
        <v>3276.7</v>
      </c>
      <c r="S738" s="34"/>
      <c r="T738" s="34"/>
      <c r="U738" s="34"/>
      <c r="V738" s="8"/>
      <c r="W738" t="s">
        <v>2288</v>
      </c>
      <c r="Y738" s="34"/>
      <c r="Z738"/>
      <c r="AA738"/>
      <c r="AE738"/>
      <c r="AF738"/>
      <c r="AG738"/>
      <c r="AH738"/>
    </row>
    <row r="739" spans="1:34" ht="15.75" customHeight="1" x14ac:dyDescent="0.15">
      <c r="A739" s="6">
        <v>733</v>
      </c>
      <c r="B739" s="18" t="s">
        <v>2278</v>
      </c>
      <c r="C739" s="34" t="s">
        <v>57</v>
      </c>
      <c r="D739" s="75" t="s">
        <v>2289</v>
      </c>
      <c r="E739" s="2" t="s">
        <v>143</v>
      </c>
      <c r="F739">
        <v>15706</v>
      </c>
      <c r="G739" s="6"/>
      <c r="H739" s="6" t="s">
        <v>2290</v>
      </c>
      <c r="I739" s="34"/>
      <c r="J739" s="38"/>
      <c r="K739" s="38"/>
      <c r="L739" s="38"/>
      <c r="M739" s="38" t="s">
        <v>153</v>
      </c>
      <c r="N739" s="19">
        <v>10</v>
      </c>
      <c r="O739" s="76">
        <v>-32768</v>
      </c>
      <c r="P739" s="6">
        <v>32767</v>
      </c>
      <c r="Q739" s="38">
        <v>-3276.8</v>
      </c>
      <c r="R739" s="38">
        <v>3276.7</v>
      </c>
      <c r="S739" s="34"/>
      <c r="T739" s="34"/>
      <c r="U739" s="34"/>
      <c r="V739" s="8"/>
      <c r="W739" t="s">
        <v>2291</v>
      </c>
      <c r="Y739" s="34"/>
      <c r="Z739"/>
      <c r="AA739"/>
      <c r="AE739"/>
      <c r="AF739"/>
      <c r="AG739"/>
      <c r="AH739"/>
    </row>
    <row r="740" spans="1:34" ht="15.75" customHeight="1" x14ac:dyDescent="0.15">
      <c r="A740" s="6">
        <v>734</v>
      </c>
      <c r="B740" s="18" t="s">
        <v>75</v>
      </c>
      <c r="C740" s="34" t="s">
        <v>57</v>
      </c>
      <c r="D740" s="75" t="s">
        <v>2292</v>
      </c>
      <c r="E740" s="2" t="s">
        <v>77</v>
      </c>
      <c r="F740">
        <v>15707</v>
      </c>
      <c r="G740" s="6"/>
      <c r="H740" s="6" t="s">
        <v>2293</v>
      </c>
      <c r="I740" s="34"/>
      <c r="J740" s="38" t="s">
        <v>2274</v>
      </c>
      <c r="K740" s="38" t="s">
        <v>2294</v>
      </c>
      <c r="L740" s="38" t="s">
        <v>2295</v>
      </c>
      <c r="M740" s="38" t="s">
        <v>2276</v>
      </c>
      <c r="N740" s="19"/>
      <c r="O740" s="76">
        <v>0</v>
      </c>
      <c r="P740" s="6">
        <v>65535</v>
      </c>
      <c r="Q740" s="38" t="s">
        <v>62</v>
      </c>
      <c r="R740" s="38" t="s">
        <v>62</v>
      </c>
      <c r="S740" s="34"/>
      <c r="T740" s="34"/>
      <c r="U740" s="34"/>
      <c r="V740" s="8"/>
      <c r="W740" t="s">
        <v>2296</v>
      </c>
      <c r="Y740" s="34" t="s">
        <v>64</v>
      </c>
      <c r="Z740"/>
      <c r="AA740"/>
      <c r="AE740"/>
      <c r="AF740"/>
      <c r="AG740"/>
      <c r="AH740"/>
    </row>
    <row r="741" spans="1:34" ht="15.75" customHeight="1" x14ac:dyDescent="0.15">
      <c r="A741" s="6">
        <v>735</v>
      </c>
      <c r="B741" s="18" t="s">
        <v>75</v>
      </c>
      <c r="C741" s="34" t="s">
        <v>57</v>
      </c>
      <c r="D741" s="75" t="s">
        <v>2297</v>
      </c>
      <c r="E741" s="2" t="s">
        <v>77</v>
      </c>
      <c r="F741">
        <v>15708</v>
      </c>
      <c r="G741" s="6"/>
      <c r="H741" s="6" t="s">
        <v>2298</v>
      </c>
      <c r="I741" s="34"/>
      <c r="J741" s="38"/>
      <c r="K741" s="38"/>
      <c r="L741" s="38"/>
      <c r="M741" s="38" t="s">
        <v>113</v>
      </c>
      <c r="N741" s="19">
        <v>10</v>
      </c>
      <c r="O741" s="76">
        <v>0</v>
      </c>
      <c r="P741" s="6">
        <v>65535</v>
      </c>
      <c r="Q741" s="38">
        <v>0</v>
      </c>
      <c r="R741" s="38">
        <v>6553.5</v>
      </c>
      <c r="S741" s="34"/>
      <c r="T741" s="34"/>
      <c r="U741" s="34"/>
      <c r="V741" s="8"/>
      <c r="W741" t="s">
        <v>2299</v>
      </c>
      <c r="Y741" s="34" t="s">
        <v>64</v>
      </c>
      <c r="Z741"/>
      <c r="AA741"/>
      <c r="AE741"/>
      <c r="AF741"/>
      <c r="AG741"/>
      <c r="AH741"/>
    </row>
    <row r="742" spans="1:34" ht="15.75" customHeight="1" x14ac:dyDescent="0.15">
      <c r="A742" s="6">
        <v>736</v>
      </c>
      <c r="B742" s="18" t="s">
        <v>75</v>
      </c>
      <c r="C742" s="34" t="s">
        <v>57</v>
      </c>
      <c r="D742" s="75" t="s">
        <v>2300</v>
      </c>
      <c r="E742" s="2" t="s">
        <v>77</v>
      </c>
      <c r="F742">
        <v>15709</v>
      </c>
      <c r="G742" s="6"/>
      <c r="H742" s="6" t="s">
        <v>2301</v>
      </c>
      <c r="I742" s="34"/>
      <c r="J742" s="38"/>
      <c r="K742" s="38"/>
      <c r="L742" s="38"/>
      <c r="M742" s="38" t="s">
        <v>113</v>
      </c>
      <c r="N742" s="19">
        <v>10</v>
      </c>
      <c r="O742" s="76">
        <v>0</v>
      </c>
      <c r="P742" s="6">
        <v>65535</v>
      </c>
      <c r="Q742" s="38">
        <v>0</v>
      </c>
      <c r="R742" s="38">
        <v>6553.5</v>
      </c>
      <c r="S742" s="34"/>
      <c r="T742" s="34"/>
      <c r="U742" s="34"/>
      <c r="V742" s="8"/>
      <c r="W742" t="s">
        <v>2302</v>
      </c>
      <c r="Y742" s="34" t="s">
        <v>64</v>
      </c>
      <c r="Z742"/>
      <c r="AA742"/>
      <c r="AE742"/>
      <c r="AF742"/>
      <c r="AG742"/>
      <c r="AH742"/>
    </row>
    <row r="743" spans="1:34" ht="15.75" customHeight="1" x14ac:dyDescent="0.15">
      <c r="A743" s="6">
        <v>737</v>
      </c>
      <c r="B743" s="18" t="s">
        <v>75</v>
      </c>
      <c r="C743" s="34" t="s">
        <v>57</v>
      </c>
      <c r="D743" s="75" t="s">
        <v>2303</v>
      </c>
      <c r="E743" s="2" t="s">
        <v>77</v>
      </c>
      <c r="F743">
        <v>15710</v>
      </c>
      <c r="G743" s="6"/>
      <c r="H743" s="6" t="s">
        <v>2304</v>
      </c>
      <c r="I743" s="34"/>
      <c r="J743" s="38"/>
      <c r="K743" s="38"/>
      <c r="L743" s="38"/>
      <c r="M743" s="38" t="s">
        <v>113</v>
      </c>
      <c r="N743" s="19">
        <v>10</v>
      </c>
      <c r="O743" s="76">
        <v>0</v>
      </c>
      <c r="P743" s="6">
        <v>65535</v>
      </c>
      <c r="Q743" s="38">
        <v>0</v>
      </c>
      <c r="R743" s="38">
        <v>6553.5</v>
      </c>
      <c r="S743" s="34"/>
      <c r="T743" s="34"/>
      <c r="U743" s="34"/>
      <c r="V743" s="8"/>
      <c r="W743" t="s">
        <v>2305</v>
      </c>
      <c r="Y743" s="34" t="s">
        <v>64</v>
      </c>
      <c r="Z743"/>
      <c r="AA743"/>
      <c r="AE743"/>
      <c r="AF743"/>
      <c r="AG743"/>
      <c r="AH743"/>
    </row>
    <row r="744" spans="1:34" ht="15.75" customHeight="1" x14ac:dyDescent="0.15">
      <c r="A744" s="6">
        <v>738</v>
      </c>
      <c r="B744" s="18" t="s">
        <v>75</v>
      </c>
      <c r="C744" s="34" t="s">
        <v>57</v>
      </c>
      <c r="D744" s="75" t="s">
        <v>2306</v>
      </c>
      <c r="E744" s="2" t="s">
        <v>77</v>
      </c>
      <c r="F744">
        <v>15732</v>
      </c>
      <c r="G744" s="6"/>
      <c r="H744" s="6" t="s">
        <v>2307</v>
      </c>
      <c r="I744" s="34"/>
      <c r="J744" s="38"/>
      <c r="K744" s="38"/>
      <c r="L744" s="38"/>
      <c r="M744" s="38" t="s">
        <v>113</v>
      </c>
      <c r="N744" s="19">
        <v>10</v>
      </c>
      <c r="O744" s="76">
        <v>0</v>
      </c>
      <c r="P744" s="6">
        <v>65535</v>
      </c>
      <c r="Q744" s="38">
        <v>0</v>
      </c>
      <c r="R744" s="38">
        <v>6553.5</v>
      </c>
      <c r="S744" s="34"/>
      <c r="T744" s="34"/>
      <c r="U744" s="34"/>
      <c r="V744" s="8"/>
      <c r="W744" t="s">
        <v>2308</v>
      </c>
      <c r="Y744" s="34" t="s">
        <v>64</v>
      </c>
      <c r="Z744"/>
      <c r="AA744"/>
      <c r="AE744"/>
      <c r="AF744"/>
      <c r="AG744"/>
      <c r="AH744"/>
    </row>
    <row r="745" spans="1:34" ht="15.75" customHeight="1" x14ac:dyDescent="0.15">
      <c r="A745" s="6">
        <v>739</v>
      </c>
      <c r="B745" s="18" t="s">
        <v>75</v>
      </c>
      <c r="C745" s="34" t="s">
        <v>57</v>
      </c>
      <c r="D745" s="75" t="s">
        <v>2309</v>
      </c>
      <c r="E745" s="2" t="s">
        <v>77</v>
      </c>
      <c r="F745">
        <v>15733</v>
      </c>
      <c r="G745" s="6"/>
      <c r="H745" s="6" t="s">
        <v>2310</v>
      </c>
      <c r="I745" s="34"/>
      <c r="J745" s="38"/>
      <c r="K745" s="38"/>
      <c r="L745" s="38"/>
      <c r="M745" s="38" t="s">
        <v>2311</v>
      </c>
      <c r="N745" s="19"/>
      <c r="O745" s="76">
        <v>0</v>
      </c>
      <c r="P745" s="6">
        <v>65535</v>
      </c>
      <c r="Q745" s="38" t="s">
        <v>62</v>
      </c>
      <c r="R745" s="38" t="s">
        <v>62</v>
      </c>
      <c r="S745" s="34"/>
      <c r="T745" s="34"/>
      <c r="U745" s="34"/>
      <c r="V745" s="8"/>
      <c r="W745" t="s">
        <v>2312</v>
      </c>
      <c r="Y745" s="34"/>
      <c r="Z745"/>
      <c r="AA745"/>
      <c r="AE745"/>
      <c r="AF745"/>
      <c r="AG745"/>
      <c r="AH745"/>
    </row>
    <row r="746" spans="1:34" s="59" customFormat="1" ht="15.75" customHeight="1" x14ac:dyDescent="0.15">
      <c r="A746" s="6">
        <v>740</v>
      </c>
      <c r="B746" s="18" t="s">
        <v>75</v>
      </c>
      <c r="C746" s="34" t="s">
        <v>57</v>
      </c>
      <c r="D746" s="75" t="s">
        <v>2313</v>
      </c>
      <c r="E746" s="2" t="s">
        <v>77</v>
      </c>
      <c r="F746">
        <v>15734</v>
      </c>
      <c r="G746" s="6"/>
      <c r="H746" s="6" t="s">
        <v>2314</v>
      </c>
      <c r="I746" s="34"/>
      <c r="J746" s="38"/>
      <c r="K746" s="38"/>
      <c r="L746" s="38"/>
      <c r="M746" s="38" t="s">
        <v>2311</v>
      </c>
      <c r="N746" s="19"/>
      <c r="O746" s="76">
        <v>0</v>
      </c>
      <c r="P746" s="6">
        <v>65535</v>
      </c>
      <c r="Q746" s="38" t="s">
        <v>62</v>
      </c>
      <c r="R746" s="38" t="s">
        <v>62</v>
      </c>
      <c r="S746" s="34"/>
      <c r="T746" s="34"/>
      <c r="U746" s="34"/>
      <c r="V746" s="8"/>
      <c r="W746" t="s">
        <v>2315</v>
      </c>
      <c r="X746"/>
      <c r="Y746" s="34"/>
    </row>
    <row r="747" spans="1:34" s="59" customFormat="1" ht="15.75" customHeight="1" x14ac:dyDescent="0.15">
      <c r="A747" s="6">
        <v>741</v>
      </c>
      <c r="B747" s="18" t="s">
        <v>75</v>
      </c>
      <c r="C747" s="34" t="s">
        <v>57</v>
      </c>
      <c r="D747" s="75" t="s">
        <v>2316</v>
      </c>
      <c r="E747" s="2" t="s">
        <v>77</v>
      </c>
      <c r="F747">
        <v>15735</v>
      </c>
      <c r="G747" s="6"/>
      <c r="H747" s="6" t="s">
        <v>2317</v>
      </c>
      <c r="I747" s="34"/>
      <c r="J747" s="38"/>
      <c r="K747" s="38"/>
      <c r="L747" s="38"/>
      <c r="M747" s="38" t="s">
        <v>2311</v>
      </c>
      <c r="N747" s="19"/>
      <c r="O747" s="76">
        <v>0</v>
      </c>
      <c r="P747" s="6">
        <v>65535</v>
      </c>
      <c r="Q747" s="38" t="s">
        <v>62</v>
      </c>
      <c r="R747" s="38" t="s">
        <v>62</v>
      </c>
      <c r="S747" s="34"/>
      <c r="T747" s="34"/>
      <c r="U747" s="34"/>
      <c r="V747" s="8"/>
      <c r="W747" t="s">
        <v>2318</v>
      </c>
      <c r="X747"/>
      <c r="Y747" s="34"/>
    </row>
    <row r="748" spans="1:34" s="59" customFormat="1" ht="15.75" customHeight="1" x14ac:dyDescent="0.15">
      <c r="A748" s="6">
        <v>742</v>
      </c>
      <c r="B748" s="18" t="s">
        <v>75</v>
      </c>
      <c r="C748" s="34" t="s">
        <v>57</v>
      </c>
      <c r="D748" s="75" t="s">
        <v>2319</v>
      </c>
      <c r="E748" s="2" t="s">
        <v>77</v>
      </c>
      <c r="F748">
        <v>15736</v>
      </c>
      <c r="G748" s="6"/>
      <c r="H748" s="6" t="s">
        <v>2320</v>
      </c>
      <c r="I748" s="34"/>
      <c r="J748" s="38"/>
      <c r="K748" s="38"/>
      <c r="L748" s="38"/>
      <c r="M748" s="38" t="s">
        <v>2311</v>
      </c>
      <c r="N748" s="19"/>
      <c r="O748" s="76">
        <v>0</v>
      </c>
      <c r="P748" s="6">
        <v>65535</v>
      </c>
      <c r="Q748" s="38" t="s">
        <v>62</v>
      </c>
      <c r="R748" s="38" t="s">
        <v>62</v>
      </c>
      <c r="S748" s="34"/>
      <c r="T748" s="34"/>
      <c r="U748" s="34"/>
      <c r="V748" s="8"/>
      <c r="W748" t="s">
        <v>2321</v>
      </c>
      <c r="X748"/>
      <c r="Y748" s="34"/>
    </row>
    <row r="749" spans="1:34" ht="15.75" customHeight="1" x14ac:dyDescent="0.15">
      <c r="A749" s="6">
        <v>743</v>
      </c>
      <c r="B749" s="18" t="s">
        <v>2278</v>
      </c>
      <c r="C749" s="34" t="s">
        <v>57</v>
      </c>
      <c r="D749" s="75" t="s">
        <v>2322</v>
      </c>
      <c r="E749" s="2" t="s">
        <v>77</v>
      </c>
      <c r="F749">
        <v>15744</v>
      </c>
      <c r="G749" s="6"/>
      <c r="H749" s="6" t="s">
        <v>2323</v>
      </c>
      <c r="I749" s="34"/>
      <c r="J749" s="38"/>
      <c r="K749" s="38"/>
      <c r="L749" s="38"/>
      <c r="M749" s="38" t="s">
        <v>2324</v>
      </c>
      <c r="N749" s="19">
        <v>100</v>
      </c>
      <c r="O749" s="76">
        <v>0</v>
      </c>
      <c r="P749" s="6">
        <v>65535</v>
      </c>
      <c r="Q749" s="38">
        <v>0</v>
      </c>
      <c r="R749" s="38">
        <v>655.35</v>
      </c>
      <c r="S749" s="34"/>
      <c r="T749" s="34"/>
      <c r="U749" s="34"/>
      <c r="V749" s="8"/>
      <c r="W749" t="s">
        <v>2325</v>
      </c>
      <c r="Y749" s="34"/>
      <c r="Z749"/>
      <c r="AA749"/>
      <c r="AE749"/>
      <c r="AF749"/>
      <c r="AG749"/>
      <c r="AH749"/>
    </row>
    <row r="750" spans="1:34" s="59" customFormat="1" ht="15.75" customHeight="1" x14ac:dyDescent="0.15">
      <c r="A750" s="6">
        <v>744</v>
      </c>
      <c r="B750" s="18" t="s">
        <v>2278</v>
      </c>
      <c r="C750" s="34" t="s">
        <v>57</v>
      </c>
      <c r="D750" s="75" t="s">
        <v>2326</v>
      </c>
      <c r="E750" s="2" t="s">
        <v>77</v>
      </c>
      <c r="F750">
        <v>15745</v>
      </c>
      <c r="G750" s="6"/>
      <c r="H750" s="6" t="s">
        <v>2327</v>
      </c>
      <c r="I750" s="34"/>
      <c r="J750" s="38"/>
      <c r="K750" s="38"/>
      <c r="L750" s="38"/>
      <c r="M750" s="38" t="s">
        <v>2324</v>
      </c>
      <c r="N750" s="19">
        <v>100</v>
      </c>
      <c r="O750" s="76">
        <v>0</v>
      </c>
      <c r="P750" s="6">
        <v>65535</v>
      </c>
      <c r="Q750" s="38">
        <v>0</v>
      </c>
      <c r="R750" s="38">
        <v>655.35</v>
      </c>
      <c r="S750" s="34"/>
      <c r="T750" s="34"/>
      <c r="U750" s="34"/>
      <c r="V750" s="8"/>
      <c r="W750" t="s">
        <v>2328</v>
      </c>
      <c r="X750"/>
      <c r="Y750" s="34"/>
    </row>
    <row r="751" spans="1:34" ht="15.75" customHeight="1" x14ac:dyDescent="0.15">
      <c r="A751" s="6">
        <v>745</v>
      </c>
      <c r="B751" s="18" t="s">
        <v>2278</v>
      </c>
      <c r="C751" s="34" t="s">
        <v>57</v>
      </c>
      <c r="D751" s="75" t="s">
        <v>2329</v>
      </c>
      <c r="E751" s="2" t="s">
        <v>77</v>
      </c>
      <c r="F751">
        <v>15746</v>
      </c>
      <c r="G751" s="6"/>
      <c r="H751" s="6" t="s">
        <v>2330</v>
      </c>
      <c r="I751" s="34"/>
      <c r="J751" s="38"/>
      <c r="K751" s="38"/>
      <c r="L751" s="38"/>
      <c r="M751" s="38" t="s">
        <v>2324</v>
      </c>
      <c r="N751" s="19">
        <v>100</v>
      </c>
      <c r="O751" s="76">
        <v>0</v>
      </c>
      <c r="P751" s="6">
        <v>65535</v>
      </c>
      <c r="Q751" s="38">
        <v>0</v>
      </c>
      <c r="R751" s="38">
        <v>655.35</v>
      </c>
      <c r="S751" s="34"/>
      <c r="T751" s="34"/>
      <c r="U751" s="34"/>
      <c r="V751" s="8"/>
      <c r="W751" t="s">
        <v>2331</v>
      </c>
      <c r="Y751" s="34"/>
      <c r="Z751"/>
      <c r="AA751"/>
      <c r="AE751"/>
      <c r="AF751"/>
      <c r="AG751"/>
      <c r="AH751"/>
    </row>
    <row r="752" spans="1:34" ht="15.75" customHeight="1" x14ac:dyDescent="0.15">
      <c r="A752" s="6">
        <v>746</v>
      </c>
      <c r="B752" s="18" t="s">
        <v>2278</v>
      </c>
      <c r="C752" s="34" t="s">
        <v>57</v>
      </c>
      <c r="D752" s="75" t="s">
        <v>2332</v>
      </c>
      <c r="E752" s="2" t="s">
        <v>107</v>
      </c>
      <c r="F752">
        <v>15747</v>
      </c>
      <c r="G752" s="6"/>
      <c r="H752" s="6" t="s">
        <v>2333</v>
      </c>
      <c r="I752" s="34"/>
      <c r="J752" s="38"/>
      <c r="K752" s="38"/>
      <c r="L752" s="38"/>
      <c r="M752" s="38" t="s">
        <v>82</v>
      </c>
      <c r="N752" s="19">
        <v>100</v>
      </c>
      <c r="O752" s="76">
        <v>-2147483648</v>
      </c>
      <c r="P752" s="6">
        <v>2147483647</v>
      </c>
      <c r="Q752" s="38">
        <v>-21474836.48</v>
      </c>
      <c r="R752" s="38">
        <v>21474836.469999999</v>
      </c>
      <c r="S752" s="34"/>
      <c r="T752" s="34"/>
      <c r="U752" s="34"/>
      <c r="V752" s="8"/>
      <c r="W752" t="s">
        <v>2334</v>
      </c>
      <c r="Y752" s="34"/>
      <c r="Z752"/>
      <c r="AA752"/>
      <c r="AE752"/>
      <c r="AF752"/>
      <c r="AG752"/>
      <c r="AH752"/>
    </row>
    <row r="753" spans="1:34" ht="15.75" customHeight="1" x14ac:dyDescent="0.15">
      <c r="A753" s="6">
        <v>747</v>
      </c>
      <c r="B753" s="18" t="s">
        <v>2278</v>
      </c>
      <c r="C753" s="34" t="s">
        <v>57</v>
      </c>
      <c r="D753" s="75" t="s">
        <v>2335</v>
      </c>
      <c r="E753" s="2" t="s">
        <v>143</v>
      </c>
      <c r="F753">
        <v>15749</v>
      </c>
      <c r="G753" s="6"/>
      <c r="H753" s="6" t="s">
        <v>2336</v>
      </c>
      <c r="I753" s="34"/>
      <c r="J753" s="38"/>
      <c r="K753" s="38"/>
      <c r="L753" s="38"/>
      <c r="M753" s="38" t="s">
        <v>123</v>
      </c>
      <c r="N753" s="19">
        <v>10</v>
      </c>
      <c r="O753" s="76">
        <v>-32768</v>
      </c>
      <c r="P753" s="6">
        <v>32767</v>
      </c>
      <c r="Q753" s="38">
        <v>-3276.8</v>
      </c>
      <c r="R753" s="38">
        <v>3276.7</v>
      </c>
      <c r="S753" s="34"/>
      <c r="T753" s="34"/>
      <c r="U753" s="34"/>
      <c r="V753" s="8"/>
      <c r="W753" t="s">
        <v>2337</v>
      </c>
      <c r="Y753" s="34"/>
      <c r="Z753"/>
      <c r="AA753"/>
      <c r="AE753"/>
      <c r="AF753"/>
      <c r="AG753"/>
      <c r="AH753"/>
    </row>
    <row r="754" spans="1:34" s="59" customFormat="1" ht="15.75" customHeight="1" x14ac:dyDescent="0.15">
      <c r="A754" s="6">
        <v>748</v>
      </c>
      <c r="B754" s="18" t="s">
        <v>2278</v>
      </c>
      <c r="C754" s="34" t="s">
        <v>57</v>
      </c>
      <c r="D754" s="75" t="s">
        <v>2338</v>
      </c>
      <c r="E754" s="2" t="s">
        <v>143</v>
      </c>
      <c r="F754">
        <v>15750</v>
      </c>
      <c r="G754" s="6"/>
      <c r="H754" s="6" t="s">
        <v>2339</v>
      </c>
      <c r="I754" s="34"/>
      <c r="J754" s="38"/>
      <c r="K754" s="38"/>
      <c r="L754" s="38"/>
      <c r="M754" s="38" t="s">
        <v>123</v>
      </c>
      <c r="N754" s="19">
        <v>10</v>
      </c>
      <c r="O754" s="76">
        <v>-32768</v>
      </c>
      <c r="P754" s="6">
        <v>32767</v>
      </c>
      <c r="Q754" s="38">
        <v>-3276.8</v>
      </c>
      <c r="R754" s="38">
        <v>3276.7</v>
      </c>
      <c r="S754" s="34"/>
      <c r="T754" s="34"/>
      <c r="U754" s="34"/>
      <c r="V754" s="8"/>
      <c r="W754" t="s">
        <v>2340</v>
      </c>
      <c r="X754"/>
      <c r="Y754" s="34"/>
    </row>
    <row r="755" spans="1:34" s="59" customFormat="1" ht="15.75" customHeight="1" x14ac:dyDescent="0.15">
      <c r="A755" s="6">
        <v>749</v>
      </c>
      <c r="B755" s="18" t="s">
        <v>2278</v>
      </c>
      <c r="C755" s="34" t="s">
        <v>57</v>
      </c>
      <c r="D755" s="75" t="s">
        <v>2341</v>
      </c>
      <c r="E755" s="2" t="s">
        <v>143</v>
      </c>
      <c r="F755">
        <v>15751</v>
      </c>
      <c r="G755" s="6"/>
      <c r="H755" s="6" t="s">
        <v>2342</v>
      </c>
      <c r="I755" s="34"/>
      <c r="J755" s="38"/>
      <c r="K755" s="38"/>
      <c r="L755" s="38"/>
      <c r="M755" s="38" t="s">
        <v>123</v>
      </c>
      <c r="N755" s="19">
        <v>10</v>
      </c>
      <c r="O755" s="76">
        <v>-32768</v>
      </c>
      <c r="P755" s="6">
        <v>32767</v>
      </c>
      <c r="Q755" s="38">
        <v>-3276.8</v>
      </c>
      <c r="R755" s="38">
        <v>3276.7</v>
      </c>
      <c r="S755" s="34"/>
      <c r="T755" s="34"/>
      <c r="U755" s="34"/>
      <c r="V755" s="8"/>
      <c r="W755" t="s">
        <v>2343</v>
      </c>
      <c r="X755"/>
      <c r="Y755" s="34"/>
    </row>
    <row r="756" spans="1:34" ht="15.75" customHeight="1" x14ac:dyDescent="0.15">
      <c r="A756" s="6">
        <v>750</v>
      </c>
      <c r="B756" s="18" t="s">
        <v>2278</v>
      </c>
      <c r="C756" s="34" t="s">
        <v>57</v>
      </c>
      <c r="D756" s="75" t="s">
        <v>2344</v>
      </c>
      <c r="E756" s="2" t="s">
        <v>107</v>
      </c>
      <c r="F756">
        <v>15753</v>
      </c>
      <c r="G756" s="6"/>
      <c r="H756" s="6" t="s">
        <v>2345</v>
      </c>
      <c r="I756" s="34"/>
      <c r="J756" s="38"/>
      <c r="K756" s="38"/>
      <c r="L756" s="38"/>
      <c r="M756" s="38" t="s">
        <v>153</v>
      </c>
      <c r="N756" s="19">
        <v>100</v>
      </c>
      <c r="O756" s="76">
        <v>-2147483648</v>
      </c>
      <c r="P756" s="6">
        <v>2147483647</v>
      </c>
      <c r="Q756" s="38">
        <v>-21474836.48</v>
      </c>
      <c r="R756" s="38">
        <v>21474836.469999999</v>
      </c>
      <c r="S756" s="34"/>
      <c r="T756" s="34"/>
      <c r="U756" s="34"/>
      <c r="V756" s="8"/>
      <c r="W756" t="s">
        <v>2346</v>
      </c>
      <c r="Y756" s="34"/>
      <c r="Z756"/>
      <c r="AA756"/>
      <c r="AE756"/>
      <c r="AF756"/>
      <c r="AG756"/>
      <c r="AH756"/>
    </row>
    <row r="757" spans="1:34" s="59" customFormat="1" ht="15.75" customHeight="1" x14ac:dyDescent="0.15">
      <c r="A757" s="6">
        <v>751</v>
      </c>
      <c r="B757" s="18" t="s">
        <v>75</v>
      </c>
      <c r="C757" s="34" t="s">
        <v>57</v>
      </c>
      <c r="D757" s="75" t="s">
        <v>2347</v>
      </c>
      <c r="E757" s="2" t="s">
        <v>2348</v>
      </c>
      <c r="F757">
        <v>15999</v>
      </c>
      <c r="G757" s="6"/>
      <c r="H757" s="6" t="s">
        <v>2349</v>
      </c>
      <c r="I757" s="34"/>
      <c r="J757" s="38"/>
      <c r="K757" s="38"/>
      <c r="L757" s="38"/>
      <c r="M757" s="38"/>
      <c r="N757" s="19"/>
      <c r="O757" s="76" t="s">
        <v>62</v>
      </c>
      <c r="P757" s="6" t="s">
        <v>62</v>
      </c>
      <c r="Q757" s="38" t="s">
        <v>62</v>
      </c>
      <c r="R757" s="38" t="s">
        <v>62</v>
      </c>
      <c r="S757" s="34"/>
      <c r="T757" s="34"/>
      <c r="U757" s="34"/>
      <c r="V757" s="8"/>
      <c r="W757" t="s">
        <v>2350</v>
      </c>
      <c r="X757" t="s">
        <v>2351</v>
      </c>
      <c r="Y757" s="34"/>
    </row>
    <row r="758" spans="1:34" ht="15.75" customHeight="1" x14ac:dyDescent="0.15">
      <c r="A758" s="6">
        <v>752</v>
      </c>
      <c r="B758" s="18" t="s">
        <v>75</v>
      </c>
      <c r="C758" s="34" t="s">
        <v>57</v>
      </c>
      <c r="D758" s="75" t="s">
        <v>2352</v>
      </c>
      <c r="E758" s="2" t="s">
        <v>219</v>
      </c>
      <c r="F758">
        <v>16000</v>
      </c>
      <c r="G758" s="6"/>
      <c r="H758" s="6" t="s">
        <v>2353</v>
      </c>
      <c r="I758" s="34"/>
      <c r="J758" s="38"/>
      <c r="K758" s="38"/>
      <c r="L758" s="38"/>
      <c r="M758" s="38"/>
      <c r="N758" s="19"/>
      <c r="O758" s="76" t="s">
        <v>62</v>
      </c>
      <c r="P758" s="6" t="s">
        <v>62</v>
      </c>
      <c r="Q758" s="38" t="s">
        <v>62</v>
      </c>
      <c r="R758" s="38" t="s">
        <v>62</v>
      </c>
      <c r="S758" s="34"/>
      <c r="T758" s="34"/>
      <c r="U758" s="34"/>
      <c r="V758" s="8"/>
      <c r="W758" t="s">
        <v>2354</v>
      </c>
      <c r="Y758" s="34"/>
      <c r="Z758"/>
      <c r="AA758"/>
      <c r="AE758"/>
      <c r="AF758"/>
      <c r="AG758"/>
      <c r="AH758"/>
    </row>
    <row r="759" spans="1:34" ht="15.75" customHeight="1" x14ac:dyDescent="0.15">
      <c r="A759" s="6">
        <v>753</v>
      </c>
      <c r="B759" s="18" t="s">
        <v>75</v>
      </c>
      <c r="C759" s="34" t="s">
        <v>57</v>
      </c>
      <c r="D759" s="75" t="s">
        <v>2355</v>
      </c>
      <c r="E759" s="2" t="s">
        <v>169</v>
      </c>
      <c r="F759">
        <v>16000</v>
      </c>
      <c r="G759" s="6">
        <v>0</v>
      </c>
      <c r="H759" s="6" t="s">
        <v>2356</v>
      </c>
      <c r="I759" s="34"/>
      <c r="J759" s="38" t="s">
        <v>171</v>
      </c>
      <c r="K759" s="38" t="s">
        <v>177</v>
      </c>
      <c r="L759" s="38" t="s">
        <v>173</v>
      </c>
      <c r="M759" s="38"/>
      <c r="N759" s="19"/>
      <c r="O759" s="76" t="s">
        <v>62</v>
      </c>
      <c r="P759" s="6" t="s">
        <v>62</v>
      </c>
      <c r="Q759" s="38" t="s">
        <v>62</v>
      </c>
      <c r="R759" s="38" t="s">
        <v>62</v>
      </c>
      <c r="S759" s="34"/>
      <c r="T759" s="34"/>
      <c r="U759" s="34"/>
      <c r="V759" s="8"/>
      <c r="W759" t="s">
        <v>2357</v>
      </c>
      <c r="Y759" s="34"/>
      <c r="Z759"/>
      <c r="AA759"/>
      <c r="AE759"/>
      <c r="AF759"/>
      <c r="AG759"/>
      <c r="AH759"/>
    </row>
    <row r="760" spans="1:34" s="59" customFormat="1" ht="15.75" customHeight="1" x14ac:dyDescent="0.15">
      <c r="A760" s="6">
        <v>754</v>
      </c>
      <c r="B760" s="18" t="s">
        <v>75</v>
      </c>
      <c r="C760" s="34" t="s">
        <v>57</v>
      </c>
      <c r="D760" s="75" t="s">
        <v>2358</v>
      </c>
      <c r="E760" s="2" t="s">
        <v>169</v>
      </c>
      <c r="F760">
        <v>16000</v>
      </c>
      <c r="G760" s="6">
        <v>1</v>
      </c>
      <c r="H760" s="6" t="s">
        <v>2359</v>
      </c>
      <c r="I760" s="34"/>
      <c r="J760" s="38" t="s">
        <v>171</v>
      </c>
      <c r="K760" s="38" t="s">
        <v>177</v>
      </c>
      <c r="L760" s="38" t="s">
        <v>173</v>
      </c>
      <c r="M760" s="38"/>
      <c r="N760" s="19"/>
      <c r="O760" s="76" t="s">
        <v>62</v>
      </c>
      <c r="P760" s="6" t="s">
        <v>62</v>
      </c>
      <c r="Q760" s="38" t="s">
        <v>62</v>
      </c>
      <c r="R760" s="38" t="s">
        <v>62</v>
      </c>
      <c r="S760" s="34"/>
      <c r="T760" s="34"/>
      <c r="U760" s="34"/>
      <c r="V760" s="8"/>
      <c r="W760" t="s">
        <v>2360</v>
      </c>
      <c r="X760"/>
      <c r="Y760" s="34"/>
    </row>
    <row r="761" spans="1:34" s="59" customFormat="1" ht="15.75" customHeight="1" x14ac:dyDescent="0.15">
      <c r="A761" s="6">
        <v>755</v>
      </c>
      <c r="B761" s="18" t="s">
        <v>75</v>
      </c>
      <c r="C761" s="34" t="s">
        <v>57</v>
      </c>
      <c r="D761" s="75" t="s">
        <v>2361</v>
      </c>
      <c r="E761" s="2" t="s">
        <v>169</v>
      </c>
      <c r="F761">
        <v>16000</v>
      </c>
      <c r="G761" s="6">
        <v>2</v>
      </c>
      <c r="H761" s="6" t="s">
        <v>2362</v>
      </c>
      <c r="I761" s="34"/>
      <c r="J761" s="38" t="s">
        <v>171</v>
      </c>
      <c r="K761" s="38" t="s">
        <v>177</v>
      </c>
      <c r="L761" s="38" t="s">
        <v>173</v>
      </c>
      <c r="M761" s="38"/>
      <c r="N761" s="19"/>
      <c r="O761" s="76" t="s">
        <v>62</v>
      </c>
      <c r="P761" s="6" t="s">
        <v>62</v>
      </c>
      <c r="Q761" s="38" t="s">
        <v>62</v>
      </c>
      <c r="R761" s="38" t="s">
        <v>62</v>
      </c>
      <c r="S761" s="34"/>
      <c r="T761" s="34"/>
      <c r="U761" s="34"/>
      <c r="V761" s="8"/>
      <c r="W761" t="s">
        <v>2363</v>
      </c>
      <c r="X761"/>
      <c r="Y761" s="34"/>
    </row>
    <row r="762" spans="1:34" ht="15.75" customHeight="1" x14ac:dyDescent="0.15">
      <c r="A762" s="6">
        <v>756</v>
      </c>
      <c r="B762" s="18" t="s">
        <v>75</v>
      </c>
      <c r="C762" s="34" t="s">
        <v>57</v>
      </c>
      <c r="D762" s="75" t="s">
        <v>2364</v>
      </c>
      <c r="E762" s="2" t="s">
        <v>169</v>
      </c>
      <c r="F762">
        <v>16000</v>
      </c>
      <c r="G762" s="6">
        <v>3</v>
      </c>
      <c r="H762" s="6" t="s">
        <v>2365</v>
      </c>
      <c r="I762" s="34"/>
      <c r="J762" s="38" t="s">
        <v>171</v>
      </c>
      <c r="K762" s="38" t="s">
        <v>177</v>
      </c>
      <c r="L762" s="38" t="s">
        <v>173</v>
      </c>
      <c r="M762" s="38"/>
      <c r="N762" s="19"/>
      <c r="O762" s="76" t="s">
        <v>62</v>
      </c>
      <c r="P762" s="6" t="s">
        <v>62</v>
      </c>
      <c r="Q762" s="38" t="s">
        <v>62</v>
      </c>
      <c r="R762" s="38" t="s">
        <v>62</v>
      </c>
      <c r="S762" s="34"/>
      <c r="T762" s="34"/>
      <c r="U762" s="34"/>
      <c r="V762" s="8"/>
      <c r="W762" t="s">
        <v>2366</v>
      </c>
      <c r="Y762" s="34"/>
      <c r="Z762"/>
      <c r="AA762"/>
      <c r="AE762"/>
      <c r="AF762"/>
      <c r="AG762"/>
      <c r="AH762"/>
    </row>
    <row r="763" spans="1:34" ht="15.75" customHeight="1" x14ac:dyDescent="0.15">
      <c r="A763" s="6">
        <v>757</v>
      </c>
      <c r="B763" s="18" t="s">
        <v>75</v>
      </c>
      <c r="C763" s="34" t="s">
        <v>57</v>
      </c>
      <c r="D763" s="75" t="s">
        <v>2367</v>
      </c>
      <c r="E763" s="2" t="s">
        <v>169</v>
      </c>
      <c r="F763">
        <v>16000</v>
      </c>
      <c r="G763" s="6">
        <v>4</v>
      </c>
      <c r="H763" s="6" t="s">
        <v>2368</v>
      </c>
      <c r="I763" s="34"/>
      <c r="J763" s="38" t="s">
        <v>171</v>
      </c>
      <c r="K763" s="38" t="s">
        <v>177</v>
      </c>
      <c r="L763" s="38" t="s">
        <v>173</v>
      </c>
      <c r="M763" s="38"/>
      <c r="N763" s="19"/>
      <c r="O763" s="76" t="s">
        <v>62</v>
      </c>
      <c r="P763" s="6" t="s">
        <v>62</v>
      </c>
      <c r="Q763" s="38" t="s">
        <v>62</v>
      </c>
      <c r="R763" s="38" t="s">
        <v>62</v>
      </c>
      <c r="S763" s="34"/>
      <c r="T763" s="34"/>
      <c r="U763" s="34"/>
      <c r="V763" s="8"/>
      <c r="W763" t="s">
        <v>2369</v>
      </c>
      <c r="Y763" s="34"/>
      <c r="Z763"/>
      <c r="AA763"/>
      <c r="AE763"/>
      <c r="AF763"/>
      <c r="AG763"/>
      <c r="AH763"/>
    </row>
    <row r="764" spans="1:34" ht="15.75" customHeight="1" x14ac:dyDescent="0.15">
      <c r="A764" s="6">
        <v>758</v>
      </c>
      <c r="B764" s="18" t="s">
        <v>75</v>
      </c>
      <c r="C764" s="34" t="s">
        <v>57</v>
      </c>
      <c r="D764" s="75" t="s">
        <v>2370</v>
      </c>
      <c r="E764" s="2" t="s">
        <v>169</v>
      </c>
      <c r="F764">
        <v>16000</v>
      </c>
      <c r="G764" s="6">
        <v>5</v>
      </c>
      <c r="H764" s="6" t="s">
        <v>2371</v>
      </c>
      <c r="I764" s="34"/>
      <c r="J764" s="38" t="s">
        <v>171</v>
      </c>
      <c r="K764" s="38" t="s">
        <v>177</v>
      </c>
      <c r="L764" s="38" t="s">
        <v>173</v>
      </c>
      <c r="M764" s="38"/>
      <c r="N764" s="19"/>
      <c r="O764" s="76" t="s">
        <v>62</v>
      </c>
      <c r="P764" s="6" t="s">
        <v>62</v>
      </c>
      <c r="Q764" s="38" t="s">
        <v>62</v>
      </c>
      <c r="R764" s="38" t="s">
        <v>62</v>
      </c>
      <c r="S764" s="34"/>
      <c r="T764" s="34"/>
      <c r="U764" s="34"/>
      <c r="V764" s="8"/>
      <c r="W764" t="s">
        <v>2372</v>
      </c>
      <c r="Y764" s="34"/>
      <c r="Z764"/>
      <c r="AA764"/>
      <c r="AE764"/>
      <c r="AF764"/>
      <c r="AG764"/>
      <c r="AH764"/>
    </row>
    <row r="765" spans="1:34" ht="15.75" customHeight="1" x14ac:dyDescent="0.15">
      <c r="A765" s="6">
        <v>759</v>
      </c>
      <c r="B765" s="18" t="s">
        <v>75</v>
      </c>
      <c r="C765" s="34" t="s">
        <v>57</v>
      </c>
      <c r="D765" s="75" t="s">
        <v>2373</v>
      </c>
      <c r="E765" s="2" t="s">
        <v>169</v>
      </c>
      <c r="F765">
        <v>16000</v>
      </c>
      <c r="G765" s="6">
        <v>6</v>
      </c>
      <c r="H765" s="6" t="s">
        <v>2374</v>
      </c>
      <c r="I765" s="34"/>
      <c r="J765" s="38" t="s">
        <v>171</v>
      </c>
      <c r="K765" s="38" t="s">
        <v>177</v>
      </c>
      <c r="L765" s="38" t="s">
        <v>173</v>
      </c>
      <c r="M765" s="38"/>
      <c r="N765" s="19"/>
      <c r="O765" s="76" t="s">
        <v>62</v>
      </c>
      <c r="P765" s="6" t="s">
        <v>62</v>
      </c>
      <c r="Q765" s="38" t="s">
        <v>62</v>
      </c>
      <c r="R765" s="38" t="s">
        <v>62</v>
      </c>
      <c r="S765" s="34"/>
      <c r="T765" s="34"/>
      <c r="U765" s="34"/>
      <c r="V765" s="8"/>
      <c r="W765" t="s">
        <v>2375</v>
      </c>
      <c r="Y765" s="34"/>
      <c r="Z765"/>
      <c r="AA765"/>
      <c r="AE765"/>
      <c r="AF765"/>
      <c r="AG765"/>
      <c r="AH765"/>
    </row>
    <row r="766" spans="1:34" ht="15.75" customHeight="1" x14ac:dyDescent="0.15">
      <c r="A766" s="6">
        <v>760</v>
      </c>
      <c r="B766" s="18" t="s">
        <v>75</v>
      </c>
      <c r="C766" s="34" t="s">
        <v>57</v>
      </c>
      <c r="D766" s="75" t="s">
        <v>2376</v>
      </c>
      <c r="E766" s="2" t="s">
        <v>169</v>
      </c>
      <c r="F766">
        <v>16000</v>
      </c>
      <c r="G766" s="6">
        <v>7</v>
      </c>
      <c r="H766" s="6" t="s">
        <v>2377</v>
      </c>
      <c r="I766" s="34"/>
      <c r="J766" s="38" t="s">
        <v>171</v>
      </c>
      <c r="K766" s="38" t="s">
        <v>177</v>
      </c>
      <c r="L766" s="38" t="s">
        <v>173</v>
      </c>
      <c r="M766" s="38"/>
      <c r="N766" s="19"/>
      <c r="O766" s="76" t="s">
        <v>62</v>
      </c>
      <c r="P766" s="6" t="s">
        <v>62</v>
      </c>
      <c r="Q766" s="38" t="s">
        <v>62</v>
      </c>
      <c r="R766" s="38" t="s">
        <v>62</v>
      </c>
      <c r="S766" s="34"/>
      <c r="T766" s="34"/>
      <c r="U766" s="34"/>
      <c r="V766" s="8"/>
      <c r="W766" t="s">
        <v>2378</v>
      </c>
      <c r="Y766" s="34"/>
      <c r="Z766"/>
      <c r="AA766"/>
      <c r="AE766"/>
      <c r="AF766"/>
      <c r="AG766"/>
      <c r="AH766"/>
    </row>
    <row r="767" spans="1:34" ht="15.75" customHeight="1" x14ac:dyDescent="0.15">
      <c r="A767" s="6">
        <v>761</v>
      </c>
      <c r="B767" s="18" t="s">
        <v>75</v>
      </c>
      <c r="C767" s="34" t="s">
        <v>57</v>
      </c>
      <c r="D767" s="75" t="s">
        <v>2379</v>
      </c>
      <c r="E767" s="2" t="s">
        <v>169</v>
      </c>
      <c r="F767">
        <v>16000</v>
      </c>
      <c r="G767" s="6">
        <v>8</v>
      </c>
      <c r="H767" s="6" t="s">
        <v>2380</v>
      </c>
      <c r="I767" s="34"/>
      <c r="J767" s="38" t="s">
        <v>171</v>
      </c>
      <c r="K767" s="38" t="s">
        <v>177</v>
      </c>
      <c r="L767" s="38" t="s">
        <v>173</v>
      </c>
      <c r="M767" s="38"/>
      <c r="N767" s="19"/>
      <c r="O767" s="76" t="s">
        <v>62</v>
      </c>
      <c r="P767" s="6" t="s">
        <v>62</v>
      </c>
      <c r="Q767" s="38" t="s">
        <v>62</v>
      </c>
      <c r="R767" s="38" t="s">
        <v>62</v>
      </c>
      <c r="S767" s="34"/>
      <c r="T767" s="34"/>
      <c r="U767" s="34"/>
      <c r="V767" s="8"/>
      <c r="W767" t="s">
        <v>2381</v>
      </c>
      <c r="Y767" s="34"/>
      <c r="Z767"/>
      <c r="AA767"/>
      <c r="AE767"/>
      <c r="AF767"/>
      <c r="AG767"/>
      <c r="AH767"/>
    </row>
    <row r="768" spans="1:34" ht="15.75" customHeight="1" x14ac:dyDescent="0.15">
      <c r="A768" s="6">
        <v>762</v>
      </c>
      <c r="B768" s="18" t="s">
        <v>75</v>
      </c>
      <c r="C768" s="34" t="s">
        <v>57</v>
      </c>
      <c r="D768" s="75" t="s">
        <v>2382</v>
      </c>
      <c r="E768" s="2" t="s">
        <v>169</v>
      </c>
      <c r="F768">
        <v>16000</v>
      </c>
      <c r="G768" s="6">
        <v>9</v>
      </c>
      <c r="H768" s="6" t="s">
        <v>2383</v>
      </c>
      <c r="I768" s="34"/>
      <c r="J768" s="38" t="s">
        <v>171</v>
      </c>
      <c r="K768" s="38" t="s">
        <v>177</v>
      </c>
      <c r="L768" s="38" t="s">
        <v>173</v>
      </c>
      <c r="M768" s="38"/>
      <c r="N768" s="19"/>
      <c r="O768" s="76" t="s">
        <v>62</v>
      </c>
      <c r="P768" s="6" t="s">
        <v>62</v>
      </c>
      <c r="Q768" s="38" t="s">
        <v>62</v>
      </c>
      <c r="R768" s="38" t="s">
        <v>62</v>
      </c>
      <c r="S768" s="34"/>
      <c r="T768" s="34"/>
      <c r="U768" s="34"/>
      <c r="V768" s="8"/>
      <c r="W768" t="s">
        <v>2384</v>
      </c>
      <c r="Y768" s="34"/>
      <c r="Z768"/>
      <c r="AA768"/>
      <c r="AE768"/>
      <c r="AF768"/>
      <c r="AG768"/>
      <c r="AH768"/>
    </row>
    <row r="769" spans="1:34" ht="15.75" customHeight="1" x14ac:dyDescent="0.15">
      <c r="A769" s="6">
        <v>763</v>
      </c>
      <c r="B769" s="18" t="s">
        <v>75</v>
      </c>
      <c r="C769" s="34" t="s">
        <v>57</v>
      </c>
      <c r="D769" s="75" t="s">
        <v>2385</v>
      </c>
      <c r="E769" s="2" t="s">
        <v>169</v>
      </c>
      <c r="F769">
        <v>16000</v>
      </c>
      <c r="G769" s="6">
        <v>10</v>
      </c>
      <c r="H769" s="6" t="s">
        <v>2386</v>
      </c>
      <c r="I769" s="34"/>
      <c r="J769" s="38" t="s">
        <v>171</v>
      </c>
      <c r="K769" s="38" t="s">
        <v>177</v>
      </c>
      <c r="L769" s="38" t="s">
        <v>173</v>
      </c>
      <c r="M769" s="38"/>
      <c r="N769" s="19"/>
      <c r="O769" s="76" t="s">
        <v>62</v>
      </c>
      <c r="P769" s="6" t="s">
        <v>62</v>
      </c>
      <c r="Q769" s="38" t="s">
        <v>62</v>
      </c>
      <c r="R769" s="38" t="s">
        <v>62</v>
      </c>
      <c r="S769" s="34"/>
      <c r="T769" s="34"/>
      <c r="U769" s="34"/>
      <c r="V769" s="8"/>
      <c r="W769" t="s">
        <v>2387</v>
      </c>
      <c r="Y769" s="34"/>
      <c r="Z769"/>
      <c r="AA769"/>
      <c r="AE769"/>
      <c r="AF769"/>
      <c r="AG769"/>
      <c r="AH769"/>
    </row>
    <row r="770" spans="1:34" ht="15.75" customHeight="1" x14ac:dyDescent="0.15">
      <c r="A770" s="6">
        <v>764</v>
      </c>
      <c r="B770" s="18" t="s">
        <v>75</v>
      </c>
      <c r="C770" s="34" t="s">
        <v>57</v>
      </c>
      <c r="D770" s="75" t="s">
        <v>2388</v>
      </c>
      <c r="E770" s="2" t="s">
        <v>169</v>
      </c>
      <c r="F770">
        <v>16000</v>
      </c>
      <c r="G770" s="6">
        <v>11</v>
      </c>
      <c r="H770" s="6" t="s">
        <v>2389</v>
      </c>
      <c r="I770" s="34"/>
      <c r="J770" s="38" t="s">
        <v>171</v>
      </c>
      <c r="K770" s="38" t="s">
        <v>177</v>
      </c>
      <c r="L770" s="38" t="s">
        <v>173</v>
      </c>
      <c r="M770" s="38"/>
      <c r="N770" s="19"/>
      <c r="O770" s="76" t="s">
        <v>62</v>
      </c>
      <c r="P770" s="6" t="s">
        <v>62</v>
      </c>
      <c r="Q770" s="38" t="s">
        <v>62</v>
      </c>
      <c r="R770" s="38" t="s">
        <v>62</v>
      </c>
      <c r="S770" s="34"/>
      <c r="T770" s="34"/>
      <c r="U770" s="34"/>
      <c r="V770" s="8"/>
      <c r="W770" t="s">
        <v>2390</v>
      </c>
      <c r="Y770" s="34"/>
      <c r="Z770"/>
      <c r="AA770"/>
      <c r="AE770"/>
      <c r="AF770"/>
      <c r="AG770"/>
      <c r="AH770"/>
    </row>
    <row r="771" spans="1:34" ht="15.75" customHeight="1" x14ac:dyDescent="0.15">
      <c r="A771" s="6">
        <v>765</v>
      </c>
      <c r="B771" s="18" t="s">
        <v>75</v>
      </c>
      <c r="C771" s="34" t="s">
        <v>57</v>
      </c>
      <c r="D771" s="75" t="s">
        <v>2391</v>
      </c>
      <c r="E771" s="2" t="s">
        <v>169</v>
      </c>
      <c r="F771">
        <v>16000</v>
      </c>
      <c r="G771" s="6">
        <v>12</v>
      </c>
      <c r="H771" s="6" t="s">
        <v>2392</v>
      </c>
      <c r="I771" s="34"/>
      <c r="J771" s="38" t="s">
        <v>171</v>
      </c>
      <c r="K771" s="38" t="s">
        <v>177</v>
      </c>
      <c r="L771" s="38" t="s">
        <v>173</v>
      </c>
      <c r="M771" s="38"/>
      <c r="N771" s="19"/>
      <c r="O771" s="76" t="s">
        <v>62</v>
      </c>
      <c r="P771" s="6" t="s">
        <v>62</v>
      </c>
      <c r="Q771" s="38" t="s">
        <v>62</v>
      </c>
      <c r="R771" s="38" t="s">
        <v>62</v>
      </c>
      <c r="S771" s="34"/>
      <c r="T771" s="34"/>
      <c r="U771" s="34"/>
      <c r="V771" s="8"/>
      <c r="W771" t="s">
        <v>2393</v>
      </c>
      <c r="Y771" s="34"/>
      <c r="Z771"/>
      <c r="AA771"/>
      <c r="AE771"/>
      <c r="AF771"/>
      <c r="AG771"/>
      <c r="AH771"/>
    </row>
    <row r="772" spans="1:34" ht="15.75" customHeight="1" x14ac:dyDescent="0.15">
      <c r="A772" s="6">
        <v>766</v>
      </c>
      <c r="B772" s="18" t="s">
        <v>75</v>
      </c>
      <c r="C772" s="34" t="s">
        <v>57</v>
      </c>
      <c r="D772" s="75" t="s">
        <v>2394</v>
      </c>
      <c r="E772" s="2" t="s">
        <v>169</v>
      </c>
      <c r="F772">
        <v>16000</v>
      </c>
      <c r="G772" s="6">
        <v>13</v>
      </c>
      <c r="H772" s="6" t="s">
        <v>2395</v>
      </c>
      <c r="I772" s="34"/>
      <c r="J772" s="38" t="s">
        <v>171</v>
      </c>
      <c r="K772" s="38" t="s">
        <v>177</v>
      </c>
      <c r="L772" s="38" t="s">
        <v>173</v>
      </c>
      <c r="M772" s="38"/>
      <c r="N772" s="19"/>
      <c r="O772" s="76" t="s">
        <v>62</v>
      </c>
      <c r="P772" s="6" t="s">
        <v>62</v>
      </c>
      <c r="Q772" s="38" t="s">
        <v>62</v>
      </c>
      <c r="R772" s="38" t="s">
        <v>62</v>
      </c>
      <c r="S772" s="34"/>
      <c r="T772" s="34"/>
      <c r="U772" s="34"/>
      <c r="V772" s="8"/>
      <c r="W772" t="s">
        <v>2396</v>
      </c>
      <c r="Y772" s="34"/>
      <c r="Z772"/>
      <c r="AA772"/>
      <c r="AE772"/>
      <c r="AF772"/>
      <c r="AG772"/>
      <c r="AH772"/>
    </row>
    <row r="773" spans="1:34" ht="15.75" customHeight="1" x14ac:dyDescent="0.15">
      <c r="A773" s="6">
        <v>767</v>
      </c>
      <c r="B773" s="18" t="s">
        <v>75</v>
      </c>
      <c r="C773" s="34" t="s">
        <v>57</v>
      </c>
      <c r="D773" s="75" t="s">
        <v>2397</v>
      </c>
      <c r="E773" s="2" t="s">
        <v>169</v>
      </c>
      <c r="F773">
        <v>16000</v>
      </c>
      <c r="G773" s="6">
        <v>14</v>
      </c>
      <c r="H773" s="6" t="s">
        <v>2398</v>
      </c>
      <c r="I773" s="34"/>
      <c r="J773" s="38" t="s">
        <v>171</v>
      </c>
      <c r="K773" s="38" t="s">
        <v>177</v>
      </c>
      <c r="L773" s="38" t="s">
        <v>173</v>
      </c>
      <c r="M773" s="38"/>
      <c r="N773" s="19"/>
      <c r="O773" s="76" t="s">
        <v>62</v>
      </c>
      <c r="P773" s="6" t="s">
        <v>62</v>
      </c>
      <c r="Q773" s="38" t="s">
        <v>62</v>
      </c>
      <c r="R773" s="38" t="s">
        <v>62</v>
      </c>
      <c r="S773" s="34"/>
      <c r="T773" s="34"/>
      <c r="U773" s="34"/>
      <c r="V773" s="8"/>
      <c r="W773" t="s">
        <v>2399</v>
      </c>
      <c r="Y773" s="34"/>
      <c r="Z773"/>
      <c r="AA773"/>
      <c r="AE773"/>
      <c r="AF773"/>
      <c r="AG773"/>
      <c r="AH773"/>
    </row>
    <row r="774" spans="1:34" ht="15.75" customHeight="1" x14ac:dyDescent="0.15">
      <c r="A774" s="6">
        <v>768</v>
      </c>
      <c r="B774" s="18" t="s">
        <v>75</v>
      </c>
      <c r="C774" s="34" t="s">
        <v>57</v>
      </c>
      <c r="D774" s="75" t="s">
        <v>2400</v>
      </c>
      <c r="E774" s="2" t="s">
        <v>169</v>
      </c>
      <c r="F774">
        <v>16000</v>
      </c>
      <c r="G774" s="6">
        <v>15</v>
      </c>
      <c r="H774" s="6" t="s">
        <v>2401</v>
      </c>
      <c r="I774" s="34"/>
      <c r="J774" s="38" t="s">
        <v>171</v>
      </c>
      <c r="K774" s="38" t="s">
        <v>177</v>
      </c>
      <c r="L774" s="38" t="s">
        <v>173</v>
      </c>
      <c r="M774" s="38"/>
      <c r="N774" s="19"/>
      <c r="O774" s="76" t="s">
        <v>62</v>
      </c>
      <c r="P774" s="6" t="s">
        <v>62</v>
      </c>
      <c r="Q774" s="38" t="s">
        <v>62</v>
      </c>
      <c r="R774" s="38" t="s">
        <v>62</v>
      </c>
      <c r="S774" s="34"/>
      <c r="T774" s="34"/>
      <c r="U774" s="34"/>
      <c r="V774" s="8"/>
      <c r="W774" t="s">
        <v>2402</v>
      </c>
      <c r="Y774" s="34"/>
      <c r="Z774"/>
      <c r="AA774"/>
      <c r="AE774"/>
      <c r="AF774"/>
      <c r="AG774"/>
      <c r="AH774"/>
    </row>
    <row r="775" spans="1:34" ht="15.75" customHeight="1" x14ac:dyDescent="0.15">
      <c r="A775" s="6">
        <v>769</v>
      </c>
      <c r="B775" s="18" t="s">
        <v>75</v>
      </c>
      <c r="C775" s="34" t="s">
        <v>57</v>
      </c>
      <c r="D775" s="75" t="s">
        <v>2403</v>
      </c>
      <c r="E775" s="2" t="s">
        <v>169</v>
      </c>
      <c r="F775">
        <v>16000</v>
      </c>
      <c r="G775" s="6">
        <v>16</v>
      </c>
      <c r="H775" s="6" t="s">
        <v>2404</v>
      </c>
      <c r="I775" s="34"/>
      <c r="J775" s="38" t="s">
        <v>171</v>
      </c>
      <c r="K775" s="38" t="s">
        <v>177</v>
      </c>
      <c r="L775" s="38" t="s">
        <v>173</v>
      </c>
      <c r="M775" s="38"/>
      <c r="N775" s="19"/>
      <c r="O775" s="76" t="s">
        <v>62</v>
      </c>
      <c r="P775" s="6" t="s">
        <v>62</v>
      </c>
      <c r="Q775" s="38" t="s">
        <v>62</v>
      </c>
      <c r="R775" s="38" t="s">
        <v>62</v>
      </c>
      <c r="S775" s="34"/>
      <c r="T775" s="34"/>
      <c r="U775" s="34"/>
      <c r="V775" s="8"/>
      <c r="W775" t="s">
        <v>2405</v>
      </c>
      <c r="Y775" s="34"/>
      <c r="Z775"/>
      <c r="AA775"/>
      <c r="AE775"/>
      <c r="AF775"/>
      <c r="AG775"/>
      <c r="AH775"/>
    </row>
    <row r="776" spans="1:34" ht="15.75" customHeight="1" x14ac:dyDescent="0.15">
      <c r="A776" s="6">
        <v>770</v>
      </c>
      <c r="B776" s="18" t="s">
        <v>75</v>
      </c>
      <c r="C776" s="34" t="s">
        <v>57</v>
      </c>
      <c r="D776" s="75" t="s">
        <v>2406</v>
      </c>
      <c r="E776" s="2" t="s">
        <v>169</v>
      </c>
      <c r="F776">
        <v>16000</v>
      </c>
      <c r="G776" s="6">
        <v>17</v>
      </c>
      <c r="H776" s="6" t="s">
        <v>2407</v>
      </c>
      <c r="I776" s="34"/>
      <c r="J776" s="38" t="s">
        <v>171</v>
      </c>
      <c r="K776" s="38" t="s">
        <v>177</v>
      </c>
      <c r="L776" s="38" t="s">
        <v>173</v>
      </c>
      <c r="M776" s="38"/>
      <c r="N776" s="19"/>
      <c r="O776" s="76" t="s">
        <v>62</v>
      </c>
      <c r="P776" s="6" t="s">
        <v>62</v>
      </c>
      <c r="Q776" s="38" t="s">
        <v>62</v>
      </c>
      <c r="R776" s="38" t="s">
        <v>62</v>
      </c>
      <c r="S776" s="34"/>
      <c r="T776" s="34"/>
      <c r="U776" s="34"/>
      <c r="V776" s="8"/>
      <c r="W776" t="s">
        <v>2408</v>
      </c>
      <c r="Y776" s="34"/>
      <c r="Z776"/>
      <c r="AA776"/>
      <c r="AE776"/>
      <c r="AF776"/>
      <c r="AG776"/>
      <c r="AH776"/>
    </row>
    <row r="777" spans="1:34" ht="15.75" customHeight="1" x14ac:dyDescent="0.15">
      <c r="A777" s="6">
        <v>771</v>
      </c>
      <c r="B777" s="18" t="s">
        <v>75</v>
      </c>
      <c r="C777" s="34" t="s">
        <v>57</v>
      </c>
      <c r="D777" s="75" t="s">
        <v>2409</v>
      </c>
      <c r="E777" s="2" t="s">
        <v>169</v>
      </c>
      <c r="F777">
        <v>16000</v>
      </c>
      <c r="G777" s="6">
        <v>18</v>
      </c>
      <c r="H777" s="6" t="s">
        <v>2410</v>
      </c>
      <c r="I777" s="34"/>
      <c r="J777" s="38" t="s">
        <v>171</v>
      </c>
      <c r="K777" s="38" t="s">
        <v>177</v>
      </c>
      <c r="L777" s="38" t="s">
        <v>173</v>
      </c>
      <c r="M777" s="38"/>
      <c r="N777" s="19"/>
      <c r="O777" s="76" t="s">
        <v>62</v>
      </c>
      <c r="P777" s="6" t="s">
        <v>62</v>
      </c>
      <c r="Q777" s="38" t="s">
        <v>62</v>
      </c>
      <c r="R777" s="38" t="s">
        <v>62</v>
      </c>
      <c r="S777" s="34"/>
      <c r="T777" s="34"/>
      <c r="U777" s="34"/>
      <c r="V777" s="8"/>
      <c r="W777" t="s">
        <v>2411</v>
      </c>
      <c r="Y777" s="34"/>
      <c r="Z777"/>
      <c r="AA777"/>
      <c r="AE777"/>
      <c r="AF777"/>
      <c r="AG777"/>
      <c r="AH777"/>
    </row>
    <row r="778" spans="1:34" ht="15.75" customHeight="1" x14ac:dyDescent="0.15">
      <c r="A778" s="6">
        <v>772</v>
      </c>
      <c r="B778" s="18" t="s">
        <v>75</v>
      </c>
      <c r="C778" s="34" t="s">
        <v>57</v>
      </c>
      <c r="D778" s="75" t="s">
        <v>2412</v>
      </c>
      <c r="E778" s="2" t="s">
        <v>169</v>
      </c>
      <c r="F778">
        <v>16000</v>
      </c>
      <c r="G778" s="6">
        <v>19</v>
      </c>
      <c r="H778" s="6" t="s">
        <v>2413</v>
      </c>
      <c r="I778" s="34"/>
      <c r="J778" s="38" t="s">
        <v>171</v>
      </c>
      <c r="K778" s="38" t="s">
        <v>177</v>
      </c>
      <c r="L778" s="38" t="s">
        <v>173</v>
      </c>
      <c r="M778" s="38"/>
      <c r="N778" s="19"/>
      <c r="O778" s="76" t="s">
        <v>62</v>
      </c>
      <c r="P778" s="6" t="s">
        <v>62</v>
      </c>
      <c r="Q778" s="38" t="s">
        <v>62</v>
      </c>
      <c r="R778" s="38" t="s">
        <v>62</v>
      </c>
      <c r="S778" s="34"/>
      <c r="T778" s="34"/>
      <c r="U778" s="34"/>
      <c r="V778" s="8"/>
      <c r="W778" t="s">
        <v>2414</v>
      </c>
      <c r="Y778" s="34"/>
      <c r="Z778"/>
      <c r="AA778"/>
      <c r="AE778"/>
      <c r="AF778"/>
      <c r="AG778"/>
      <c r="AH778"/>
    </row>
    <row r="779" spans="1:34" ht="15.75" customHeight="1" x14ac:dyDescent="0.15">
      <c r="A779" s="6">
        <v>773</v>
      </c>
      <c r="B779" s="18" t="s">
        <v>75</v>
      </c>
      <c r="C779" s="34" t="s">
        <v>57</v>
      </c>
      <c r="D779" s="75" t="s">
        <v>2415</v>
      </c>
      <c r="E779" s="2" t="s">
        <v>169</v>
      </c>
      <c r="F779">
        <v>16000</v>
      </c>
      <c r="G779" s="6">
        <v>20</v>
      </c>
      <c r="H779" s="6" t="s">
        <v>2416</v>
      </c>
      <c r="I779" s="34"/>
      <c r="J779" s="38" t="s">
        <v>171</v>
      </c>
      <c r="K779" s="38" t="s">
        <v>177</v>
      </c>
      <c r="L779" s="38" t="s">
        <v>173</v>
      </c>
      <c r="M779" s="38"/>
      <c r="N779" s="19"/>
      <c r="O779" s="76" t="s">
        <v>62</v>
      </c>
      <c r="P779" s="6" t="s">
        <v>62</v>
      </c>
      <c r="Q779" s="38" t="s">
        <v>62</v>
      </c>
      <c r="R779" s="38" t="s">
        <v>62</v>
      </c>
      <c r="S779" s="34"/>
      <c r="T779" s="34"/>
      <c r="U779" s="34"/>
      <c r="V779" s="8"/>
      <c r="W779" t="s">
        <v>2417</v>
      </c>
      <c r="Y779" s="34"/>
      <c r="Z779"/>
      <c r="AA779"/>
      <c r="AE779"/>
      <c r="AF779"/>
      <c r="AG779"/>
      <c r="AH779"/>
    </row>
    <row r="780" spans="1:34" ht="15.75" customHeight="1" x14ac:dyDescent="0.15">
      <c r="A780" s="6">
        <v>774</v>
      </c>
      <c r="B780" s="18" t="s">
        <v>75</v>
      </c>
      <c r="C780" s="34" t="s">
        <v>57</v>
      </c>
      <c r="D780" s="75" t="s">
        <v>2418</v>
      </c>
      <c r="E780" s="2" t="s">
        <v>169</v>
      </c>
      <c r="F780">
        <v>16000</v>
      </c>
      <c r="G780" s="6">
        <v>21</v>
      </c>
      <c r="H780" s="6" t="s">
        <v>2419</v>
      </c>
      <c r="I780" s="34"/>
      <c r="J780" s="38" t="s">
        <v>171</v>
      </c>
      <c r="K780" s="38" t="s">
        <v>177</v>
      </c>
      <c r="L780" s="38" t="s">
        <v>173</v>
      </c>
      <c r="M780" s="38"/>
      <c r="N780" s="19"/>
      <c r="O780" s="76" t="s">
        <v>62</v>
      </c>
      <c r="P780" s="6" t="s">
        <v>62</v>
      </c>
      <c r="Q780" s="38" t="s">
        <v>62</v>
      </c>
      <c r="R780" s="38" t="s">
        <v>62</v>
      </c>
      <c r="S780" s="34"/>
      <c r="T780" s="34"/>
      <c r="U780" s="34"/>
      <c r="V780" s="8"/>
      <c r="W780" t="s">
        <v>2420</v>
      </c>
      <c r="Y780" s="34"/>
      <c r="Z780"/>
      <c r="AA780"/>
      <c r="AE780"/>
      <c r="AF780"/>
      <c r="AG780"/>
      <c r="AH780"/>
    </row>
    <row r="781" spans="1:34" ht="15.75" customHeight="1" x14ac:dyDescent="0.15">
      <c r="A781" s="6">
        <v>775</v>
      </c>
      <c r="B781" s="18" t="s">
        <v>75</v>
      </c>
      <c r="C781" s="34" t="s">
        <v>57</v>
      </c>
      <c r="D781" s="75" t="s">
        <v>2421</v>
      </c>
      <c r="E781" s="2" t="s">
        <v>169</v>
      </c>
      <c r="F781">
        <v>16000</v>
      </c>
      <c r="G781" s="6">
        <v>22</v>
      </c>
      <c r="H781" s="6" t="s">
        <v>2422</v>
      </c>
      <c r="I781" s="34"/>
      <c r="J781" s="38" t="s">
        <v>171</v>
      </c>
      <c r="K781" s="38" t="s">
        <v>177</v>
      </c>
      <c r="L781" s="38" t="s">
        <v>173</v>
      </c>
      <c r="M781" s="38"/>
      <c r="N781" s="19"/>
      <c r="O781" s="76" t="s">
        <v>62</v>
      </c>
      <c r="P781" s="6" t="s">
        <v>62</v>
      </c>
      <c r="Q781" s="38" t="s">
        <v>62</v>
      </c>
      <c r="R781" s="38" t="s">
        <v>62</v>
      </c>
      <c r="S781" s="34"/>
      <c r="T781" s="34"/>
      <c r="U781" s="34"/>
      <c r="V781" s="8"/>
      <c r="W781" t="s">
        <v>2423</v>
      </c>
      <c r="Y781" s="34"/>
      <c r="Z781"/>
      <c r="AA781"/>
      <c r="AE781"/>
      <c r="AF781"/>
      <c r="AG781"/>
      <c r="AH781"/>
    </row>
    <row r="782" spans="1:34" ht="15.75" customHeight="1" x14ac:dyDescent="0.15">
      <c r="A782" s="6">
        <v>776</v>
      </c>
      <c r="B782" s="18" t="s">
        <v>75</v>
      </c>
      <c r="C782" s="34" t="s">
        <v>57</v>
      </c>
      <c r="D782" s="75" t="s">
        <v>2424</v>
      </c>
      <c r="E782" s="2" t="s">
        <v>169</v>
      </c>
      <c r="F782">
        <v>16000</v>
      </c>
      <c r="G782" s="6">
        <v>23</v>
      </c>
      <c r="H782" s="6" t="s">
        <v>2425</v>
      </c>
      <c r="I782" s="34"/>
      <c r="J782" s="38" t="s">
        <v>171</v>
      </c>
      <c r="K782" s="38" t="s">
        <v>177</v>
      </c>
      <c r="L782" s="38" t="s">
        <v>173</v>
      </c>
      <c r="M782" s="38"/>
      <c r="N782" s="19"/>
      <c r="O782" s="76" t="s">
        <v>62</v>
      </c>
      <c r="P782" s="6" t="s">
        <v>62</v>
      </c>
      <c r="Q782" s="38" t="s">
        <v>62</v>
      </c>
      <c r="R782" s="38" t="s">
        <v>62</v>
      </c>
      <c r="S782" s="34"/>
      <c r="T782" s="34"/>
      <c r="U782" s="34"/>
      <c r="V782" s="8"/>
      <c r="W782" t="s">
        <v>2426</v>
      </c>
      <c r="Y782" s="34"/>
      <c r="Z782"/>
      <c r="AA782"/>
      <c r="AE782"/>
      <c r="AF782"/>
      <c r="AG782"/>
      <c r="AH782"/>
    </row>
    <row r="783" spans="1:34" ht="15.75" customHeight="1" x14ac:dyDescent="0.15">
      <c r="A783" s="6">
        <v>777</v>
      </c>
      <c r="B783" s="18" t="s">
        <v>75</v>
      </c>
      <c r="C783" s="34" t="s">
        <v>57</v>
      </c>
      <c r="D783" s="75" t="s">
        <v>2427</v>
      </c>
      <c r="E783" s="2" t="s">
        <v>169</v>
      </c>
      <c r="F783">
        <v>16000</v>
      </c>
      <c r="G783" s="6">
        <v>24</v>
      </c>
      <c r="H783" s="6" t="s">
        <v>2428</v>
      </c>
      <c r="I783" s="34"/>
      <c r="J783" s="38" t="s">
        <v>171</v>
      </c>
      <c r="K783" s="38" t="s">
        <v>177</v>
      </c>
      <c r="L783" s="38" t="s">
        <v>173</v>
      </c>
      <c r="M783" s="38"/>
      <c r="N783" s="19"/>
      <c r="O783" s="76" t="s">
        <v>62</v>
      </c>
      <c r="P783" s="6" t="s">
        <v>62</v>
      </c>
      <c r="Q783" s="38" t="s">
        <v>62</v>
      </c>
      <c r="R783" s="38" t="s">
        <v>62</v>
      </c>
      <c r="S783" s="34"/>
      <c r="T783" s="34"/>
      <c r="U783" s="34"/>
      <c r="V783" s="8"/>
      <c r="W783" t="s">
        <v>2429</v>
      </c>
      <c r="Y783" s="34"/>
      <c r="Z783"/>
      <c r="AA783"/>
      <c r="AE783"/>
      <c r="AF783"/>
      <c r="AG783"/>
      <c r="AH783"/>
    </row>
    <row r="784" spans="1:34" ht="15.75" customHeight="1" x14ac:dyDescent="0.15">
      <c r="A784" s="6">
        <v>778</v>
      </c>
      <c r="B784" s="18" t="s">
        <v>75</v>
      </c>
      <c r="C784" s="34" t="s">
        <v>57</v>
      </c>
      <c r="D784" s="75" t="s">
        <v>2430</v>
      </c>
      <c r="E784" s="2" t="s">
        <v>169</v>
      </c>
      <c r="F784">
        <v>16000</v>
      </c>
      <c r="G784" s="6">
        <v>25</v>
      </c>
      <c r="H784" s="6" t="s">
        <v>2431</v>
      </c>
      <c r="I784" s="34"/>
      <c r="J784" s="38" t="s">
        <v>171</v>
      </c>
      <c r="K784" s="38" t="s">
        <v>177</v>
      </c>
      <c r="L784" s="38" t="s">
        <v>173</v>
      </c>
      <c r="M784" s="38"/>
      <c r="N784" s="19"/>
      <c r="O784" s="76" t="s">
        <v>62</v>
      </c>
      <c r="P784" s="6" t="s">
        <v>62</v>
      </c>
      <c r="Q784" s="38" t="s">
        <v>62</v>
      </c>
      <c r="R784" s="38" t="s">
        <v>62</v>
      </c>
      <c r="S784" s="34"/>
      <c r="T784" s="34"/>
      <c r="U784" s="34"/>
      <c r="V784" s="8"/>
      <c r="W784" t="s">
        <v>2432</v>
      </c>
      <c r="Y784" s="34"/>
      <c r="Z784"/>
      <c r="AA784"/>
      <c r="AE784"/>
      <c r="AF784"/>
      <c r="AG784"/>
      <c r="AH784"/>
    </row>
    <row r="785" spans="1:34" ht="15.75" customHeight="1" x14ac:dyDescent="0.15">
      <c r="A785" s="6">
        <v>779</v>
      </c>
      <c r="B785" s="18" t="s">
        <v>75</v>
      </c>
      <c r="C785" s="34" t="s">
        <v>57</v>
      </c>
      <c r="D785" s="75" t="s">
        <v>2433</v>
      </c>
      <c r="E785" s="2" t="s">
        <v>169</v>
      </c>
      <c r="F785">
        <v>16000</v>
      </c>
      <c r="G785" s="6">
        <v>26</v>
      </c>
      <c r="H785" s="6" t="s">
        <v>2434</v>
      </c>
      <c r="I785" s="34"/>
      <c r="J785" s="38" t="s">
        <v>171</v>
      </c>
      <c r="K785" s="38" t="s">
        <v>177</v>
      </c>
      <c r="L785" s="38" t="s">
        <v>173</v>
      </c>
      <c r="M785" s="38"/>
      <c r="N785" s="19"/>
      <c r="O785" s="76" t="s">
        <v>62</v>
      </c>
      <c r="P785" s="6" t="s">
        <v>62</v>
      </c>
      <c r="Q785" s="38" t="s">
        <v>62</v>
      </c>
      <c r="R785" s="38" t="s">
        <v>62</v>
      </c>
      <c r="S785" s="34"/>
      <c r="T785" s="34"/>
      <c r="U785" s="34"/>
      <c r="V785" s="8"/>
      <c r="W785" t="s">
        <v>2435</v>
      </c>
      <c r="Y785" s="34"/>
      <c r="Z785"/>
      <c r="AA785"/>
      <c r="AE785"/>
      <c r="AF785"/>
      <c r="AG785"/>
      <c r="AH785"/>
    </row>
    <row r="786" spans="1:34" ht="15.75" customHeight="1" x14ac:dyDescent="0.15">
      <c r="A786" s="6">
        <v>780</v>
      </c>
      <c r="B786" s="18" t="s">
        <v>75</v>
      </c>
      <c r="C786" s="34" t="s">
        <v>57</v>
      </c>
      <c r="D786" s="75" t="s">
        <v>2436</v>
      </c>
      <c r="E786" s="2" t="s">
        <v>169</v>
      </c>
      <c r="F786">
        <v>16000</v>
      </c>
      <c r="G786" s="6">
        <v>27</v>
      </c>
      <c r="H786" s="6" t="s">
        <v>2437</v>
      </c>
      <c r="I786" s="34"/>
      <c r="J786" s="38" t="s">
        <v>171</v>
      </c>
      <c r="K786" s="38" t="s">
        <v>177</v>
      </c>
      <c r="L786" s="38" t="s">
        <v>173</v>
      </c>
      <c r="M786" s="38"/>
      <c r="N786" s="19"/>
      <c r="O786" s="76" t="s">
        <v>62</v>
      </c>
      <c r="P786" s="6" t="s">
        <v>62</v>
      </c>
      <c r="Q786" s="38" t="s">
        <v>62</v>
      </c>
      <c r="R786" s="38" t="s">
        <v>62</v>
      </c>
      <c r="S786" s="34"/>
      <c r="T786" s="34"/>
      <c r="U786" s="34"/>
      <c r="V786" s="8"/>
      <c r="W786" t="s">
        <v>2438</v>
      </c>
      <c r="Y786" s="34"/>
      <c r="Z786"/>
      <c r="AA786"/>
      <c r="AE786"/>
      <c r="AF786"/>
      <c r="AG786"/>
      <c r="AH786"/>
    </row>
    <row r="787" spans="1:34" ht="15.75" customHeight="1" x14ac:dyDescent="0.15">
      <c r="A787" s="6">
        <v>781</v>
      </c>
      <c r="B787" s="18" t="s">
        <v>75</v>
      </c>
      <c r="C787" s="34" t="s">
        <v>57</v>
      </c>
      <c r="D787" s="75" t="s">
        <v>2439</v>
      </c>
      <c r="E787" s="2" t="s">
        <v>169</v>
      </c>
      <c r="F787">
        <v>16000</v>
      </c>
      <c r="G787" s="6">
        <v>28</v>
      </c>
      <c r="H787" s="6" t="s">
        <v>2440</v>
      </c>
      <c r="I787" s="34"/>
      <c r="J787" s="38" t="s">
        <v>171</v>
      </c>
      <c r="K787" s="38" t="s">
        <v>177</v>
      </c>
      <c r="L787" s="38" t="s">
        <v>173</v>
      </c>
      <c r="M787" s="38"/>
      <c r="N787" s="19"/>
      <c r="O787" s="76" t="s">
        <v>62</v>
      </c>
      <c r="P787" s="6" t="s">
        <v>62</v>
      </c>
      <c r="Q787" s="38" t="s">
        <v>62</v>
      </c>
      <c r="R787" s="38" t="s">
        <v>62</v>
      </c>
      <c r="S787" s="34"/>
      <c r="T787" s="34"/>
      <c r="U787" s="34"/>
      <c r="V787" s="8"/>
      <c r="W787" t="s">
        <v>2441</v>
      </c>
      <c r="Y787" s="34"/>
      <c r="Z787"/>
      <c r="AA787"/>
      <c r="AE787"/>
      <c r="AF787"/>
      <c r="AG787"/>
      <c r="AH787"/>
    </row>
    <row r="788" spans="1:34" ht="15.75" customHeight="1" x14ac:dyDescent="0.15">
      <c r="A788" s="6">
        <v>782</v>
      </c>
      <c r="B788" s="18" t="s">
        <v>75</v>
      </c>
      <c r="C788" s="34" t="s">
        <v>57</v>
      </c>
      <c r="D788" s="75" t="s">
        <v>2442</v>
      </c>
      <c r="E788" s="2" t="s">
        <v>169</v>
      </c>
      <c r="F788">
        <v>16000</v>
      </c>
      <c r="G788" s="6">
        <v>29</v>
      </c>
      <c r="H788" s="6" t="s">
        <v>2443</v>
      </c>
      <c r="I788" s="34"/>
      <c r="J788" s="38" t="s">
        <v>171</v>
      </c>
      <c r="K788" s="38" t="s">
        <v>177</v>
      </c>
      <c r="L788" s="38" t="s">
        <v>173</v>
      </c>
      <c r="M788" s="38"/>
      <c r="N788" s="19"/>
      <c r="O788" s="76" t="s">
        <v>62</v>
      </c>
      <c r="P788" s="6" t="s">
        <v>62</v>
      </c>
      <c r="Q788" s="38" t="s">
        <v>62</v>
      </c>
      <c r="R788" s="38" t="s">
        <v>62</v>
      </c>
      <c r="S788" s="34"/>
      <c r="T788" s="34"/>
      <c r="U788" s="34"/>
      <c r="V788" s="8"/>
      <c r="W788" t="s">
        <v>2444</v>
      </c>
      <c r="Y788" s="34"/>
      <c r="Z788"/>
      <c r="AA788"/>
      <c r="AE788"/>
      <c r="AF788"/>
      <c r="AG788"/>
      <c r="AH788"/>
    </row>
    <row r="789" spans="1:34" ht="15.75" customHeight="1" x14ac:dyDescent="0.15">
      <c r="A789" s="6">
        <v>783</v>
      </c>
      <c r="B789" s="18" t="s">
        <v>75</v>
      </c>
      <c r="C789" s="34" t="s">
        <v>57</v>
      </c>
      <c r="D789" s="75" t="s">
        <v>2445</v>
      </c>
      <c r="E789" s="2" t="s">
        <v>169</v>
      </c>
      <c r="F789">
        <v>16000</v>
      </c>
      <c r="G789" s="6">
        <v>30</v>
      </c>
      <c r="H789" s="6" t="s">
        <v>2446</v>
      </c>
      <c r="I789" s="34"/>
      <c r="J789" s="38" t="s">
        <v>171</v>
      </c>
      <c r="K789" s="38" t="s">
        <v>177</v>
      </c>
      <c r="L789" s="38" t="s">
        <v>173</v>
      </c>
      <c r="M789" s="38"/>
      <c r="N789" s="19"/>
      <c r="O789" s="76" t="s">
        <v>62</v>
      </c>
      <c r="P789" s="6" t="s">
        <v>62</v>
      </c>
      <c r="Q789" s="38" t="s">
        <v>62</v>
      </c>
      <c r="R789" s="38" t="s">
        <v>62</v>
      </c>
      <c r="S789" s="34"/>
      <c r="T789" s="34"/>
      <c r="U789" s="34"/>
      <c r="V789" s="8"/>
      <c r="W789" t="s">
        <v>2447</v>
      </c>
      <c r="Y789" s="34"/>
      <c r="Z789"/>
      <c r="AA789"/>
      <c r="AE789"/>
      <c r="AF789"/>
      <c r="AG789"/>
      <c r="AH789"/>
    </row>
    <row r="790" spans="1:34" s="55" customFormat="1" ht="15.75" customHeight="1" x14ac:dyDescent="0.15">
      <c r="A790" s="6">
        <v>784</v>
      </c>
      <c r="B790" s="18" t="s">
        <v>75</v>
      </c>
      <c r="C790" s="34" t="s">
        <v>57</v>
      </c>
      <c r="D790" s="75" t="s">
        <v>2448</v>
      </c>
      <c r="E790" s="2" t="s">
        <v>169</v>
      </c>
      <c r="F790">
        <v>16000</v>
      </c>
      <c r="G790" s="6">
        <v>31</v>
      </c>
      <c r="H790" s="6" t="s">
        <v>2449</v>
      </c>
      <c r="I790" s="34"/>
      <c r="J790" s="38" t="s">
        <v>171</v>
      </c>
      <c r="K790" s="38" t="s">
        <v>177</v>
      </c>
      <c r="L790" s="38" t="s">
        <v>173</v>
      </c>
      <c r="M790" s="38"/>
      <c r="N790" s="19"/>
      <c r="O790" s="76" t="s">
        <v>62</v>
      </c>
      <c r="P790" s="6" t="s">
        <v>62</v>
      </c>
      <c r="Q790" s="38" t="s">
        <v>62</v>
      </c>
      <c r="R790" s="38" t="s">
        <v>62</v>
      </c>
      <c r="S790" s="34"/>
      <c r="T790" s="34"/>
      <c r="U790" s="34"/>
      <c r="V790" s="8"/>
      <c r="W790" t="s">
        <v>2450</v>
      </c>
      <c r="X790"/>
      <c r="Y790" s="34"/>
    </row>
    <row r="791" spans="1:34" ht="15.75" customHeight="1" x14ac:dyDescent="0.15">
      <c r="A791" s="6">
        <v>785</v>
      </c>
      <c r="B791" s="18" t="s">
        <v>75</v>
      </c>
      <c r="C791" s="34" t="s">
        <v>57</v>
      </c>
      <c r="D791" s="75" t="s">
        <v>2451</v>
      </c>
      <c r="E791" s="2" t="s">
        <v>219</v>
      </c>
      <c r="F791">
        <v>16002</v>
      </c>
      <c r="G791" s="6"/>
      <c r="H791" s="6" t="s">
        <v>2452</v>
      </c>
      <c r="I791" s="34"/>
      <c r="J791" s="38" t="s">
        <v>171</v>
      </c>
      <c r="K791" s="38" t="s">
        <v>177</v>
      </c>
      <c r="L791" s="38" t="s">
        <v>173</v>
      </c>
      <c r="M791" s="38"/>
      <c r="N791" s="19"/>
      <c r="O791" s="76" t="s">
        <v>62</v>
      </c>
      <c r="P791" s="6" t="s">
        <v>62</v>
      </c>
      <c r="Q791" s="38" t="s">
        <v>62</v>
      </c>
      <c r="R791" s="38" t="s">
        <v>62</v>
      </c>
      <c r="S791" s="34"/>
      <c r="T791" s="34"/>
      <c r="U791" s="34"/>
      <c r="V791" s="8"/>
      <c r="W791" t="s">
        <v>2453</v>
      </c>
      <c r="Y791" s="34"/>
      <c r="Z791"/>
      <c r="AA791"/>
      <c r="AE791"/>
      <c r="AF791"/>
      <c r="AG791"/>
      <c r="AH791"/>
    </row>
    <row r="792" spans="1:34" ht="15.75" customHeight="1" x14ac:dyDescent="0.15">
      <c r="A792" s="6">
        <v>786</v>
      </c>
      <c r="B792" s="18" t="s">
        <v>75</v>
      </c>
      <c r="C792" s="34" t="s">
        <v>57</v>
      </c>
      <c r="D792" s="75" t="s">
        <v>2454</v>
      </c>
      <c r="E792" s="2" t="s">
        <v>169</v>
      </c>
      <c r="F792">
        <v>16002</v>
      </c>
      <c r="G792" s="6">
        <v>0</v>
      </c>
      <c r="H792" s="6" t="s">
        <v>2455</v>
      </c>
      <c r="I792" s="34"/>
      <c r="J792" s="38" t="s">
        <v>171</v>
      </c>
      <c r="K792" s="38" t="s">
        <v>177</v>
      </c>
      <c r="L792" s="38" t="s">
        <v>173</v>
      </c>
      <c r="M792" s="38"/>
      <c r="N792" s="19"/>
      <c r="O792" s="76" t="s">
        <v>62</v>
      </c>
      <c r="P792" s="6" t="s">
        <v>62</v>
      </c>
      <c r="Q792" s="38" t="s">
        <v>62</v>
      </c>
      <c r="R792" s="38" t="s">
        <v>62</v>
      </c>
      <c r="S792" s="34"/>
      <c r="T792" s="34"/>
      <c r="U792" s="34"/>
      <c r="V792" s="8"/>
      <c r="W792" t="s">
        <v>2456</v>
      </c>
      <c r="Y792" s="34"/>
      <c r="Z792"/>
      <c r="AA792"/>
      <c r="AE792"/>
      <c r="AF792"/>
      <c r="AG792"/>
      <c r="AH792"/>
    </row>
    <row r="793" spans="1:34" ht="15.75" customHeight="1" x14ac:dyDescent="0.15">
      <c r="A793" s="6">
        <v>787</v>
      </c>
      <c r="B793" s="18" t="s">
        <v>75</v>
      </c>
      <c r="C793" s="34" t="s">
        <v>57</v>
      </c>
      <c r="D793" s="75" t="s">
        <v>2457</v>
      </c>
      <c r="E793" s="2" t="s">
        <v>169</v>
      </c>
      <c r="F793">
        <v>16002</v>
      </c>
      <c r="G793" s="6">
        <v>1</v>
      </c>
      <c r="H793" s="6" t="s">
        <v>2458</v>
      </c>
      <c r="I793" s="34"/>
      <c r="J793" s="38" t="s">
        <v>171</v>
      </c>
      <c r="K793" s="38" t="s">
        <v>177</v>
      </c>
      <c r="L793" s="38" t="s">
        <v>173</v>
      </c>
      <c r="M793" s="38"/>
      <c r="N793" s="19"/>
      <c r="O793" s="76" t="s">
        <v>62</v>
      </c>
      <c r="P793" s="6" t="s">
        <v>62</v>
      </c>
      <c r="Q793" s="38" t="s">
        <v>62</v>
      </c>
      <c r="R793" s="38" t="s">
        <v>62</v>
      </c>
      <c r="S793" s="34"/>
      <c r="T793" s="34"/>
      <c r="U793" s="34"/>
      <c r="V793" s="8"/>
      <c r="W793" t="s">
        <v>2459</v>
      </c>
      <c r="Y793" s="34"/>
      <c r="Z793"/>
      <c r="AA793"/>
      <c r="AE793"/>
      <c r="AF793"/>
      <c r="AG793"/>
      <c r="AH793"/>
    </row>
    <row r="794" spans="1:34" ht="15.75" customHeight="1" x14ac:dyDescent="0.15">
      <c r="A794" s="6">
        <v>788</v>
      </c>
      <c r="B794" s="18" t="s">
        <v>75</v>
      </c>
      <c r="C794" s="34" t="s">
        <v>57</v>
      </c>
      <c r="D794" s="75" t="s">
        <v>2460</v>
      </c>
      <c r="E794" s="2" t="s">
        <v>169</v>
      </c>
      <c r="F794">
        <v>16002</v>
      </c>
      <c r="G794" s="6">
        <v>2</v>
      </c>
      <c r="H794" s="6" t="s">
        <v>2461</v>
      </c>
      <c r="I794" s="34"/>
      <c r="J794" s="38" t="s">
        <v>171</v>
      </c>
      <c r="K794" s="38" t="s">
        <v>177</v>
      </c>
      <c r="L794" s="38" t="s">
        <v>173</v>
      </c>
      <c r="M794" s="38"/>
      <c r="N794" s="19"/>
      <c r="O794" s="76" t="s">
        <v>62</v>
      </c>
      <c r="P794" s="6" t="s">
        <v>62</v>
      </c>
      <c r="Q794" s="38" t="s">
        <v>62</v>
      </c>
      <c r="R794" s="38" t="s">
        <v>62</v>
      </c>
      <c r="S794" s="34"/>
      <c r="T794" s="34"/>
      <c r="U794" s="34"/>
      <c r="V794" s="8"/>
      <c r="W794" t="s">
        <v>2462</v>
      </c>
      <c r="Y794" s="34"/>
      <c r="Z794"/>
      <c r="AA794"/>
      <c r="AE794"/>
      <c r="AF794"/>
      <c r="AG794"/>
      <c r="AH794"/>
    </row>
    <row r="795" spans="1:34" ht="15.75" customHeight="1" x14ac:dyDescent="0.15">
      <c r="A795" s="6">
        <v>789</v>
      </c>
      <c r="B795" s="18" t="s">
        <v>75</v>
      </c>
      <c r="C795" s="34" t="s">
        <v>57</v>
      </c>
      <c r="D795" s="75" t="s">
        <v>2463</v>
      </c>
      <c r="E795" s="2" t="s">
        <v>169</v>
      </c>
      <c r="F795">
        <v>16002</v>
      </c>
      <c r="G795" s="6">
        <v>3</v>
      </c>
      <c r="H795" s="6" t="s">
        <v>2464</v>
      </c>
      <c r="I795" s="34"/>
      <c r="J795" s="38" t="s">
        <v>171</v>
      </c>
      <c r="K795" s="38" t="s">
        <v>177</v>
      </c>
      <c r="L795" s="38" t="s">
        <v>173</v>
      </c>
      <c r="M795" s="38"/>
      <c r="N795" s="19"/>
      <c r="O795" s="76" t="s">
        <v>62</v>
      </c>
      <c r="P795" s="6" t="s">
        <v>62</v>
      </c>
      <c r="Q795" s="38" t="s">
        <v>62</v>
      </c>
      <c r="R795" s="38" t="s">
        <v>62</v>
      </c>
      <c r="S795" s="34"/>
      <c r="T795" s="34"/>
      <c r="U795" s="34"/>
      <c r="V795" s="8"/>
      <c r="W795" t="s">
        <v>2465</v>
      </c>
      <c r="Y795" s="34"/>
      <c r="Z795"/>
      <c r="AA795"/>
      <c r="AE795"/>
      <c r="AF795"/>
      <c r="AG795"/>
      <c r="AH795"/>
    </row>
    <row r="796" spans="1:34" ht="15.75" customHeight="1" x14ac:dyDescent="0.15">
      <c r="A796" s="6">
        <v>790</v>
      </c>
      <c r="B796" s="18" t="s">
        <v>75</v>
      </c>
      <c r="C796" s="34" t="s">
        <v>57</v>
      </c>
      <c r="D796" s="75" t="s">
        <v>2466</v>
      </c>
      <c r="E796" s="2" t="s">
        <v>169</v>
      </c>
      <c r="F796">
        <v>16002</v>
      </c>
      <c r="G796" s="6">
        <v>4</v>
      </c>
      <c r="H796" s="6" t="s">
        <v>2467</v>
      </c>
      <c r="I796" s="34"/>
      <c r="J796" s="38" t="s">
        <v>171</v>
      </c>
      <c r="K796" s="38" t="s">
        <v>177</v>
      </c>
      <c r="L796" s="38" t="s">
        <v>173</v>
      </c>
      <c r="M796" s="38"/>
      <c r="N796" s="19"/>
      <c r="O796" s="76" t="s">
        <v>62</v>
      </c>
      <c r="P796" s="6" t="s">
        <v>62</v>
      </c>
      <c r="Q796" s="38" t="s">
        <v>62</v>
      </c>
      <c r="R796" s="38" t="s">
        <v>62</v>
      </c>
      <c r="S796" s="34"/>
      <c r="T796" s="34"/>
      <c r="U796" s="34"/>
      <c r="V796" s="8"/>
      <c r="W796" t="s">
        <v>2468</v>
      </c>
      <c r="Y796" s="34"/>
      <c r="Z796"/>
      <c r="AA796"/>
      <c r="AE796"/>
      <c r="AF796"/>
      <c r="AG796"/>
      <c r="AH796"/>
    </row>
    <row r="797" spans="1:34" ht="15.75" customHeight="1" x14ac:dyDescent="0.15">
      <c r="A797" s="6">
        <v>791</v>
      </c>
      <c r="B797" s="18" t="s">
        <v>75</v>
      </c>
      <c r="C797" s="34" t="s">
        <v>57</v>
      </c>
      <c r="D797" s="75" t="s">
        <v>2469</v>
      </c>
      <c r="E797" s="2" t="s">
        <v>169</v>
      </c>
      <c r="F797">
        <v>16002</v>
      </c>
      <c r="G797" s="6">
        <v>5</v>
      </c>
      <c r="H797" s="6" t="s">
        <v>2470</v>
      </c>
      <c r="I797" s="34"/>
      <c r="J797" s="38" t="s">
        <v>171</v>
      </c>
      <c r="K797" s="38" t="s">
        <v>177</v>
      </c>
      <c r="L797" s="38" t="s">
        <v>173</v>
      </c>
      <c r="M797" s="38"/>
      <c r="N797" s="19"/>
      <c r="O797" s="76" t="s">
        <v>62</v>
      </c>
      <c r="P797" s="6" t="s">
        <v>62</v>
      </c>
      <c r="Q797" s="38" t="s">
        <v>62</v>
      </c>
      <c r="R797" s="38" t="s">
        <v>62</v>
      </c>
      <c r="S797" s="34"/>
      <c r="T797" s="34"/>
      <c r="U797" s="34"/>
      <c r="V797" s="8"/>
      <c r="W797" t="s">
        <v>2471</v>
      </c>
      <c r="Y797" s="34"/>
      <c r="Z797"/>
      <c r="AA797"/>
      <c r="AE797"/>
      <c r="AF797"/>
      <c r="AG797"/>
      <c r="AH797"/>
    </row>
    <row r="798" spans="1:34" ht="15.75" customHeight="1" x14ac:dyDescent="0.15">
      <c r="A798" s="6">
        <v>792</v>
      </c>
      <c r="B798" s="18" t="s">
        <v>75</v>
      </c>
      <c r="C798" s="34" t="s">
        <v>57</v>
      </c>
      <c r="D798" s="75" t="s">
        <v>2472</v>
      </c>
      <c r="E798" s="2" t="s">
        <v>169</v>
      </c>
      <c r="F798">
        <v>16002</v>
      </c>
      <c r="G798" s="6">
        <v>6</v>
      </c>
      <c r="H798" s="6" t="s">
        <v>2473</v>
      </c>
      <c r="I798" s="34"/>
      <c r="J798" s="38" t="s">
        <v>171</v>
      </c>
      <c r="K798" s="38" t="s">
        <v>177</v>
      </c>
      <c r="L798" s="38" t="s">
        <v>173</v>
      </c>
      <c r="M798" s="38"/>
      <c r="N798" s="19"/>
      <c r="O798" s="76" t="s">
        <v>62</v>
      </c>
      <c r="P798" s="6" t="s">
        <v>62</v>
      </c>
      <c r="Q798" s="38" t="s">
        <v>62</v>
      </c>
      <c r="R798" s="38" t="s">
        <v>62</v>
      </c>
      <c r="S798" s="34"/>
      <c r="T798" s="34"/>
      <c r="U798" s="34"/>
      <c r="V798" s="8"/>
      <c r="W798" t="s">
        <v>2474</v>
      </c>
      <c r="Y798" s="34"/>
      <c r="Z798"/>
      <c r="AA798"/>
      <c r="AE798"/>
      <c r="AF798"/>
      <c r="AG798"/>
      <c r="AH798"/>
    </row>
    <row r="799" spans="1:34" s="59" customFormat="1" ht="15.75" customHeight="1" x14ac:dyDescent="0.15">
      <c r="A799" s="6">
        <v>793</v>
      </c>
      <c r="B799" s="18" t="s">
        <v>75</v>
      </c>
      <c r="C799" s="34" t="s">
        <v>57</v>
      </c>
      <c r="D799" s="75" t="s">
        <v>2475</v>
      </c>
      <c r="E799" s="2" t="s">
        <v>169</v>
      </c>
      <c r="F799">
        <v>16002</v>
      </c>
      <c r="G799" s="6">
        <v>7</v>
      </c>
      <c r="H799" s="6" t="s">
        <v>2476</v>
      </c>
      <c r="I799" s="34"/>
      <c r="J799" s="38" t="s">
        <v>171</v>
      </c>
      <c r="K799" s="38" t="s">
        <v>177</v>
      </c>
      <c r="L799" s="38" t="s">
        <v>173</v>
      </c>
      <c r="M799" s="38"/>
      <c r="N799" s="19"/>
      <c r="O799" s="76" t="s">
        <v>62</v>
      </c>
      <c r="P799" s="6" t="s">
        <v>62</v>
      </c>
      <c r="Q799" s="38" t="s">
        <v>62</v>
      </c>
      <c r="R799" s="38" t="s">
        <v>62</v>
      </c>
      <c r="S799" s="34"/>
      <c r="T799" s="34"/>
      <c r="U799" s="34"/>
      <c r="V799" s="8"/>
      <c r="W799" t="s">
        <v>2477</v>
      </c>
      <c r="X799"/>
      <c r="Y799" s="34"/>
    </row>
    <row r="800" spans="1:34" ht="15.75" customHeight="1" x14ac:dyDescent="0.15">
      <c r="A800" s="6">
        <v>794</v>
      </c>
      <c r="B800" s="18" t="s">
        <v>75</v>
      </c>
      <c r="C800" s="34" t="s">
        <v>57</v>
      </c>
      <c r="D800" s="75" t="s">
        <v>2478</v>
      </c>
      <c r="E800" s="2" t="s">
        <v>169</v>
      </c>
      <c r="F800">
        <v>16002</v>
      </c>
      <c r="G800" s="6">
        <v>8</v>
      </c>
      <c r="H800" s="6" t="s">
        <v>2479</v>
      </c>
      <c r="I800" s="34"/>
      <c r="J800" s="38" t="s">
        <v>171</v>
      </c>
      <c r="K800" s="38" t="s">
        <v>177</v>
      </c>
      <c r="L800" s="38" t="s">
        <v>173</v>
      </c>
      <c r="M800" s="38"/>
      <c r="N800" s="19"/>
      <c r="O800" s="76" t="s">
        <v>62</v>
      </c>
      <c r="P800" s="6" t="s">
        <v>62</v>
      </c>
      <c r="Q800" s="38" t="s">
        <v>62</v>
      </c>
      <c r="R800" s="38" t="s">
        <v>62</v>
      </c>
      <c r="S800" s="34"/>
      <c r="T800" s="34"/>
      <c r="U800" s="34"/>
      <c r="V800" s="8"/>
      <c r="W800" t="s">
        <v>2480</v>
      </c>
      <c r="Y800" s="34"/>
      <c r="Z800"/>
      <c r="AA800"/>
      <c r="AE800"/>
      <c r="AF800"/>
      <c r="AG800"/>
      <c r="AH800"/>
    </row>
    <row r="801" spans="1:34" ht="15.75" customHeight="1" x14ac:dyDescent="0.15">
      <c r="A801" s="6">
        <v>795</v>
      </c>
      <c r="B801" s="18" t="s">
        <v>75</v>
      </c>
      <c r="C801" s="34" t="s">
        <v>57</v>
      </c>
      <c r="D801" s="75" t="s">
        <v>2481</v>
      </c>
      <c r="E801" s="2" t="s">
        <v>169</v>
      </c>
      <c r="F801">
        <v>16002</v>
      </c>
      <c r="G801" s="6">
        <v>9</v>
      </c>
      <c r="H801" s="6" t="s">
        <v>2482</v>
      </c>
      <c r="I801" s="34"/>
      <c r="J801" s="38" t="s">
        <v>171</v>
      </c>
      <c r="K801" s="38" t="s">
        <v>177</v>
      </c>
      <c r="L801" s="38" t="s">
        <v>173</v>
      </c>
      <c r="M801" s="38"/>
      <c r="N801" s="19"/>
      <c r="O801" s="76" t="s">
        <v>62</v>
      </c>
      <c r="P801" s="6" t="s">
        <v>62</v>
      </c>
      <c r="Q801" s="38" t="s">
        <v>62</v>
      </c>
      <c r="R801" s="38" t="s">
        <v>62</v>
      </c>
      <c r="S801" s="34"/>
      <c r="T801" s="34"/>
      <c r="U801" s="34"/>
      <c r="V801" s="8"/>
      <c r="W801" t="s">
        <v>2483</v>
      </c>
      <c r="Y801" s="34"/>
      <c r="Z801"/>
      <c r="AA801"/>
      <c r="AE801"/>
      <c r="AF801"/>
      <c r="AG801"/>
      <c r="AH801"/>
    </row>
    <row r="802" spans="1:34" ht="15.75" customHeight="1" x14ac:dyDescent="0.15">
      <c r="A802" s="6">
        <v>796</v>
      </c>
      <c r="B802" s="18" t="s">
        <v>75</v>
      </c>
      <c r="C802" s="34" t="s">
        <v>57</v>
      </c>
      <c r="D802" s="75" t="s">
        <v>2484</v>
      </c>
      <c r="E802" s="2" t="s">
        <v>169</v>
      </c>
      <c r="F802">
        <v>16002</v>
      </c>
      <c r="G802" s="6">
        <v>10</v>
      </c>
      <c r="H802" s="6" t="s">
        <v>2485</v>
      </c>
      <c r="I802" s="34"/>
      <c r="J802" s="38" t="s">
        <v>171</v>
      </c>
      <c r="K802" s="38" t="s">
        <v>177</v>
      </c>
      <c r="L802" s="38" t="s">
        <v>173</v>
      </c>
      <c r="M802" s="38"/>
      <c r="N802" s="19"/>
      <c r="O802" s="76" t="s">
        <v>62</v>
      </c>
      <c r="P802" s="6" t="s">
        <v>62</v>
      </c>
      <c r="Q802" s="38" t="s">
        <v>62</v>
      </c>
      <c r="R802" s="38" t="s">
        <v>62</v>
      </c>
      <c r="S802" s="34"/>
      <c r="T802" s="34"/>
      <c r="U802" s="34"/>
      <c r="V802" s="8"/>
      <c r="W802" t="s">
        <v>2486</v>
      </c>
      <c r="Y802" s="34"/>
      <c r="Z802"/>
      <c r="AA802"/>
      <c r="AE802"/>
      <c r="AF802"/>
      <c r="AG802"/>
      <c r="AH802"/>
    </row>
    <row r="803" spans="1:34" s="55" customFormat="1" ht="15.75" customHeight="1" x14ac:dyDescent="0.15">
      <c r="A803" s="6">
        <v>797</v>
      </c>
      <c r="B803" s="18" t="s">
        <v>75</v>
      </c>
      <c r="C803" s="34" t="s">
        <v>57</v>
      </c>
      <c r="D803" s="75" t="s">
        <v>2487</v>
      </c>
      <c r="E803" s="2" t="s">
        <v>169</v>
      </c>
      <c r="F803">
        <v>16002</v>
      </c>
      <c r="G803" s="6">
        <v>11</v>
      </c>
      <c r="H803" s="6" t="s">
        <v>2488</v>
      </c>
      <c r="I803" s="34"/>
      <c r="J803" s="38" t="s">
        <v>171</v>
      </c>
      <c r="K803" s="38" t="s">
        <v>177</v>
      </c>
      <c r="L803" s="38" t="s">
        <v>173</v>
      </c>
      <c r="M803" s="38"/>
      <c r="N803" s="19"/>
      <c r="O803" s="76" t="s">
        <v>62</v>
      </c>
      <c r="P803" s="6" t="s">
        <v>62</v>
      </c>
      <c r="Q803" s="38" t="s">
        <v>62</v>
      </c>
      <c r="R803" s="38" t="s">
        <v>62</v>
      </c>
      <c r="S803" s="34"/>
      <c r="T803" s="34"/>
      <c r="U803" s="34"/>
      <c r="V803" s="8"/>
      <c r="W803" t="s">
        <v>2489</v>
      </c>
      <c r="X803"/>
      <c r="Y803" s="34"/>
    </row>
    <row r="804" spans="1:34" s="55" customFormat="1" ht="15.75" customHeight="1" x14ac:dyDescent="0.15">
      <c r="A804" s="6">
        <v>798</v>
      </c>
      <c r="B804" s="18" t="s">
        <v>75</v>
      </c>
      <c r="C804" s="34" t="s">
        <v>57</v>
      </c>
      <c r="D804" s="75" t="s">
        <v>2490</v>
      </c>
      <c r="E804" s="2" t="s">
        <v>169</v>
      </c>
      <c r="F804">
        <v>16002</v>
      </c>
      <c r="G804" s="6">
        <v>12</v>
      </c>
      <c r="H804" s="6" t="s">
        <v>2491</v>
      </c>
      <c r="I804" s="34"/>
      <c r="J804" s="38" t="s">
        <v>171</v>
      </c>
      <c r="K804" s="38" t="s">
        <v>177</v>
      </c>
      <c r="L804" s="38" t="s">
        <v>173</v>
      </c>
      <c r="M804" s="38"/>
      <c r="N804" s="19"/>
      <c r="O804" s="76" t="s">
        <v>62</v>
      </c>
      <c r="P804" s="6" t="s">
        <v>62</v>
      </c>
      <c r="Q804" s="38" t="s">
        <v>62</v>
      </c>
      <c r="R804" s="38" t="s">
        <v>62</v>
      </c>
      <c r="S804" s="34"/>
      <c r="T804" s="34"/>
      <c r="U804" s="34"/>
      <c r="V804" s="8"/>
      <c r="W804" t="s">
        <v>2492</v>
      </c>
      <c r="X804"/>
      <c r="Y804" s="34"/>
    </row>
    <row r="805" spans="1:34" s="55" customFormat="1" ht="15.75" customHeight="1" x14ac:dyDescent="0.15">
      <c r="A805" s="6">
        <v>799</v>
      </c>
      <c r="B805" s="18" t="s">
        <v>75</v>
      </c>
      <c r="C805" s="34" t="s">
        <v>57</v>
      </c>
      <c r="D805" s="75" t="s">
        <v>2493</v>
      </c>
      <c r="E805" s="2" t="s">
        <v>169</v>
      </c>
      <c r="F805">
        <v>16002</v>
      </c>
      <c r="G805" s="6">
        <v>13</v>
      </c>
      <c r="H805" s="6" t="s">
        <v>2494</v>
      </c>
      <c r="I805" s="34"/>
      <c r="J805" s="38" t="s">
        <v>171</v>
      </c>
      <c r="K805" s="38" t="s">
        <v>177</v>
      </c>
      <c r="L805" s="38" t="s">
        <v>173</v>
      </c>
      <c r="M805" s="38"/>
      <c r="N805" s="19"/>
      <c r="O805" s="76" t="s">
        <v>62</v>
      </c>
      <c r="P805" s="6" t="s">
        <v>62</v>
      </c>
      <c r="Q805" s="38" t="s">
        <v>62</v>
      </c>
      <c r="R805" s="38" t="s">
        <v>62</v>
      </c>
      <c r="S805" s="34"/>
      <c r="T805" s="34"/>
      <c r="U805" s="34"/>
      <c r="V805" s="8"/>
      <c r="W805" t="s">
        <v>2495</v>
      </c>
      <c r="X805"/>
      <c r="Y805" s="34"/>
    </row>
    <row r="806" spans="1:34" s="55" customFormat="1" ht="15.75" customHeight="1" x14ac:dyDescent="0.15">
      <c r="A806" s="6">
        <v>800</v>
      </c>
      <c r="B806" s="18" t="s">
        <v>75</v>
      </c>
      <c r="C806" s="34" t="s">
        <v>57</v>
      </c>
      <c r="D806" s="75" t="s">
        <v>2496</v>
      </c>
      <c r="E806" s="2" t="s">
        <v>169</v>
      </c>
      <c r="F806">
        <v>16002</v>
      </c>
      <c r="G806" s="6">
        <v>14</v>
      </c>
      <c r="H806" s="6" t="s">
        <v>2497</v>
      </c>
      <c r="I806" s="34"/>
      <c r="J806" s="38" t="s">
        <v>171</v>
      </c>
      <c r="K806" s="38" t="s">
        <v>177</v>
      </c>
      <c r="L806" s="38" t="s">
        <v>173</v>
      </c>
      <c r="M806" s="38"/>
      <c r="N806" s="19"/>
      <c r="O806" s="76" t="s">
        <v>62</v>
      </c>
      <c r="P806" s="6" t="s">
        <v>62</v>
      </c>
      <c r="Q806" s="38" t="s">
        <v>62</v>
      </c>
      <c r="R806" s="38" t="s">
        <v>62</v>
      </c>
      <c r="S806" s="34"/>
      <c r="T806" s="34"/>
      <c r="U806" s="34"/>
      <c r="V806" s="8"/>
      <c r="W806" t="s">
        <v>2498</v>
      </c>
      <c r="X806"/>
      <c r="Y806" s="34"/>
    </row>
    <row r="807" spans="1:34" ht="15.75" customHeight="1" x14ac:dyDescent="0.15">
      <c r="A807" s="6">
        <v>801</v>
      </c>
      <c r="B807" s="18" t="s">
        <v>75</v>
      </c>
      <c r="C807" s="34" t="s">
        <v>57</v>
      </c>
      <c r="D807" s="75" t="s">
        <v>2499</v>
      </c>
      <c r="E807" s="2" t="s">
        <v>169</v>
      </c>
      <c r="F807">
        <v>16002</v>
      </c>
      <c r="G807" s="6">
        <v>15</v>
      </c>
      <c r="H807" s="6" t="s">
        <v>2500</v>
      </c>
      <c r="I807" s="34"/>
      <c r="J807" s="38" t="s">
        <v>171</v>
      </c>
      <c r="K807" s="38" t="s">
        <v>177</v>
      </c>
      <c r="L807" s="38" t="s">
        <v>173</v>
      </c>
      <c r="M807" s="38"/>
      <c r="N807" s="19"/>
      <c r="O807" s="76" t="s">
        <v>62</v>
      </c>
      <c r="P807" s="6" t="s">
        <v>62</v>
      </c>
      <c r="Q807" s="38" t="s">
        <v>62</v>
      </c>
      <c r="R807" s="38" t="s">
        <v>62</v>
      </c>
      <c r="S807" s="34"/>
      <c r="T807" s="34"/>
      <c r="U807" s="34"/>
      <c r="V807" s="8"/>
      <c r="W807" t="s">
        <v>2501</v>
      </c>
      <c r="Y807" s="34"/>
      <c r="Z807"/>
      <c r="AA807"/>
      <c r="AE807"/>
      <c r="AF807"/>
      <c r="AG807"/>
      <c r="AH807"/>
    </row>
    <row r="808" spans="1:34" ht="15.75" customHeight="1" x14ac:dyDescent="0.15">
      <c r="A808" s="6">
        <v>802</v>
      </c>
      <c r="B808" s="18" t="s">
        <v>75</v>
      </c>
      <c r="C808" s="34" t="s">
        <v>57</v>
      </c>
      <c r="D808" s="75" t="s">
        <v>2502</v>
      </c>
      <c r="E808" s="2" t="s">
        <v>169</v>
      </c>
      <c r="F808">
        <v>16002</v>
      </c>
      <c r="G808" s="6">
        <v>16</v>
      </c>
      <c r="H808" s="6" t="s">
        <v>2503</v>
      </c>
      <c r="I808" s="34"/>
      <c r="J808" s="38" t="s">
        <v>171</v>
      </c>
      <c r="K808" s="38" t="s">
        <v>177</v>
      </c>
      <c r="L808" s="38" t="s">
        <v>173</v>
      </c>
      <c r="M808" s="38"/>
      <c r="N808" s="19"/>
      <c r="O808" s="76" t="s">
        <v>62</v>
      </c>
      <c r="P808" s="6" t="s">
        <v>62</v>
      </c>
      <c r="Q808" s="38" t="s">
        <v>62</v>
      </c>
      <c r="R808" s="38" t="s">
        <v>62</v>
      </c>
      <c r="S808" s="34"/>
      <c r="T808" s="34"/>
      <c r="U808" s="34"/>
      <c r="V808" s="8"/>
      <c r="W808" t="s">
        <v>2504</v>
      </c>
      <c r="Y808" s="34"/>
      <c r="Z808"/>
      <c r="AA808"/>
      <c r="AE808"/>
      <c r="AF808"/>
      <c r="AG808"/>
      <c r="AH808"/>
    </row>
    <row r="809" spans="1:34" s="59" customFormat="1" ht="15.75" customHeight="1" x14ac:dyDescent="0.15">
      <c r="A809" s="6">
        <v>803</v>
      </c>
      <c r="B809" s="18" t="s">
        <v>75</v>
      </c>
      <c r="C809" s="34" t="s">
        <v>57</v>
      </c>
      <c r="D809" s="75" t="s">
        <v>2505</v>
      </c>
      <c r="E809" s="2" t="s">
        <v>169</v>
      </c>
      <c r="F809">
        <v>16002</v>
      </c>
      <c r="G809" s="6">
        <v>17</v>
      </c>
      <c r="H809" s="6" t="s">
        <v>2506</v>
      </c>
      <c r="I809" s="34"/>
      <c r="J809" s="38" t="s">
        <v>171</v>
      </c>
      <c r="K809" s="38" t="s">
        <v>177</v>
      </c>
      <c r="L809" s="38" t="s">
        <v>173</v>
      </c>
      <c r="M809" s="38"/>
      <c r="N809" s="19"/>
      <c r="O809" s="76" t="s">
        <v>62</v>
      </c>
      <c r="P809" s="6" t="s">
        <v>62</v>
      </c>
      <c r="Q809" s="38" t="s">
        <v>62</v>
      </c>
      <c r="R809" s="38" t="s">
        <v>62</v>
      </c>
      <c r="S809" s="34"/>
      <c r="T809" s="34"/>
      <c r="U809" s="34"/>
      <c r="V809" s="8"/>
      <c r="W809" t="s">
        <v>2507</v>
      </c>
      <c r="X809"/>
      <c r="Y809" s="34"/>
    </row>
    <row r="810" spans="1:34" s="55" customFormat="1" ht="15.75" customHeight="1" x14ac:dyDescent="0.15">
      <c r="A810" s="6">
        <v>804</v>
      </c>
      <c r="B810" s="18" t="s">
        <v>75</v>
      </c>
      <c r="C810" s="34" t="s">
        <v>57</v>
      </c>
      <c r="D810" s="75" t="s">
        <v>2508</v>
      </c>
      <c r="E810" s="2" t="s">
        <v>169</v>
      </c>
      <c r="F810">
        <v>16002</v>
      </c>
      <c r="G810" s="6">
        <v>18</v>
      </c>
      <c r="H810" s="6" t="s">
        <v>2509</v>
      </c>
      <c r="I810" s="34"/>
      <c r="J810" s="38" t="s">
        <v>171</v>
      </c>
      <c r="K810" s="38" t="s">
        <v>177</v>
      </c>
      <c r="L810" s="38" t="s">
        <v>173</v>
      </c>
      <c r="M810" s="38"/>
      <c r="N810" s="19"/>
      <c r="O810" s="76" t="s">
        <v>62</v>
      </c>
      <c r="P810" s="6" t="s">
        <v>62</v>
      </c>
      <c r="Q810" s="38" t="s">
        <v>62</v>
      </c>
      <c r="R810" s="38" t="s">
        <v>62</v>
      </c>
      <c r="S810" s="34"/>
      <c r="T810" s="34"/>
      <c r="U810" s="34"/>
      <c r="V810" s="8"/>
      <c r="W810" t="s">
        <v>2510</v>
      </c>
      <c r="X810"/>
      <c r="Y810" s="34"/>
    </row>
    <row r="811" spans="1:34" s="59" customFormat="1" ht="15.75" customHeight="1" x14ac:dyDescent="0.15">
      <c r="A811" s="6">
        <v>805</v>
      </c>
      <c r="B811" s="18" t="s">
        <v>75</v>
      </c>
      <c r="C811" s="34" t="s">
        <v>57</v>
      </c>
      <c r="D811" s="75" t="s">
        <v>2511</v>
      </c>
      <c r="E811" s="2" t="s">
        <v>169</v>
      </c>
      <c r="F811">
        <v>16002</v>
      </c>
      <c r="G811" s="6">
        <v>19</v>
      </c>
      <c r="H811" s="6" t="s">
        <v>2512</v>
      </c>
      <c r="I811" s="34"/>
      <c r="J811" s="38" t="s">
        <v>171</v>
      </c>
      <c r="K811" s="38" t="s">
        <v>177</v>
      </c>
      <c r="L811" s="38" t="s">
        <v>173</v>
      </c>
      <c r="M811" s="38"/>
      <c r="N811" s="19"/>
      <c r="O811" s="76" t="s">
        <v>62</v>
      </c>
      <c r="P811" s="6" t="s">
        <v>62</v>
      </c>
      <c r="Q811" s="38" t="s">
        <v>62</v>
      </c>
      <c r="R811" s="38" t="s">
        <v>62</v>
      </c>
      <c r="S811" s="34"/>
      <c r="T811" s="34"/>
      <c r="U811" s="34"/>
      <c r="V811" s="8"/>
      <c r="W811" t="s">
        <v>2513</v>
      </c>
      <c r="X811"/>
      <c r="Y811" s="34"/>
    </row>
    <row r="812" spans="1:34" s="59" customFormat="1" ht="15.75" customHeight="1" x14ac:dyDescent="0.15">
      <c r="A812" s="6">
        <v>806</v>
      </c>
      <c r="B812" s="18" t="s">
        <v>75</v>
      </c>
      <c r="C812" s="34" t="s">
        <v>57</v>
      </c>
      <c r="D812" s="75" t="s">
        <v>2514</v>
      </c>
      <c r="E812" s="2" t="s">
        <v>169</v>
      </c>
      <c r="F812">
        <v>16002</v>
      </c>
      <c r="G812" s="6">
        <v>20</v>
      </c>
      <c r="H812" s="6" t="s">
        <v>2515</v>
      </c>
      <c r="I812" s="34"/>
      <c r="J812" s="38" t="s">
        <v>171</v>
      </c>
      <c r="K812" s="38" t="s">
        <v>177</v>
      </c>
      <c r="L812" s="38" t="s">
        <v>173</v>
      </c>
      <c r="M812" s="38"/>
      <c r="N812" s="19"/>
      <c r="O812" s="76" t="s">
        <v>62</v>
      </c>
      <c r="P812" s="6" t="s">
        <v>62</v>
      </c>
      <c r="Q812" s="38" t="s">
        <v>62</v>
      </c>
      <c r="R812" s="38" t="s">
        <v>62</v>
      </c>
      <c r="S812" s="34"/>
      <c r="T812" s="34"/>
      <c r="U812" s="34"/>
      <c r="V812" s="8"/>
      <c r="W812" t="s">
        <v>2516</v>
      </c>
      <c r="X812"/>
      <c r="Y812" s="34"/>
    </row>
    <row r="813" spans="1:34" s="55" customFormat="1" ht="15.75" customHeight="1" x14ac:dyDescent="0.15">
      <c r="A813" s="6">
        <v>807</v>
      </c>
      <c r="B813" s="18" t="s">
        <v>75</v>
      </c>
      <c r="C813" s="34" t="s">
        <v>57</v>
      </c>
      <c r="D813" s="75" t="s">
        <v>2517</v>
      </c>
      <c r="E813" s="2" t="s">
        <v>169</v>
      </c>
      <c r="F813">
        <v>16002</v>
      </c>
      <c r="G813" s="6">
        <v>21</v>
      </c>
      <c r="H813" s="6" t="s">
        <v>2518</v>
      </c>
      <c r="I813" s="34"/>
      <c r="J813" s="38" t="s">
        <v>171</v>
      </c>
      <c r="K813" s="38" t="s">
        <v>177</v>
      </c>
      <c r="L813" s="38" t="s">
        <v>173</v>
      </c>
      <c r="M813" s="38"/>
      <c r="N813" s="19"/>
      <c r="O813" s="76" t="s">
        <v>62</v>
      </c>
      <c r="P813" s="6" t="s">
        <v>62</v>
      </c>
      <c r="Q813" s="38" t="s">
        <v>62</v>
      </c>
      <c r="R813" s="38" t="s">
        <v>62</v>
      </c>
      <c r="S813" s="34"/>
      <c r="T813" s="34"/>
      <c r="U813" s="34"/>
      <c r="V813" s="8"/>
      <c r="W813" t="s">
        <v>2519</v>
      </c>
      <c r="X813"/>
      <c r="Y813" s="34"/>
    </row>
    <row r="814" spans="1:34" s="55" customFormat="1" ht="15.75" customHeight="1" x14ac:dyDescent="0.15">
      <c r="A814" s="6">
        <v>808</v>
      </c>
      <c r="B814" s="18" t="s">
        <v>75</v>
      </c>
      <c r="C814" s="34" t="s">
        <v>57</v>
      </c>
      <c r="D814" s="75" t="s">
        <v>2520</v>
      </c>
      <c r="E814" s="2" t="s">
        <v>169</v>
      </c>
      <c r="F814">
        <v>16002</v>
      </c>
      <c r="G814" s="6">
        <v>22</v>
      </c>
      <c r="H814" s="6" t="s">
        <v>2521</v>
      </c>
      <c r="I814" s="34"/>
      <c r="J814" s="38" t="s">
        <v>171</v>
      </c>
      <c r="K814" s="38" t="s">
        <v>177</v>
      </c>
      <c r="L814" s="38" t="s">
        <v>173</v>
      </c>
      <c r="M814" s="38"/>
      <c r="N814" s="19"/>
      <c r="O814" s="76" t="s">
        <v>62</v>
      </c>
      <c r="P814" s="6" t="s">
        <v>62</v>
      </c>
      <c r="Q814" s="38" t="s">
        <v>62</v>
      </c>
      <c r="R814" s="38" t="s">
        <v>62</v>
      </c>
      <c r="S814" s="34"/>
      <c r="T814" s="34"/>
      <c r="U814" s="34"/>
      <c r="V814" s="8"/>
      <c r="W814" t="s">
        <v>2522</v>
      </c>
      <c r="X814"/>
      <c r="Y814" s="34"/>
    </row>
    <row r="815" spans="1:34" s="55" customFormat="1" ht="15.75" customHeight="1" x14ac:dyDescent="0.15">
      <c r="A815" s="6">
        <v>809</v>
      </c>
      <c r="B815" s="18" t="s">
        <v>75</v>
      </c>
      <c r="C815" s="34" t="s">
        <v>57</v>
      </c>
      <c r="D815" s="75" t="s">
        <v>2523</v>
      </c>
      <c r="E815" s="2" t="s">
        <v>169</v>
      </c>
      <c r="F815">
        <v>16002</v>
      </c>
      <c r="G815" s="6">
        <v>23</v>
      </c>
      <c r="H815" s="6" t="s">
        <v>2524</v>
      </c>
      <c r="I815" s="34"/>
      <c r="J815" s="38" t="s">
        <v>171</v>
      </c>
      <c r="K815" s="38" t="s">
        <v>177</v>
      </c>
      <c r="L815" s="38" t="s">
        <v>173</v>
      </c>
      <c r="M815" s="38"/>
      <c r="N815" s="19"/>
      <c r="O815" s="76" t="s">
        <v>62</v>
      </c>
      <c r="P815" s="6" t="s">
        <v>62</v>
      </c>
      <c r="Q815" s="38" t="s">
        <v>62</v>
      </c>
      <c r="R815" s="38" t="s">
        <v>62</v>
      </c>
      <c r="S815" s="34"/>
      <c r="T815" s="34"/>
      <c r="U815" s="34"/>
      <c r="V815" s="8"/>
      <c r="W815" t="s">
        <v>2525</v>
      </c>
      <c r="X815"/>
      <c r="Y815" s="34"/>
    </row>
    <row r="816" spans="1:34" s="59" customFormat="1" ht="15.75" customHeight="1" x14ac:dyDescent="0.15">
      <c r="A816" s="6">
        <v>810</v>
      </c>
      <c r="B816" s="18" t="s">
        <v>75</v>
      </c>
      <c r="C816" s="34" t="s">
        <v>57</v>
      </c>
      <c r="D816" s="75" t="s">
        <v>2526</v>
      </c>
      <c r="E816" s="2" t="s">
        <v>169</v>
      </c>
      <c r="F816">
        <v>16002</v>
      </c>
      <c r="G816" s="6">
        <v>24</v>
      </c>
      <c r="H816" s="6" t="s">
        <v>2527</v>
      </c>
      <c r="I816" s="34"/>
      <c r="J816" s="38" t="s">
        <v>171</v>
      </c>
      <c r="K816" s="38" t="s">
        <v>177</v>
      </c>
      <c r="L816" s="38" t="s">
        <v>173</v>
      </c>
      <c r="M816" s="38"/>
      <c r="N816" s="19"/>
      <c r="O816" s="76" t="s">
        <v>62</v>
      </c>
      <c r="P816" s="6" t="s">
        <v>62</v>
      </c>
      <c r="Q816" s="38" t="s">
        <v>62</v>
      </c>
      <c r="R816" s="38" t="s">
        <v>62</v>
      </c>
      <c r="S816" s="34"/>
      <c r="T816" s="34"/>
      <c r="U816" s="34"/>
      <c r="V816" s="8"/>
      <c r="W816" t="s">
        <v>2528</v>
      </c>
      <c r="X816"/>
      <c r="Y816" s="34"/>
    </row>
    <row r="817" spans="1:34" s="59" customFormat="1" ht="15.75" customHeight="1" x14ac:dyDescent="0.15">
      <c r="A817" s="6">
        <v>811</v>
      </c>
      <c r="B817" s="18" t="s">
        <v>75</v>
      </c>
      <c r="C817" s="34" t="s">
        <v>57</v>
      </c>
      <c r="D817" s="75" t="s">
        <v>2529</v>
      </c>
      <c r="E817" s="2" t="s">
        <v>169</v>
      </c>
      <c r="F817">
        <v>16002</v>
      </c>
      <c r="G817" s="6">
        <v>25</v>
      </c>
      <c r="H817" s="6" t="s">
        <v>2530</v>
      </c>
      <c r="I817" s="34"/>
      <c r="J817" s="38" t="s">
        <v>171</v>
      </c>
      <c r="K817" s="38" t="s">
        <v>177</v>
      </c>
      <c r="L817" s="38" t="s">
        <v>173</v>
      </c>
      <c r="M817" s="38"/>
      <c r="N817" s="19"/>
      <c r="O817" s="76" t="s">
        <v>62</v>
      </c>
      <c r="P817" s="6" t="s">
        <v>62</v>
      </c>
      <c r="Q817" s="38" t="s">
        <v>62</v>
      </c>
      <c r="R817" s="38" t="s">
        <v>62</v>
      </c>
      <c r="S817" s="34"/>
      <c r="T817" s="34"/>
      <c r="U817" s="34"/>
      <c r="V817" s="8"/>
      <c r="W817" t="s">
        <v>2531</v>
      </c>
      <c r="X817"/>
      <c r="Y817" s="34"/>
    </row>
    <row r="818" spans="1:34" s="59" customFormat="1" ht="15.75" customHeight="1" x14ac:dyDescent="0.15">
      <c r="A818" s="6">
        <v>812</v>
      </c>
      <c r="B818" s="18" t="s">
        <v>75</v>
      </c>
      <c r="C818" s="34" t="s">
        <v>57</v>
      </c>
      <c r="D818" s="75" t="s">
        <v>2532</v>
      </c>
      <c r="E818" s="2" t="s">
        <v>169</v>
      </c>
      <c r="F818">
        <v>16002</v>
      </c>
      <c r="G818" s="6">
        <v>26</v>
      </c>
      <c r="H818" s="6" t="s">
        <v>2533</v>
      </c>
      <c r="I818" s="34"/>
      <c r="J818" s="38" t="s">
        <v>171</v>
      </c>
      <c r="K818" s="38" t="s">
        <v>177</v>
      </c>
      <c r="L818" s="38" t="s">
        <v>173</v>
      </c>
      <c r="M818" s="38"/>
      <c r="N818" s="19"/>
      <c r="O818" s="76" t="s">
        <v>62</v>
      </c>
      <c r="P818" s="6" t="s">
        <v>62</v>
      </c>
      <c r="Q818" s="38" t="s">
        <v>62</v>
      </c>
      <c r="R818" s="38" t="s">
        <v>62</v>
      </c>
      <c r="S818" s="34"/>
      <c r="T818" s="34"/>
      <c r="U818" s="34"/>
      <c r="V818" s="8"/>
      <c r="W818" t="s">
        <v>2534</v>
      </c>
      <c r="X818"/>
      <c r="Y818" s="34"/>
    </row>
    <row r="819" spans="1:34" s="59" customFormat="1" ht="15.75" customHeight="1" x14ac:dyDescent="0.15">
      <c r="A819" s="6">
        <v>813</v>
      </c>
      <c r="B819" s="18" t="s">
        <v>75</v>
      </c>
      <c r="C819" s="34" t="s">
        <v>57</v>
      </c>
      <c r="D819" s="75" t="s">
        <v>2535</v>
      </c>
      <c r="E819" s="2" t="s">
        <v>169</v>
      </c>
      <c r="F819">
        <v>16002</v>
      </c>
      <c r="G819" s="6">
        <v>27</v>
      </c>
      <c r="H819" s="6" t="s">
        <v>2536</v>
      </c>
      <c r="I819" s="34"/>
      <c r="J819" s="38" t="s">
        <v>171</v>
      </c>
      <c r="K819" s="38" t="s">
        <v>177</v>
      </c>
      <c r="L819" s="38" t="s">
        <v>173</v>
      </c>
      <c r="M819" s="38"/>
      <c r="N819" s="19"/>
      <c r="O819" s="76" t="s">
        <v>62</v>
      </c>
      <c r="P819" s="6" t="s">
        <v>62</v>
      </c>
      <c r="Q819" s="38" t="s">
        <v>62</v>
      </c>
      <c r="R819" s="38" t="s">
        <v>62</v>
      </c>
      <c r="S819" s="34"/>
      <c r="T819" s="34"/>
      <c r="U819" s="34"/>
      <c r="V819" s="8"/>
      <c r="W819" t="s">
        <v>2537</v>
      </c>
      <c r="X819"/>
      <c r="Y819" s="34"/>
    </row>
    <row r="820" spans="1:34" s="59" customFormat="1" ht="15.75" customHeight="1" x14ac:dyDescent="0.15">
      <c r="A820" s="6">
        <v>814</v>
      </c>
      <c r="B820" s="18" t="s">
        <v>75</v>
      </c>
      <c r="C820" s="34" t="s">
        <v>57</v>
      </c>
      <c r="D820" s="75" t="s">
        <v>2538</v>
      </c>
      <c r="E820" s="2" t="s">
        <v>169</v>
      </c>
      <c r="F820">
        <v>16002</v>
      </c>
      <c r="G820" s="6">
        <v>28</v>
      </c>
      <c r="H820" s="6" t="s">
        <v>2539</v>
      </c>
      <c r="I820" s="34"/>
      <c r="J820" s="38" t="s">
        <v>171</v>
      </c>
      <c r="K820" s="38" t="s">
        <v>177</v>
      </c>
      <c r="L820" s="38" t="s">
        <v>173</v>
      </c>
      <c r="M820" s="38"/>
      <c r="N820" s="19"/>
      <c r="O820" s="76" t="s">
        <v>62</v>
      </c>
      <c r="P820" s="6" t="s">
        <v>62</v>
      </c>
      <c r="Q820" s="38" t="s">
        <v>62</v>
      </c>
      <c r="R820" s="38" t="s">
        <v>62</v>
      </c>
      <c r="S820" s="34"/>
      <c r="T820" s="34"/>
      <c r="U820" s="34"/>
      <c r="V820" s="8"/>
      <c r="W820" t="s">
        <v>2540</v>
      </c>
      <c r="X820"/>
      <c r="Y820" s="34"/>
    </row>
    <row r="821" spans="1:34" s="59" customFormat="1" ht="15.75" customHeight="1" x14ac:dyDescent="0.15">
      <c r="A821" s="6">
        <v>815</v>
      </c>
      <c r="B821" s="18" t="s">
        <v>75</v>
      </c>
      <c r="C821" s="34" t="s">
        <v>57</v>
      </c>
      <c r="D821" s="75" t="s">
        <v>2541</v>
      </c>
      <c r="E821" s="2" t="s">
        <v>169</v>
      </c>
      <c r="F821">
        <v>16002</v>
      </c>
      <c r="G821" s="6">
        <v>29</v>
      </c>
      <c r="H821" s="6" t="s">
        <v>2542</v>
      </c>
      <c r="I821" s="34"/>
      <c r="J821" s="38" t="s">
        <v>171</v>
      </c>
      <c r="K821" s="38" t="s">
        <v>177</v>
      </c>
      <c r="L821" s="38" t="s">
        <v>173</v>
      </c>
      <c r="M821" s="38"/>
      <c r="N821" s="19"/>
      <c r="O821" s="76" t="s">
        <v>62</v>
      </c>
      <c r="P821" s="6" t="s">
        <v>62</v>
      </c>
      <c r="Q821" s="38" t="s">
        <v>62</v>
      </c>
      <c r="R821" s="38" t="s">
        <v>62</v>
      </c>
      <c r="S821" s="34"/>
      <c r="T821" s="34"/>
      <c r="U821" s="34"/>
      <c r="V821" s="8"/>
      <c r="W821" t="s">
        <v>2543</v>
      </c>
      <c r="X821"/>
      <c r="Y821" s="34"/>
    </row>
    <row r="822" spans="1:34" ht="15.75" customHeight="1" x14ac:dyDescent="0.15">
      <c r="A822" s="6">
        <v>816</v>
      </c>
      <c r="B822" s="18" t="s">
        <v>75</v>
      </c>
      <c r="C822" s="34" t="s">
        <v>57</v>
      </c>
      <c r="D822" s="75" t="s">
        <v>2544</v>
      </c>
      <c r="E822" s="2" t="s">
        <v>169</v>
      </c>
      <c r="F822">
        <v>16002</v>
      </c>
      <c r="G822" s="6">
        <v>30</v>
      </c>
      <c r="H822" s="6" t="s">
        <v>2545</v>
      </c>
      <c r="I822" s="34"/>
      <c r="J822" s="38" t="s">
        <v>171</v>
      </c>
      <c r="K822" s="38" t="s">
        <v>177</v>
      </c>
      <c r="L822" s="38" t="s">
        <v>173</v>
      </c>
      <c r="M822" s="38"/>
      <c r="N822" s="19"/>
      <c r="O822" s="76" t="s">
        <v>62</v>
      </c>
      <c r="P822" s="6" t="s">
        <v>62</v>
      </c>
      <c r="Q822" s="38" t="s">
        <v>62</v>
      </c>
      <c r="R822" s="38" t="s">
        <v>62</v>
      </c>
      <c r="S822" s="34"/>
      <c r="T822" s="34"/>
      <c r="U822" s="34"/>
      <c r="V822" s="8"/>
      <c r="W822" t="s">
        <v>2546</v>
      </c>
      <c r="Y822" s="34"/>
      <c r="Z822"/>
      <c r="AA822"/>
      <c r="AE822"/>
      <c r="AF822"/>
      <c r="AG822"/>
      <c r="AH822"/>
    </row>
    <row r="823" spans="1:34" s="64" customFormat="1" ht="15.75" customHeight="1" x14ac:dyDescent="0.15">
      <c r="A823" s="6">
        <v>817</v>
      </c>
      <c r="B823" s="18" t="s">
        <v>75</v>
      </c>
      <c r="C823" s="34" t="s">
        <v>57</v>
      </c>
      <c r="D823" s="75" t="s">
        <v>2547</v>
      </c>
      <c r="E823" s="2" t="s">
        <v>169</v>
      </c>
      <c r="F823">
        <v>16002</v>
      </c>
      <c r="G823" s="6">
        <v>31</v>
      </c>
      <c r="H823" s="6" t="s">
        <v>2548</v>
      </c>
      <c r="I823" s="34"/>
      <c r="J823" s="38" t="s">
        <v>171</v>
      </c>
      <c r="K823" s="38" t="s">
        <v>177</v>
      </c>
      <c r="L823" s="38" t="s">
        <v>173</v>
      </c>
      <c r="M823" s="38"/>
      <c r="N823" s="19"/>
      <c r="O823" s="76" t="s">
        <v>62</v>
      </c>
      <c r="P823" s="6" t="s">
        <v>62</v>
      </c>
      <c r="Q823" s="38" t="s">
        <v>62</v>
      </c>
      <c r="R823" s="38" t="s">
        <v>62</v>
      </c>
      <c r="S823" s="34"/>
      <c r="T823" s="34"/>
      <c r="U823" s="34"/>
      <c r="V823" s="8"/>
      <c r="W823" t="s">
        <v>2549</v>
      </c>
      <c r="X823"/>
      <c r="Y823" s="34"/>
    </row>
    <row r="824" spans="1:34" ht="15.75" customHeight="1" x14ac:dyDescent="0.15">
      <c r="A824" s="6">
        <v>818</v>
      </c>
      <c r="B824" s="18" t="s">
        <v>75</v>
      </c>
      <c r="C824" s="34" t="s">
        <v>57</v>
      </c>
      <c r="D824" s="75" t="s">
        <v>2550</v>
      </c>
      <c r="E824" s="2" t="s">
        <v>77</v>
      </c>
      <c r="F824">
        <v>16004</v>
      </c>
      <c r="G824" s="6"/>
      <c r="H824" s="6" t="s">
        <v>2551</v>
      </c>
      <c r="I824" s="34"/>
      <c r="J824" s="38"/>
      <c r="K824" s="38"/>
      <c r="L824" s="38"/>
      <c r="M824" s="38" t="s">
        <v>2311</v>
      </c>
      <c r="N824" s="19">
        <v>1</v>
      </c>
      <c r="O824" s="76">
        <v>0</v>
      </c>
      <c r="P824" s="6">
        <v>65535</v>
      </c>
      <c r="Q824" s="38">
        <v>0</v>
      </c>
      <c r="R824" s="38">
        <v>65535</v>
      </c>
      <c r="S824" s="34"/>
      <c r="T824" s="34"/>
      <c r="U824" s="34"/>
      <c r="V824" s="8"/>
      <c r="W824" t="s">
        <v>2552</v>
      </c>
      <c r="Y824" s="34"/>
      <c r="Z824"/>
      <c r="AA824"/>
      <c r="AE824"/>
      <c r="AF824"/>
      <c r="AG824"/>
      <c r="AH824"/>
    </row>
    <row r="825" spans="1:34" s="64" customFormat="1" ht="15.75" customHeight="1" x14ac:dyDescent="0.15">
      <c r="A825" s="6">
        <v>819</v>
      </c>
      <c r="B825" s="18" t="s">
        <v>75</v>
      </c>
      <c r="C825" s="34" t="s">
        <v>57</v>
      </c>
      <c r="D825" s="75" t="s">
        <v>2553</v>
      </c>
      <c r="E825" s="2" t="s">
        <v>77</v>
      </c>
      <c r="F825">
        <v>16005</v>
      </c>
      <c r="G825" s="6"/>
      <c r="H825" s="6" t="s">
        <v>2554</v>
      </c>
      <c r="I825" s="34"/>
      <c r="J825" s="38"/>
      <c r="K825" s="38"/>
      <c r="L825" s="38"/>
      <c r="M825" s="38" t="s">
        <v>2311</v>
      </c>
      <c r="N825" s="19">
        <v>1</v>
      </c>
      <c r="O825" s="76">
        <v>0</v>
      </c>
      <c r="P825" s="6">
        <v>65535</v>
      </c>
      <c r="Q825" s="38">
        <v>0</v>
      </c>
      <c r="R825" s="38">
        <v>65535</v>
      </c>
      <c r="S825" s="34"/>
      <c r="T825" s="34"/>
      <c r="U825" s="34"/>
      <c r="V825" s="8"/>
      <c r="W825" t="s">
        <v>2555</v>
      </c>
      <c r="X825"/>
      <c r="Y825" s="34"/>
    </row>
    <row r="826" spans="1:34" ht="15.75" customHeight="1" x14ac:dyDescent="0.15">
      <c r="A826" s="6">
        <v>820</v>
      </c>
      <c r="B826" s="18" t="s">
        <v>75</v>
      </c>
      <c r="C826" s="34" t="s">
        <v>57</v>
      </c>
      <c r="D826" s="75" t="s">
        <v>2556</v>
      </c>
      <c r="E826" s="2" t="s">
        <v>77</v>
      </c>
      <c r="F826">
        <v>16006</v>
      </c>
      <c r="G826" s="6"/>
      <c r="H826" s="6" t="s">
        <v>2557</v>
      </c>
      <c r="I826" s="34"/>
      <c r="J826" s="38"/>
      <c r="K826" s="38"/>
      <c r="L826" s="38"/>
      <c r="M826" s="38" t="s">
        <v>2311</v>
      </c>
      <c r="N826" s="19">
        <v>1</v>
      </c>
      <c r="O826" s="76">
        <v>0</v>
      </c>
      <c r="P826" s="6">
        <v>65535</v>
      </c>
      <c r="Q826" s="38">
        <v>0</v>
      </c>
      <c r="R826" s="38">
        <v>65535</v>
      </c>
      <c r="S826" s="34"/>
      <c r="T826" s="34"/>
      <c r="U826" s="34"/>
      <c r="V826" s="8"/>
      <c r="W826" t="s">
        <v>2558</v>
      </c>
      <c r="Y826" s="34"/>
      <c r="Z826"/>
      <c r="AA826"/>
      <c r="AE826"/>
      <c r="AF826"/>
      <c r="AG826"/>
      <c r="AH826"/>
    </row>
    <row r="827" spans="1:34" s="64" customFormat="1" ht="15.75" customHeight="1" x14ac:dyDescent="0.15">
      <c r="A827" s="6">
        <v>821</v>
      </c>
      <c r="B827" s="18" t="s">
        <v>75</v>
      </c>
      <c r="C827" s="34" t="s">
        <v>57</v>
      </c>
      <c r="D827" s="75" t="s">
        <v>2559</v>
      </c>
      <c r="E827" s="2" t="s">
        <v>77</v>
      </c>
      <c r="F827">
        <v>16007</v>
      </c>
      <c r="G827" s="6"/>
      <c r="H827" s="6" t="s">
        <v>2560</v>
      </c>
      <c r="I827" s="34"/>
      <c r="J827" s="38"/>
      <c r="K827" s="38"/>
      <c r="L827" s="38"/>
      <c r="M827" s="38" t="s">
        <v>2311</v>
      </c>
      <c r="N827" s="19">
        <v>1</v>
      </c>
      <c r="O827" s="76">
        <v>0</v>
      </c>
      <c r="P827" s="6">
        <v>65535</v>
      </c>
      <c r="Q827" s="38">
        <v>0</v>
      </c>
      <c r="R827" s="38">
        <v>65535</v>
      </c>
      <c r="S827" s="34"/>
      <c r="T827" s="34"/>
      <c r="U827" s="34"/>
      <c r="V827" s="8"/>
      <c r="W827" t="s">
        <v>2561</v>
      </c>
      <c r="X827"/>
      <c r="Y827" s="34"/>
    </row>
    <row r="828" spans="1:34" ht="15.75" customHeight="1" x14ac:dyDescent="0.15">
      <c r="A828" s="6">
        <v>822</v>
      </c>
      <c r="B828" s="18" t="s">
        <v>75</v>
      </c>
      <c r="C828" s="34" t="s">
        <v>57</v>
      </c>
      <c r="D828" s="75" t="s">
        <v>2562</v>
      </c>
      <c r="E828" s="2" t="s">
        <v>77</v>
      </c>
      <c r="F828">
        <v>16008</v>
      </c>
      <c r="G828" s="6"/>
      <c r="H828" s="6" t="s">
        <v>2563</v>
      </c>
      <c r="I828" s="34"/>
      <c r="J828" s="38"/>
      <c r="K828" s="38"/>
      <c r="L828" s="38"/>
      <c r="M828" s="38" t="s">
        <v>2311</v>
      </c>
      <c r="N828" s="19">
        <v>1</v>
      </c>
      <c r="O828" s="76">
        <v>0</v>
      </c>
      <c r="P828" s="6">
        <v>65535</v>
      </c>
      <c r="Q828" s="38">
        <v>0</v>
      </c>
      <c r="R828" s="38">
        <v>65535</v>
      </c>
      <c r="S828" s="34"/>
      <c r="T828" s="34"/>
      <c r="U828" s="34"/>
      <c r="V828" s="8"/>
      <c r="W828" t="s">
        <v>2564</v>
      </c>
      <c r="Y828" s="34"/>
      <c r="Z828"/>
      <c r="AA828"/>
      <c r="AE828"/>
      <c r="AF828"/>
      <c r="AG828"/>
      <c r="AH828"/>
    </row>
    <row r="829" spans="1:34" ht="15.75" customHeight="1" x14ac:dyDescent="0.15">
      <c r="A829" s="6">
        <v>823</v>
      </c>
      <c r="B829" s="18" t="s">
        <v>75</v>
      </c>
      <c r="C829" s="34" t="s">
        <v>57</v>
      </c>
      <c r="D829" s="75" t="s">
        <v>2565</v>
      </c>
      <c r="E829" s="2" t="s">
        <v>77</v>
      </c>
      <c r="F829">
        <v>16009</v>
      </c>
      <c r="G829" s="6"/>
      <c r="H829" s="6" t="s">
        <v>2566</v>
      </c>
      <c r="I829" s="34"/>
      <c r="J829" s="38"/>
      <c r="K829" s="38"/>
      <c r="L829" s="38"/>
      <c r="M829" s="38" t="s">
        <v>2311</v>
      </c>
      <c r="N829" s="19">
        <v>1</v>
      </c>
      <c r="O829" s="76">
        <v>0</v>
      </c>
      <c r="P829" s="6">
        <v>65535</v>
      </c>
      <c r="Q829" s="38">
        <v>0</v>
      </c>
      <c r="R829" s="38">
        <v>65535</v>
      </c>
      <c r="S829" s="34"/>
      <c r="T829" s="34"/>
      <c r="U829" s="34"/>
      <c r="V829" s="8"/>
      <c r="W829" t="s">
        <v>2567</v>
      </c>
      <c r="Y829" s="34"/>
      <c r="Z829"/>
      <c r="AA829"/>
      <c r="AE829"/>
      <c r="AF829"/>
      <c r="AG829"/>
      <c r="AH829"/>
    </row>
    <row r="830" spans="1:34" ht="15.75" customHeight="1" x14ac:dyDescent="0.15">
      <c r="A830" s="6">
        <v>824</v>
      </c>
      <c r="B830" s="18" t="s">
        <v>75</v>
      </c>
      <c r="C830" s="34" t="s">
        <v>57</v>
      </c>
      <c r="D830" s="75" t="s">
        <v>2568</v>
      </c>
      <c r="E830" s="2" t="s">
        <v>77</v>
      </c>
      <c r="F830">
        <v>16010</v>
      </c>
      <c r="G830" s="6"/>
      <c r="H830" s="6" t="s">
        <v>2569</v>
      </c>
      <c r="I830" s="34"/>
      <c r="J830" s="38"/>
      <c r="K830" s="38"/>
      <c r="L830" s="38"/>
      <c r="M830" s="38" t="s">
        <v>2311</v>
      </c>
      <c r="N830" s="19">
        <v>1</v>
      </c>
      <c r="O830" s="76">
        <v>0</v>
      </c>
      <c r="P830" s="6">
        <v>65535</v>
      </c>
      <c r="Q830" s="38">
        <v>0</v>
      </c>
      <c r="R830" s="38">
        <v>65535</v>
      </c>
      <c r="S830" s="34"/>
      <c r="T830" s="34"/>
      <c r="U830" s="34"/>
      <c r="V830" s="8"/>
      <c r="W830" t="s">
        <v>2570</v>
      </c>
      <c r="Y830" s="34"/>
      <c r="Z830"/>
      <c r="AA830"/>
      <c r="AE830"/>
      <c r="AF830"/>
      <c r="AG830"/>
      <c r="AH830"/>
    </row>
    <row r="831" spans="1:34" ht="15.75" customHeight="1" x14ac:dyDescent="0.15">
      <c r="A831" s="6">
        <v>825</v>
      </c>
      <c r="B831" s="18" t="s">
        <v>75</v>
      </c>
      <c r="C831" s="34" t="s">
        <v>57</v>
      </c>
      <c r="D831" s="75" t="s">
        <v>2571</v>
      </c>
      <c r="E831" s="2" t="s">
        <v>77</v>
      </c>
      <c r="F831">
        <v>16020</v>
      </c>
      <c r="G831" s="6"/>
      <c r="H831" s="6" t="s">
        <v>2572</v>
      </c>
      <c r="I831" s="34"/>
      <c r="J831" s="38"/>
      <c r="K831" s="38"/>
      <c r="L831" s="38"/>
      <c r="M831" s="38" t="s">
        <v>2311</v>
      </c>
      <c r="N831" s="19">
        <v>1</v>
      </c>
      <c r="O831" s="76">
        <v>0</v>
      </c>
      <c r="P831" s="6">
        <v>65535</v>
      </c>
      <c r="Q831" s="38">
        <v>0</v>
      </c>
      <c r="R831" s="38">
        <v>65535</v>
      </c>
      <c r="S831" s="34"/>
      <c r="T831" s="34"/>
      <c r="U831" s="34"/>
      <c r="V831" s="8"/>
      <c r="W831" t="s">
        <v>2573</v>
      </c>
      <c r="Y831" s="34"/>
      <c r="Z831"/>
      <c r="AA831"/>
      <c r="AE831"/>
      <c r="AF831"/>
      <c r="AG831"/>
      <c r="AH831"/>
    </row>
    <row r="832" spans="1:34" ht="15.75" customHeight="1" x14ac:dyDescent="0.15">
      <c r="A832" s="6">
        <v>826</v>
      </c>
      <c r="B832" s="18" t="s">
        <v>75</v>
      </c>
      <c r="C832" s="34" t="s">
        <v>57</v>
      </c>
      <c r="D832" s="75" t="s">
        <v>2574</v>
      </c>
      <c r="E832" s="2" t="s">
        <v>77</v>
      </c>
      <c r="F832">
        <v>16021</v>
      </c>
      <c r="G832" s="6"/>
      <c r="H832" s="6" t="s">
        <v>2575</v>
      </c>
      <c r="I832" s="34"/>
      <c r="J832" s="38"/>
      <c r="K832" s="38"/>
      <c r="L832" s="38"/>
      <c r="M832" s="38" t="s">
        <v>2311</v>
      </c>
      <c r="N832" s="19">
        <v>1</v>
      </c>
      <c r="O832" s="76">
        <v>0</v>
      </c>
      <c r="P832" s="6">
        <v>65535</v>
      </c>
      <c r="Q832" s="38">
        <v>0</v>
      </c>
      <c r="R832" s="38">
        <v>65535</v>
      </c>
      <c r="S832" s="34"/>
      <c r="T832" s="34"/>
      <c r="U832" s="34"/>
      <c r="V832" s="8"/>
      <c r="W832" t="s">
        <v>2576</v>
      </c>
      <c r="Y832" s="34"/>
      <c r="Z832"/>
      <c r="AA832"/>
      <c r="AE832"/>
      <c r="AF832"/>
      <c r="AG832"/>
      <c r="AH832"/>
    </row>
    <row r="833" spans="1:34" ht="15.75" customHeight="1" x14ac:dyDescent="0.15">
      <c r="A833" s="6">
        <v>827</v>
      </c>
      <c r="B833" s="18" t="s">
        <v>75</v>
      </c>
      <c r="C833" s="34" t="s">
        <v>57</v>
      </c>
      <c r="D833" s="75" t="s">
        <v>2577</v>
      </c>
      <c r="E833" s="2" t="s">
        <v>77</v>
      </c>
      <c r="F833">
        <v>16022</v>
      </c>
      <c r="G833" s="6"/>
      <c r="H833" s="6" t="s">
        <v>2578</v>
      </c>
      <c r="I833" s="34"/>
      <c r="J833" s="38"/>
      <c r="K833" s="38"/>
      <c r="L833" s="38"/>
      <c r="M833" s="38" t="s">
        <v>2311</v>
      </c>
      <c r="N833" s="19">
        <v>1</v>
      </c>
      <c r="O833" s="76">
        <v>0</v>
      </c>
      <c r="P833" s="6">
        <v>65535</v>
      </c>
      <c r="Q833" s="38">
        <v>0</v>
      </c>
      <c r="R833" s="38">
        <v>65535</v>
      </c>
      <c r="S833" s="34"/>
      <c r="T833" s="34"/>
      <c r="U833" s="34"/>
      <c r="V833" s="8"/>
      <c r="W833" t="s">
        <v>2579</v>
      </c>
      <c r="Y833" s="34"/>
      <c r="Z833"/>
      <c r="AA833"/>
      <c r="AE833"/>
      <c r="AF833"/>
      <c r="AG833"/>
      <c r="AH833"/>
    </row>
    <row r="834" spans="1:34" ht="15.75" customHeight="1" x14ac:dyDescent="0.15">
      <c r="A834" s="6">
        <v>828</v>
      </c>
      <c r="B834" s="18" t="s">
        <v>75</v>
      </c>
      <c r="C834" s="34" t="s">
        <v>57</v>
      </c>
      <c r="D834" s="75" t="s">
        <v>2580</v>
      </c>
      <c r="E834" s="2" t="s">
        <v>77</v>
      </c>
      <c r="F834">
        <v>16023</v>
      </c>
      <c r="G834" s="6"/>
      <c r="H834" s="6" t="s">
        <v>2581</v>
      </c>
      <c r="I834" s="34"/>
      <c r="J834" s="38"/>
      <c r="K834" s="38"/>
      <c r="L834" s="38"/>
      <c r="M834" s="38" t="s">
        <v>2311</v>
      </c>
      <c r="N834" s="19">
        <v>1</v>
      </c>
      <c r="O834" s="76">
        <v>0</v>
      </c>
      <c r="P834" s="6">
        <v>65535</v>
      </c>
      <c r="Q834" s="38">
        <v>0</v>
      </c>
      <c r="R834" s="38">
        <v>65535</v>
      </c>
      <c r="S834" s="34"/>
      <c r="T834" s="34"/>
      <c r="U834" s="34"/>
      <c r="V834" s="8"/>
      <c r="W834" t="s">
        <v>2582</v>
      </c>
      <c r="Y834" s="34"/>
      <c r="Z834"/>
      <c r="AA834"/>
      <c r="AE834"/>
      <c r="AF834"/>
      <c r="AG834"/>
      <c r="AH834"/>
    </row>
    <row r="835" spans="1:34" ht="15.75" customHeight="1" x14ac:dyDescent="0.15">
      <c r="A835" s="6">
        <v>829</v>
      </c>
      <c r="B835" s="18" t="s">
        <v>75</v>
      </c>
      <c r="C835" s="34" t="s">
        <v>57</v>
      </c>
      <c r="D835" s="75" t="s">
        <v>2583</v>
      </c>
      <c r="E835" s="2" t="s">
        <v>77</v>
      </c>
      <c r="F835">
        <v>16024</v>
      </c>
      <c r="G835" s="6"/>
      <c r="H835" s="6" t="s">
        <v>2584</v>
      </c>
      <c r="I835" s="34"/>
      <c r="J835" s="38"/>
      <c r="K835" s="38"/>
      <c r="L835" s="38"/>
      <c r="M835" s="38" t="s">
        <v>2311</v>
      </c>
      <c r="N835" s="19">
        <v>1</v>
      </c>
      <c r="O835" s="76">
        <v>0</v>
      </c>
      <c r="P835" s="6">
        <v>65535</v>
      </c>
      <c r="Q835" s="38">
        <v>0</v>
      </c>
      <c r="R835" s="38">
        <v>65535</v>
      </c>
      <c r="S835" s="34"/>
      <c r="T835" s="34"/>
      <c r="U835" s="34"/>
      <c r="V835" s="8"/>
      <c r="W835" t="s">
        <v>2585</v>
      </c>
      <c r="Y835" s="34"/>
      <c r="Z835"/>
      <c r="AA835"/>
      <c r="AE835"/>
      <c r="AF835"/>
      <c r="AG835"/>
      <c r="AH835"/>
    </row>
    <row r="836" spans="1:34" ht="15.75" customHeight="1" x14ac:dyDescent="0.15">
      <c r="A836" s="6">
        <v>830</v>
      </c>
      <c r="B836" s="18" t="s">
        <v>75</v>
      </c>
      <c r="C836" s="34" t="s">
        <v>57</v>
      </c>
      <c r="D836" s="75" t="s">
        <v>2586</v>
      </c>
      <c r="E836" s="2" t="s">
        <v>77</v>
      </c>
      <c r="F836">
        <v>16025</v>
      </c>
      <c r="G836" s="6"/>
      <c r="H836" s="6" t="s">
        <v>2587</v>
      </c>
      <c r="I836" s="34"/>
      <c r="J836" s="38"/>
      <c r="K836" s="38"/>
      <c r="L836" s="38"/>
      <c r="M836" s="38" t="s">
        <v>2311</v>
      </c>
      <c r="N836" s="19">
        <v>1</v>
      </c>
      <c r="O836" s="76">
        <v>0</v>
      </c>
      <c r="P836" s="6">
        <v>65535</v>
      </c>
      <c r="Q836" s="38">
        <v>0</v>
      </c>
      <c r="R836" s="38">
        <v>65535</v>
      </c>
      <c r="S836" s="34"/>
      <c r="T836" s="34"/>
      <c r="U836" s="34"/>
      <c r="V836" s="8"/>
      <c r="W836" t="s">
        <v>2588</v>
      </c>
      <c r="Y836" s="34"/>
      <c r="Z836"/>
      <c r="AA836"/>
      <c r="AE836"/>
      <c r="AF836"/>
      <c r="AG836"/>
      <c r="AH836"/>
    </row>
    <row r="837" spans="1:34" ht="15.75" customHeight="1" x14ac:dyDescent="0.15">
      <c r="A837" s="6">
        <v>831</v>
      </c>
      <c r="B837" s="18" t="s">
        <v>75</v>
      </c>
      <c r="C837" s="34" t="s">
        <v>57</v>
      </c>
      <c r="D837" s="75" t="s">
        <v>2589</v>
      </c>
      <c r="E837" s="2" t="s">
        <v>77</v>
      </c>
      <c r="F837">
        <v>16026</v>
      </c>
      <c r="G837" s="6"/>
      <c r="H837" s="6" t="s">
        <v>2590</v>
      </c>
      <c r="I837" s="34"/>
      <c r="J837" s="38"/>
      <c r="K837" s="38"/>
      <c r="L837" s="38"/>
      <c r="M837" s="38" t="s">
        <v>2311</v>
      </c>
      <c r="N837" s="19">
        <v>1</v>
      </c>
      <c r="O837" s="76">
        <v>0</v>
      </c>
      <c r="P837" s="6">
        <v>65535</v>
      </c>
      <c r="Q837" s="38">
        <v>0</v>
      </c>
      <c r="R837" s="38">
        <v>65535</v>
      </c>
      <c r="S837" s="34"/>
      <c r="T837" s="34"/>
      <c r="U837" s="34"/>
      <c r="V837" s="8"/>
      <c r="W837" t="s">
        <v>2591</v>
      </c>
      <c r="Y837" s="34"/>
      <c r="Z837"/>
      <c r="AA837"/>
      <c r="AE837"/>
      <c r="AF837"/>
      <c r="AG837"/>
      <c r="AH837"/>
    </row>
    <row r="838" spans="1:34" ht="15.75" customHeight="1" x14ac:dyDescent="0.15">
      <c r="A838" s="6">
        <v>832</v>
      </c>
      <c r="B838" s="18" t="s">
        <v>75</v>
      </c>
      <c r="C838" s="34" t="s">
        <v>57</v>
      </c>
      <c r="D838" s="75" t="s">
        <v>2592</v>
      </c>
      <c r="E838" s="2" t="s">
        <v>77</v>
      </c>
      <c r="F838">
        <v>16036</v>
      </c>
      <c r="G838" s="6"/>
      <c r="H838" s="6" t="s">
        <v>2593</v>
      </c>
      <c r="I838" s="34"/>
      <c r="J838" s="38"/>
      <c r="K838" s="38"/>
      <c r="L838" s="38"/>
      <c r="M838" s="38" t="s">
        <v>2311</v>
      </c>
      <c r="N838" s="19">
        <v>1</v>
      </c>
      <c r="O838" s="76">
        <v>0</v>
      </c>
      <c r="P838" s="6">
        <v>65535</v>
      </c>
      <c r="Q838" s="38">
        <v>0</v>
      </c>
      <c r="R838" s="38">
        <v>65535</v>
      </c>
      <c r="S838" s="34"/>
      <c r="T838" s="34"/>
      <c r="U838" s="34"/>
      <c r="V838" s="8"/>
      <c r="W838" t="s">
        <v>2594</v>
      </c>
      <c r="Y838" s="34"/>
      <c r="Z838"/>
      <c r="AA838"/>
      <c r="AE838"/>
      <c r="AF838"/>
      <c r="AG838"/>
      <c r="AH838"/>
    </row>
    <row r="839" spans="1:34" ht="15.75" customHeight="1" x14ac:dyDescent="0.15">
      <c r="A839" s="6">
        <v>833</v>
      </c>
      <c r="B839" s="18" t="s">
        <v>75</v>
      </c>
      <c r="C839" s="34" t="s">
        <v>57</v>
      </c>
      <c r="D839" s="75" t="s">
        <v>2595</v>
      </c>
      <c r="E839" s="2" t="s">
        <v>77</v>
      </c>
      <c r="F839">
        <v>16037</v>
      </c>
      <c r="G839" s="6"/>
      <c r="H839" s="6" t="s">
        <v>2596</v>
      </c>
      <c r="I839" s="34"/>
      <c r="J839" s="38"/>
      <c r="K839" s="38"/>
      <c r="L839" s="38"/>
      <c r="M839" s="38" t="s">
        <v>2311</v>
      </c>
      <c r="N839" s="19">
        <v>1</v>
      </c>
      <c r="O839" s="76">
        <v>0</v>
      </c>
      <c r="P839" s="6">
        <v>65535</v>
      </c>
      <c r="Q839" s="38">
        <v>0</v>
      </c>
      <c r="R839" s="38">
        <v>65535</v>
      </c>
      <c r="S839" s="34"/>
      <c r="T839" s="34"/>
      <c r="U839" s="34"/>
      <c r="V839" s="8"/>
      <c r="W839" t="s">
        <v>2597</v>
      </c>
      <c r="Y839" s="34"/>
      <c r="Z839"/>
      <c r="AA839"/>
      <c r="AE839"/>
      <c r="AF839"/>
      <c r="AG839"/>
      <c r="AH839"/>
    </row>
    <row r="840" spans="1:34" ht="15.75" customHeight="1" x14ac:dyDescent="0.15">
      <c r="A840" s="6">
        <v>834</v>
      </c>
      <c r="B840" s="18" t="s">
        <v>75</v>
      </c>
      <c r="C840" s="34" t="s">
        <v>57</v>
      </c>
      <c r="D840" s="75" t="s">
        <v>2598</v>
      </c>
      <c r="E840" s="2" t="s">
        <v>77</v>
      </c>
      <c r="F840">
        <v>16038</v>
      </c>
      <c r="G840" s="6"/>
      <c r="H840" s="6" t="s">
        <v>2599</v>
      </c>
      <c r="I840" s="34"/>
      <c r="J840" s="38"/>
      <c r="K840" s="38"/>
      <c r="L840" s="38"/>
      <c r="M840" s="38" t="s">
        <v>2311</v>
      </c>
      <c r="N840" s="19">
        <v>1</v>
      </c>
      <c r="O840" s="76">
        <v>0</v>
      </c>
      <c r="P840" s="6">
        <v>65535</v>
      </c>
      <c r="Q840" s="38">
        <v>0</v>
      </c>
      <c r="R840" s="38">
        <v>65535</v>
      </c>
      <c r="S840" s="34"/>
      <c r="T840" s="34"/>
      <c r="U840" s="34"/>
      <c r="V840" s="8"/>
      <c r="W840" t="s">
        <v>2600</v>
      </c>
      <c r="Y840" s="34"/>
      <c r="Z840"/>
      <c r="AA840"/>
      <c r="AE840"/>
      <c r="AF840"/>
      <c r="AG840"/>
      <c r="AH840"/>
    </row>
    <row r="841" spans="1:34" ht="15.75" customHeight="1" x14ac:dyDescent="0.15">
      <c r="A841" s="6">
        <v>835</v>
      </c>
      <c r="B841" s="18" t="s">
        <v>75</v>
      </c>
      <c r="C841" s="34" t="s">
        <v>57</v>
      </c>
      <c r="D841" s="75" t="s">
        <v>2601</v>
      </c>
      <c r="E841" s="2" t="s">
        <v>77</v>
      </c>
      <c r="F841">
        <v>16039</v>
      </c>
      <c r="G841" s="6"/>
      <c r="H841" s="6" t="s">
        <v>2602</v>
      </c>
      <c r="I841" s="34"/>
      <c r="J841" s="38"/>
      <c r="K841" s="38"/>
      <c r="L841" s="38"/>
      <c r="M841" s="38" t="s">
        <v>2311</v>
      </c>
      <c r="N841" s="19">
        <v>1</v>
      </c>
      <c r="O841" s="76">
        <v>0</v>
      </c>
      <c r="P841" s="6">
        <v>65535</v>
      </c>
      <c r="Q841" s="38">
        <v>0</v>
      </c>
      <c r="R841" s="38">
        <v>65535</v>
      </c>
      <c r="S841" s="34"/>
      <c r="T841" s="34"/>
      <c r="U841" s="34"/>
      <c r="V841" s="8"/>
      <c r="W841" t="s">
        <v>2603</v>
      </c>
      <c r="Y841" s="34"/>
      <c r="Z841"/>
      <c r="AA841"/>
      <c r="AE841"/>
      <c r="AF841"/>
      <c r="AG841"/>
      <c r="AH841"/>
    </row>
    <row r="842" spans="1:34" ht="15.75" customHeight="1" x14ac:dyDescent="0.15">
      <c r="A842" s="6">
        <v>836</v>
      </c>
      <c r="B842" s="18" t="s">
        <v>75</v>
      </c>
      <c r="C842" s="34" t="s">
        <v>57</v>
      </c>
      <c r="D842" s="75" t="s">
        <v>2604</v>
      </c>
      <c r="E842" s="2" t="s">
        <v>77</v>
      </c>
      <c r="F842">
        <v>16040</v>
      </c>
      <c r="G842" s="6"/>
      <c r="H842" s="6" t="s">
        <v>2605</v>
      </c>
      <c r="I842" s="34"/>
      <c r="J842" s="38"/>
      <c r="K842" s="38"/>
      <c r="L842" s="38"/>
      <c r="M842" s="38" t="s">
        <v>2311</v>
      </c>
      <c r="N842" s="19">
        <v>1</v>
      </c>
      <c r="O842" s="76">
        <v>0</v>
      </c>
      <c r="P842" s="6">
        <v>65535</v>
      </c>
      <c r="Q842" s="38">
        <v>0</v>
      </c>
      <c r="R842" s="38">
        <v>65535</v>
      </c>
      <c r="S842" s="34"/>
      <c r="T842" s="34"/>
      <c r="U842" s="34"/>
      <c r="V842" s="8"/>
      <c r="W842" t="s">
        <v>2606</v>
      </c>
      <c r="Y842" s="34"/>
      <c r="Z842"/>
      <c r="AA842"/>
      <c r="AE842"/>
      <c r="AF842"/>
      <c r="AG842"/>
      <c r="AH842"/>
    </row>
    <row r="843" spans="1:34" ht="15.75" customHeight="1" x14ac:dyDescent="0.15">
      <c r="A843" s="6">
        <v>837</v>
      </c>
      <c r="B843" s="18" t="s">
        <v>75</v>
      </c>
      <c r="C843" s="34" t="s">
        <v>57</v>
      </c>
      <c r="D843" s="75" t="s">
        <v>2607</v>
      </c>
      <c r="E843" s="2" t="s">
        <v>77</v>
      </c>
      <c r="F843">
        <v>16041</v>
      </c>
      <c r="G843" s="6"/>
      <c r="H843" s="6" t="s">
        <v>2608</v>
      </c>
      <c r="I843" s="34"/>
      <c r="J843" s="38"/>
      <c r="K843" s="38"/>
      <c r="L843" s="38"/>
      <c r="M843" s="38" t="s">
        <v>2311</v>
      </c>
      <c r="N843" s="19">
        <v>1</v>
      </c>
      <c r="O843" s="76">
        <v>0</v>
      </c>
      <c r="P843" s="6">
        <v>65535</v>
      </c>
      <c r="Q843" s="38">
        <v>0</v>
      </c>
      <c r="R843" s="38">
        <v>65535</v>
      </c>
      <c r="S843" s="34"/>
      <c r="T843" s="34"/>
      <c r="U843" s="34"/>
      <c r="V843" s="8"/>
      <c r="W843" t="s">
        <v>2609</v>
      </c>
      <c r="Y843" s="34"/>
      <c r="Z843"/>
      <c r="AA843"/>
      <c r="AE843"/>
      <c r="AF843"/>
      <c r="AG843"/>
      <c r="AH843"/>
    </row>
    <row r="844" spans="1:34" ht="15.75" customHeight="1" x14ac:dyDescent="0.15">
      <c r="A844" s="6">
        <v>838</v>
      </c>
      <c r="B844" s="18" t="s">
        <v>75</v>
      </c>
      <c r="C844" s="34" t="s">
        <v>57</v>
      </c>
      <c r="D844" s="75" t="s">
        <v>2610</v>
      </c>
      <c r="E844" s="2" t="s">
        <v>77</v>
      </c>
      <c r="F844">
        <v>16042</v>
      </c>
      <c r="G844" s="6"/>
      <c r="H844" s="6" t="s">
        <v>2611</v>
      </c>
      <c r="I844" s="34"/>
      <c r="J844" s="38"/>
      <c r="K844" s="38"/>
      <c r="L844" s="38"/>
      <c r="M844" s="38" t="s">
        <v>2311</v>
      </c>
      <c r="N844" s="19">
        <v>1</v>
      </c>
      <c r="O844" s="76">
        <v>0</v>
      </c>
      <c r="P844" s="6">
        <v>65535</v>
      </c>
      <c r="Q844" s="38">
        <v>0</v>
      </c>
      <c r="R844" s="38">
        <v>65535</v>
      </c>
      <c r="S844" s="34"/>
      <c r="T844" s="34"/>
      <c r="U844" s="34"/>
      <c r="V844" s="8"/>
      <c r="W844" t="s">
        <v>2612</v>
      </c>
      <c r="Y844" s="34"/>
      <c r="Z844"/>
      <c r="AA844"/>
      <c r="AE844"/>
      <c r="AF844"/>
      <c r="AG844"/>
      <c r="AH844"/>
    </row>
    <row r="845" spans="1:34" ht="15.75" customHeight="1" x14ac:dyDescent="0.15">
      <c r="A845" s="6">
        <v>839</v>
      </c>
      <c r="B845" s="18" t="s">
        <v>75</v>
      </c>
      <c r="C845" s="34" t="s">
        <v>57</v>
      </c>
      <c r="D845" s="75" t="s">
        <v>2613</v>
      </c>
      <c r="E845" s="2" t="s">
        <v>77</v>
      </c>
      <c r="F845">
        <v>16052</v>
      </c>
      <c r="G845" s="6"/>
      <c r="H845" s="6" t="s">
        <v>2614</v>
      </c>
      <c r="I845" s="34"/>
      <c r="J845" s="38"/>
      <c r="K845" s="38"/>
      <c r="L845" s="38"/>
      <c r="M845" s="38" t="s">
        <v>2311</v>
      </c>
      <c r="N845" s="19">
        <v>1</v>
      </c>
      <c r="O845" s="76">
        <v>0</v>
      </c>
      <c r="P845" s="6">
        <v>65535</v>
      </c>
      <c r="Q845" s="38">
        <v>0</v>
      </c>
      <c r="R845" s="38">
        <v>65535</v>
      </c>
      <c r="S845" s="34"/>
      <c r="T845" s="34"/>
      <c r="U845" s="34"/>
      <c r="V845" s="8"/>
      <c r="W845" t="s">
        <v>2615</v>
      </c>
      <c r="Y845" s="34"/>
      <c r="Z845"/>
      <c r="AA845"/>
      <c r="AE845"/>
      <c r="AF845"/>
      <c r="AG845"/>
      <c r="AH845"/>
    </row>
    <row r="846" spans="1:34" s="59" customFormat="1" ht="15.75" customHeight="1" x14ac:dyDescent="0.15">
      <c r="A846" s="6">
        <v>840</v>
      </c>
      <c r="B846" s="18" t="s">
        <v>75</v>
      </c>
      <c r="C846" s="34" t="s">
        <v>57</v>
      </c>
      <c r="D846" s="75" t="s">
        <v>2616</v>
      </c>
      <c r="E846" s="2" t="s">
        <v>77</v>
      </c>
      <c r="F846">
        <v>16053</v>
      </c>
      <c r="G846" s="6"/>
      <c r="H846" s="6" t="s">
        <v>2617</v>
      </c>
      <c r="I846" s="34"/>
      <c r="J846" s="38"/>
      <c r="K846" s="38"/>
      <c r="L846" s="38"/>
      <c r="M846" s="38" t="s">
        <v>2311</v>
      </c>
      <c r="N846" s="19">
        <v>1</v>
      </c>
      <c r="O846" s="76">
        <v>0</v>
      </c>
      <c r="P846" s="6">
        <v>65535</v>
      </c>
      <c r="Q846" s="38">
        <v>0</v>
      </c>
      <c r="R846" s="38">
        <v>65535</v>
      </c>
      <c r="S846" s="34"/>
      <c r="T846" s="34"/>
      <c r="U846" s="34"/>
      <c r="V846" s="8"/>
      <c r="W846" t="s">
        <v>2618</v>
      </c>
      <c r="X846"/>
      <c r="Y846" s="34"/>
    </row>
    <row r="847" spans="1:34" ht="15.75" customHeight="1" x14ac:dyDescent="0.15">
      <c r="A847" s="6">
        <v>841</v>
      </c>
      <c r="B847" s="18" t="s">
        <v>75</v>
      </c>
      <c r="C847" s="34" t="s">
        <v>57</v>
      </c>
      <c r="D847" s="75" t="s">
        <v>2619</v>
      </c>
      <c r="E847" s="2" t="s">
        <v>77</v>
      </c>
      <c r="F847">
        <v>16054</v>
      </c>
      <c r="G847" s="6"/>
      <c r="H847" s="6" t="s">
        <v>2620</v>
      </c>
      <c r="I847" s="34"/>
      <c r="J847" s="38"/>
      <c r="K847" s="38"/>
      <c r="L847" s="38"/>
      <c r="M847" s="38" t="s">
        <v>2311</v>
      </c>
      <c r="N847" s="19">
        <v>1</v>
      </c>
      <c r="O847" s="76">
        <v>0</v>
      </c>
      <c r="P847" s="6">
        <v>65535</v>
      </c>
      <c r="Q847" s="38">
        <v>0</v>
      </c>
      <c r="R847" s="38">
        <v>65535</v>
      </c>
      <c r="S847" s="34"/>
      <c r="T847" s="34"/>
      <c r="U847" s="34"/>
      <c r="V847" s="8"/>
      <c r="W847" t="s">
        <v>2621</v>
      </c>
      <c r="Y847" s="34"/>
      <c r="Z847"/>
      <c r="AA847"/>
      <c r="AE847"/>
      <c r="AF847"/>
      <c r="AG847"/>
      <c r="AH847"/>
    </row>
    <row r="848" spans="1:34" ht="15.75" customHeight="1" x14ac:dyDescent="0.15">
      <c r="A848" s="6">
        <v>842</v>
      </c>
      <c r="B848" s="18" t="s">
        <v>75</v>
      </c>
      <c r="C848" s="34" t="s">
        <v>57</v>
      </c>
      <c r="D848" s="75" t="s">
        <v>2622</v>
      </c>
      <c r="E848" s="2" t="s">
        <v>77</v>
      </c>
      <c r="F848">
        <v>16055</v>
      </c>
      <c r="G848" s="6"/>
      <c r="H848" s="6" t="s">
        <v>2623</v>
      </c>
      <c r="I848" s="34"/>
      <c r="J848" s="38"/>
      <c r="K848" s="38"/>
      <c r="L848" s="38"/>
      <c r="M848" s="38" t="s">
        <v>2311</v>
      </c>
      <c r="N848" s="19">
        <v>1</v>
      </c>
      <c r="O848" s="76">
        <v>0</v>
      </c>
      <c r="P848" s="6">
        <v>65535</v>
      </c>
      <c r="Q848" s="38">
        <v>0</v>
      </c>
      <c r="R848" s="38">
        <v>65535</v>
      </c>
      <c r="S848" s="34"/>
      <c r="T848" s="34"/>
      <c r="U848" s="34"/>
      <c r="V848" s="8"/>
      <c r="W848" t="s">
        <v>2624</v>
      </c>
      <c r="Y848" s="34"/>
      <c r="Z848"/>
      <c r="AA848"/>
      <c r="AE848"/>
      <c r="AF848"/>
      <c r="AG848"/>
      <c r="AH848"/>
    </row>
    <row r="849" spans="1:34" ht="15.75" customHeight="1" x14ac:dyDescent="0.15">
      <c r="A849" s="6">
        <v>843</v>
      </c>
      <c r="B849" s="18" t="s">
        <v>75</v>
      </c>
      <c r="C849" s="34" t="s">
        <v>57</v>
      </c>
      <c r="D849" s="75" t="s">
        <v>2625</v>
      </c>
      <c r="E849" s="2" t="s">
        <v>77</v>
      </c>
      <c r="F849">
        <v>16056</v>
      </c>
      <c r="G849" s="6"/>
      <c r="H849" s="6" t="s">
        <v>2626</v>
      </c>
      <c r="I849" s="34"/>
      <c r="J849" s="38"/>
      <c r="K849" s="38"/>
      <c r="L849" s="38"/>
      <c r="M849" s="38" t="s">
        <v>2311</v>
      </c>
      <c r="N849" s="19">
        <v>1</v>
      </c>
      <c r="O849" s="76">
        <v>0</v>
      </c>
      <c r="P849" s="6">
        <v>65535</v>
      </c>
      <c r="Q849" s="38">
        <v>0</v>
      </c>
      <c r="R849" s="38">
        <v>65535</v>
      </c>
      <c r="S849" s="34"/>
      <c r="T849" s="34"/>
      <c r="U849" s="34"/>
      <c r="V849" s="8"/>
      <c r="W849" t="s">
        <v>2627</v>
      </c>
      <c r="Y849" s="34"/>
      <c r="Z849"/>
      <c r="AA849"/>
      <c r="AE849"/>
      <c r="AF849"/>
      <c r="AG849"/>
      <c r="AH849"/>
    </row>
    <row r="850" spans="1:34" ht="15.75" customHeight="1" x14ac:dyDescent="0.15">
      <c r="A850" s="6">
        <v>844</v>
      </c>
      <c r="B850" s="18" t="s">
        <v>75</v>
      </c>
      <c r="C850" s="34" t="s">
        <v>57</v>
      </c>
      <c r="D850" s="75" t="s">
        <v>2628</v>
      </c>
      <c r="E850" s="2" t="s">
        <v>77</v>
      </c>
      <c r="F850">
        <v>16057</v>
      </c>
      <c r="G850" s="6"/>
      <c r="H850" s="6" t="s">
        <v>2629</v>
      </c>
      <c r="I850" s="34"/>
      <c r="J850" s="38"/>
      <c r="K850" s="38"/>
      <c r="L850" s="38"/>
      <c r="M850" s="38" t="s">
        <v>2311</v>
      </c>
      <c r="N850" s="19">
        <v>1</v>
      </c>
      <c r="O850" s="76">
        <v>0</v>
      </c>
      <c r="P850" s="6">
        <v>65535</v>
      </c>
      <c r="Q850" s="38">
        <v>0</v>
      </c>
      <c r="R850" s="38">
        <v>65535</v>
      </c>
      <c r="S850" s="34"/>
      <c r="T850" s="34"/>
      <c r="U850" s="34"/>
      <c r="V850" s="8"/>
      <c r="W850" t="s">
        <v>2630</v>
      </c>
      <c r="Y850" s="34"/>
      <c r="Z850"/>
      <c r="AA850"/>
      <c r="AE850"/>
      <c r="AF850"/>
      <c r="AG850"/>
      <c r="AH850"/>
    </row>
    <row r="851" spans="1:34" ht="15.75" customHeight="1" x14ac:dyDescent="0.15">
      <c r="A851" s="6">
        <v>845</v>
      </c>
      <c r="B851" s="18" t="s">
        <v>75</v>
      </c>
      <c r="C851" s="34" t="s">
        <v>57</v>
      </c>
      <c r="D851" s="75" t="s">
        <v>2631</v>
      </c>
      <c r="E851" s="2" t="s">
        <v>77</v>
      </c>
      <c r="F851">
        <v>16058</v>
      </c>
      <c r="G851" s="6"/>
      <c r="H851" s="6" t="s">
        <v>2632</v>
      </c>
      <c r="I851" s="34"/>
      <c r="J851" s="38"/>
      <c r="K851" s="38"/>
      <c r="L851" s="38"/>
      <c r="M851" s="38" t="s">
        <v>2311</v>
      </c>
      <c r="N851" s="19">
        <v>1</v>
      </c>
      <c r="O851" s="76">
        <v>0</v>
      </c>
      <c r="P851" s="6">
        <v>65535</v>
      </c>
      <c r="Q851" s="38">
        <v>0</v>
      </c>
      <c r="R851" s="38">
        <v>65535</v>
      </c>
      <c r="S851" s="34"/>
      <c r="T851" s="34"/>
      <c r="U851" s="34"/>
      <c r="V851" s="8"/>
      <c r="W851" t="s">
        <v>2633</v>
      </c>
      <c r="Y851" s="34"/>
      <c r="Z851"/>
      <c r="AA851"/>
      <c r="AE851"/>
      <c r="AF851"/>
      <c r="AG851"/>
      <c r="AH851"/>
    </row>
    <row r="852" spans="1:34" s="59" customFormat="1" ht="15.75" customHeight="1" x14ac:dyDescent="0.15">
      <c r="A852" s="6">
        <v>846</v>
      </c>
      <c r="B852" s="18" t="s">
        <v>75</v>
      </c>
      <c r="C852" s="34" t="s">
        <v>2634</v>
      </c>
      <c r="D852" s="75" t="s">
        <v>2635</v>
      </c>
      <c r="E852" s="2" t="s">
        <v>77</v>
      </c>
      <c r="F852">
        <v>14999</v>
      </c>
      <c r="G852" s="6"/>
      <c r="H852" s="6" t="s">
        <v>2636</v>
      </c>
      <c r="I852" s="34"/>
      <c r="J852" s="38"/>
      <c r="K852" s="38"/>
      <c r="L852" s="38"/>
      <c r="M852" s="38" t="s">
        <v>564</v>
      </c>
      <c r="N852" s="19">
        <v>1</v>
      </c>
      <c r="O852" s="76">
        <v>0</v>
      </c>
      <c r="P852" s="6">
        <v>65535</v>
      </c>
      <c r="Q852" s="38">
        <v>0</v>
      </c>
      <c r="R852" s="38">
        <v>65535</v>
      </c>
      <c r="S852" s="34"/>
      <c r="T852" s="34"/>
      <c r="U852" s="34"/>
      <c r="V852" s="8"/>
      <c r="W852" t="s">
        <v>2637</v>
      </c>
      <c r="X852"/>
      <c r="Y852" s="34" t="s">
        <v>64</v>
      </c>
    </row>
    <row r="853" spans="1:34" s="59" customFormat="1" ht="15.75" customHeight="1" x14ac:dyDescent="0.15">
      <c r="A853" s="6">
        <v>847</v>
      </c>
      <c r="B853" s="18" t="s">
        <v>75</v>
      </c>
      <c r="C853" s="34" t="s">
        <v>2634</v>
      </c>
      <c r="D853" s="75" t="s">
        <v>2638</v>
      </c>
      <c r="E853" s="2" t="s">
        <v>77</v>
      </c>
      <c r="F853">
        <v>15000</v>
      </c>
      <c r="G853" s="6"/>
      <c r="H853" s="6" t="s">
        <v>2639</v>
      </c>
      <c r="I853" s="34"/>
      <c r="J853" s="38"/>
      <c r="K853" s="38"/>
      <c r="L853" s="38"/>
      <c r="M853" s="38" t="s">
        <v>568</v>
      </c>
      <c r="N853" s="19">
        <v>1</v>
      </c>
      <c r="O853" s="76">
        <v>0</v>
      </c>
      <c r="P853" s="6">
        <v>65535</v>
      </c>
      <c r="Q853" s="38">
        <v>0</v>
      </c>
      <c r="R853" s="38">
        <v>65535</v>
      </c>
      <c r="S853" s="34"/>
      <c r="T853" s="34"/>
      <c r="U853" s="34"/>
      <c r="V853" s="8"/>
      <c r="W853" t="s">
        <v>2640</v>
      </c>
      <c r="X853"/>
      <c r="Y853" s="34" t="s">
        <v>64</v>
      </c>
    </row>
    <row r="854" spans="1:34" ht="15.75" customHeight="1" x14ac:dyDescent="0.15">
      <c r="A854" s="6">
        <v>848</v>
      </c>
      <c r="B854" s="18" t="s">
        <v>75</v>
      </c>
      <c r="C854" s="34" t="s">
        <v>2634</v>
      </c>
      <c r="D854" s="75" t="s">
        <v>2641</v>
      </c>
      <c r="E854" s="2" t="s">
        <v>77</v>
      </c>
      <c r="F854">
        <v>15001</v>
      </c>
      <c r="G854" s="6"/>
      <c r="H854" s="6" t="s">
        <v>2642</v>
      </c>
      <c r="I854" s="34"/>
      <c r="J854" s="38"/>
      <c r="K854" s="38"/>
      <c r="L854" s="38"/>
      <c r="M854" s="38" t="s">
        <v>572</v>
      </c>
      <c r="N854" s="19">
        <v>1</v>
      </c>
      <c r="O854" s="76">
        <v>0</v>
      </c>
      <c r="P854" s="6">
        <v>65535</v>
      </c>
      <c r="Q854" s="38">
        <v>0</v>
      </c>
      <c r="R854" s="38">
        <v>65535</v>
      </c>
      <c r="S854" s="34"/>
      <c r="T854" s="34"/>
      <c r="U854" s="34"/>
      <c r="V854" s="8"/>
      <c r="W854" t="s">
        <v>2643</v>
      </c>
      <c r="Y854" s="34" t="s">
        <v>64</v>
      </c>
      <c r="Z854"/>
      <c r="AA854"/>
      <c r="AE854"/>
      <c r="AF854"/>
      <c r="AG854"/>
      <c r="AH854"/>
    </row>
    <row r="855" spans="1:34" ht="15.75" customHeight="1" x14ac:dyDescent="0.15">
      <c r="A855" s="6">
        <v>849</v>
      </c>
      <c r="B855" s="18" t="s">
        <v>75</v>
      </c>
      <c r="C855" s="34" t="s">
        <v>2634</v>
      </c>
      <c r="D855" s="75" t="s">
        <v>2644</v>
      </c>
      <c r="E855" s="2" t="s">
        <v>77</v>
      </c>
      <c r="F855">
        <v>15002</v>
      </c>
      <c r="G855" s="6"/>
      <c r="H855" s="6" t="s">
        <v>2645</v>
      </c>
      <c r="I855" s="34"/>
      <c r="J855" s="38"/>
      <c r="K855" s="38"/>
      <c r="L855" s="38"/>
      <c r="M855" s="38" t="s">
        <v>104</v>
      </c>
      <c r="N855" s="19">
        <v>1</v>
      </c>
      <c r="O855" s="76">
        <v>0</v>
      </c>
      <c r="P855" s="6">
        <v>65535</v>
      </c>
      <c r="Q855" s="38">
        <v>0</v>
      </c>
      <c r="R855" s="38">
        <v>65535</v>
      </c>
      <c r="S855" s="34"/>
      <c r="T855" s="34"/>
      <c r="U855" s="34"/>
      <c r="V855" s="8"/>
      <c r="W855" t="s">
        <v>2646</v>
      </c>
      <c r="Y855" s="34" t="s">
        <v>64</v>
      </c>
      <c r="Z855"/>
      <c r="AA855"/>
      <c r="AE855"/>
      <c r="AF855"/>
      <c r="AG855"/>
      <c r="AH855"/>
    </row>
    <row r="856" spans="1:34" ht="15.75" customHeight="1" x14ac:dyDescent="0.15">
      <c r="A856" s="6">
        <v>850</v>
      </c>
      <c r="B856" s="18" t="s">
        <v>75</v>
      </c>
      <c r="C856" s="34" t="s">
        <v>2634</v>
      </c>
      <c r="D856" s="75" t="s">
        <v>2647</v>
      </c>
      <c r="E856" s="2" t="s">
        <v>77</v>
      </c>
      <c r="F856">
        <v>15003</v>
      </c>
      <c r="G856" s="6"/>
      <c r="H856" s="6" t="s">
        <v>2648</v>
      </c>
      <c r="I856" s="34"/>
      <c r="J856" s="38"/>
      <c r="K856" s="38"/>
      <c r="L856" s="38"/>
      <c r="M856" s="38" t="s">
        <v>100</v>
      </c>
      <c r="N856" s="19">
        <v>1</v>
      </c>
      <c r="O856" s="76">
        <v>0</v>
      </c>
      <c r="P856" s="6">
        <v>65535</v>
      </c>
      <c r="Q856" s="38">
        <v>0</v>
      </c>
      <c r="R856" s="38">
        <v>65535</v>
      </c>
      <c r="S856" s="34"/>
      <c r="T856" s="34"/>
      <c r="U856" s="34"/>
      <c r="V856" s="8"/>
      <c r="W856" t="s">
        <v>2649</v>
      </c>
      <c r="Y856" s="34" t="s">
        <v>64</v>
      </c>
      <c r="Z856"/>
      <c r="AA856"/>
      <c r="AE856"/>
      <c r="AF856"/>
      <c r="AG856"/>
      <c r="AH856"/>
    </row>
    <row r="857" spans="1:34" s="59" customFormat="1" ht="15.75" customHeight="1" x14ac:dyDescent="0.15">
      <c r="A857" s="6">
        <v>851</v>
      </c>
      <c r="B857" s="18" t="s">
        <v>75</v>
      </c>
      <c r="C857" s="34" t="s">
        <v>2634</v>
      </c>
      <c r="D857" s="75" t="s">
        <v>2650</v>
      </c>
      <c r="E857" s="2" t="s">
        <v>77</v>
      </c>
      <c r="F857">
        <v>15004</v>
      </c>
      <c r="G857" s="6"/>
      <c r="H857" s="6" t="s">
        <v>2651</v>
      </c>
      <c r="I857" s="34"/>
      <c r="J857" s="38"/>
      <c r="K857" s="38"/>
      <c r="L857" s="38"/>
      <c r="M857" s="38" t="s">
        <v>582</v>
      </c>
      <c r="N857" s="19">
        <v>1</v>
      </c>
      <c r="O857" s="76">
        <v>0</v>
      </c>
      <c r="P857" s="6">
        <v>65535</v>
      </c>
      <c r="Q857" s="38">
        <v>0</v>
      </c>
      <c r="R857" s="38">
        <v>65535</v>
      </c>
      <c r="S857" s="34"/>
      <c r="T857" s="34"/>
      <c r="U857" s="34"/>
      <c r="V857" s="8"/>
      <c r="W857" t="s">
        <v>2652</v>
      </c>
      <c r="X857"/>
      <c r="Y857" s="34" t="s">
        <v>64</v>
      </c>
    </row>
    <row r="858" spans="1:34" s="59" customFormat="1" ht="15.75" customHeight="1" x14ac:dyDescent="0.15">
      <c r="A858" s="6">
        <v>852</v>
      </c>
      <c r="B858" s="18" t="s">
        <v>75</v>
      </c>
      <c r="C858" s="34" t="s">
        <v>2634</v>
      </c>
      <c r="D858" s="75" t="s">
        <v>2653</v>
      </c>
      <c r="E858" s="2" t="s">
        <v>2348</v>
      </c>
      <c r="F858">
        <v>15005</v>
      </c>
      <c r="G858" s="6"/>
      <c r="H858" s="6" t="s">
        <v>2654</v>
      </c>
      <c r="I858" s="34"/>
      <c r="J858" s="38"/>
      <c r="K858" s="38"/>
      <c r="L858" s="38"/>
      <c r="M858" s="38"/>
      <c r="N858" s="19"/>
      <c r="O858" s="76" t="s">
        <v>62</v>
      </c>
      <c r="P858" s="6" t="s">
        <v>62</v>
      </c>
      <c r="Q858" s="38" t="s">
        <v>62</v>
      </c>
      <c r="R858" s="38" t="s">
        <v>62</v>
      </c>
      <c r="S858" s="34"/>
      <c r="T858" s="34"/>
      <c r="U858" s="34"/>
      <c r="V858" s="8"/>
      <c r="W858" t="s">
        <v>2655</v>
      </c>
      <c r="X858" t="s">
        <v>2656</v>
      </c>
      <c r="Y858" s="34"/>
    </row>
    <row r="859" spans="1:34" s="59" customFormat="1" ht="15.75" customHeight="1" x14ac:dyDescent="0.15">
      <c r="A859" s="6">
        <v>853</v>
      </c>
      <c r="B859" s="18" t="s">
        <v>75</v>
      </c>
      <c r="C859" s="34" t="s">
        <v>2634</v>
      </c>
      <c r="D859" s="75" t="s">
        <v>2657</v>
      </c>
      <c r="E859" s="2" t="s">
        <v>2348</v>
      </c>
      <c r="F859">
        <v>15006</v>
      </c>
      <c r="G859" s="6"/>
      <c r="H859" s="6" t="s">
        <v>2658</v>
      </c>
      <c r="I859" s="34"/>
      <c r="J859" s="38"/>
      <c r="K859" s="38"/>
      <c r="L859" s="38"/>
      <c r="M859" s="38"/>
      <c r="N859" s="19"/>
      <c r="O859" s="76" t="s">
        <v>62</v>
      </c>
      <c r="P859" s="6" t="s">
        <v>62</v>
      </c>
      <c r="Q859" s="38" t="s">
        <v>62</v>
      </c>
      <c r="R859" s="38" t="s">
        <v>62</v>
      </c>
      <c r="S859" s="34"/>
      <c r="T859" s="34"/>
      <c r="U859" s="34"/>
      <c r="V859" s="8"/>
      <c r="W859" t="s">
        <v>2659</v>
      </c>
      <c r="X859" t="s">
        <v>2656</v>
      </c>
      <c r="Y859" s="34"/>
    </row>
    <row r="860" spans="1:34" ht="15.75" customHeight="1" x14ac:dyDescent="0.15">
      <c r="A860" s="6">
        <v>854</v>
      </c>
      <c r="B860" s="18" t="s">
        <v>75</v>
      </c>
      <c r="C860" s="34" t="s">
        <v>2634</v>
      </c>
      <c r="D860" s="75" t="s">
        <v>2660</v>
      </c>
      <c r="E860" s="2" t="s">
        <v>77</v>
      </c>
      <c r="F860">
        <v>15007</v>
      </c>
      <c r="G860" s="6"/>
      <c r="H860" s="6" t="s">
        <v>2661</v>
      </c>
      <c r="I860" s="34"/>
      <c r="J860" s="38"/>
      <c r="K860" s="38"/>
      <c r="L860" s="38"/>
      <c r="M860" s="38" t="s">
        <v>560</v>
      </c>
      <c r="N860" s="19">
        <v>10</v>
      </c>
      <c r="O860" s="76">
        <v>0</v>
      </c>
      <c r="P860" s="6">
        <v>65535</v>
      </c>
      <c r="Q860" s="38">
        <v>0</v>
      </c>
      <c r="R860" s="38">
        <v>6553.5</v>
      </c>
      <c r="S860" s="34"/>
      <c r="T860" s="34"/>
      <c r="U860" s="34"/>
      <c r="V860" s="8"/>
      <c r="W860" t="s">
        <v>2662</v>
      </c>
      <c r="Y860" s="34" t="s">
        <v>64</v>
      </c>
      <c r="Z860"/>
      <c r="AA860"/>
      <c r="AE860"/>
      <c r="AF860"/>
      <c r="AG860"/>
      <c r="AH860"/>
    </row>
    <row r="861" spans="1:34" ht="15.75" customHeight="1" x14ac:dyDescent="0.15">
      <c r="A861" s="6">
        <v>855</v>
      </c>
      <c r="B861" s="18" t="s">
        <v>75</v>
      </c>
      <c r="C861" s="34" t="s">
        <v>2634</v>
      </c>
      <c r="D861" s="75" t="s">
        <v>2663</v>
      </c>
      <c r="E861" s="2" t="s">
        <v>2348</v>
      </c>
      <c r="F861">
        <v>15009</v>
      </c>
      <c r="G861" s="6"/>
      <c r="H861" s="6" t="s">
        <v>2664</v>
      </c>
      <c r="I861" s="34"/>
      <c r="J861" s="38"/>
      <c r="K861" s="38"/>
      <c r="L861" s="38"/>
      <c r="M861" s="38"/>
      <c r="N861" s="19"/>
      <c r="O861" s="76" t="s">
        <v>62</v>
      </c>
      <c r="P861" s="6" t="s">
        <v>62</v>
      </c>
      <c r="Q861" s="38" t="s">
        <v>62</v>
      </c>
      <c r="R861" s="38" t="s">
        <v>62</v>
      </c>
      <c r="S861" s="34"/>
      <c r="T861" s="34"/>
      <c r="U861" s="34"/>
      <c r="V861" s="8"/>
      <c r="W861" t="s">
        <v>2665</v>
      </c>
      <c r="X861" t="s">
        <v>2666</v>
      </c>
      <c r="Y861" s="34" t="s">
        <v>64</v>
      </c>
      <c r="Z861"/>
      <c r="AA861"/>
      <c r="AE861"/>
      <c r="AF861"/>
      <c r="AG861"/>
      <c r="AH861"/>
    </row>
    <row r="862" spans="1:34" ht="15.75" customHeight="1" x14ac:dyDescent="0.15">
      <c r="A862" s="6">
        <v>856</v>
      </c>
      <c r="B862" s="18" t="s">
        <v>75</v>
      </c>
      <c r="C862" s="34" t="s">
        <v>2634</v>
      </c>
      <c r="D862" s="75" t="s">
        <v>2667</v>
      </c>
      <c r="E862" s="2" t="s">
        <v>2348</v>
      </c>
      <c r="F862">
        <v>15010</v>
      </c>
      <c r="G862" s="6"/>
      <c r="H862" s="6" t="s">
        <v>2668</v>
      </c>
      <c r="I862" s="34"/>
      <c r="J862" s="38"/>
      <c r="K862" s="38"/>
      <c r="L862" s="38"/>
      <c r="M862" s="38"/>
      <c r="N862" s="19"/>
      <c r="O862" s="76" t="s">
        <v>62</v>
      </c>
      <c r="P862" s="6" t="s">
        <v>62</v>
      </c>
      <c r="Q862" s="38" t="s">
        <v>62</v>
      </c>
      <c r="R862" s="38" t="s">
        <v>62</v>
      </c>
      <c r="S862" s="34"/>
      <c r="T862" s="34"/>
      <c r="U862" s="34"/>
      <c r="V862" s="8"/>
      <c r="W862" t="s">
        <v>2669</v>
      </c>
      <c r="X862" t="s">
        <v>2670</v>
      </c>
      <c r="Y862" s="34"/>
      <c r="Z862"/>
      <c r="AA862"/>
      <c r="AE862"/>
      <c r="AF862"/>
      <c r="AG862"/>
      <c r="AH862"/>
    </row>
    <row r="863" spans="1:34" s="59" customFormat="1" ht="15.75" customHeight="1" x14ac:dyDescent="0.15">
      <c r="A863" s="6">
        <v>857</v>
      </c>
      <c r="B863" s="18" t="s">
        <v>75</v>
      </c>
      <c r="C863" s="34" t="s">
        <v>2634</v>
      </c>
      <c r="D863" s="75" t="s">
        <v>2671</v>
      </c>
      <c r="E863" s="2" t="s">
        <v>143</v>
      </c>
      <c r="F863">
        <v>15011</v>
      </c>
      <c r="G863" s="6"/>
      <c r="H863" s="6" t="s">
        <v>2672</v>
      </c>
      <c r="I863" s="34"/>
      <c r="J863" s="38"/>
      <c r="K863" s="38"/>
      <c r="L863" s="38"/>
      <c r="M863" s="38" t="s">
        <v>560</v>
      </c>
      <c r="N863" s="19">
        <v>10</v>
      </c>
      <c r="O863" s="76">
        <v>-32768</v>
      </c>
      <c r="P863" s="6">
        <v>32767</v>
      </c>
      <c r="Q863" s="38">
        <v>-3276.8</v>
      </c>
      <c r="R863" s="38">
        <v>3276.7</v>
      </c>
      <c r="S863" s="34"/>
      <c r="T863" s="34"/>
      <c r="U863" s="34"/>
      <c r="V863" s="8"/>
      <c r="W863" t="s">
        <v>2673</v>
      </c>
      <c r="X863"/>
      <c r="Y863" s="34" t="s">
        <v>64</v>
      </c>
    </row>
    <row r="864" spans="1:34" ht="15.75" customHeight="1" x14ac:dyDescent="0.15">
      <c r="A864" s="6">
        <v>858</v>
      </c>
      <c r="B864" s="18" t="s">
        <v>75</v>
      </c>
      <c r="C864" s="34" t="s">
        <v>2634</v>
      </c>
      <c r="D864" s="75" t="s">
        <v>2674</v>
      </c>
      <c r="E864" s="2" t="s">
        <v>143</v>
      </c>
      <c r="F864">
        <v>15012</v>
      </c>
      <c r="G864" s="6"/>
      <c r="H864" s="6" t="s">
        <v>2675</v>
      </c>
      <c r="I864" s="34"/>
      <c r="J864" s="38"/>
      <c r="K864" s="38"/>
      <c r="L864" s="38"/>
      <c r="M864" s="38" t="s">
        <v>145</v>
      </c>
      <c r="N864" s="19">
        <v>1000</v>
      </c>
      <c r="O864" s="76">
        <v>-32768</v>
      </c>
      <c r="P864" s="6">
        <v>32767</v>
      </c>
      <c r="Q864" s="38">
        <v>-32.768000000000001</v>
      </c>
      <c r="R864" s="38">
        <v>32.767000000000003</v>
      </c>
      <c r="S864" s="34"/>
      <c r="T864" s="34"/>
      <c r="U864" s="34"/>
      <c r="V864" s="8"/>
      <c r="W864" t="s">
        <v>2676</v>
      </c>
      <c r="Y864" s="34"/>
      <c r="Z864"/>
      <c r="AA864"/>
      <c r="AE864"/>
      <c r="AF864"/>
      <c r="AG864"/>
      <c r="AH864"/>
    </row>
    <row r="865" spans="1:34" ht="15.75" customHeight="1" x14ac:dyDescent="0.15">
      <c r="A865" s="6">
        <v>859</v>
      </c>
      <c r="B865" s="18" t="s">
        <v>75</v>
      </c>
      <c r="C865" s="34" t="s">
        <v>2634</v>
      </c>
      <c r="D865" s="75" t="s">
        <v>2677</v>
      </c>
      <c r="E865" s="2" t="s">
        <v>77</v>
      </c>
      <c r="F865">
        <v>15013</v>
      </c>
      <c r="G865" s="6"/>
      <c r="H865" s="6" t="s">
        <v>2678</v>
      </c>
      <c r="I865" s="34"/>
      <c r="J865" s="38"/>
      <c r="K865" s="38"/>
      <c r="L865" s="38"/>
      <c r="M865" s="38" t="s">
        <v>82</v>
      </c>
      <c r="N865" s="19">
        <v>10</v>
      </c>
      <c r="O865" s="76">
        <v>0</v>
      </c>
      <c r="P865" s="6">
        <v>65535</v>
      </c>
      <c r="Q865" s="38">
        <v>0</v>
      </c>
      <c r="R865" s="38">
        <v>6553.5</v>
      </c>
      <c r="S865" s="34"/>
      <c r="T865" s="34"/>
      <c r="U865" s="34"/>
      <c r="V865" s="8"/>
      <c r="W865" t="s">
        <v>2679</v>
      </c>
      <c r="Y865" s="34"/>
      <c r="Z865"/>
      <c r="AA865"/>
      <c r="AE865"/>
      <c r="AF865"/>
      <c r="AG865"/>
      <c r="AH865"/>
    </row>
    <row r="866" spans="1:34" s="59" customFormat="1" ht="15.75" customHeight="1" x14ac:dyDescent="0.15">
      <c r="A866" s="6">
        <v>860</v>
      </c>
      <c r="B866" s="18" t="s">
        <v>75</v>
      </c>
      <c r="C866" s="34" t="s">
        <v>2634</v>
      </c>
      <c r="D866" s="75" t="s">
        <v>2680</v>
      </c>
      <c r="E866" s="2" t="s">
        <v>143</v>
      </c>
      <c r="F866">
        <v>15014</v>
      </c>
      <c r="G866" s="6"/>
      <c r="H866" s="6" t="s">
        <v>2681</v>
      </c>
      <c r="I866" s="34"/>
      <c r="J866" s="38"/>
      <c r="K866" s="38"/>
      <c r="L866" s="38"/>
      <c r="M866" s="38" t="s">
        <v>153</v>
      </c>
      <c r="N866" s="19">
        <v>10</v>
      </c>
      <c r="O866" s="76">
        <v>-32768</v>
      </c>
      <c r="P866" s="6">
        <v>32767</v>
      </c>
      <c r="Q866" s="38">
        <v>-3276.8</v>
      </c>
      <c r="R866" s="38">
        <v>3276.7</v>
      </c>
      <c r="S866" s="34"/>
      <c r="T866" s="34"/>
      <c r="U866" s="34"/>
      <c r="V866" s="8"/>
      <c r="W866" t="s">
        <v>2682</v>
      </c>
      <c r="X866"/>
      <c r="Y866" s="34"/>
    </row>
    <row r="867" spans="1:34" ht="15.75" customHeight="1" x14ac:dyDescent="0.15">
      <c r="A867" s="6">
        <v>861</v>
      </c>
      <c r="B867" s="18" t="s">
        <v>75</v>
      </c>
      <c r="C867" s="34" t="s">
        <v>2634</v>
      </c>
      <c r="D867" s="75" t="s">
        <v>2683</v>
      </c>
      <c r="E867" s="2" t="s">
        <v>77</v>
      </c>
      <c r="F867">
        <v>15015</v>
      </c>
      <c r="G867" s="6"/>
      <c r="H867" s="6" t="s">
        <v>2684</v>
      </c>
      <c r="I867" s="34"/>
      <c r="J867" s="38"/>
      <c r="K867" s="38"/>
      <c r="L867" s="38"/>
      <c r="M867" s="38" t="s">
        <v>2685</v>
      </c>
      <c r="N867" s="19">
        <v>100</v>
      </c>
      <c r="O867" s="76">
        <v>0</v>
      </c>
      <c r="P867" s="6">
        <v>65535</v>
      </c>
      <c r="Q867" s="38">
        <v>0</v>
      </c>
      <c r="R867" s="38">
        <v>655.35</v>
      </c>
      <c r="S867" s="34"/>
      <c r="T867" s="34"/>
      <c r="U867" s="34"/>
      <c r="V867" s="8"/>
      <c r="W867" t="s">
        <v>2686</v>
      </c>
      <c r="Y867" s="34" t="s">
        <v>64</v>
      </c>
      <c r="Z867"/>
      <c r="AA867"/>
      <c r="AE867"/>
      <c r="AF867"/>
      <c r="AG867"/>
      <c r="AH867"/>
    </row>
    <row r="868" spans="1:34" ht="15.75" customHeight="1" x14ac:dyDescent="0.15">
      <c r="A868" s="6">
        <v>862</v>
      </c>
      <c r="B868" s="18" t="s">
        <v>75</v>
      </c>
      <c r="C868" s="34" t="s">
        <v>2634</v>
      </c>
      <c r="D868" s="75" t="s">
        <v>2687</v>
      </c>
      <c r="E868" s="2" t="s">
        <v>77</v>
      </c>
      <c r="F868">
        <v>15016</v>
      </c>
      <c r="G868" s="6"/>
      <c r="H868" s="6" t="s">
        <v>2688</v>
      </c>
      <c r="I868" s="34"/>
      <c r="J868" s="38"/>
      <c r="K868" s="38"/>
      <c r="L868" s="38"/>
      <c r="M868" s="38" t="s">
        <v>2685</v>
      </c>
      <c r="N868" s="19">
        <v>100</v>
      </c>
      <c r="O868" s="76">
        <v>0</v>
      </c>
      <c r="P868" s="6">
        <v>65535</v>
      </c>
      <c r="Q868" s="38">
        <v>0</v>
      </c>
      <c r="R868" s="38">
        <v>655.35</v>
      </c>
      <c r="S868" s="34"/>
      <c r="T868" s="34"/>
      <c r="U868" s="34"/>
      <c r="V868" s="8"/>
      <c r="W868" t="s">
        <v>2689</v>
      </c>
      <c r="Y868" s="34" t="s">
        <v>64</v>
      </c>
      <c r="Z868"/>
      <c r="AA868"/>
      <c r="AE868"/>
      <c r="AF868"/>
      <c r="AG868"/>
      <c r="AH868"/>
    </row>
    <row r="869" spans="1:34" ht="15.75" customHeight="1" x14ac:dyDescent="0.15">
      <c r="A869" s="6">
        <v>863</v>
      </c>
      <c r="B869" s="18" t="s">
        <v>75</v>
      </c>
      <c r="C869" s="34" t="s">
        <v>2634</v>
      </c>
      <c r="D869" s="75" t="s">
        <v>2690</v>
      </c>
      <c r="E869" s="2" t="s">
        <v>77</v>
      </c>
      <c r="F869">
        <v>15019</v>
      </c>
      <c r="G869" s="6"/>
      <c r="H869" s="6" t="s">
        <v>2691</v>
      </c>
      <c r="I869" s="34"/>
      <c r="J869" s="38"/>
      <c r="K869" s="38"/>
      <c r="L869" s="38"/>
      <c r="M869" s="38" t="s">
        <v>582</v>
      </c>
      <c r="N869" s="19">
        <v>1</v>
      </c>
      <c r="O869" s="76">
        <v>0</v>
      </c>
      <c r="P869" s="6">
        <v>65535</v>
      </c>
      <c r="Q869" s="38">
        <v>0</v>
      </c>
      <c r="R869" s="38">
        <v>65535</v>
      </c>
      <c r="S869" s="34"/>
      <c r="T869" s="34"/>
      <c r="U869" s="34"/>
      <c r="V869" s="8"/>
      <c r="W869" t="s">
        <v>2692</v>
      </c>
      <c r="Y869" s="34" t="s">
        <v>64</v>
      </c>
      <c r="Z869"/>
      <c r="AA869"/>
      <c r="AE869"/>
      <c r="AF869"/>
      <c r="AG869"/>
      <c r="AH869"/>
    </row>
    <row r="870" spans="1:34" s="59" customFormat="1" ht="15.75" customHeight="1" x14ac:dyDescent="0.15">
      <c r="A870" s="6">
        <v>864</v>
      </c>
      <c r="B870" s="18" t="s">
        <v>75</v>
      </c>
      <c r="C870" s="34" t="s">
        <v>2634</v>
      </c>
      <c r="D870" s="75" t="s">
        <v>2693</v>
      </c>
      <c r="E870" s="2" t="s">
        <v>77</v>
      </c>
      <c r="F870">
        <v>15020</v>
      </c>
      <c r="G870" s="6"/>
      <c r="H870" s="6" t="s">
        <v>2694</v>
      </c>
      <c r="I870" s="34"/>
      <c r="J870" s="38"/>
      <c r="K870" s="38"/>
      <c r="L870" s="38"/>
      <c r="M870" s="38" t="s">
        <v>2685</v>
      </c>
      <c r="N870" s="19">
        <v>10</v>
      </c>
      <c r="O870" s="76">
        <v>0</v>
      </c>
      <c r="P870" s="6">
        <v>65535</v>
      </c>
      <c r="Q870" s="38">
        <v>0</v>
      </c>
      <c r="R870" s="38">
        <v>6553.5</v>
      </c>
      <c r="S870" s="34"/>
      <c r="T870" s="34"/>
      <c r="U870" s="34"/>
      <c r="V870" s="8"/>
      <c r="W870" t="s">
        <v>2695</v>
      </c>
      <c r="X870"/>
      <c r="Y870" s="34" t="s">
        <v>64</v>
      </c>
    </row>
    <row r="871" spans="1:34" ht="15.75" customHeight="1" x14ac:dyDescent="0.15">
      <c r="A871" s="6">
        <v>865</v>
      </c>
      <c r="B871" s="18" t="s">
        <v>75</v>
      </c>
      <c r="C871" s="34" t="s">
        <v>2634</v>
      </c>
      <c r="D871" s="75" t="s">
        <v>2696</v>
      </c>
      <c r="E871" s="2" t="s">
        <v>2348</v>
      </c>
      <c r="F871">
        <v>15021</v>
      </c>
      <c r="G871" s="6"/>
      <c r="H871" s="6" t="s">
        <v>2697</v>
      </c>
      <c r="I871" s="34"/>
      <c r="J871" s="38"/>
      <c r="K871" s="38"/>
      <c r="L871" s="38"/>
      <c r="M871" s="38"/>
      <c r="N871" s="19"/>
      <c r="O871" s="76" t="s">
        <v>62</v>
      </c>
      <c r="P871" s="6" t="s">
        <v>62</v>
      </c>
      <c r="Q871" s="38" t="s">
        <v>62</v>
      </c>
      <c r="R871" s="38" t="s">
        <v>62</v>
      </c>
      <c r="S871" s="34"/>
      <c r="T871" s="34"/>
      <c r="U871" s="34"/>
      <c r="V871" s="8"/>
      <c r="W871" t="s">
        <v>2698</v>
      </c>
      <c r="X871" t="s">
        <v>2656</v>
      </c>
      <c r="Y871" s="34"/>
      <c r="Z871"/>
      <c r="AA871"/>
      <c r="AE871"/>
      <c r="AF871"/>
      <c r="AG871"/>
      <c r="AH871"/>
    </row>
    <row r="872" spans="1:34" ht="15.75" customHeight="1" x14ac:dyDescent="0.15">
      <c r="A872" s="6">
        <v>866</v>
      </c>
      <c r="B872" s="18" t="s">
        <v>75</v>
      </c>
      <c r="C872" s="34" t="s">
        <v>2634</v>
      </c>
      <c r="D872" s="75" t="s">
        <v>2699</v>
      </c>
      <c r="E872" s="2" t="s">
        <v>2348</v>
      </c>
      <c r="F872">
        <v>15022</v>
      </c>
      <c r="G872" s="6"/>
      <c r="H872" s="6" t="s">
        <v>2700</v>
      </c>
      <c r="I872" s="34"/>
      <c r="J872" s="38"/>
      <c r="K872" s="38"/>
      <c r="L872" s="38"/>
      <c r="M872" s="38"/>
      <c r="N872" s="19"/>
      <c r="O872" s="76" t="s">
        <v>62</v>
      </c>
      <c r="P872" s="6" t="s">
        <v>62</v>
      </c>
      <c r="Q872" s="38" t="s">
        <v>62</v>
      </c>
      <c r="R872" s="38" t="s">
        <v>62</v>
      </c>
      <c r="S872" s="34"/>
      <c r="T872" s="34"/>
      <c r="U872" s="34"/>
      <c r="V872" s="8"/>
      <c r="W872" t="s">
        <v>2701</v>
      </c>
      <c r="X872" t="s">
        <v>2656</v>
      </c>
      <c r="Y872" s="34"/>
      <c r="Z872"/>
      <c r="AA872"/>
      <c r="AE872"/>
      <c r="AF872"/>
      <c r="AG872"/>
      <c r="AH872"/>
    </row>
    <row r="873" spans="1:34" ht="15.75" customHeight="1" x14ac:dyDescent="0.15">
      <c r="A873" s="6">
        <v>867</v>
      </c>
      <c r="B873" s="18" t="s">
        <v>75</v>
      </c>
      <c r="C873" s="34" t="s">
        <v>2634</v>
      </c>
      <c r="D873" s="75" t="s">
        <v>2702</v>
      </c>
      <c r="E873" s="2" t="s">
        <v>2348</v>
      </c>
      <c r="F873">
        <v>15023</v>
      </c>
      <c r="G873" s="6"/>
      <c r="H873" s="6" t="s">
        <v>2703</v>
      </c>
      <c r="I873" s="34"/>
      <c r="J873" s="38"/>
      <c r="K873" s="38"/>
      <c r="L873" s="38"/>
      <c r="M873" s="38"/>
      <c r="N873" s="19"/>
      <c r="O873" s="76" t="s">
        <v>62</v>
      </c>
      <c r="P873" s="6" t="s">
        <v>62</v>
      </c>
      <c r="Q873" s="38" t="s">
        <v>62</v>
      </c>
      <c r="R873" s="38" t="s">
        <v>62</v>
      </c>
      <c r="S873" s="34"/>
      <c r="T873" s="34"/>
      <c r="U873" s="34"/>
      <c r="V873" s="8"/>
      <c r="W873" t="s">
        <v>2704</v>
      </c>
      <c r="X873" t="s">
        <v>2656</v>
      </c>
      <c r="Y873" s="34"/>
      <c r="Z873"/>
      <c r="AA873"/>
      <c r="AE873"/>
      <c r="AF873"/>
      <c r="AG873"/>
      <c r="AH873"/>
    </row>
    <row r="874" spans="1:34" s="59" customFormat="1" ht="15.75" customHeight="1" x14ac:dyDescent="0.15">
      <c r="A874" s="6">
        <v>868</v>
      </c>
      <c r="B874" s="18" t="s">
        <v>75</v>
      </c>
      <c r="C874" s="34" t="s">
        <v>2634</v>
      </c>
      <c r="D874" s="75" t="s">
        <v>2705</v>
      </c>
      <c r="E874" s="2" t="s">
        <v>2348</v>
      </c>
      <c r="F874">
        <v>15024</v>
      </c>
      <c r="G874" s="6"/>
      <c r="H874" s="6" t="s">
        <v>2706</v>
      </c>
      <c r="I874" s="34"/>
      <c r="J874" s="38"/>
      <c r="K874" s="38"/>
      <c r="L874" s="38"/>
      <c r="M874" s="38"/>
      <c r="N874" s="19"/>
      <c r="O874" s="76" t="s">
        <v>62</v>
      </c>
      <c r="P874" s="6" t="s">
        <v>62</v>
      </c>
      <c r="Q874" s="38" t="s">
        <v>62</v>
      </c>
      <c r="R874" s="38" t="s">
        <v>62</v>
      </c>
      <c r="S874" s="34"/>
      <c r="T874" s="34"/>
      <c r="U874" s="34"/>
      <c r="V874" s="8"/>
      <c r="W874" t="s">
        <v>2707</v>
      </c>
      <c r="X874" t="s">
        <v>2656</v>
      </c>
      <c r="Y874" s="34"/>
    </row>
    <row r="875" spans="1:34" ht="15.75" customHeight="1" x14ac:dyDescent="0.15">
      <c r="A875" s="6">
        <v>869</v>
      </c>
      <c r="B875" s="18" t="s">
        <v>75</v>
      </c>
      <c r="C875" s="34" t="s">
        <v>2634</v>
      </c>
      <c r="D875" s="75" t="s">
        <v>2708</v>
      </c>
      <c r="E875" s="2" t="s">
        <v>77</v>
      </c>
      <c r="F875">
        <v>15025</v>
      </c>
      <c r="G875" s="6"/>
      <c r="H875" s="6" t="s">
        <v>2709</v>
      </c>
      <c r="I875" s="34"/>
      <c r="J875" s="38"/>
      <c r="K875" s="38" t="s">
        <v>172</v>
      </c>
      <c r="L875" s="38" t="s">
        <v>173</v>
      </c>
      <c r="M875" s="38" t="s">
        <v>2276</v>
      </c>
      <c r="N875" s="19"/>
      <c r="O875" s="76">
        <v>0</v>
      </c>
      <c r="P875" s="6">
        <v>65535</v>
      </c>
      <c r="Q875" s="38" t="s">
        <v>62</v>
      </c>
      <c r="R875" s="38" t="s">
        <v>62</v>
      </c>
      <c r="S875" s="34"/>
      <c r="T875" s="34"/>
      <c r="U875" s="34"/>
      <c r="V875" s="8"/>
      <c r="W875" t="s">
        <v>2710</v>
      </c>
      <c r="Y875" s="34" t="s">
        <v>64</v>
      </c>
      <c r="Z875"/>
      <c r="AA875"/>
      <c r="AE875"/>
      <c r="AF875"/>
      <c r="AG875"/>
      <c r="AH875"/>
    </row>
    <row r="876" spans="1:34" ht="15.75" customHeight="1" x14ac:dyDescent="0.15">
      <c r="A876" s="6">
        <v>870</v>
      </c>
      <c r="B876" s="18" t="s">
        <v>75</v>
      </c>
      <c r="C876" s="34" t="s">
        <v>2634</v>
      </c>
      <c r="D876" s="75" t="s">
        <v>2711</v>
      </c>
      <c r="E876" s="2" t="s">
        <v>77</v>
      </c>
      <c r="F876">
        <v>15026</v>
      </c>
      <c r="G876" s="6"/>
      <c r="H876" s="6" t="s">
        <v>2712</v>
      </c>
      <c r="I876" s="34"/>
      <c r="J876" s="38"/>
      <c r="K876" s="38"/>
      <c r="L876" s="38"/>
      <c r="M876" s="38" t="s">
        <v>2685</v>
      </c>
      <c r="N876" s="19">
        <v>100</v>
      </c>
      <c r="O876" s="76">
        <v>0</v>
      </c>
      <c r="P876" s="6">
        <v>65535</v>
      </c>
      <c r="Q876" s="38">
        <v>0</v>
      </c>
      <c r="R876" s="38">
        <v>655.35</v>
      </c>
      <c r="S876" s="34"/>
      <c r="T876" s="34"/>
      <c r="U876" s="34"/>
      <c r="V876" s="8"/>
      <c r="W876" t="s">
        <v>2713</v>
      </c>
      <c r="Y876" s="34" t="s">
        <v>64</v>
      </c>
      <c r="Z876"/>
      <c r="AA876"/>
      <c r="AE876"/>
      <c r="AF876"/>
      <c r="AG876"/>
      <c r="AH876"/>
    </row>
    <row r="877" spans="1:34" ht="15.75" customHeight="1" x14ac:dyDescent="0.15">
      <c r="A877" s="6">
        <v>871</v>
      </c>
      <c r="B877" s="18" t="s">
        <v>75</v>
      </c>
      <c r="C877" s="34" t="s">
        <v>2634</v>
      </c>
      <c r="D877" s="75" t="s">
        <v>2714</v>
      </c>
      <c r="E877" s="2" t="s">
        <v>77</v>
      </c>
      <c r="F877">
        <v>15027</v>
      </c>
      <c r="G877" s="6"/>
      <c r="H877" s="6" t="s">
        <v>2715</v>
      </c>
      <c r="I877" s="34"/>
      <c r="J877" s="38"/>
      <c r="K877" s="38"/>
      <c r="L877" s="38"/>
      <c r="M877" s="38" t="s">
        <v>2685</v>
      </c>
      <c r="N877" s="19">
        <v>100</v>
      </c>
      <c r="O877" s="76">
        <v>0</v>
      </c>
      <c r="P877" s="6">
        <v>65535</v>
      </c>
      <c r="Q877" s="38">
        <v>0</v>
      </c>
      <c r="R877" s="38">
        <v>655.35</v>
      </c>
      <c r="S877" s="34"/>
      <c r="T877" s="34"/>
      <c r="U877" s="34"/>
      <c r="V877" s="8"/>
      <c r="W877" t="s">
        <v>2716</v>
      </c>
      <c r="Y877" s="34" t="s">
        <v>64</v>
      </c>
      <c r="Z877"/>
      <c r="AA877"/>
      <c r="AE877"/>
      <c r="AF877"/>
      <c r="AG877"/>
      <c r="AH877"/>
    </row>
    <row r="878" spans="1:34" ht="15.75" customHeight="1" x14ac:dyDescent="0.15">
      <c r="A878" s="6">
        <v>872</v>
      </c>
      <c r="B878" s="18" t="s">
        <v>75</v>
      </c>
      <c r="C878" s="34" t="s">
        <v>2634</v>
      </c>
      <c r="D878" s="75" t="s">
        <v>2717</v>
      </c>
      <c r="E878" s="2" t="s">
        <v>77</v>
      </c>
      <c r="F878">
        <v>15028</v>
      </c>
      <c r="G878" s="6"/>
      <c r="H878" s="6" t="s">
        <v>2718</v>
      </c>
      <c r="I878" s="34"/>
      <c r="J878" s="38"/>
      <c r="K878" s="38"/>
      <c r="L878" s="38"/>
      <c r="M878" s="38" t="s">
        <v>560</v>
      </c>
      <c r="N878" s="19">
        <v>10</v>
      </c>
      <c r="O878" s="76">
        <v>0</v>
      </c>
      <c r="P878" s="6">
        <v>65535</v>
      </c>
      <c r="Q878" s="38">
        <v>0</v>
      </c>
      <c r="R878" s="38">
        <v>6553.5</v>
      </c>
      <c r="S878" s="34"/>
      <c r="T878" s="34"/>
      <c r="U878" s="34"/>
      <c r="V878" s="8"/>
      <c r="W878" t="s">
        <v>2719</v>
      </c>
      <c r="Y878" s="34" t="s">
        <v>64</v>
      </c>
      <c r="Z878"/>
      <c r="AA878"/>
      <c r="AE878"/>
      <c r="AF878"/>
      <c r="AG878"/>
      <c r="AH878"/>
    </row>
    <row r="879" spans="1:34" ht="15.75" customHeight="1" x14ac:dyDescent="0.15">
      <c r="A879" s="6">
        <v>873</v>
      </c>
      <c r="B879" s="18" t="s">
        <v>75</v>
      </c>
      <c r="C879" s="34" t="s">
        <v>2634</v>
      </c>
      <c r="D879" s="75" t="s">
        <v>2720</v>
      </c>
      <c r="E879" s="2" t="s">
        <v>2348</v>
      </c>
      <c r="F879">
        <v>15029</v>
      </c>
      <c r="G879" s="6"/>
      <c r="H879" s="6" t="s">
        <v>2721</v>
      </c>
      <c r="I879" s="34"/>
      <c r="J879" s="38"/>
      <c r="K879" s="38"/>
      <c r="L879" s="38"/>
      <c r="M879" s="38"/>
      <c r="N879" s="19"/>
      <c r="O879" s="76" t="s">
        <v>62</v>
      </c>
      <c r="P879" s="6" t="s">
        <v>62</v>
      </c>
      <c r="Q879" s="38" t="s">
        <v>62</v>
      </c>
      <c r="R879" s="38" t="s">
        <v>62</v>
      </c>
      <c r="S879" s="34"/>
      <c r="T879" s="34"/>
      <c r="U879" s="34"/>
      <c r="V879" s="8"/>
      <c r="W879" t="s">
        <v>2722</v>
      </c>
      <c r="X879" t="s">
        <v>2723</v>
      </c>
      <c r="Y879" s="34" t="s">
        <v>64</v>
      </c>
      <c r="Z879"/>
      <c r="AA879"/>
      <c r="AE879"/>
      <c r="AF879"/>
      <c r="AG879"/>
      <c r="AH879"/>
    </row>
    <row r="880" spans="1:34" ht="15.75" customHeight="1" x14ac:dyDescent="0.15">
      <c r="A880" s="6">
        <v>874</v>
      </c>
      <c r="B880" s="18" t="s">
        <v>75</v>
      </c>
      <c r="C880" s="34" t="s">
        <v>2634</v>
      </c>
      <c r="D880" s="75" t="s">
        <v>2724</v>
      </c>
      <c r="E880" s="2" t="s">
        <v>2348</v>
      </c>
      <c r="F880">
        <v>15030</v>
      </c>
      <c r="G880" s="6"/>
      <c r="H880" s="6" t="s">
        <v>2725</v>
      </c>
      <c r="I880" s="34"/>
      <c r="J880" s="38"/>
      <c r="K880" s="38"/>
      <c r="L880" s="38"/>
      <c r="M880" s="38"/>
      <c r="N880" s="19"/>
      <c r="O880" s="76" t="s">
        <v>62</v>
      </c>
      <c r="P880" s="6" t="s">
        <v>62</v>
      </c>
      <c r="Q880" s="38" t="s">
        <v>62</v>
      </c>
      <c r="R880" s="38" t="s">
        <v>62</v>
      </c>
      <c r="S880" s="34"/>
      <c r="T880" s="34"/>
      <c r="U880" s="34"/>
      <c r="V880" s="8"/>
      <c r="W880" t="s">
        <v>2726</v>
      </c>
      <c r="X880" t="s">
        <v>2727</v>
      </c>
      <c r="Y880" s="34" t="s">
        <v>64</v>
      </c>
      <c r="Z880"/>
      <c r="AA880"/>
      <c r="AE880"/>
      <c r="AF880"/>
      <c r="AG880"/>
      <c r="AH880"/>
    </row>
    <row r="881" spans="1:25" s="55" customFormat="1" ht="15.75" customHeight="1" x14ac:dyDescent="0.15">
      <c r="A881" s="6">
        <v>875</v>
      </c>
      <c r="B881" s="18" t="s">
        <v>75</v>
      </c>
      <c r="C881" s="34" t="s">
        <v>2634</v>
      </c>
      <c r="D881" s="75" t="s">
        <v>2728</v>
      </c>
      <c r="E881" s="2" t="s">
        <v>77</v>
      </c>
      <c r="F881">
        <v>15031</v>
      </c>
      <c r="G881" s="6"/>
      <c r="H881" s="6" t="s">
        <v>2729</v>
      </c>
      <c r="I881" s="34"/>
      <c r="J881" s="38"/>
      <c r="K881" s="38"/>
      <c r="L881" s="38"/>
      <c r="M881" s="38" t="s">
        <v>560</v>
      </c>
      <c r="N881" s="19">
        <v>10</v>
      </c>
      <c r="O881" s="76">
        <v>0</v>
      </c>
      <c r="P881" s="6">
        <v>65535</v>
      </c>
      <c r="Q881" s="38">
        <v>0</v>
      </c>
      <c r="R881" s="38">
        <v>6553.5</v>
      </c>
      <c r="S881" s="34"/>
      <c r="T881" s="34"/>
      <c r="U881" s="34"/>
      <c r="V881" s="8"/>
      <c r="W881" t="s">
        <v>2730</v>
      </c>
      <c r="X881"/>
      <c r="Y881" s="34" t="s">
        <v>64</v>
      </c>
    </row>
    <row r="882" spans="1:25" s="55" customFormat="1" ht="15.75" customHeight="1" x14ac:dyDescent="0.15">
      <c r="A882" s="6">
        <v>876</v>
      </c>
      <c r="B882" s="18" t="s">
        <v>75</v>
      </c>
      <c r="C882" s="34" t="s">
        <v>2634</v>
      </c>
      <c r="D882" s="75" t="s">
        <v>2728</v>
      </c>
      <c r="E882" s="2" t="s">
        <v>77</v>
      </c>
      <c r="F882">
        <v>15032</v>
      </c>
      <c r="G882" s="6"/>
      <c r="H882" s="6" t="s">
        <v>2731</v>
      </c>
      <c r="I882" s="34"/>
      <c r="J882" s="38"/>
      <c r="K882" s="38"/>
      <c r="L882" s="38"/>
      <c r="M882" s="38" t="s">
        <v>560</v>
      </c>
      <c r="N882" s="19">
        <v>10</v>
      </c>
      <c r="O882" s="76">
        <v>0</v>
      </c>
      <c r="P882" s="6">
        <v>65535</v>
      </c>
      <c r="Q882" s="38">
        <v>0</v>
      </c>
      <c r="R882" s="38">
        <v>6553.5</v>
      </c>
      <c r="S882" s="34"/>
      <c r="T882" s="34"/>
      <c r="U882" s="34"/>
      <c r="V882" s="8"/>
      <c r="W882" t="s">
        <v>2732</v>
      </c>
      <c r="X882"/>
      <c r="Y882" s="34" t="s">
        <v>64</v>
      </c>
    </row>
    <row r="883" spans="1:25" s="55" customFormat="1" ht="15.75" customHeight="1" x14ac:dyDescent="0.15">
      <c r="A883" s="6">
        <v>877</v>
      </c>
      <c r="B883" s="18" t="s">
        <v>75</v>
      </c>
      <c r="C883" s="34" t="s">
        <v>2634</v>
      </c>
      <c r="D883" s="75" t="s">
        <v>2733</v>
      </c>
      <c r="E883" s="2" t="s">
        <v>77</v>
      </c>
      <c r="F883">
        <v>15033</v>
      </c>
      <c r="G883" s="6"/>
      <c r="H883" s="6" t="s">
        <v>2734</v>
      </c>
      <c r="I883" s="34"/>
      <c r="J883" s="38"/>
      <c r="K883" s="38"/>
      <c r="L883" s="38"/>
      <c r="M883" s="38" t="s">
        <v>145</v>
      </c>
      <c r="N883" s="19">
        <v>1000</v>
      </c>
      <c r="O883" s="76">
        <v>0</v>
      </c>
      <c r="P883" s="6">
        <v>65535</v>
      </c>
      <c r="Q883" s="38">
        <v>0</v>
      </c>
      <c r="R883" s="38">
        <v>65.534999999999997</v>
      </c>
      <c r="S883" s="34"/>
      <c r="T883" s="34"/>
      <c r="U883" s="34"/>
      <c r="V883" s="8"/>
      <c r="W883" t="s">
        <v>2735</v>
      </c>
      <c r="X883"/>
      <c r="Y883" s="34" t="s">
        <v>64</v>
      </c>
    </row>
    <row r="884" spans="1:25" s="55" customFormat="1" ht="15.75" customHeight="1" x14ac:dyDescent="0.15">
      <c r="A884" s="6">
        <v>878</v>
      </c>
      <c r="B884" s="18" t="s">
        <v>75</v>
      </c>
      <c r="C884" s="34" t="s">
        <v>2634</v>
      </c>
      <c r="D884" s="75" t="s">
        <v>2736</v>
      </c>
      <c r="E884" s="2" t="s">
        <v>77</v>
      </c>
      <c r="F884">
        <v>15034</v>
      </c>
      <c r="G884" s="6"/>
      <c r="H884" s="6" t="s">
        <v>2737</v>
      </c>
      <c r="I884" s="34"/>
      <c r="J884" s="38"/>
      <c r="K884" s="38"/>
      <c r="L884" s="38"/>
      <c r="M884" s="38" t="s">
        <v>145</v>
      </c>
      <c r="N884" s="19">
        <v>1000</v>
      </c>
      <c r="O884" s="76">
        <v>0</v>
      </c>
      <c r="P884" s="6">
        <v>65535</v>
      </c>
      <c r="Q884" s="38">
        <v>0</v>
      </c>
      <c r="R884" s="38">
        <v>65.534999999999997</v>
      </c>
      <c r="S884" s="34"/>
      <c r="T884" s="34"/>
      <c r="U884" s="34"/>
      <c r="V884" s="8"/>
      <c r="W884" t="s">
        <v>2738</v>
      </c>
      <c r="X884"/>
      <c r="Y884" s="34" t="s">
        <v>64</v>
      </c>
    </row>
    <row r="885" spans="1:25" s="55" customFormat="1" ht="15.75" customHeight="1" x14ac:dyDescent="0.15">
      <c r="A885" s="6">
        <v>879</v>
      </c>
      <c r="B885" s="18" t="s">
        <v>75</v>
      </c>
      <c r="C885" s="34" t="s">
        <v>2634</v>
      </c>
      <c r="D885" s="75" t="s">
        <v>2739</v>
      </c>
      <c r="E885" s="2" t="s">
        <v>77</v>
      </c>
      <c r="F885">
        <v>15036</v>
      </c>
      <c r="G885" s="6"/>
      <c r="H885" s="6" t="s">
        <v>2740</v>
      </c>
      <c r="I885" s="34"/>
      <c r="J885" s="38"/>
      <c r="K885" s="38"/>
      <c r="L885" s="38"/>
      <c r="M885" s="38" t="s">
        <v>560</v>
      </c>
      <c r="N885" s="19">
        <v>10</v>
      </c>
      <c r="O885" s="76">
        <v>0</v>
      </c>
      <c r="P885" s="6">
        <v>65535</v>
      </c>
      <c r="Q885" s="38">
        <v>0</v>
      </c>
      <c r="R885" s="38">
        <v>6553.5</v>
      </c>
      <c r="S885" s="34"/>
      <c r="T885" s="34"/>
      <c r="U885" s="34"/>
      <c r="V885" s="8"/>
      <c r="W885" t="s">
        <v>2741</v>
      </c>
      <c r="X885"/>
      <c r="Y885" s="34" t="s">
        <v>64</v>
      </c>
    </row>
    <row r="886" spans="1:25" s="55" customFormat="1" ht="15.75" customHeight="1" x14ac:dyDescent="0.15">
      <c r="A886" s="6">
        <v>880</v>
      </c>
      <c r="B886" s="18" t="s">
        <v>75</v>
      </c>
      <c r="C886" s="34" t="s">
        <v>2634</v>
      </c>
      <c r="D886" s="75" t="s">
        <v>2742</v>
      </c>
      <c r="E886" s="2" t="s">
        <v>77</v>
      </c>
      <c r="F886">
        <v>15037</v>
      </c>
      <c r="G886" s="6"/>
      <c r="H886" s="6" t="s">
        <v>2743</v>
      </c>
      <c r="I886" s="34"/>
      <c r="J886" s="38"/>
      <c r="K886" s="38"/>
      <c r="L886" s="38"/>
      <c r="M886" s="38" t="s">
        <v>560</v>
      </c>
      <c r="N886" s="19">
        <v>10</v>
      </c>
      <c r="O886" s="76">
        <v>0</v>
      </c>
      <c r="P886" s="6">
        <v>65535</v>
      </c>
      <c r="Q886" s="38">
        <v>0</v>
      </c>
      <c r="R886" s="38">
        <v>6553.5</v>
      </c>
      <c r="S886" s="34"/>
      <c r="T886" s="34"/>
      <c r="U886" s="34"/>
      <c r="V886" s="8"/>
      <c r="W886" t="s">
        <v>2744</v>
      </c>
      <c r="X886"/>
      <c r="Y886" s="34" t="s">
        <v>64</v>
      </c>
    </row>
    <row r="887" spans="1:25" s="55" customFormat="1" ht="15.75" customHeight="1" x14ac:dyDescent="0.15">
      <c r="A887" s="6">
        <v>881</v>
      </c>
      <c r="B887" s="18" t="s">
        <v>75</v>
      </c>
      <c r="C887" s="34" t="s">
        <v>2634</v>
      </c>
      <c r="D887" s="75" t="s">
        <v>2745</v>
      </c>
      <c r="E887" s="2" t="s">
        <v>77</v>
      </c>
      <c r="F887">
        <v>15038</v>
      </c>
      <c r="G887" s="6"/>
      <c r="H887" s="6" t="s">
        <v>2746</v>
      </c>
      <c r="I887" s="34"/>
      <c r="J887" s="38"/>
      <c r="K887" s="38"/>
      <c r="L887" s="38"/>
      <c r="M887" s="38" t="s">
        <v>560</v>
      </c>
      <c r="N887" s="19">
        <v>10</v>
      </c>
      <c r="O887" s="76">
        <v>0</v>
      </c>
      <c r="P887" s="6">
        <v>65535</v>
      </c>
      <c r="Q887" s="38">
        <v>0</v>
      </c>
      <c r="R887" s="38">
        <v>6553.5</v>
      </c>
      <c r="S887" s="34"/>
      <c r="T887" s="34"/>
      <c r="U887" s="34"/>
      <c r="V887" s="8"/>
      <c r="W887" t="s">
        <v>2747</v>
      </c>
      <c r="X887"/>
      <c r="Y887" s="34" t="s">
        <v>64</v>
      </c>
    </row>
    <row r="888" spans="1:25" s="55" customFormat="1" ht="15.75" customHeight="1" x14ac:dyDescent="0.15">
      <c r="A888" s="6">
        <v>882</v>
      </c>
      <c r="B888" s="18" t="s">
        <v>75</v>
      </c>
      <c r="C888" s="34" t="s">
        <v>2634</v>
      </c>
      <c r="D888" s="75" t="s">
        <v>2748</v>
      </c>
      <c r="E888" s="2" t="s">
        <v>77</v>
      </c>
      <c r="F888">
        <v>15039</v>
      </c>
      <c r="G888" s="6"/>
      <c r="H888" s="6" t="s">
        <v>2749</v>
      </c>
      <c r="I888" s="34"/>
      <c r="J888" s="38"/>
      <c r="K888" s="38"/>
      <c r="L888" s="38"/>
      <c r="M888" s="38" t="s">
        <v>560</v>
      </c>
      <c r="N888" s="19">
        <v>10</v>
      </c>
      <c r="O888" s="76">
        <v>0</v>
      </c>
      <c r="P888" s="6">
        <v>65535</v>
      </c>
      <c r="Q888" s="38">
        <v>0</v>
      </c>
      <c r="R888" s="38">
        <v>6553.5</v>
      </c>
      <c r="S888" s="34"/>
      <c r="T888" s="34"/>
      <c r="U888" s="34"/>
      <c r="V888" s="8"/>
      <c r="W888" t="s">
        <v>2750</v>
      </c>
      <c r="X888"/>
      <c r="Y888" s="34" t="s">
        <v>64</v>
      </c>
    </row>
    <row r="889" spans="1:25" s="55" customFormat="1" ht="15.75" customHeight="1" x14ac:dyDescent="0.15">
      <c r="A889" s="6">
        <v>883</v>
      </c>
      <c r="B889" s="18" t="s">
        <v>75</v>
      </c>
      <c r="C889" s="34" t="s">
        <v>2634</v>
      </c>
      <c r="D889" s="75" t="s">
        <v>2751</v>
      </c>
      <c r="E889" s="2" t="s">
        <v>2348</v>
      </c>
      <c r="F889">
        <v>15048</v>
      </c>
      <c r="G889" s="6"/>
      <c r="H889" s="6" t="s">
        <v>2752</v>
      </c>
      <c r="I889" s="34"/>
      <c r="J889" s="38"/>
      <c r="K889" s="38" t="s">
        <v>197</v>
      </c>
      <c r="L889" s="38" t="s">
        <v>198</v>
      </c>
      <c r="M889" s="38"/>
      <c r="N889" s="19"/>
      <c r="O889" s="76" t="s">
        <v>62</v>
      </c>
      <c r="P889" s="6" t="s">
        <v>62</v>
      </c>
      <c r="Q889" s="38" t="s">
        <v>62</v>
      </c>
      <c r="R889" s="38" t="s">
        <v>62</v>
      </c>
      <c r="S889" s="34"/>
      <c r="T889" s="34"/>
      <c r="U889" s="34"/>
      <c r="V889" s="8"/>
      <c r="W889" t="s">
        <v>2753</v>
      </c>
      <c r="X889" t="s">
        <v>2666</v>
      </c>
      <c r="Y889" s="34"/>
    </row>
    <row r="890" spans="1:25" s="55" customFormat="1" ht="15.75" customHeight="1" x14ac:dyDescent="0.15">
      <c r="A890" s="6">
        <v>884</v>
      </c>
      <c r="B890" s="18" t="s">
        <v>75</v>
      </c>
      <c r="C890" s="34" t="s">
        <v>2634</v>
      </c>
      <c r="D890" s="75" t="s">
        <v>2754</v>
      </c>
      <c r="E890" s="2" t="s">
        <v>143</v>
      </c>
      <c r="F890">
        <v>15050</v>
      </c>
      <c r="G890" s="6"/>
      <c r="H890" s="6" t="s">
        <v>2755</v>
      </c>
      <c r="I890" s="34"/>
      <c r="J890" s="38"/>
      <c r="K890" s="38"/>
      <c r="L890" s="38"/>
      <c r="M890" s="38" t="s">
        <v>560</v>
      </c>
      <c r="N890" s="19">
        <v>10</v>
      </c>
      <c r="O890" s="76">
        <v>-32768</v>
      </c>
      <c r="P890" s="6">
        <v>32767</v>
      </c>
      <c r="Q890" s="38">
        <v>-3276.8</v>
      </c>
      <c r="R890" s="38">
        <v>3276.7</v>
      </c>
      <c r="S890" s="34"/>
      <c r="T890" s="34"/>
      <c r="U890" s="34"/>
      <c r="V890" s="8"/>
      <c r="W890" t="s">
        <v>2756</v>
      </c>
      <c r="X890"/>
      <c r="Y890" s="34" t="s">
        <v>64</v>
      </c>
    </row>
    <row r="891" spans="1:25" s="55" customFormat="1" ht="15.75" customHeight="1" x14ac:dyDescent="0.15">
      <c r="A891" s="6">
        <v>885</v>
      </c>
      <c r="B891" s="18" t="s">
        <v>75</v>
      </c>
      <c r="C891" s="34" t="s">
        <v>2634</v>
      </c>
      <c r="D891" s="75" t="s">
        <v>2757</v>
      </c>
      <c r="E891" s="2" t="s">
        <v>143</v>
      </c>
      <c r="F891">
        <v>15051</v>
      </c>
      <c r="G891" s="6"/>
      <c r="H891" s="6" t="s">
        <v>2758</v>
      </c>
      <c r="I891" s="34"/>
      <c r="J891" s="38"/>
      <c r="K891" s="38"/>
      <c r="L891" s="38"/>
      <c r="M891" s="38" t="s">
        <v>560</v>
      </c>
      <c r="N891" s="19">
        <v>10</v>
      </c>
      <c r="O891" s="76">
        <v>-32768</v>
      </c>
      <c r="P891" s="6">
        <v>32767</v>
      </c>
      <c r="Q891" s="38">
        <v>-3276.8</v>
      </c>
      <c r="R891" s="38">
        <v>3276.7</v>
      </c>
      <c r="S891" s="34"/>
      <c r="T891" s="34"/>
      <c r="U891" s="34"/>
      <c r="V891" s="8"/>
      <c r="W891" t="s">
        <v>2759</v>
      </c>
      <c r="X891"/>
      <c r="Y891" s="34" t="s">
        <v>64</v>
      </c>
    </row>
    <row r="892" spans="1:25" s="55" customFormat="1" ht="15.75" customHeight="1" x14ac:dyDescent="0.15">
      <c r="A892" s="6">
        <v>886</v>
      </c>
      <c r="B892" s="18" t="s">
        <v>75</v>
      </c>
      <c r="C892" s="34" t="s">
        <v>2634</v>
      </c>
      <c r="D892" s="75" t="s">
        <v>2760</v>
      </c>
      <c r="E892" s="2" t="s">
        <v>2348</v>
      </c>
      <c r="F892">
        <v>15054</v>
      </c>
      <c r="G892" s="6"/>
      <c r="H892" s="6" t="s">
        <v>2761</v>
      </c>
      <c r="I892" s="34"/>
      <c r="J892" s="38"/>
      <c r="K892" s="38"/>
      <c r="L892" s="38"/>
      <c r="M892" s="38"/>
      <c r="N892" s="19"/>
      <c r="O892" s="76" t="s">
        <v>62</v>
      </c>
      <c r="P892" s="6" t="s">
        <v>62</v>
      </c>
      <c r="Q892" s="38" t="s">
        <v>62</v>
      </c>
      <c r="R892" s="38" t="s">
        <v>62</v>
      </c>
      <c r="S892" s="34"/>
      <c r="T892" s="34"/>
      <c r="U892" s="34"/>
      <c r="V892" s="8"/>
      <c r="W892" t="s">
        <v>2762</v>
      </c>
      <c r="X892" t="s">
        <v>2763</v>
      </c>
      <c r="Y892" s="34" t="s">
        <v>64</v>
      </c>
    </row>
    <row r="893" spans="1:25" s="55" customFormat="1" ht="15.75" customHeight="1" x14ac:dyDescent="0.15">
      <c r="A893" s="6">
        <v>887</v>
      </c>
      <c r="B893" s="18" t="s">
        <v>75</v>
      </c>
      <c r="C893" s="34" t="s">
        <v>2634</v>
      </c>
      <c r="D893" s="75" t="s">
        <v>2764</v>
      </c>
      <c r="E893" s="2" t="s">
        <v>77</v>
      </c>
      <c r="F893">
        <v>15055</v>
      </c>
      <c r="G893" s="6"/>
      <c r="H893" s="6" t="s">
        <v>2765</v>
      </c>
      <c r="I893" s="34"/>
      <c r="J893" s="38"/>
      <c r="K893" s="38"/>
      <c r="L893" s="38"/>
      <c r="M893" s="38" t="s">
        <v>560</v>
      </c>
      <c r="N893" s="19">
        <v>100</v>
      </c>
      <c r="O893" s="76">
        <v>0</v>
      </c>
      <c r="P893" s="6">
        <v>65535</v>
      </c>
      <c r="Q893" s="38">
        <v>0</v>
      </c>
      <c r="R893" s="38">
        <v>655.35</v>
      </c>
      <c r="S893" s="34"/>
      <c r="T893" s="34"/>
      <c r="U893" s="34"/>
      <c r="V893" s="8"/>
      <c r="W893" t="s">
        <v>2766</v>
      </c>
      <c r="X893"/>
      <c r="Y893" s="34" t="s">
        <v>64</v>
      </c>
    </row>
    <row r="894" spans="1:25" s="55" customFormat="1" ht="15.75" customHeight="1" x14ac:dyDescent="0.15">
      <c r="A894" s="6">
        <v>888</v>
      </c>
      <c r="B894" s="18" t="s">
        <v>75</v>
      </c>
      <c r="C894" s="34" t="s">
        <v>2634</v>
      </c>
      <c r="D894" s="75" t="s">
        <v>2767</v>
      </c>
      <c r="E894" s="2" t="s">
        <v>77</v>
      </c>
      <c r="F894">
        <v>15056</v>
      </c>
      <c r="G894" s="6"/>
      <c r="H894" s="6" t="s">
        <v>2768</v>
      </c>
      <c r="I894" s="34"/>
      <c r="J894" s="38"/>
      <c r="K894" s="38"/>
      <c r="L894" s="38"/>
      <c r="M894" s="38" t="s">
        <v>560</v>
      </c>
      <c r="N894" s="19">
        <v>100</v>
      </c>
      <c r="O894" s="76">
        <v>0</v>
      </c>
      <c r="P894" s="6">
        <v>65535</v>
      </c>
      <c r="Q894" s="38">
        <v>0</v>
      </c>
      <c r="R894" s="38">
        <v>655.35</v>
      </c>
      <c r="S894" s="34"/>
      <c r="T894" s="34"/>
      <c r="U894" s="34"/>
      <c r="V894" s="8"/>
      <c r="W894" t="s">
        <v>2769</v>
      </c>
      <c r="X894"/>
      <c r="Y894" s="34" t="s">
        <v>64</v>
      </c>
    </row>
    <row r="895" spans="1:25" s="55" customFormat="1" ht="15.75" customHeight="1" x14ac:dyDescent="0.15">
      <c r="A895" s="6">
        <v>889</v>
      </c>
      <c r="B895" s="18" t="s">
        <v>75</v>
      </c>
      <c r="C895" s="34" t="s">
        <v>2634</v>
      </c>
      <c r="D895" s="75" t="s">
        <v>2770</v>
      </c>
      <c r="E895" s="2" t="s">
        <v>2348</v>
      </c>
      <c r="F895">
        <v>15059</v>
      </c>
      <c r="G895" s="6"/>
      <c r="H895" s="6" t="s">
        <v>2771</v>
      </c>
      <c r="I895" s="34"/>
      <c r="J895" s="38"/>
      <c r="K895" s="38"/>
      <c r="L895" s="38"/>
      <c r="M895" s="38"/>
      <c r="N895" s="19"/>
      <c r="O895" s="76" t="s">
        <v>62</v>
      </c>
      <c r="P895" s="6" t="s">
        <v>62</v>
      </c>
      <c r="Q895" s="38" t="s">
        <v>62</v>
      </c>
      <c r="R895" s="38" t="s">
        <v>62</v>
      </c>
      <c r="S895" s="34"/>
      <c r="T895" s="34"/>
      <c r="U895" s="34"/>
      <c r="V895" s="8"/>
      <c r="W895" t="s">
        <v>2772</v>
      </c>
      <c r="X895" t="s">
        <v>2763</v>
      </c>
      <c r="Y895" s="34"/>
    </row>
    <row r="896" spans="1:25" s="55" customFormat="1" ht="15.75" customHeight="1" x14ac:dyDescent="0.15">
      <c r="A896" s="6">
        <v>890</v>
      </c>
      <c r="B896" s="18" t="s">
        <v>75</v>
      </c>
      <c r="C896" s="34" t="s">
        <v>2634</v>
      </c>
      <c r="D896" s="75" t="s">
        <v>2773</v>
      </c>
      <c r="E896" s="2" t="s">
        <v>2348</v>
      </c>
      <c r="F896">
        <v>15060</v>
      </c>
      <c r="G896" s="6"/>
      <c r="H896" s="6" t="s">
        <v>2774</v>
      </c>
      <c r="I896" s="34"/>
      <c r="J896" s="38"/>
      <c r="K896" s="38"/>
      <c r="L896" s="38"/>
      <c r="M896" s="38"/>
      <c r="N896" s="19"/>
      <c r="O896" s="76" t="s">
        <v>62</v>
      </c>
      <c r="P896" s="6" t="s">
        <v>62</v>
      </c>
      <c r="Q896" s="38" t="s">
        <v>62</v>
      </c>
      <c r="R896" s="38" t="s">
        <v>62</v>
      </c>
      <c r="S896" s="34"/>
      <c r="T896" s="34"/>
      <c r="U896" s="34"/>
      <c r="V896" s="8"/>
      <c r="W896" t="s">
        <v>2775</v>
      </c>
      <c r="X896" t="s">
        <v>2763</v>
      </c>
      <c r="Y896" s="34" t="s">
        <v>64</v>
      </c>
    </row>
    <row r="897" spans="1:34" s="55" customFormat="1" ht="15.75" customHeight="1" x14ac:dyDescent="0.15">
      <c r="A897" s="6">
        <v>891</v>
      </c>
      <c r="B897" s="18" t="s">
        <v>75</v>
      </c>
      <c r="C897" s="34" t="s">
        <v>2634</v>
      </c>
      <c r="D897" s="75" t="s">
        <v>2776</v>
      </c>
      <c r="E897" s="2" t="s">
        <v>77</v>
      </c>
      <c r="F897">
        <v>15061</v>
      </c>
      <c r="G897" s="6"/>
      <c r="H897" s="6" t="s">
        <v>2777</v>
      </c>
      <c r="I897" s="34"/>
      <c r="J897" s="38"/>
      <c r="K897" s="38"/>
      <c r="L897" s="38"/>
      <c r="M897" s="38" t="s">
        <v>582</v>
      </c>
      <c r="N897" s="19">
        <v>1</v>
      </c>
      <c r="O897" s="76">
        <v>0</v>
      </c>
      <c r="P897" s="6">
        <v>65535</v>
      </c>
      <c r="Q897" s="38">
        <v>0</v>
      </c>
      <c r="R897" s="38">
        <v>65535</v>
      </c>
      <c r="S897" s="34"/>
      <c r="T897" s="34"/>
      <c r="U897" s="34"/>
      <c r="V897" s="8"/>
      <c r="W897" t="s">
        <v>2778</v>
      </c>
      <c r="X897"/>
      <c r="Y897" s="34" t="s">
        <v>64</v>
      </c>
    </row>
    <row r="898" spans="1:34" s="55" customFormat="1" ht="15.75" customHeight="1" x14ac:dyDescent="0.15">
      <c r="A898" s="6">
        <v>892</v>
      </c>
      <c r="B898" s="18" t="s">
        <v>75</v>
      </c>
      <c r="C898" s="34" t="s">
        <v>2634</v>
      </c>
      <c r="D898" s="75" t="s">
        <v>2779</v>
      </c>
      <c r="E898" s="2" t="s">
        <v>77</v>
      </c>
      <c r="F898">
        <v>15062</v>
      </c>
      <c r="G898" s="6"/>
      <c r="H898" s="6" t="s">
        <v>2780</v>
      </c>
      <c r="I898" s="34"/>
      <c r="J898" s="38"/>
      <c r="K898" s="38"/>
      <c r="L898" s="38"/>
      <c r="M898" s="38" t="s">
        <v>582</v>
      </c>
      <c r="N898" s="19">
        <v>1</v>
      </c>
      <c r="O898" s="76">
        <v>0</v>
      </c>
      <c r="P898" s="6">
        <v>65535</v>
      </c>
      <c r="Q898" s="38">
        <v>0</v>
      </c>
      <c r="R898" s="38">
        <v>65535</v>
      </c>
      <c r="S898" s="34"/>
      <c r="T898" s="34"/>
      <c r="U898" s="34"/>
      <c r="V898" s="8"/>
      <c r="W898" t="s">
        <v>2781</v>
      </c>
      <c r="X898"/>
      <c r="Y898" s="34" t="s">
        <v>64</v>
      </c>
    </row>
    <row r="899" spans="1:34" s="55" customFormat="1" ht="15.75" customHeight="1" x14ac:dyDescent="0.15">
      <c r="A899" s="6">
        <v>893</v>
      </c>
      <c r="B899" s="18" t="s">
        <v>75</v>
      </c>
      <c r="C899" s="34" t="s">
        <v>2634</v>
      </c>
      <c r="D899" s="75" t="s">
        <v>2782</v>
      </c>
      <c r="E899" s="2" t="s">
        <v>77</v>
      </c>
      <c r="F899">
        <v>15063</v>
      </c>
      <c r="G899" s="6"/>
      <c r="H899" s="6" t="s">
        <v>2783</v>
      </c>
      <c r="I899" s="34"/>
      <c r="J899" s="38"/>
      <c r="K899" s="38"/>
      <c r="L899" s="38"/>
      <c r="M899" s="38" t="s">
        <v>149</v>
      </c>
      <c r="N899" s="19">
        <v>100</v>
      </c>
      <c r="O899" s="76">
        <v>0</v>
      </c>
      <c r="P899" s="6">
        <v>65535</v>
      </c>
      <c r="Q899" s="38">
        <v>0</v>
      </c>
      <c r="R899" s="38">
        <v>655.35</v>
      </c>
      <c r="S899" s="34"/>
      <c r="T899" s="34"/>
      <c r="U899" s="34"/>
      <c r="V899" s="8"/>
      <c r="W899" t="s">
        <v>2784</v>
      </c>
      <c r="X899"/>
      <c r="Y899" s="34" t="s">
        <v>64</v>
      </c>
    </row>
    <row r="900" spans="1:34" s="55" customFormat="1" ht="15.75" customHeight="1" x14ac:dyDescent="0.15">
      <c r="A900" s="6">
        <v>894</v>
      </c>
      <c r="B900" s="18" t="s">
        <v>75</v>
      </c>
      <c r="C900" s="34" t="s">
        <v>2634</v>
      </c>
      <c r="D900" s="75" t="s">
        <v>2785</v>
      </c>
      <c r="E900" s="2" t="s">
        <v>77</v>
      </c>
      <c r="F900">
        <v>15064</v>
      </c>
      <c r="G900" s="6"/>
      <c r="H900" s="6" t="s">
        <v>2786</v>
      </c>
      <c r="I900" s="34"/>
      <c r="J900" s="38"/>
      <c r="K900" s="38"/>
      <c r="L900" s="38"/>
      <c r="M900" s="38" t="s">
        <v>149</v>
      </c>
      <c r="N900" s="19">
        <v>100</v>
      </c>
      <c r="O900" s="76">
        <v>0</v>
      </c>
      <c r="P900" s="6">
        <v>65535</v>
      </c>
      <c r="Q900" s="38">
        <v>0</v>
      </c>
      <c r="R900" s="38">
        <v>655.35</v>
      </c>
      <c r="S900" s="34"/>
      <c r="T900" s="34"/>
      <c r="U900" s="34"/>
      <c r="V900" s="8"/>
      <c r="W900" t="s">
        <v>2787</v>
      </c>
      <c r="X900"/>
      <c r="Y900" s="34" t="s">
        <v>64</v>
      </c>
    </row>
    <row r="901" spans="1:34" s="55" customFormat="1" ht="15.75" customHeight="1" x14ac:dyDescent="0.15">
      <c r="A901" s="6">
        <v>895</v>
      </c>
      <c r="B901" s="18" t="s">
        <v>75</v>
      </c>
      <c r="C901" s="34" t="s">
        <v>2634</v>
      </c>
      <c r="D901" s="75" t="s">
        <v>2788</v>
      </c>
      <c r="E901" s="2" t="s">
        <v>77</v>
      </c>
      <c r="F901">
        <v>15065</v>
      </c>
      <c r="G901" s="6"/>
      <c r="H901" s="6" t="s">
        <v>2789</v>
      </c>
      <c r="I901" s="34"/>
      <c r="J901" s="38"/>
      <c r="K901" s="38"/>
      <c r="L901" s="38"/>
      <c r="M901" s="38" t="s">
        <v>113</v>
      </c>
      <c r="N901" s="19">
        <v>10</v>
      </c>
      <c r="O901" s="76">
        <v>0</v>
      </c>
      <c r="P901" s="6">
        <v>65535</v>
      </c>
      <c r="Q901" s="38">
        <v>0</v>
      </c>
      <c r="R901" s="38">
        <v>6553.5</v>
      </c>
      <c r="S901" s="34"/>
      <c r="T901" s="34"/>
      <c r="U901" s="34"/>
      <c r="V901" s="8"/>
      <c r="W901" t="s">
        <v>2790</v>
      </c>
      <c r="X901"/>
      <c r="Y901" s="34" t="s">
        <v>64</v>
      </c>
    </row>
    <row r="902" spans="1:34" ht="15.75" customHeight="1" x14ac:dyDescent="0.15">
      <c r="A902" s="6">
        <v>896</v>
      </c>
      <c r="B902" s="18" t="s">
        <v>75</v>
      </c>
      <c r="C902" s="34" t="s">
        <v>2634</v>
      </c>
      <c r="D902" s="75" t="s">
        <v>2791</v>
      </c>
      <c r="E902" s="2" t="s">
        <v>2348</v>
      </c>
      <c r="F902">
        <v>15072</v>
      </c>
      <c r="G902" s="6"/>
      <c r="H902" s="6" t="s">
        <v>2792</v>
      </c>
      <c r="I902" s="34"/>
      <c r="J902" s="38"/>
      <c r="K902" s="38"/>
      <c r="L902" s="38"/>
      <c r="M902" s="38"/>
      <c r="N902" s="19"/>
      <c r="O902" s="76" t="s">
        <v>62</v>
      </c>
      <c r="P902" s="6" t="s">
        <v>62</v>
      </c>
      <c r="Q902" s="38" t="s">
        <v>62</v>
      </c>
      <c r="R902" s="38" t="s">
        <v>62</v>
      </c>
      <c r="S902" s="34"/>
      <c r="T902" s="34"/>
      <c r="U902" s="34"/>
      <c r="V902" s="8"/>
      <c r="W902" t="s">
        <v>2793</v>
      </c>
      <c r="X902" t="s">
        <v>2763</v>
      </c>
      <c r="Y902" s="34" t="s">
        <v>64</v>
      </c>
      <c r="Z902"/>
      <c r="AA902"/>
      <c r="AE902"/>
      <c r="AF902"/>
      <c r="AG902"/>
      <c r="AH902"/>
    </row>
    <row r="903" spans="1:34" ht="15.75" customHeight="1" x14ac:dyDescent="0.15">
      <c r="A903" s="6">
        <v>897</v>
      </c>
      <c r="B903" s="18" t="s">
        <v>75</v>
      </c>
      <c r="C903" s="34" t="s">
        <v>2634</v>
      </c>
      <c r="D903" s="75" t="s">
        <v>2794</v>
      </c>
      <c r="E903" s="2" t="s">
        <v>77</v>
      </c>
      <c r="F903">
        <v>15074</v>
      </c>
      <c r="G903" s="6"/>
      <c r="H903" s="6" t="s">
        <v>2795</v>
      </c>
      <c r="I903" s="34"/>
      <c r="J903" s="38"/>
      <c r="K903" s="38"/>
      <c r="L903" s="38"/>
      <c r="M903" s="38" t="s">
        <v>149</v>
      </c>
      <c r="N903" s="19">
        <v>100</v>
      </c>
      <c r="O903" s="76">
        <v>0</v>
      </c>
      <c r="P903" s="6">
        <v>65535</v>
      </c>
      <c r="Q903" s="38">
        <v>0</v>
      </c>
      <c r="R903" s="38">
        <v>655.35</v>
      </c>
      <c r="S903" s="34"/>
      <c r="T903" s="34"/>
      <c r="U903" s="34"/>
      <c r="V903" s="8"/>
      <c r="W903" t="s">
        <v>2796</v>
      </c>
      <c r="Y903" s="34" t="s">
        <v>64</v>
      </c>
      <c r="Z903"/>
      <c r="AA903"/>
      <c r="AE903"/>
      <c r="AF903"/>
      <c r="AG903"/>
      <c r="AH903"/>
    </row>
    <row r="904" spans="1:34" ht="15.75" customHeight="1" x14ac:dyDescent="0.15">
      <c r="A904" s="6">
        <v>898</v>
      </c>
      <c r="B904" s="18" t="s">
        <v>75</v>
      </c>
      <c r="C904" s="34" t="s">
        <v>2634</v>
      </c>
      <c r="D904" s="75" t="s">
        <v>2797</v>
      </c>
      <c r="E904" s="2" t="s">
        <v>77</v>
      </c>
      <c r="F904">
        <v>15075</v>
      </c>
      <c r="G904" s="6"/>
      <c r="H904" s="6" t="s">
        <v>2798</v>
      </c>
      <c r="I904" s="34"/>
      <c r="J904" s="38"/>
      <c r="K904" s="38"/>
      <c r="L904" s="38"/>
      <c r="M904" s="38" t="s">
        <v>149</v>
      </c>
      <c r="N904" s="19">
        <v>100</v>
      </c>
      <c r="O904" s="76">
        <v>0</v>
      </c>
      <c r="P904" s="6">
        <v>65535</v>
      </c>
      <c r="Q904" s="38">
        <v>0</v>
      </c>
      <c r="R904" s="38">
        <v>655.35</v>
      </c>
      <c r="S904" s="34"/>
      <c r="T904" s="34"/>
      <c r="U904" s="34"/>
      <c r="V904" s="8"/>
      <c r="W904" t="s">
        <v>2799</v>
      </c>
      <c r="Y904" s="34" t="s">
        <v>64</v>
      </c>
      <c r="Z904"/>
      <c r="AA904"/>
      <c r="AE904"/>
      <c r="AF904"/>
      <c r="AG904"/>
      <c r="AH904"/>
    </row>
    <row r="905" spans="1:34" ht="15.75" customHeight="1" x14ac:dyDescent="0.15">
      <c r="A905" s="6">
        <v>899</v>
      </c>
      <c r="B905" s="18" t="s">
        <v>75</v>
      </c>
      <c r="C905" s="34" t="s">
        <v>2634</v>
      </c>
      <c r="D905" s="75" t="s">
        <v>2800</v>
      </c>
      <c r="E905" s="2" t="s">
        <v>77</v>
      </c>
      <c r="F905">
        <v>15076</v>
      </c>
      <c r="G905" s="6"/>
      <c r="H905" s="6" t="s">
        <v>2801</v>
      </c>
      <c r="I905" s="34"/>
      <c r="J905" s="38"/>
      <c r="K905" s="38"/>
      <c r="L905" s="38"/>
      <c r="M905" s="38" t="s">
        <v>145</v>
      </c>
      <c r="N905" s="19">
        <v>1</v>
      </c>
      <c r="O905" s="76">
        <v>0</v>
      </c>
      <c r="P905" s="6">
        <v>65535</v>
      </c>
      <c r="Q905" s="38">
        <v>0</v>
      </c>
      <c r="R905" s="38">
        <v>65535</v>
      </c>
      <c r="S905" s="34"/>
      <c r="T905" s="34"/>
      <c r="U905" s="34"/>
      <c r="V905" s="8"/>
      <c r="W905" t="s">
        <v>2802</v>
      </c>
      <c r="Y905" s="34" t="s">
        <v>64</v>
      </c>
      <c r="Z905"/>
      <c r="AA905"/>
      <c r="AE905"/>
      <c r="AF905"/>
      <c r="AG905"/>
      <c r="AH905"/>
    </row>
    <row r="906" spans="1:34" ht="15.75" customHeight="1" x14ac:dyDescent="0.15">
      <c r="A906" s="6">
        <v>900</v>
      </c>
      <c r="B906" s="18" t="s">
        <v>75</v>
      </c>
      <c r="C906" s="34" t="s">
        <v>2634</v>
      </c>
      <c r="D906" s="75" t="s">
        <v>2803</v>
      </c>
      <c r="E906" s="2" t="s">
        <v>77</v>
      </c>
      <c r="F906">
        <v>15077</v>
      </c>
      <c r="G906" s="6"/>
      <c r="H906" s="6" t="s">
        <v>2804</v>
      </c>
      <c r="I906" s="34"/>
      <c r="J906" s="38"/>
      <c r="K906" s="38"/>
      <c r="L906" s="38"/>
      <c r="M906" s="38" t="s">
        <v>560</v>
      </c>
      <c r="N906" s="19">
        <v>10</v>
      </c>
      <c r="O906" s="76">
        <v>0</v>
      </c>
      <c r="P906" s="6">
        <v>65535</v>
      </c>
      <c r="Q906" s="38">
        <v>0</v>
      </c>
      <c r="R906" s="38">
        <v>6553.5</v>
      </c>
      <c r="S906" s="34"/>
      <c r="T906" s="34"/>
      <c r="U906" s="34"/>
      <c r="V906" s="8"/>
      <c r="W906" t="s">
        <v>2805</v>
      </c>
      <c r="Y906" s="34" t="s">
        <v>64</v>
      </c>
      <c r="Z906"/>
      <c r="AA906"/>
      <c r="AE906"/>
      <c r="AF906"/>
      <c r="AG906"/>
      <c r="AH906"/>
    </row>
    <row r="907" spans="1:34" ht="15.75" customHeight="1" x14ac:dyDescent="0.15">
      <c r="A907" s="6">
        <v>901</v>
      </c>
      <c r="B907" s="18" t="s">
        <v>75</v>
      </c>
      <c r="C907" s="34" t="s">
        <v>2634</v>
      </c>
      <c r="D907" s="75" t="s">
        <v>2806</v>
      </c>
      <c r="E907" s="2" t="s">
        <v>2348</v>
      </c>
      <c r="F907">
        <v>15078</v>
      </c>
      <c r="G907" s="6"/>
      <c r="H907" s="6" t="s">
        <v>2807</v>
      </c>
      <c r="I907" s="34"/>
      <c r="J907" s="38"/>
      <c r="K907" s="38"/>
      <c r="L907" s="38"/>
      <c r="M907" s="38"/>
      <c r="N907" s="19"/>
      <c r="O907" s="76" t="s">
        <v>62</v>
      </c>
      <c r="P907" s="6" t="s">
        <v>62</v>
      </c>
      <c r="Q907" s="38" t="s">
        <v>62</v>
      </c>
      <c r="R907" s="38" t="s">
        <v>62</v>
      </c>
      <c r="S907" s="34"/>
      <c r="T907" s="34"/>
      <c r="U907" s="34"/>
      <c r="V907" s="8"/>
      <c r="W907" t="s">
        <v>2808</v>
      </c>
      <c r="X907" t="s">
        <v>2727</v>
      </c>
      <c r="Y907" s="34" t="s">
        <v>64</v>
      </c>
      <c r="Z907"/>
      <c r="AA907"/>
      <c r="AE907"/>
      <c r="AF907"/>
      <c r="AG907"/>
      <c r="AH907"/>
    </row>
    <row r="908" spans="1:34" ht="15.75" customHeight="1" x14ac:dyDescent="0.15">
      <c r="A908" s="6">
        <v>902</v>
      </c>
      <c r="B908" s="18" t="s">
        <v>75</v>
      </c>
      <c r="C908" s="34" t="s">
        <v>2634</v>
      </c>
      <c r="D908" s="75" t="s">
        <v>2809</v>
      </c>
      <c r="E908" s="2" t="s">
        <v>77</v>
      </c>
      <c r="F908">
        <v>15079</v>
      </c>
      <c r="G908" s="6"/>
      <c r="H908" s="6" t="s">
        <v>2810</v>
      </c>
      <c r="I908" s="34"/>
      <c r="J908" s="38"/>
      <c r="K908" s="38"/>
      <c r="L908" s="38"/>
      <c r="M908" s="38" t="s">
        <v>560</v>
      </c>
      <c r="N908" s="19">
        <v>10</v>
      </c>
      <c r="O908" s="76">
        <v>0</v>
      </c>
      <c r="P908" s="6">
        <v>65535</v>
      </c>
      <c r="Q908" s="38">
        <v>0</v>
      </c>
      <c r="R908" s="38">
        <v>6553.5</v>
      </c>
      <c r="S908" s="34"/>
      <c r="T908" s="34"/>
      <c r="U908" s="34"/>
      <c r="V908" s="8"/>
      <c r="W908" t="s">
        <v>2811</v>
      </c>
      <c r="Y908" s="34" t="s">
        <v>64</v>
      </c>
      <c r="Z908"/>
      <c r="AA908"/>
      <c r="AE908"/>
      <c r="AF908"/>
      <c r="AG908"/>
      <c r="AH908"/>
    </row>
    <row r="909" spans="1:34" ht="15.75" customHeight="1" x14ac:dyDescent="0.15">
      <c r="A909" s="6">
        <v>903</v>
      </c>
      <c r="B909" s="18" t="s">
        <v>75</v>
      </c>
      <c r="C909" s="34" t="s">
        <v>2634</v>
      </c>
      <c r="D909" s="75" t="s">
        <v>2812</v>
      </c>
      <c r="E909" s="2" t="s">
        <v>77</v>
      </c>
      <c r="F909">
        <v>15080</v>
      </c>
      <c r="G909" s="6"/>
      <c r="H909" s="6" t="s">
        <v>2813</v>
      </c>
      <c r="I909" s="34"/>
      <c r="J909" s="38"/>
      <c r="K909" s="38"/>
      <c r="L909" s="38"/>
      <c r="M909" s="38" t="s">
        <v>149</v>
      </c>
      <c r="N909" s="19">
        <v>100</v>
      </c>
      <c r="O909" s="76">
        <v>0</v>
      </c>
      <c r="P909" s="6">
        <v>65535</v>
      </c>
      <c r="Q909" s="38">
        <v>0</v>
      </c>
      <c r="R909" s="38">
        <v>655.35</v>
      </c>
      <c r="S909" s="34"/>
      <c r="T909" s="34"/>
      <c r="U909" s="34"/>
      <c r="V909" s="8"/>
      <c r="W909" t="s">
        <v>2814</v>
      </c>
      <c r="Y909" s="34" t="s">
        <v>64</v>
      </c>
      <c r="Z909"/>
      <c r="AA909"/>
      <c r="AE909"/>
      <c r="AF909"/>
      <c r="AG909"/>
      <c r="AH909"/>
    </row>
    <row r="910" spans="1:34" ht="15.75" customHeight="1" x14ac:dyDescent="0.15">
      <c r="A910" s="6">
        <v>904</v>
      </c>
      <c r="B910" s="18" t="s">
        <v>75</v>
      </c>
      <c r="C910" s="34" t="s">
        <v>2634</v>
      </c>
      <c r="D910" s="75" t="s">
        <v>2815</v>
      </c>
      <c r="E910" s="2" t="s">
        <v>77</v>
      </c>
      <c r="F910">
        <v>15081</v>
      </c>
      <c r="G910" s="6"/>
      <c r="H910" s="6" t="s">
        <v>2816</v>
      </c>
      <c r="I910" s="34"/>
      <c r="J910" s="38"/>
      <c r="K910" s="38"/>
      <c r="L910" s="38"/>
      <c r="M910" s="38" t="s">
        <v>149</v>
      </c>
      <c r="N910" s="19">
        <v>100</v>
      </c>
      <c r="O910" s="76">
        <v>0</v>
      </c>
      <c r="P910" s="6">
        <v>65535</v>
      </c>
      <c r="Q910" s="38">
        <v>0</v>
      </c>
      <c r="R910" s="38">
        <v>655.35</v>
      </c>
      <c r="S910" s="34"/>
      <c r="T910" s="34"/>
      <c r="U910" s="34"/>
      <c r="V910" s="8"/>
      <c r="W910" t="s">
        <v>2817</v>
      </c>
      <c r="Y910" s="34" t="s">
        <v>64</v>
      </c>
      <c r="Z910"/>
      <c r="AA910"/>
      <c r="AE910"/>
      <c r="AF910"/>
      <c r="AG910"/>
      <c r="AH910"/>
    </row>
    <row r="911" spans="1:34" ht="15.75" customHeight="1" x14ac:dyDescent="0.15">
      <c r="A911" s="6">
        <v>905</v>
      </c>
      <c r="B911" s="18" t="s">
        <v>75</v>
      </c>
      <c r="C911" s="34" t="s">
        <v>2634</v>
      </c>
      <c r="D911" s="75" t="s">
        <v>2818</v>
      </c>
      <c r="E911" s="2" t="s">
        <v>77</v>
      </c>
      <c r="F911">
        <v>15082</v>
      </c>
      <c r="G911" s="6"/>
      <c r="H911" s="6" t="s">
        <v>2819</v>
      </c>
      <c r="I911" s="34"/>
      <c r="J911" s="38"/>
      <c r="K911" s="38"/>
      <c r="L911" s="38"/>
      <c r="M911" s="38" t="s">
        <v>145</v>
      </c>
      <c r="N911" s="19">
        <v>1</v>
      </c>
      <c r="O911" s="76">
        <v>0</v>
      </c>
      <c r="P911" s="6">
        <v>65535</v>
      </c>
      <c r="Q911" s="38">
        <v>0</v>
      </c>
      <c r="R911" s="38">
        <v>65535</v>
      </c>
      <c r="S911" s="34"/>
      <c r="T911" s="34"/>
      <c r="U911" s="34"/>
      <c r="V911" s="8"/>
      <c r="W911" t="s">
        <v>2820</v>
      </c>
      <c r="Y911" s="34" t="s">
        <v>64</v>
      </c>
      <c r="Z911"/>
      <c r="AA911"/>
      <c r="AE911"/>
      <c r="AF911"/>
      <c r="AG911"/>
      <c r="AH911"/>
    </row>
    <row r="912" spans="1:34" ht="15.75" customHeight="1" x14ac:dyDescent="0.15">
      <c r="A912" s="6">
        <v>906</v>
      </c>
      <c r="B912" s="18" t="s">
        <v>75</v>
      </c>
      <c r="C912" s="34" t="s">
        <v>2634</v>
      </c>
      <c r="D912" s="75" t="s">
        <v>2821</v>
      </c>
      <c r="E912" s="2" t="s">
        <v>77</v>
      </c>
      <c r="F912">
        <v>15083</v>
      </c>
      <c r="G912" s="6"/>
      <c r="H912" s="6" t="s">
        <v>2822</v>
      </c>
      <c r="I912" s="34"/>
      <c r="J912" s="38"/>
      <c r="K912" s="38"/>
      <c r="L912" s="38"/>
      <c r="M912" s="38" t="s">
        <v>560</v>
      </c>
      <c r="N912" s="19">
        <v>10</v>
      </c>
      <c r="O912" s="76">
        <v>0</v>
      </c>
      <c r="P912" s="6">
        <v>65535</v>
      </c>
      <c r="Q912" s="38">
        <v>0</v>
      </c>
      <c r="R912" s="38">
        <v>6553.5</v>
      </c>
      <c r="S912" s="34"/>
      <c r="T912" s="34"/>
      <c r="U912" s="34"/>
      <c r="V912" s="8"/>
      <c r="W912" t="s">
        <v>2823</v>
      </c>
      <c r="Y912" s="34" t="s">
        <v>64</v>
      </c>
      <c r="Z912"/>
      <c r="AA912"/>
      <c r="AE912"/>
      <c r="AF912"/>
      <c r="AG912"/>
      <c r="AH912"/>
    </row>
    <row r="913" spans="1:34" ht="15.75" customHeight="1" x14ac:dyDescent="0.15">
      <c r="A913" s="6">
        <v>907</v>
      </c>
      <c r="B913" s="18" t="s">
        <v>75</v>
      </c>
      <c r="C913" s="34" t="s">
        <v>2634</v>
      </c>
      <c r="D913" s="75" t="s">
        <v>2824</v>
      </c>
      <c r="E913" s="2" t="s">
        <v>77</v>
      </c>
      <c r="F913">
        <v>15087</v>
      </c>
      <c r="G913" s="6"/>
      <c r="H913" s="6" t="s">
        <v>2825</v>
      </c>
      <c r="I913" s="34"/>
      <c r="J913" s="38"/>
      <c r="K913" s="38"/>
      <c r="L913" s="38"/>
      <c r="M913" s="38" t="s">
        <v>123</v>
      </c>
      <c r="N913" s="19">
        <v>100</v>
      </c>
      <c r="O913" s="76">
        <v>0</v>
      </c>
      <c r="P913" s="6">
        <v>65535</v>
      </c>
      <c r="Q913" s="38">
        <v>0</v>
      </c>
      <c r="R913" s="38">
        <v>655.35</v>
      </c>
      <c r="S913" s="34"/>
      <c r="T913" s="34"/>
      <c r="U913" s="34"/>
      <c r="V913" s="8"/>
      <c r="W913" t="s">
        <v>2826</v>
      </c>
      <c r="Y913" s="34" t="s">
        <v>64</v>
      </c>
      <c r="Z913"/>
      <c r="AA913"/>
      <c r="AE913"/>
      <c r="AF913"/>
      <c r="AG913"/>
      <c r="AH913"/>
    </row>
    <row r="914" spans="1:34" ht="15.75" customHeight="1" x14ac:dyDescent="0.15">
      <c r="A914" s="6">
        <v>908</v>
      </c>
      <c r="B914" s="18" t="s">
        <v>75</v>
      </c>
      <c r="C914" s="34" t="s">
        <v>2634</v>
      </c>
      <c r="D914" s="75" t="s">
        <v>2827</v>
      </c>
      <c r="E914" s="2" t="s">
        <v>77</v>
      </c>
      <c r="F914">
        <v>15115</v>
      </c>
      <c r="G914" s="6"/>
      <c r="H914" s="6" t="s">
        <v>2828</v>
      </c>
      <c r="I914" s="34"/>
      <c r="J914" s="38"/>
      <c r="K914" s="38"/>
      <c r="L914" s="38"/>
      <c r="M914" s="38" t="s">
        <v>2261</v>
      </c>
      <c r="N914" s="19">
        <v>1</v>
      </c>
      <c r="O914" s="76">
        <v>0</v>
      </c>
      <c r="P914" s="6">
        <v>65535</v>
      </c>
      <c r="Q914" s="38">
        <v>0</v>
      </c>
      <c r="R914" s="38">
        <v>65535</v>
      </c>
      <c r="S914" s="34"/>
      <c r="T914" s="34"/>
      <c r="U914" s="34"/>
      <c r="V914" s="8"/>
      <c r="W914" t="s">
        <v>2829</v>
      </c>
      <c r="Y914" s="34"/>
      <c r="Z914"/>
      <c r="AA914"/>
      <c r="AE914"/>
      <c r="AF914"/>
      <c r="AG914"/>
      <c r="AH914"/>
    </row>
    <row r="915" spans="1:34" ht="15.75" customHeight="1" x14ac:dyDescent="0.15">
      <c r="A915" s="6">
        <v>909</v>
      </c>
      <c r="B915" s="18" t="s">
        <v>75</v>
      </c>
      <c r="C915" s="34" t="s">
        <v>2634</v>
      </c>
      <c r="D915" s="75" t="s">
        <v>2830</v>
      </c>
      <c r="E915" s="2" t="s">
        <v>77</v>
      </c>
      <c r="F915">
        <v>15119</v>
      </c>
      <c r="G915" s="6"/>
      <c r="H915" s="6" t="s">
        <v>2831</v>
      </c>
      <c r="I915" s="34"/>
      <c r="J915" s="38"/>
      <c r="K915" s="38"/>
      <c r="L915" s="38"/>
      <c r="M915" s="38" t="s">
        <v>560</v>
      </c>
      <c r="N915" s="19">
        <v>10</v>
      </c>
      <c r="O915" s="76">
        <v>0</v>
      </c>
      <c r="P915" s="6">
        <v>65535</v>
      </c>
      <c r="Q915" s="38">
        <v>0</v>
      </c>
      <c r="R915" s="38">
        <v>6553.5</v>
      </c>
      <c r="S915" s="34"/>
      <c r="T915" s="34"/>
      <c r="U915" s="34"/>
      <c r="V915" s="8"/>
      <c r="W915" t="s">
        <v>2832</v>
      </c>
      <c r="Y915" s="34" t="s">
        <v>64</v>
      </c>
      <c r="Z915"/>
      <c r="AA915"/>
      <c r="AE915"/>
      <c r="AF915"/>
      <c r="AG915"/>
      <c r="AH915"/>
    </row>
    <row r="916" spans="1:34" ht="15.75" customHeight="1" x14ac:dyDescent="0.15">
      <c r="A916" s="6">
        <v>910</v>
      </c>
      <c r="B916" s="18" t="s">
        <v>75</v>
      </c>
      <c r="C916" s="34" t="s">
        <v>2634</v>
      </c>
      <c r="D916" s="75" t="s">
        <v>2833</v>
      </c>
      <c r="E916" s="2" t="s">
        <v>77</v>
      </c>
      <c r="F916">
        <v>15120</v>
      </c>
      <c r="G916" s="6"/>
      <c r="H916" s="6" t="s">
        <v>2834</v>
      </c>
      <c r="I916" s="34"/>
      <c r="J916" s="38"/>
      <c r="K916" s="38"/>
      <c r="L916" s="38"/>
      <c r="M916" s="38" t="s">
        <v>560</v>
      </c>
      <c r="N916" s="19">
        <v>10</v>
      </c>
      <c r="O916" s="76">
        <v>0</v>
      </c>
      <c r="P916" s="6">
        <v>65535</v>
      </c>
      <c r="Q916" s="38">
        <v>0</v>
      </c>
      <c r="R916" s="38">
        <v>6553.5</v>
      </c>
      <c r="S916" s="34"/>
      <c r="T916" s="34"/>
      <c r="U916" s="34"/>
      <c r="V916" s="8"/>
      <c r="W916" t="s">
        <v>2835</v>
      </c>
      <c r="Y916" s="34" t="s">
        <v>64</v>
      </c>
      <c r="Z916"/>
      <c r="AA916"/>
      <c r="AE916"/>
      <c r="AF916"/>
      <c r="AG916"/>
      <c r="AH916"/>
    </row>
    <row r="917" spans="1:34" s="55" customFormat="1" ht="15.75" customHeight="1" x14ac:dyDescent="0.15">
      <c r="A917" s="6">
        <v>911</v>
      </c>
      <c r="B917" s="18" t="s">
        <v>75</v>
      </c>
      <c r="C917" s="34" t="s">
        <v>2634</v>
      </c>
      <c r="D917" s="75" t="s">
        <v>2836</v>
      </c>
      <c r="E917" s="2" t="s">
        <v>77</v>
      </c>
      <c r="F917">
        <v>15121</v>
      </c>
      <c r="G917" s="6"/>
      <c r="H917" s="6" t="s">
        <v>2837</v>
      </c>
      <c r="I917" s="34"/>
      <c r="J917" s="38"/>
      <c r="K917" s="38"/>
      <c r="L917" s="38"/>
      <c r="M917" s="38" t="s">
        <v>560</v>
      </c>
      <c r="N917" s="19">
        <v>10</v>
      </c>
      <c r="O917" s="76">
        <v>0</v>
      </c>
      <c r="P917" s="6">
        <v>65535</v>
      </c>
      <c r="Q917" s="38">
        <v>0</v>
      </c>
      <c r="R917" s="38">
        <v>6553.5</v>
      </c>
      <c r="S917" s="34"/>
      <c r="T917" s="34"/>
      <c r="U917" s="34"/>
      <c r="V917" s="8"/>
      <c r="W917" t="s">
        <v>2838</v>
      </c>
      <c r="X917"/>
      <c r="Y917" s="34" t="s">
        <v>64</v>
      </c>
    </row>
    <row r="918" spans="1:34" s="55" customFormat="1" ht="15.75" customHeight="1" x14ac:dyDescent="0.15">
      <c r="A918" s="6">
        <v>912</v>
      </c>
      <c r="B918" s="18" t="s">
        <v>75</v>
      </c>
      <c r="C918" s="34" t="s">
        <v>2634</v>
      </c>
      <c r="D918" s="75" t="s">
        <v>2839</v>
      </c>
      <c r="E918" s="2" t="s">
        <v>77</v>
      </c>
      <c r="F918">
        <v>15122</v>
      </c>
      <c r="G918" s="6"/>
      <c r="H918" s="6" t="s">
        <v>2840</v>
      </c>
      <c r="I918" s="34"/>
      <c r="J918" s="38"/>
      <c r="K918" s="38"/>
      <c r="L918" s="38"/>
      <c r="M918" s="38" t="s">
        <v>560</v>
      </c>
      <c r="N918" s="19">
        <v>10</v>
      </c>
      <c r="O918" s="76">
        <v>0</v>
      </c>
      <c r="P918" s="6">
        <v>65535</v>
      </c>
      <c r="Q918" s="38">
        <v>0</v>
      </c>
      <c r="R918" s="38">
        <v>6553.5</v>
      </c>
      <c r="S918" s="34"/>
      <c r="T918" s="34"/>
      <c r="U918" s="34"/>
      <c r="V918" s="8"/>
      <c r="W918" t="s">
        <v>2841</v>
      </c>
      <c r="X918"/>
      <c r="Y918" s="34" t="s">
        <v>64</v>
      </c>
    </row>
    <row r="919" spans="1:34" s="55" customFormat="1" ht="15.75" customHeight="1" x14ac:dyDescent="0.15">
      <c r="A919" s="6">
        <v>913</v>
      </c>
      <c r="B919" s="18" t="s">
        <v>75</v>
      </c>
      <c r="C919" s="34" t="s">
        <v>2634</v>
      </c>
      <c r="D919" s="75" t="s">
        <v>2842</v>
      </c>
      <c r="E919" s="2" t="s">
        <v>77</v>
      </c>
      <c r="F919">
        <v>15123</v>
      </c>
      <c r="G919" s="6"/>
      <c r="H919" s="6" t="s">
        <v>2843</v>
      </c>
      <c r="I919" s="34"/>
      <c r="J919" s="38"/>
      <c r="K919" s="38"/>
      <c r="L919" s="38"/>
      <c r="M919" s="38" t="s">
        <v>560</v>
      </c>
      <c r="N919" s="19">
        <v>10</v>
      </c>
      <c r="O919" s="76">
        <v>0</v>
      </c>
      <c r="P919" s="6">
        <v>65535</v>
      </c>
      <c r="Q919" s="38">
        <v>0</v>
      </c>
      <c r="R919" s="38">
        <v>6553.5</v>
      </c>
      <c r="S919" s="34"/>
      <c r="T919" s="34"/>
      <c r="U919" s="34"/>
      <c r="V919" s="8"/>
      <c r="W919" t="s">
        <v>2844</v>
      </c>
      <c r="X919"/>
      <c r="Y919" s="34" t="s">
        <v>64</v>
      </c>
    </row>
    <row r="920" spans="1:34" s="55" customFormat="1" ht="15.75" customHeight="1" x14ac:dyDescent="0.15">
      <c r="A920" s="6">
        <v>914</v>
      </c>
      <c r="B920" s="18" t="s">
        <v>75</v>
      </c>
      <c r="C920" s="34" t="s">
        <v>2634</v>
      </c>
      <c r="D920" s="75" t="s">
        <v>2845</v>
      </c>
      <c r="E920" s="2" t="s">
        <v>77</v>
      </c>
      <c r="F920">
        <v>15129</v>
      </c>
      <c r="G920" s="6"/>
      <c r="H920" s="6" t="s">
        <v>2846</v>
      </c>
      <c r="I920" s="34"/>
      <c r="J920" s="38"/>
      <c r="K920" s="38"/>
      <c r="L920" s="38"/>
      <c r="M920" s="38" t="s">
        <v>560</v>
      </c>
      <c r="N920" s="19">
        <v>10</v>
      </c>
      <c r="O920" s="76">
        <v>0</v>
      </c>
      <c r="P920" s="6">
        <v>65535</v>
      </c>
      <c r="Q920" s="38">
        <v>0</v>
      </c>
      <c r="R920" s="38">
        <v>6553.5</v>
      </c>
      <c r="S920" s="34"/>
      <c r="T920" s="34"/>
      <c r="U920" s="34"/>
      <c r="V920" s="8"/>
      <c r="W920" t="s">
        <v>2847</v>
      </c>
      <c r="X920"/>
      <c r="Y920" s="34" t="s">
        <v>64</v>
      </c>
    </row>
    <row r="921" spans="1:34" s="55" customFormat="1" ht="15.75" customHeight="1" x14ac:dyDescent="0.15">
      <c r="A921" s="6">
        <v>915</v>
      </c>
      <c r="B921" s="18" t="s">
        <v>75</v>
      </c>
      <c r="C921" s="34" t="s">
        <v>2634</v>
      </c>
      <c r="D921" s="75" t="s">
        <v>2848</v>
      </c>
      <c r="E921" s="2" t="s">
        <v>77</v>
      </c>
      <c r="F921">
        <v>15130</v>
      </c>
      <c r="G921" s="6"/>
      <c r="H921" s="6" t="s">
        <v>2849</v>
      </c>
      <c r="I921" s="34"/>
      <c r="J921" s="38"/>
      <c r="K921" s="38"/>
      <c r="L921" s="38"/>
      <c r="M921" s="38" t="s">
        <v>560</v>
      </c>
      <c r="N921" s="19">
        <v>10</v>
      </c>
      <c r="O921" s="76">
        <v>0</v>
      </c>
      <c r="P921" s="6">
        <v>65535</v>
      </c>
      <c r="Q921" s="38">
        <v>0</v>
      </c>
      <c r="R921" s="38">
        <v>6553.5</v>
      </c>
      <c r="S921" s="34"/>
      <c r="T921" s="34"/>
      <c r="U921" s="34"/>
      <c r="V921" s="8"/>
      <c r="W921" t="s">
        <v>2850</v>
      </c>
      <c r="X921"/>
      <c r="Y921" s="34" t="s">
        <v>64</v>
      </c>
    </row>
    <row r="922" spans="1:34" s="55" customFormat="1" ht="15.75" customHeight="1" x14ac:dyDescent="0.15">
      <c r="A922" s="6">
        <v>916</v>
      </c>
      <c r="B922" s="18" t="s">
        <v>75</v>
      </c>
      <c r="C922" s="34" t="s">
        <v>2634</v>
      </c>
      <c r="D922" s="75" t="s">
        <v>2851</v>
      </c>
      <c r="E922" s="2" t="s">
        <v>77</v>
      </c>
      <c r="F922">
        <v>15131</v>
      </c>
      <c r="G922" s="6"/>
      <c r="H922" s="6" t="s">
        <v>2852</v>
      </c>
      <c r="I922" s="34"/>
      <c r="J922" s="38"/>
      <c r="K922" s="38"/>
      <c r="L922" s="38"/>
      <c r="M922" s="38" t="s">
        <v>560</v>
      </c>
      <c r="N922" s="19">
        <v>10</v>
      </c>
      <c r="O922" s="76">
        <v>0</v>
      </c>
      <c r="P922" s="6">
        <v>65535</v>
      </c>
      <c r="Q922" s="38">
        <v>0</v>
      </c>
      <c r="R922" s="38">
        <v>6553.5</v>
      </c>
      <c r="S922" s="34"/>
      <c r="T922" s="34"/>
      <c r="U922" s="34"/>
      <c r="V922" s="8"/>
      <c r="W922" t="s">
        <v>2853</v>
      </c>
      <c r="X922"/>
      <c r="Y922" s="34" t="s">
        <v>64</v>
      </c>
    </row>
    <row r="923" spans="1:34" s="55" customFormat="1" ht="15.75" customHeight="1" x14ac:dyDescent="0.15">
      <c r="A923" s="6">
        <v>917</v>
      </c>
      <c r="B923" s="18" t="s">
        <v>75</v>
      </c>
      <c r="C923" s="34" t="s">
        <v>2634</v>
      </c>
      <c r="D923" s="75" t="s">
        <v>2854</v>
      </c>
      <c r="E923" s="2" t="s">
        <v>77</v>
      </c>
      <c r="F923">
        <v>15132</v>
      </c>
      <c r="G923" s="6"/>
      <c r="H923" s="6" t="s">
        <v>2855</v>
      </c>
      <c r="I923" s="34"/>
      <c r="J923" s="38"/>
      <c r="K923" s="38"/>
      <c r="L923" s="38"/>
      <c r="M923" s="38" t="s">
        <v>560</v>
      </c>
      <c r="N923" s="19">
        <v>10</v>
      </c>
      <c r="O923" s="76">
        <v>0</v>
      </c>
      <c r="P923" s="6">
        <v>65535</v>
      </c>
      <c r="Q923" s="38">
        <v>0</v>
      </c>
      <c r="R923" s="38">
        <v>6553.5</v>
      </c>
      <c r="S923" s="34"/>
      <c r="T923" s="34"/>
      <c r="U923" s="34"/>
      <c r="V923" s="8"/>
      <c r="W923" t="s">
        <v>2856</v>
      </c>
      <c r="X923"/>
      <c r="Y923" s="34" t="s">
        <v>64</v>
      </c>
    </row>
    <row r="924" spans="1:34" s="55" customFormat="1" ht="15.75" customHeight="1" x14ac:dyDescent="0.15">
      <c r="A924" s="6">
        <v>918</v>
      </c>
      <c r="B924" s="18" t="s">
        <v>75</v>
      </c>
      <c r="C924" s="34" t="s">
        <v>2634</v>
      </c>
      <c r="D924" s="75" t="s">
        <v>2857</v>
      </c>
      <c r="E924" s="2" t="s">
        <v>77</v>
      </c>
      <c r="F924">
        <v>15133</v>
      </c>
      <c r="G924" s="6"/>
      <c r="H924" s="6" t="s">
        <v>2858</v>
      </c>
      <c r="I924" s="34"/>
      <c r="J924" s="38"/>
      <c r="K924" s="38"/>
      <c r="L924" s="38"/>
      <c r="M924" s="38" t="s">
        <v>560</v>
      </c>
      <c r="N924" s="19">
        <v>10</v>
      </c>
      <c r="O924" s="76">
        <v>0</v>
      </c>
      <c r="P924" s="6">
        <v>65535</v>
      </c>
      <c r="Q924" s="38">
        <v>0</v>
      </c>
      <c r="R924" s="38">
        <v>6553.5</v>
      </c>
      <c r="S924" s="34"/>
      <c r="T924" s="34"/>
      <c r="U924" s="34"/>
      <c r="V924" s="8"/>
      <c r="W924" t="s">
        <v>2859</v>
      </c>
      <c r="X924"/>
      <c r="Y924" s="34" t="s">
        <v>64</v>
      </c>
    </row>
    <row r="925" spans="1:34" s="55" customFormat="1" ht="15.75" customHeight="1" x14ac:dyDescent="0.15">
      <c r="A925" s="6">
        <v>919</v>
      </c>
      <c r="B925" s="18" t="s">
        <v>75</v>
      </c>
      <c r="C925" s="34" t="s">
        <v>2634</v>
      </c>
      <c r="D925" s="75" t="s">
        <v>2860</v>
      </c>
      <c r="E925" s="2" t="s">
        <v>77</v>
      </c>
      <c r="F925">
        <v>15134</v>
      </c>
      <c r="G925" s="6"/>
      <c r="H925" s="6" t="s">
        <v>2861</v>
      </c>
      <c r="I925" s="34"/>
      <c r="J925" s="38"/>
      <c r="K925" s="38"/>
      <c r="L925" s="38"/>
      <c r="M925" s="38" t="s">
        <v>560</v>
      </c>
      <c r="N925" s="19">
        <v>10</v>
      </c>
      <c r="O925" s="76">
        <v>0</v>
      </c>
      <c r="P925" s="6">
        <v>65535</v>
      </c>
      <c r="Q925" s="38">
        <v>0</v>
      </c>
      <c r="R925" s="38">
        <v>6553.5</v>
      </c>
      <c r="S925" s="34"/>
      <c r="T925" s="34"/>
      <c r="U925" s="34"/>
      <c r="V925" s="8"/>
      <c r="W925" t="s">
        <v>2862</v>
      </c>
      <c r="X925"/>
      <c r="Y925" s="34" t="s">
        <v>64</v>
      </c>
    </row>
    <row r="926" spans="1:34" s="55" customFormat="1" ht="15.75" customHeight="1" x14ac:dyDescent="0.15">
      <c r="A926" s="6">
        <v>920</v>
      </c>
      <c r="B926" s="18" t="s">
        <v>75</v>
      </c>
      <c r="C926" s="34" t="s">
        <v>2634</v>
      </c>
      <c r="D926" s="75" t="s">
        <v>2863</v>
      </c>
      <c r="E926" s="2" t="s">
        <v>77</v>
      </c>
      <c r="F926">
        <v>15140</v>
      </c>
      <c r="G926" s="6"/>
      <c r="H926" s="6" t="s">
        <v>2864</v>
      </c>
      <c r="I926" s="34"/>
      <c r="J926" s="38"/>
      <c r="K926" s="38"/>
      <c r="L926" s="38"/>
      <c r="M926" s="38" t="s">
        <v>560</v>
      </c>
      <c r="N926" s="19">
        <v>10</v>
      </c>
      <c r="O926" s="76">
        <v>0</v>
      </c>
      <c r="P926" s="6">
        <v>65535</v>
      </c>
      <c r="Q926" s="38">
        <v>0</v>
      </c>
      <c r="R926" s="38">
        <v>6553.5</v>
      </c>
      <c r="S926" s="34"/>
      <c r="T926" s="34"/>
      <c r="U926" s="34"/>
      <c r="V926" s="8"/>
      <c r="W926" t="s">
        <v>2865</v>
      </c>
      <c r="X926"/>
      <c r="Y926" s="34" t="s">
        <v>64</v>
      </c>
    </row>
    <row r="927" spans="1:34" ht="15.75" customHeight="1" x14ac:dyDescent="0.15">
      <c r="A927" s="6">
        <v>921</v>
      </c>
      <c r="B927" s="18" t="s">
        <v>75</v>
      </c>
      <c r="C927" s="34" t="s">
        <v>2634</v>
      </c>
      <c r="D927" s="75" t="s">
        <v>2866</v>
      </c>
      <c r="E927" s="2" t="s">
        <v>77</v>
      </c>
      <c r="F927">
        <v>15141</v>
      </c>
      <c r="G927" s="6"/>
      <c r="H927" s="6" t="s">
        <v>2867</v>
      </c>
      <c r="I927" s="34"/>
      <c r="J927" s="38"/>
      <c r="K927" s="38"/>
      <c r="L927" s="38"/>
      <c r="M927" s="38" t="s">
        <v>149</v>
      </c>
      <c r="N927" s="19">
        <v>100</v>
      </c>
      <c r="O927" s="76">
        <v>0</v>
      </c>
      <c r="P927" s="6">
        <v>65535</v>
      </c>
      <c r="Q927" s="38">
        <v>0</v>
      </c>
      <c r="R927" s="38">
        <v>655.35</v>
      </c>
      <c r="S927" s="34"/>
      <c r="T927" s="34"/>
      <c r="U927" s="34"/>
      <c r="V927" s="8"/>
      <c r="W927" t="s">
        <v>2868</v>
      </c>
      <c r="Y927" s="34" t="s">
        <v>64</v>
      </c>
      <c r="Z927"/>
      <c r="AA927"/>
      <c r="AE927"/>
      <c r="AF927"/>
      <c r="AG927"/>
      <c r="AH927"/>
    </row>
    <row r="928" spans="1:34" ht="15.75" customHeight="1" x14ac:dyDescent="0.15">
      <c r="A928" s="6">
        <v>922</v>
      </c>
      <c r="B928" s="18" t="s">
        <v>75</v>
      </c>
      <c r="C928" s="34" t="s">
        <v>2634</v>
      </c>
      <c r="D928" s="75" t="s">
        <v>2869</v>
      </c>
      <c r="E928" s="2" t="s">
        <v>77</v>
      </c>
      <c r="F928">
        <v>15142</v>
      </c>
      <c r="G928" s="6"/>
      <c r="H928" s="6" t="s">
        <v>2870</v>
      </c>
      <c r="I928" s="34"/>
      <c r="J928" s="38"/>
      <c r="K928" s="38"/>
      <c r="L928" s="38"/>
      <c r="M928" s="38" t="s">
        <v>149</v>
      </c>
      <c r="N928" s="19">
        <v>100</v>
      </c>
      <c r="O928" s="76">
        <v>0</v>
      </c>
      <c r="P928" s="6">
        <v>65535</v>
      </c>
      <c r="Q928" s="38">
        <v>0</v>
      </c>
      <c r="R928" s="38">
        <v>655.35</v>
      </c>
      <c r="S928" s="34"/>
      <c r="T928" s="34"/>
      <c r="U928" s="34"/>
      <c r="V928" s="8"/>
      <c r="W928" t="s">
        <v>2871</v>
      </c>
      <c r="Y928" s="34" t="s">
        <v>64</v>
      </c>
      <c r="Z928"/>
      <c r="AA928"/>
      <c r="AE928"/>
      <c r="AF928"/>
      <c r="AG928"/>
      <c r="AH928"/>
    </row>
    <row r="929" spans="1:34" ht="15.75" customHeight="1" x14ac:dyDescent="0.15">
      <c r="A929" s="6">
        <v>923</v>
      </c>
      <c r="B929" s="18" t="s">
        <v>75</v>
      </c>
      <c r="C929" s="34" t="s">
        <v>2634</v>
      </c>
      <c r="D929" s="75" t="s">
        <v>2872</v>
      </c>
      <c r="E929" s="2" t="s">
        <v>77</v>
      </c>
      <c r="F929">
        <v>15143</v>
      </c>
      <c r="G929" s="6"/>
      <c r="H929" s="6" t="s">
        <v>2873</v>
      </c>
      <c r="I929" s="34"/>
      <c r="J929" s="38"/>
      <c r="K929" s="38"/>
      <c r="L929" s="38"/>
      <c r="M929" s="38" t="s">
        <v>149</v>
      </c>
      <c r="N929" s="19">
        <v>100</v>
      </c>
      <c r="O929" s="76">
        <v>0</v>
      </c>
      <c r="P929" s="6">
        <v>65535</v>
      </c>
      <c r="Q929" s="38">
        <v>0</v>
      </c>
      <c r="R929" s="38">
        <v>655.35</v>
      </c>
      <c r="S929" s="34"/>
      <c r="T929" s="34"/>
      <c r="U929" s="34"/>
      <c r="V929" s="8"/>
      <c r="W929" t="s">
        <v>2874</v>
      </c>
      <c r="Y929" s="34" t="s">
        <v>64</v>
      </c>
      <c r="Z929"/>
      <c r="AA929"/>
      <c r="AE929"/>
      <c r="AF929"/>
      <c r="AG929"/>
      <c r="AH929"/>
    </row>
    <row r="930" spans="1:34" ht="15.75" customHeight="1" x14ac:dyDescent="0.15">
      <c r="A930" s="6">
        <v>924</v>
      </c>
      <c r="B930" s="18" t="s">
        <v>75</v>
      </c>
      <c r="C930" s="34" t="s">
        <v>2634</v>
      </c>
      <c r="D930" s="75" t="s">
        <v>2875</v>
      </c>
      <c r="E930" s="2" t="s">
        <v>77</v>
      </c>
      <c r="F930">
        <v>15144</v>
      </c>
      <c r="G930" s="6"/>
      <c r="H930" s="6" t="s">
        <v>2876</v>
      </c>
      <c r="I930" s="34"/>
      <c r="J930" s="38"/>
      <c r="K930" s="38"/>
      <c r="L930" s="38"/>
      <c r="M930" s="38" t="s">
        <v>149</v>
      </c>
      <c r="N930" s="19">
        <v>100</v>
      </c>
      <c r="O930" s="76">
        <v>0</v>
      </c>
      <c r="P930" s="6">
        <v>65535</v>
      </c>
      <c r="Q930" s="38">
        <v>0</v>
      </c>
      <c r="R930" s="38">
        <v>655.35</v>
      </c>
      <c r="S930" s="34"/>
      <c r="T930" s="34"/>
      <c r="U930" s="34"/>
      <c r="V930" s="8"/>
      <c r="W930" t="s">
        <v>2877</v>
      </c>
      <c r="Y930" s="34" t="s">
        <v>64</v>
      </c>
      <c r="Z930"/>
      <c r="AA930"/>
      <c r="AE930"/>
      <c r="AF930"/>
      <c r="AG930"/>
      <c r="AH930"/>
    </row>
    <row r="931" spans="1:34" ht="15.75" customHeight="1" x14ac:dyDescent="0.15">
      <c r="A931" s="6">
        <v>925</v>
      </c>
      <c r="B931" s="18" t="s">
        <v>75</v>
      </c>
      <c r="C931" s="34" t="s">
        <v>2634</v>
      </c>
      <c r="D931" s="75" t="s">
        <v>2878</v>
      </c>
      <c r="E931" s="2" t="s">
        <v>77</v>
      </c>
      <c r="F931">
        <v>15145</v>
      </c>
      <c r="G931" s="6"/>
      <c r="H931" s="6" t="s">
        <v>2879</v>
      </c>
      <c r="I931" s="34"/>
      <c r="J931" s="38"/>
      <c r="K931" s="38"/>
      <c r="L931" s="38"/>
      <c r="M931" s="38" t="s">
        <v>149</v>
      </c>
      <c r="N931" s="19">
        <v>100</v>
      </c>
      <c r="O931" s="76">
        <v>0</v>
      </c>
      <c r="P931" s="6">
        <v>65535</v>
      </c>
      <c r="Q931" s="38">
        <v>0</v>
      </c>
      <c r="R931" s="38">
        <v>655.35</v>
      </c>
      <c r="S931" s="34"/>
      <c r="T931" s="34"/>
      <c r="U931" s="34"/>
      <c r="V931" s="8"/>
      <c r="W931" t="s">
        <v>2880</v>
      </c>
      <c r="Y931" s="34" t="s">
        <v>64</v>
      </c>
      <c r="Z931"/>
      <c r="AA931"/>
      <c r="AE931"/>
      <c r="AF931"/>
      <c r="AG931"/>
      <c r="AH931"/>
    </row>
    <row r="932" spans="1:34" ht="15.75" customHeight="1" x14ac:dyDescent="0.15">
      <c r="A932" s="6">
        <v>926</v>
      </c>
      <c r="B932" s="18" t="s">
        <v>75</v>
      </c>
      <c r="C932" s="34" t="s">
        <v>2634</v>
      </c>
      <c r="D932" s="75" t="s">
        <v>2881</v>
      </c>
      <c r="E932" s="2" t="s">
        <v>77</v>
      </c>
      <c r="F932">
        <v>15151</v>
      </c>
      <c r="G932" s="6"/>
      <c r="H932" s="6" t="s">
        <v>2882</v>
      </c>
      <c r="I932" s="34"/>
      <c r="J932" s="38"/>
      <c r="K932" s="38"/>
      <c r="L932" s="38"/>
      <c r="M932" s="38" t="s">
        <v>149</v>
      </c>
      <c r="N932" s="19">
        <v>100</v>
      </c>
      <c r="O932" s="76">
        <v>0</v>
      </c>
      <c r="P932" s="6">
        <v>65535</v>
      </c>
      <c r="Q932" s="38">
        <v>0</v>
      </c>
      <c r="R932" s="38">
        <v>655.35</v>
      </c>
      <c r="S932" s="34"/>
      <c r="T932" s="34"/>
      <c r="U932" s="34"/>
      <c r="V932" s="8"/>
      <c r="W932" t="s">
        <v>2883</v>
      </c>
      <c r="Y932" s="34" t="s">
        <v>64</v>
      </c>
      <c r="Z932"/>
      <c r="AA932"/>
      <c r="AE932"/>
      <c r="AF932"/>
      <c r="AG932"/>
      <c r="AH932"/>
    </row>
    <row r="933" spans="1:34" ht="15.75" customHeight="1" x14ac:dyDescent="0.15">
      <c r="A933" s="6">
        <v>927</v>
      </c>
      <c r="B933" s="18" t="s">
        <v>75</v>
      </c>
      <c r="C933" s="34" t="s">
        <v>2634</v>
      </c>
      <c r="D933" s="75" t="s">
        <v>2884</v>
      </c>
      <c r="E933" s="2" t="s">
        <v>77</v>
      </c>
      <c r="F933">
        <v>15152</v>
      </c>
      <c r="G933" s="6"/>
      <c r="H933" s="6" t="s">
        <v>2885</v>
      </c>
      <c r="I933" s="34"/>
      <c r="J933" s="38"/>
      <c r="K933" s="38"/>
      <c r="L933" s="38"/>
      <c r="M933" s="38" t="s">
        <v>149</v>
      </c>
      <c r="N933" s="19">
        <v>100</v>
      </c>
      <c r="O933" s="76">
        <v>0</v>
      </c>
      <c r="P933" s="6">
        <v>65535</v>
      </c>
      <c r="Q933" s="38">
        <v>0</v>
      </c>
      <c r="R933" s="38">
        <v>655.35</v>
      </c>
      <c r="S933" s="34"/>
      <c r="T933" s="34"/>
      <c r="U933" s="34"/>
      <c r="V933" s="8"/>
      <c r="W933" t="s">
        <v>2886</v>
      </c>
      <c r="Y933" s="34" t="s">
        <v>64</v>
      </c>
      <c r="Z933"/>
      <c r="AA933"/>
      <c r="AE933"/>
      <c r="AF933"/>
      <c r="AG933"/>
      <c r="AH933"/>
    </row>
    <row r="934" spans="1:34" ht="15.75" customHeight="1" x14ac:dyDescent="0.15">
      <c r="A934" s="6">
        <v>928</v>
      </c>
      <c r="B934" s="18" t="s">
        <v>75</v>
      </c>
      <c r="C934" s="34" t="s">
        <v>2634</v>
      </c>
      <c r="D934" s="75" t="s">
        <v>2887</v>
      </c>
      <c r="E934" s="2" t="s">
        <v>77</v>
      </c>
      <c r="F934">
        <v>15153</v>
      </c>
      <c r="G934" s="6"/>
      <c r="H934" s="6" t="s">
        <v>2888</v>
      </c>
      <c r="I934" s="34"/>
      <c r="J934" s="38"/>
      <c r="K934" s="38"/>
      <c r="L934" s="38"/>
      <c r="M934" s="38" t="s">
        <v>149</v>
      </c>
      <c r="N934" s="19">
        <v>100</v>
      </c>
      <c r="O934" s="76">
        <v>0</v>
      </c>
      <c r="P934" s="6">
        <v>65535</v>
      </c>
      <c r="Q934" s="38">
        <v>0</v>
      </c>
      <c r="R934" s="38">
        <v>655.35</v>
      </c>
      <c r="S934" s="34"/>
      <c r="T934" s="34"/>
      <c r="U934" s="34"/>
      <c r="V934" s="8"/>
      <c r="W934" t="s">
        <v>2889</v>
      </c>
      <c r="Y934" s="34" t="s">
        <v>64</v>
      </c>
      <c r="Z934"/>
      <c r="AA934"/>
      <c r="AE934"/>
      <c r="AF934"/>
      <c r="AG934"/>
      <c r="AH934"/>
    </row>
    <row r="935" spans="1:34" ht="15.75" customHeight="1" x14ac:dyDescent="0.15">
      <c r="A935" s="6">
        <v>929</v>
      </c>
      <c r="B935" s="18" t="s">
        <v>75</v>
      </c>
      <c r="C935" s="34" t="s">
        <v>2634</v>
      </c>
      <c r="D935" s="75" t="s">
        <v>2890</v>
      </c>
      <c r="E935" s="2" t="s">
        <v>77</v>
      </c>
      <c r="F935">
        <v>15154</v>
      </c>
      <c r="G935" s="6"/>
      <c r="H935" s="6" t="s">
        <v>2891</v>
      </c>
      <c r="I935" s="34"/>
      <c r="J935" s="38"/>
      <c r="K935" s="38"/>
      <c r="L935" s="38"/>
      <c r="M935" s="38" t="s">
        <v>149</v>
      </c>
      <c r="N935" s="19">
        <v>100</v>
      </c>
      <c r="O935" s="76">
        <v>0</v>
      </c>
      <c r="P935" s="6">
        <v>65535</v>
      </c>
      <c r="Q935" s="38">
        <v>0</v>
      </c>
      <c r="R935" s="38">
        <v>655.35</v>
      </c>
      <c r="S935" s="34"/>
      <c r="T935" s="34"/>
      <c r="U935" s="34"/>
      <c r="V935" s="8"/>
      <c r="W935" t="s">
        <v>2892</v>
      </c>
      <c r="Y935" s="34" t="s">
        <v>64</v>
      </c>
      <c r="Z935"/>
      <c r="AA935"/>
      <c r="AE935"/>
      <c r="AF935"/>
      <c r="AG935"/>
      <c r="AH935"/>
    </row>
    <row r="936" spans="1:34" ht="15.75" customHeight="1" x14ac:dyDescent="0.15">
      <c r="A936" s="6">
        <v>930</v>
      </c>
      <c r="B936" s="18" t="s">
        <v>75</v>
      </c>
      <c r="C936" s="34" t="s">
        <v>2634</v>
      </c>
      <c r="D936" s="75" t="s">
        <v>2893</v>
      </c>
      <c r="E936" s="2" t="s">
        <v>77</v>
      </c>
      <c r="F936">
        <v>15155</v>
      </c>
      <c r="G936" s="6"/>
      <c r="H936" s="6" t="s">
        <v>2894</v>
      </c>
      <c r="I936" s="34"/>
      <c r="J936" s="38"/>
      <c r="K936" s="38"/>
      <c r="L936" s="38"/>
      <c r="M936" s="38" t="s">
        <v>149</v>
      </c>
      <c r="N936" s="19">
        <v>100</v>
      </c>
      <c r="O936" s="76">
        <v>0</v>
      </c>
      <c r="P936" s="6">
        <v>65535</v>
      </c>
      <c r="Q936" s="38">
        <v>0</v>
      </c>
      <c r="R936" s="38">
        <v>655.35</v>
      </c>
      <c r="S936" s="34"/>
      <c r="T936" s="34"/>
      <c r="U936" s="34"/>
      <c r="V936" s="8"/>
      <c r="W936" t="s">
        <v>2895</v>
      </c>
      <c r="Y936" s="34" t="s">
        <v>64</v>
      </c>
      <c r="Z936"/>
      <c r="AA936"/>
      <c r="AE936"/>
      <c r="AF936"/>
      <c r="AG936"/>
      <c r="AH936"/>
    </row>
    <row r="937" spans="1:34" ht="15.75" customHeight="1" x14ac:dyDescent="0.15">
      <c r="A937" s="6">
        <v>931</v>
      </c>
      <c r="B937" s="18" t="s">
        <v>75</v>
      </c>
      <c r="C937" s="34" t="s">
        <v>2634</v>
      </c>
      <c r="D937" s="75" t="s">
        <v>2896</v>
      </c>
      <c r="E937" s="2" t="s">
        <v>77</v>
      </c>
      <c r="F937">
        <v>15156</v>
      </c>
      <c r="G937" s="6"/>
      <c r="H937" s="6" t="s">
        <v>2897</v>
      </c>
      <c r="I937" s="34"/>
      <c r="J937" s="38"/>
      <c r="K937" s="38"/>
      <c r="L937" s="38"/>
      <c r="M937" s="38" t="s">
        <v>149</v>
      </c>
      <c r="N937" s="19">
        <v>100</v>
      </c>
      <c r="O937" s="76">
        <v>0</v>
      </c>
      <c r="P937" s="6">
        <v>65535</v>
      </c>
      <c r="Q937" s="38">
        <v>0</v>
      </c>
      <c r="R937" s="38">
        <v>655.35</v>
      </c>
      <c r="S937" s="34"/>
      <c r="T937" s="34"/>
      <c r="U937" s="34"/>
      <c r="V937" s="8"/>
      <c r="W937" t="s">
        <v>2898</v>
      </c>
      <c r="Y937" s="34" t="s">
        <v>64</v>
      </c>
      <c r="Z937"/>
      <c r="AA937"/>
      <c r="AE937"/>
      <c r="AF937"/>
      <c r="AG937"/>
      <c r="AH937"/>
    </row>
    <row r="938" spans="1:34" ht="15.75" customHeight="1" x14ac:dyDescent="0.15">
      <c r="A938" s="6">
        <v>932</v>
      </c>
      <c r="B938" s="18" t="s">
        <v>75</v>
      </c>
      <c r="C938" s="34" t="s">
        <v>2634</v>
      </c>
      <c r="D938" s="75" t="s">
        <v>2899</v>
      </c>
      <c r="E938" s="2" t="s">
        <v>77</v>
      </c>
      <c r="F938">
        <v>15162</v>
      </c>
      <c r="G938" s="6"/>
      <c r="H938" s="6" t="s">
        <v>2900</v>
      </c>
      <c r="I938" s="34"/>
      <c r="J938" s="38"/>
      <c r="K938" s="38"/>
      <c r="L938" s="38"/>
      <c r="M938" s="38" t="s">
        <v>149</v>
      </c>
      <c r="N938" s="19">
        <v>100</v>
      </c>
      <c r="O938" s="76">
        <v>0</v>
      </c>
      <c r="P938" s="6">
        <v>65535</v>
      </c>
      <c r="Q938" s="38">
        <v>0</v>
      </c>
      <c r="R938" s="38">
        <v>655.35</v>
      </c>
      <c r="S938" s="34"/>
      <c r="T938" s="34"/>
      <c r="U938" s="34"/>
      <c r="V938" s="8"/>
      <c r="W938" t="s">
        <v>2901</v>
      </c>
      <c r="Y938" s="34" t="s">
        <v>64</v>
      </c>
      <c r="Z938"/>
      <c r="AA938"/>
      <c r="AE938"/>
      <c r="AF938"/>
      <c r="AG938"/>
      <c r="AH938"/>
    </row>
    <row r="939" spans="1:34" ht="15.75" customHeight="1" x14ac:dyDescent="0.15">
      <c r="A939" s="6">
        <v>933</v>
      </c>
      <c r="B939" s="18" t="s">
        <v>75</v>
      </c>
      <c r="C939" s="34" t="s">
        <v>2634</v>
      </c>
      <c r="D939" s="75" t="s">
        <v>2902</v>
      </c>
      <c r="E939" s="2" t="s">
        <v>77</v>
      </c>
      <c r="F939">
        <v>15167</v>
      </c>
      <c r="G939" s="6"/>
      <c r="H939" s="6" t="s">
        <v>2903</v>
      </c>
      <c r="I939" s="34"/>
      <c r="J939" s="38"/>
      <c r="K939" s="38"/>
      <c r="L939" s="38"/>
      <c r="M939" s="38" t="s">
        <v>149</v>
      </c>
      <c r="N939" s="19">
        <v>100</v>
      </c>
      <c r="O939" s="76">
        <v>0</v>
      </c>
      <c r="P939" s="6">
        <v>65535</v>
      </c>
      <c r="Q939" s="38">
        <v>0</v>
      </c>
      <c r="R939" s="38">
        <v>655.35</v>
      </c>
      <c r="S939" s="34"/>
      <c r="T939" s="34"/>
      <c r="U939" s="34"/>
      <c r="V939" s="8"/>
      <c r="W939" t="s">
        <v>2904</v>
      </c>
      <c r="Y939" s="34" t="s">
        <v>64</v>
      </c>
      <c r="Z939"/>
      <c r="AA939"/>
      <c r="AE939"/>
      <c r="AF939"/>
      <c r="AG939"/>
      <c r="AH939"/>
    </row>
    <row r="940" spans="1:34" ht="15.75" customHeight="1" x14ac:dyDescent="0.15">
      <c r="A940" s="6">
        <v>934</v>
      </c>
      <c r="B940" s="18" t="s">
        <v>75</v>
      </c>
      <c r="C940" s="34" t="s">
        <v>2634</v>
      </c>
      <c r="D940" s="75" t="s">
        <v>2905</v>
      </c>
      <c r="E940" s="2" t="s">
        <v>59</v>
      </c>
      <c r="F940">
        <v>15169</v>
      </c>
      <c r="G940" s="6"/>
      <c r="H940" s="6" t="s">
        <v>2906</v>
      </c>
      <c r="I940" s="34"/>
      <c r="J940" s="38"/>
      <c r="K940" s="38"/>
      <c r="L940" s="38"/>
      <c r="M940" s="38" t="s">
        <v>2907</v>
      </c>
      <c r="N940" s="19">
        <v>0.05</v>
      </c>
      <c r="O940" s="76">
        <v>0</v>
      </c>
      <c r="P940" s="6">
        <v>4294967295</v>
      </c>
      <c r="Q940" s="38">
        <v>0</v>
      </c>
      <c r="R940" s="38">
        <v>85899345900</v>
      </c>
      <c r="S940" s="34"/>
      <c r="T940" s="34"/>
      <c r="U940" s="34"/>
      <c r="V940" s="8"/>
      <c r="W940" t="s">
        <v>2908</v>
      </c>
      <c r="Y940" s="34" t="s">
        <v>64</v>
      </c>
      <c r="Z940"/>
      <c r="AA940"/>
      <c r="AE940"/>
      <c r="AF940"/>
      <c r="AG940"/>
      <c r="AH940"/>
    </row>
    <row r="941" spans="1:34" ht="15.75" customHeight="1" x14ac:dyDescent="0.15">
      <c r="A941" s="6">
        <v>935</v>
      </c>
      <c r="B941" s="18" t="s">
        <v>75</v>
      </c>
      <c r="C941" s="34" t="s">
        <v>2634</v>
      </c>
      <c r="D941" s="75" t="s">
        <v>2909</v>
      </c>
      <c r="E941" s="2" t="s">
        <v>77</v>
      </c>
      <c r="F941">
        <v>15171</v>
      </c>
      <c r="G941" s="6"/>
      <c r="H941" s="6" t="s">
        <v>2910</v>
      </c>
      <c r="I941" s="34"/>
      <c r="J941" s="38"/>
      <c r="K941" s="38"/>
      <c r="L941" s="38"/>
      <c r="M941" s="38" t="s">
        <v>2907</v>
      </c>
      <c r="N941" s="19">
        <v>0.05</v>
      </c>
      <c r="O941" s="76">
        <v>0</v>
      </c>
      <c r="P941" s="6">
        <v>65535</v>
      </c>
      <c r="Q941" s="38">
        <v>0</v>
      </c>
      <c r="R941" s="38">
        <v>1310700</v>
      </c>
      <c r="S941" s="34"/>
      <c r="T941" s="34"/>
      <c r="U941" s="34"/>
      <c r="V941" s="8"/>
      <c r="W941" t="s">
        <v>2911</v>
      </c>
      <c r="Y941" s="34" t="s">
        <v>64</v>
      </c>
      <c r="Z941"/>
      <c r="AA941"/>
      <c r="AE941"/>
      <c r="AF941"/>
      <c r="AG941"/>
      <c r="AH941"/>
    </row>
    <row r="942" spans="1:34" ht="15.75" customHeight="1" x14ac:dyDescent="0.15">
      <c r="A942" s="6">
        <v>936</v>
      </c>
      <c r="B942" s="18" t="s">
        <v>75</v>
      </c>
      <c r="C942" s="34" t="s">
        <v>2634</v>
      </c>
      <c r="D942" s="75" t="s">
        <v>2912</v>
      </c>
      <c r="E942" s="2" t="s">
        <v>59</v>
      </c>
      <c r="F942">
        <v>15173</v>
      </c>
      <c r="G942" s="6"/>
      <c r="H942" s="6" t="s">
        <v>2913</v>
      </c>
      <c r="I942" s="34"/>
      <c r="J942" s="38"/>
      <c r="K942" s="38"/>
      <c r="L942" s="38"/>
      <c r="M942" s="38" t="s">
        <v>2907</v>
      </c>
      <c r="N942" s="19">
        <v>0.05</v>
      </c>
      <c r="O942" s="76">
        <v>0</v>
      </c>
      <c r="P942" s="6">
        <v>4294967295</v>
      </c>
      <c r="Q942" s="38">
        <v>0</v>
      </c>
      <c r="R942" s="38">
        <v>85899345900</v>
      </c>
      <c r="S942" s="34"/>
      <c r="T942" s="34"/>
      <c r="U942" s="34"/>
      <c r="V942" s="8"/>
      <c r="W942" t="s">
        <v>2914</v>
      </c>
      <c r="Y942" s="34" t="s">
        <v>64</v>
      </c>
      <c r="Z942"/>
      <c r="AA942"/>
      <c r="AE942"/>
      <c r="AF942"/>
      <c r="AG942"/>
      <c r="AH942"/>
    </row>
    <row r="943" spans="1:34" ht="15.75" customHeight="1" x14ac:dyDescent="0.15">
      <c r="A943" s="6">
        <v>937</v>
      </c>
      <c r="B943" s="18" t="s">
        <v>75</v>
      </c>
      <c r="C943" s="34" t="s">
        <v>2634</v>
      </c>
      <c r="D943" s="75" t="s">
        <v>2915</v>
      </c>
      <c r="E943" s="2" t="s">
        <v>77</v>
      </c>
      <c r="F943">
        <v>15175</v>
      </c>
      <c r="G943" s="6"/>
      <c r="H943" s="6" t="s">
        <v>2916</v>
      </c>
      <c r="I943" s="34"/>
      <c r="J943" s="38"/>
      <c r="K943" s="38"/>
      <c r="L943" s="38"/>
      <c r="M943" s="38" t="s">
        <v>2907</v>
      </c>
      <c r="N943" s="19">
        <v>0.05</v>
      </c>
      <c r="O943" s="76">
        <v>0</v>
      </c>
      <c r="P943" s="6">
        <v>65535</v>
      </c>
      <c r="Q943" s="38">
        <v>0</v>
      </c>
      <c r="R943" s="38">
        <v>1310700</v>
      </c>
      <c r="S943" s="34"/>
      <c r="T943" s="34"/>
      <c r="U943" s="34"/>
      <c r="V943" s="8"/>
      <c r="W943" t="s">
        <v>2917</v>
      </c>
      <c r="Y943" s="34" t="s">
        <v>64</v>
      </c>
      <c r="Z943"/>
      <c r="AA943"/>
      <c r="AE943"/>
      <c r="AF943"/>
      <c r="AG943"/>
      <c r="AH943"/>
    </row>
    <row r="944" spans="1:34" ht="15.75" customHeight="1" x14ac:dyDescent="0.15">
      <c r="A944" s="6">
        <v>938</v>
      </c>
      <c r="B944" s="18" t="s">
        <v>75</v>
      </c>
      <c r="C944" s="34" t="s">
        <v>2634</v>
      </c>
      <c r="D944" s="75" t="s">
        <v>2918</v>
      </c>
      <c r="E944" s="2" t="s">
        <v>59</v>
      </c>
      <c r="F944">
        <v>15177</v>
      </c>
      <c r="G944" s="6"/>
      <c r="H944" s="6" t="s">
        <v>2919</v>
      </c>
      <c r="I944" s="34"/>
      <c r="J944" s="38"/>
      <c r="K944" s="38"/>
      <c r="L944" s="38"/>
      <c r="M944" s="38" t="s">
        <v>2907</v>
      </c>
      <c r="N944" s="19">
        <v>0.05</v>
      </c>
      <c r="O944" s="76">
        <v>0</v>
      </c>
      <c r="P944" s="6">
        <v>4294967295</v>
      </c>
      <c r="Q944" s="38">
        <v>0</v>
      </c>
      <c r="R944" s="38">
        <v>85899345900</v>
      </c>
      <c r="S944" s="34"/>
      <c r="T944" s="34"/>
      <c r="U944" s="34"/>
      <c r="V944" s="8"/>
      <c r="W944" t="s">
        <v>2920</v>
      </c>
      <c r="Y944" s="34" t="s">
        <v>64</v>
      </c>
      <c r="Z944"/>
      <c r="AA944"/>
      <c r="AE944"/>
      <c r="AF944"/>
      <c r="AG944"/>
      <c r="AH944"/>
    </row>
    <row r="945" spans="1:34" ht="15.75" customHeight="1" x14ac:dyDescent="0.15">
      <c r="A945" s="6">
        <v>939</v>
      </c>
      <c r="B945" s="18" t="s">
        <v>75</v>
      </c>
      <c r="C945" s="34" t="s">
        <v>2634</v>
      </c>
      <c r="D945" s="75" t="s">
        <v>2921</v>
      </c>
      <c r="E945" s="2" t="s">
        <v>77</v>
      </c>
      <c r="F945">
        <v>15179</v>
      </c>
      <c r="G945" s="6"/>
      <c r="H945" s="6" t="s">
        <v>2922</v>
      </c>
      <c r="I945" s="34"/>
      <c r="J945" s="38"/>
      <c r="K945" s="38"/>
      <c r="L945" s="38"/>
      <c r="M945" s="38" t="s">
        <v>2907</v>
      </c>
      <c r="N945" s="19">
        <v>0.05</v>
      </c>
      <c r="O945" s="76">
        <v>0</v>
      </c>
      <c r="P945" s="6">
        <v>65535</v>
      </c>
      <c r="Q945" s="38">
        <v>0</v>
      </c>
      <c r="R945" s="38">
        <v>1310700</v>
      </c>
      <c r="S945" s="34"/>
      <c r="T945" s="34"/>
      <c r="U945" s="34"/>
      <c r="V945" s="8"/>
      <c r="W945" t="s">
        <v>2923</v>
      </c>
      <c r="Y945" s="34" t="s">
        <v>64</v>
      </c>
      <c r="Z945"/>
      <c r="AA945"/>
      <c r="AE945"/>
      <c r="AF945"/>
      <c r="AG945"/>
      <c r="AH945"/>
    </row>
    <row r="946" spans="1:34" ht="15.75" customHeight="1" x14ac:dyDescent="0.15">
      <c r="A946" s="6">
        <v>940</v>
      </c>
      <c r="B946" s="18" t="s">
        <v>75</v>
      </c>
      <c r="C946" s="34" t="s">
        <v>2634</v>
      </c>
      <c r="D946" s="75" t="s">
        <v>2924</v>
      </c>
      <c r="E946" s="2" t="s">
        <v>59</v>
      </c>
      <c r="F946">
        <v>15181</v>
      </c>
      <c r="G946" s="6"/>
      <c r="H946" s="6" t="s">
        <v>2925</v>
      </c>
      <c r="I946" s="34"/>
      <c r="J946" s="38"/>
      <c r="K946" s="38"/>
      <c r="L946" s="38"/>
      <c r="M946" s="38" t="s">
        <v>2907</v>
      </c>
      <c r="N946" s="19">
        <v>0.05</v>
      </c>
      <c r="O946" s="76">
        <v>0</v>
      </c>
      <c r="P946" s="6">
        <v>4294967295</v>
      </c>
      <c r="Q946" s="38">
        <v>0</v>
      </c>
      <c r="R946" s="38">
        <v>85899345900</v>
      </c>
      <c r="S946" s="34"/>
      <c r="T946" s="34"/>
      <c r="U946" s="34"/>
      <c r="V946" s="8"/>
      <c r="W946" t="s">
        <v>2926</v>
      </c>
      <c r="Y946" s="34" t="s">
        <v>64</v>
      </c>
      <c r="Z946"/>
      <c r="AA946"/>
      <c r="AE946"/>
      <c r="AF946"/>
      <c r="AG946"/>
      <c r="AH946"/>
    </row>
    <row r="947" spans="1:34" ht="15.75" customHeight="1" x14ac:dyDescent="0.15">
      <c r="A947" s="6">
        <v>941</v>
      </c>
      <c r="B947" s="18" t="s">
        <v>75</v>
      </c>
      <c r="C947" s="34" t="s">
        <v>2634</v>
      </c>
      <c r="D947" s="75" t="s">
        <v>2927</v>
      </c>
      <c r="E947" s="2" t="s">
        <v>77</v>
      </c>
      <c r="F947">
        <v>15183</v>
      </c>
      <c r="G947" s="6"/>
      <c r="H947" s="6" t="s">
        <v>2928</v>
      </c>
      <c r="I947" s="34"/>
      <c r="J947" s="38"/>
      <c r="K947" s="38"/>
      <c r="L947" s="38"/>
      <c r="M947" s="38" t="s">
        <v>2907</v>
      </c>
      <c r="N947" s="19">
        <v>0.05</v>
      </c>
      <c r="O947" s="76">
        <v>0</v>
      </c>
      <c r="P947" s="6">
        <v>65535</v>
      </c>
      <c r="Q947" s="38">
        <v>0</v>
      </c>
      <c r="R947" s="38">
        <v>1310700</v>
      </c>
      <c r="S947" s="34"/>
      <c r="T947" s="34"/>
      <c r="U947" s="34"/>
      <c r="V947" s="8"/>
      <c r="W947" t="s">
        <v>2929</v>
      </c>
      <c r="Y947" s="34" t="s">
        <v>64</v>
      </c>
      <c r="Z947"/>
      <c r="AA947"/>
      <c r="AE947"/>
      <c r="AF947"/>
      <c r="AG947"/>
      <c r="AH947"/>
    </row>
    <row r="948" spans="1:34" ht="15.75" customHeight="1" x14ac:dyDescent="0.15">
      <c r="A948" s="6">
        <v>942</v>
      </c>
      <c r="B948" s="18" t="s">
        <v>75</v>
      </c>
      <c r="C948" s="34" t="s">
        <v>2634</v>
      </c>
      <c r="D948" s="75" t="s">
        <v>2930</v>
      </c>
      <c r="E948" s="2" t="s">
        <v>59</v>
      </c>
      <c r="F948">
        <v>15185</v>
      </c>
      <c r="G948" s="6"/>
      <c r="H948" s="6" t="s">
        <v>2931</v>
      </c>
      <c r="I948" s="34"/>
      <c r="J948" s="38"/>
      <c r="K948" s="38"/>
      <c r="L948" s="38"/>
      <c r="M948" s="38" t="s">
        <v>2907</v>
      </c>
      <c r="N948" s="19">
        <v>0.05</v>
      </c>
      <c r="O948" s="76">
        <v>0</v>
      </c>
      <c r="P948" s="6">
        <v>4294967295</v>
      </c>
      <c r="Q948" s="38">
        <v>0</v>
      </c>
      <c r="R948" s="38">
        <v>85899345900</v>
      </c>
      <c r="S948" s="34"/>
      <c r="T948" s="34"/>
      <c r="U948" s="34"/>
      <c r="V948" s="8"/>
      <c r="W948" t="s">
        <v>2932</v>
      </c>
      <c r="Y948" s="34" t="s">
        <v>64</v>
      </c>
      <c r="Z948"/>
      <c r="AA948"/>
      <c r="AE948"/>
      <c r="AF948"/>
      <c r="AG948"/>
      <c r="AH948"/>
    </row>
    <row r="949" spans="1:34" ht="15.75" customHeight="1" x14ac:dyDescent="0.15">
      <c r="A949" s="6">
        <v>943</v>
      </c>
      <c r="B949" s="18" t="s">
        <v>75</v>
      </c>
      <c r="C949" s="34" t="s">
        <v>2634</v>
      </c>
      <c r="D949" s="75" t="s">
        <v>2933</v>
      </c>
      <c r="E949" s="2" t="s">
        <v>77</v>
      </c>
      <c r="F949">
        <v>15187</v>
      </c>
      <c r="G949" s="6"/>
      <c r="H949" s="6" t="s">
        <v>2934</v>
      </c>
      <c r="I949" s="34"/>
      <c r="J949" s="38"/>
      <c r="K949" s="38"/>
      <c r="L949" s="38"/>
      <c r="M949" s="38" t="s">
        <v>2907</v>
      </c>
      <c r="N949" s="19">
        <v>0.05</v>
      </c>
      <c r="O949" s="76">
        <v>0</v>
      </c>
      <c r="P949" s="6">
        <v>65535</v>
      </c>
      <c r="Q949" s="38">
        <v>0</v>
      </c>
      <c r="R949" s="38">
        <v>1310700</v>
      </c>
      <c r="S949" s="34"/>
      <c r="T949" s="34"/>
      <c r="U949" s="34"/>
      <c r="V949" s="8"/>
      <c r="W949" t="s">
        <v>2935</v>
      </c>
      <c r="Y949" s="34" t="s">
        <v>64</v>
      </c>
      <c r="Z949"/>
      <c r="AA949"/>
      <c r="AE949"/>
      <c r="AF949"/>
      <c r="AG949"/>
      <c r="AH949"/>
    </row>
    <row r="950" spans="1:34" ht="15.75" customHeight="1" x14ac:dyDescent="0.15">
      <c r="A950" s="6">
        <v>944</v>
      </c>
      <c r="B950" s="18" t="s">
        <v>75</v>
      </c>
      <c r="C950" s="34" t="s">
        <v>2634</v>
      </c>
      <c r="D950" s="75" t="s">
        <v>2936</v>
      </c>
      <c r="E950" s="2" t="s">
        <v>59</v>
      </c>
      <c r="F950">
        <v>15189</v>
      </c>
      <c r="G950" s="6"/>
      <c r="H950" s="6" t="s">
        <v>2937</v>
      </c>
      <c r="I950" s="34"/>
      <c r="J950" s="38"/>
      <c r="K950" s="38"/>
      <c r="L950" s="38"/>
      <c r="M950" s="38" t="s">
        <v>2907</v>
      </c>
      <c r="N950" s="19">
        <v>0.05</v>
      </c>
      <c r="O950" s="76">
        <v>0</v>
      </c>
      <c r="P950" s="6">
        <v>4294967295</v>
      </c>
      <c r="Q950" s="38">
        <v>0</v>
      </c>
      <c r="R950" s="38">
        <v>85899345900</v>
      </c>
      <c r="S950" s="34"/>
      <c r="T950" s="34"/>
      <c r="U950" s="34"/>
      <c r="V950" s="8"/>
      <c r="W950" t="s">
        <v>2938</v>
      </c>
      <c r="Y950" s="34" t="s">
        <v>64</v>
      </c>
      <c r="Z950"/>
      <c r="AA950"/>
      <c r="AE950"/>
      <c r="AF950"/>
      <c r="AG950"/>
      <c r="AH950"/>
    </row>
    <row r="951" spans="1:34" ht="15.75" customHeight="1" x14ac:dyDescent="0.15">
      <c r="A951" s="6">
        <v>945</v>
      </c>
      <c r="B951" s="18" t="s">
        <v>75</v>
      </c>
      <c r="C951" s="34" t="s">
        <v>2634</v>
      </c>
      <c r="D951" s="75" t="s">
        <v>2939</v>
      </c>
      <c r="E951" s="2" t="s">
        <v>59</v>
      </c>
      <c r="F951">
        <v>15191</v>
      </c>
      <c r="G951" s="6"/>
      <c r="H951" s="6" t="s">
        <v>2940</v>
      </c>
      <c r="I951" s="34"/>
      <c r="J951" s="38"/>
      <c r="K951" s="38"/>
      <c r="L951" s="38"/>
      <c r="M951" s="38" t="s">
        <v>2907</v>
      </c>
      <c r="N951" s="19">
        <v>0.05</v>
      </c>
      <c r="O951" s="76">
        <v>0</v>
      </c>
      <c r="P951" s="6">
        <v>4294967295</v>
      </c>
      <c r="Q951" s="38">
        <v>0</v>
      </c>
      <c r="R951" s="38">
        <v>85899345900</v>
      </c>
      <c r="S951" s="34"/>
      <c r="T951" s="34"/>
      <c r="U951" s="34"/>
      <c r="V951" s="8"/>
      <c r="W951" t="s">
        <v>2941</v>
      </c>
      <c r="Y951" s="34" t="s">
        <v>64</v>
      </c>
      <c r="Z951"/>
      <c r="AA951"/>
      <c r="AE951"/>
      <c r="AF951"/>
      <c r="AG951"/>
      <c r="AH951"/>
    </row>
    <row r="952" spans="1:34" ht="15.75" customHeight="1" x14ac:dyDescent="0.15">
      <c r="A952" s="6">
        <v>946</v>
      </c>
      <c r="B952" s="18" t="s">
        <v>75</v>
      </c>
      <c r="C952" s="34" t="s">
        <v>2634</v>
      </c>
      <c r="D952" s="75" t="s">
        <v>2942</v>
      </c>
      <c r="E952" s="2" t="s">
        <v>59</v>
      </c>
      <c r="F952">
        <v>15193</v>
      </c>
      <c r="G952" s="6"/>
      <c r="H952" s="6" t="s">
        <v>2943</v>
      </c>
      <c r="I952" s="34"/>
      <c r="J952" s="38"/>
      <c r="K952" s="38"/>
      <c r="L952" s="38"/>
      <c r="M952" s="38" t="s">
        <v>2907</v>
      </c>
      <c r="N952" s="19">
        <v>0.05</v>
      </c>
      <c r="O952" s="76">
        <v>0</v>
      </c>
      <c r="P952" s="6">
        <v>4294967295</v>
      </c>
      <c r="Q952" s="38">
        <v>0</v>
      </c>
      <c r="R952" s="38">
        <v>85899345900</v>
      </c>
      <c r="S952" s="34"/>
      <c r="T952" s="34"/>
      <c r="U952" s="34"/>
      <c r="V952" s="8"/>
      <c r="W952" t="s">
        <v>2944</v>
      </c>
      <c r="Y952" s="34" t="s">
        <v>64</v>
      </c>
      <c r="Z952"/>
      <c r="AA952"/>
      <c r="AE952"/>
      <c r="AF952"/>
      <c r="AG952"/>
      <c r="AH952"/>
    </row>
    <row r="953" spans="1:34" ht="15.75" customHeight="1" x14ac:dyDescent="0.15">
      <c r="A953" s="6">
        <v>947</v>
      </c>
      <c r="B953" s="18" t="s">
        <v>75</v>
      </c>
      <c r="C953" s="34" t="s">
        <v>2634</v>
      </c>
      <c r="D953" s="75" t="s">
        <v>2945</v>
      </c>
      <c r="E953" s="2" t="s">
        <v>59</v>
      </c>
      <c r="F953">
        <v>15195</v>
      </c>
      <c r="G953" s="6"/>
      <c r="H953" s="6" t="s">
        <v>2946</v>
      </c>
      <c r="I953" s="34"/>
      <c r="J953" s="38"/>
      <c r="K953" s="38"/>
      <c r="L953" s="38"/>
      <c r="M953" s="38" t="s">
        <v>2907</v>
      </c>
      <c r="N953" s="19">
        <v>0.05</v>
      </c>
      <c r="O953" s="76">
        <v>0</v>
      </c>
      <c r="P953" s="6">
        <v>4294967295</v>
      </c>
      <c r="Q953" s="38">
        <v>0</v>
      </c>
      <c r="R953" s="38">
        <v>85899345900</v>
      </c>
      <c r="S953" s="34"/>
      <c r="T953" s="34"/>
      <c r="U953" s="34"/>
      <c r="V953" s="8"/>
      <c r="W953" t="s">
        <v>2947</v>
      </c>
      <c r="Y953" s="34" t="s">
        <v>64</v>
      </c>
      <c r="Z953"/>
      <c r="AA953"/>
      <c r="AE953"/>
      <c r="AF953"/>
      <c r="AG953"/>
      <c r="AH953"/>
    </row>
    <row r="954" spans="1:34" ht="15.75" customHeight="1" x14ac:dyDescent="0.15">
      <c r="A954" s="6">
        <v>948</v>
      </c>
      <c r="B954" s="18" t="s">
        <v>75</v>
      </c>
      <c r="C954" s="34" t="s">
        <v>2634</v>
      </c>
      <c r="D954" s="75" t="s">
        <v>2948</v>
      </c>
      <c r="E954" s="2" t="s">
        <v>59</v>
      </c>
      <c r="F954">
        <v>15197</v>
      </c>
      <c r="G954" s="6"/>
      <c r="H954" s="6" t="s">
        <v>2949</v>
      </c>
      <c r="I954" s="34"/>
      <c r="J954" s="38"/>
      <c r="K954" s="38"/>
      <c r="L954" s="38"/>
      <c r="M954" s="38" t="s">
        <v>2907</v>
      </c>
      <c r="N954" s="19">
        <v>0.05</v>
      </c>
      <c r="O954" s="76">
        <v>0</v>
      </c>
      <c r="P954" s="6">
        <v>4294967295</v>
      </c>
      <c r="Q954" s="38">
        <v>0</v>
      </c>
      <c r="R954" s="38">
        <v>85899345900</v>
      </c>
      <c r="S954" s="34"/>
      <c r="T954" s="34"/>
      <c r="U954" s="34"/>
      <c r="V954" s="8"/>
      <c r="W954" t="s">
        <v>2950</v>
      </c>
      <c r="Y954" s="34" t="s">
        <v>64</v>
      </c>
      <c r="Z954"/>
      <c r="AA954"/>
      <c r="AE954"/>
      <c r="AF954"/>
      <c r="AG954"/>
      <c r="AH954"/>
    </row>
    <row r="955" spans="1:34" ht="15.75" customHeight="1" x14ac:dyDescent="0.15">
      <c r="A955" s="6">
        <v>949</v>
      </c>
      <c r="B955" s="18" t="s">
        <v>75</v>
      </c>
      <c r="C955" s="34" t="s">
        <v>2634</v>
      </c>
      <c r="D955" s="75" t="s">
        <v>2951</v>
      </c>
      <c r="E955" s="2" t="s">
        <v>59</v>
      </c>
      <c r="F955">
        <v>15199</v>
      </c>
      <c r="G955" s="6"/>
      <c r="H955" s="6" t="s">
        <v>2952</v>
      </c>
      <c r="I955" s="34"/>
      <c r="J955" s="38"/>
      <c r="K955" s="38"/>
      <c r="L955" s="38"/>
      <c r="M955" s="38" t="s">
        <v>2907</v>
      </c>
      <c r="N955" s="19">
        <v>0.05</v>
      </c>
      <c r="O955" s="76">
        <v>0</v>
      </c>
      <c r="P955" s="6">
        <v>4294967295</v>
      </c>
      <c r="Q955" s="38">
        <v>0</v>
      </c>
      <c r="R955" s="38">
        <v>85899345900</v>
      </c>
      <c r="S955" s="34"/>
      <c r="T955" s="34"/>
      <c r="U955" s="34"/>
      <c r="V955" s="8"/>
      <c r="W955" t="s">
        <v>2953</v>
      </c>
      <c r="Y955" s="34" t="s">
        <v>64</v>
      </c>
      <c r="Z955"/>
      <c r="AA955"/>
      <c r="AE955"/>
      <c r="AF955"/>
      <c r="AG955"/>
      <c r="AH955"/>
    </row>
    <row r="956" spans="1:34" ht="15.75" customHeight="1" x14ac:dyDescent="0.15">
      <c r="A956" s="6">
        <v>950</v>
      </c>
      <c r="B956" s="18" t="s">
        <v>75</v>
      </c>
      <c r="C956" s="34" t="s">
        <v>2634</v>
      </c>
      <c r="D956" s="75" t="s">
        <v>2954</v>
      </c>
      <c r="E956" s="2" t="s">
        <v>59</v>
      </c>
      <c r="F956">
        <v>15201</v>
      </c>
      <c r="G956" s="6"/>
      <c r="H956" s="6" t="s">
        <v>2955</v>
      </c>
      <c r="I956" s="34"/>
      <c r="J956" s="38"/>
      <c r="K956" s="38"/>
      <c r="L956" s="38"/>
      <c r="M956" s="38" t="s">
        <v>2907</v>
      </c>
      <c r="N956" s="19">
        <v>0.05</v>
      </c>
      <c r="O956" s="76">
        <v>0</v>
      </c>
      <c r="P956" s="6">
        <v>4294967295</v>
      </c>
      <c r="Q956" s="38">
        <v>0</v>
      </c>
      <c r="R956" s="38">
        <v>85899345900</v>
      </c>
      <c r="S956" s="34"/>
      <c r="T956" s="34"/>
      <c r="U956" s="34"/>
      <c r="V956" s="8"/>
      <c r="W956" t="s">
        <v>2956</v>
      </c>
      <c r="Y956" s="34" t="s">
        <v>64</v>
      </c>
      <c r="Z956"/>
      <c r="AA956"/>
      <c r="AE956"/>
      <c r="AF956"/>
      <c r="AG956"/>
      <c r="AH956"/>
    </row>
    <row r="957" spans="1:34" ht="15.75" customHeight="1" x14ac:dyDescent="0.15">
      <c r="A957" s="6">
        <v>951</v>
      </c>
      <c r="B957" s="18" t="s">
        <v>75</v>
      </c>
      <c r="C957" s="34" t="s">
        <v>2634</v>
      </c>
      <c r="D957" s="75" t="s">
        <v>2957</v>
      </c>
      <c r="E957" s="2" t="s">
        <v>59</v>
      </c>
      <c r="F957">
        <v>15203</v>
      </c>
      <c r="G957" s="6"/>
      <c r="H957" s="6" t="s">
        <v>2958</v>
      </c>
      <c r="I957" s="34"/>
      <c r="J957" s="38"/>
      <c r="K957" s="38"/>
      <c r="L957" s="38"/>
      <c r="M957" s="38" t="s">
        <v>2907</v>
      </c>
      <c r="N957" s="19">
        <v>0.05</v>
      </c>
      <c r="O957" s="76">
        <v>0</v>
      </c>
      <c r="P957" s="6">
        <v>4294967295</v>
      </c>
      <c r="Q957" s="38">
        <v>0</v>
      </c>
      <c r="R957" s="38">
        <v>85899345900</v>
      </c>
      <c r="S957" s="34"/>
      <c r="T957" s="34"/>
      <c r="U957" s="34"/>
      <c r="V957" s="8"/>
      <c r="W957" t="s">
        <v>2959</v>
      </c>
      <c r="Y957" s="34" t="s">
        <v>64</v>
      </c>
      <c r="Z957"/>
      <c r="AA957"/>
      <c r="AE957"/>
      <c r="AF957"/>
      <c r="AG957"/>
      <c r="AH957"/>
    </row>
    <row r="958" spans="1:34" ht="15.75" customHeight="1" x14ac:dyDescent="0.15">
      <c r="A958" s="6">
        <v>952</v>
      </c>
      <c r="B958" s="18" t="s">
        <v>75</v>
      </c>
      <c r="C958" s="34" t="s">
        <v>2634</v>
      </c>
      <c r="D958" s="75" t="s">
        <v>2960</v>
      </c>
      <c r="E958" s="2" t="s">
        <v>59</v>
      </c>
      <c r="F958">
        <v>15205</v>
      </c>
      <c r="G958" s="6"/>
      <c r="H958" s="6" t="s">
        <v>2961</v>
      </c>
      <c r="I958" s="34"/>
      <c r="J958" s="38"/>
      <c r="K958" s="38"/>
      <c r="L958" s="38"/>
      <c r="M958" s="38" t="s">
        <v>2907</v>
      </c>
      <c r="N958" s="19">
        <v>0.05</v>
      </c>
      <c r="O958" s="76">
        <v>0</v>
      </c>
      <c r="P958" s="6">
        <v>4294967295</v>
      </c>
      <c r="Q958" s="38">
        <v>0</v>
      </c>
      <c r="R958" s="38">
        <v>85899345900</v>
      </c>
      <c r="S958" s="34"/>
      <c r="T958" s="34"/>
      <c r="U958" s="34"/>
      <c r="V958" s="8"/>
      <c r="W958" t="s">
        <v>2962</v>
      </c>
      <c r="Y958" s="34" t="s">
        <v>64</v>
      </c>
      <c r="Z958"/>
      <c r="AA958"/>
      <c r="AE958"/>
      <c r="AF958"/>
      <c r="AG958"/>
      <c r="AH958"/>
    </row>
    <row r="959" spans="1:34" ht="15.75" customHeight="1" x14ac:dyDescent="0.15">
      <c r="A959" s="6">
        <v>953</v>
      </c>
      <c r="B959" s="18" t="s">
        <v>75</v>
      </c>
      <c r="C959" s="34" t="s">
        <v>2634</v>
      </c>
      <c r="D959" s="75" t="s">
        <v>2963</v>
      </c>
      <c r="E959" s="2" t="s">
        <v>59</v>
      </c>
      <c r="F959">
        <v>15207</v>
      </c>
      <c r="G959" s="6"/>
      <c r="H959" s="6" t="s">
        <v>2964</v>
      </c>
      <c r="I959" s="34"/>
      <c r="J959" s="38"/>
      <c r="K959" s="38"/>
      <c r="L959" s="38"/>
      <c r="M959" s="38" t="s">
        <v>2907</v>
      </c>
      <c r="N959" s="19">
        <v>0.05</v>
      </c>
      <c r="O959" s="76">
        <v>0</v>
      </c>
      <c r="P959" s="6">
        <v>4294967295</v>
      </c>
      <c r="Q959" s="38">
        <v>0</v>
      </c>
      <c r="R959" s="38">
        <v>85899345900</v>
      </c>
      <c r="S959" s="34"/>
      <c r="T959" s="34"/>
      <c r="U959" s="34"/>
      <c r="V959" s="8"/>
      <c r="W959" t="s">
        <v>2965</v>
      </c>
      <c r="Y959" s="34" t="s">
        <v>64</v>
      </c>
      <c r="Z959"/>
      <c r="AA959"/>
      <c r="AE959"/>
      <c r="AF959"/>
      <c r="AG959"/>
      <c r="AH959"/>
    </row>
    <row r="960" spans="1:34" ht="15.75" customHeight="1" x14ac:dyDescent="0.15">
      <c r="A960" s="6">
        <v>954</v>
      </c>
      <c r="B960" s="18" t="s">
        <v>75</v>
      </c>
      <c r="C960" s="34" t="s">
        <v>2634</v>
      </c>
      <c r="D960" s="75" t="s">
        <v>2966</v>
      </c>
      <c r="E960" s="2" t="s">
        <v>2348</v>
      </c>
      <c r="F960">
        <v>15211</v>
      </c>
      <c r="G960" s="6"/>
      <c r="H960" s="6" t="s">
        <v>2967</v>
      </c>
      <c r="I960" s="34"/>
      <c r="J960" s="38"/>
      <c r="K960" s="38"/>
      <c r="L960" s="38"/>
      <c r="M960" s="38"/>
      <c r="N960" s="19"/>
      <c r="O960" s="76" t="s">
        <v>62</v>
      </c>
      <c r="P960" s="6" t="s">
        <v>62</v>
      </c>
      <c r="Q960" s="38" t="s">
        <v>62</v>
      </c>
      <c r="R960" s="38" t="s">
        <v>62</v>
      </c>
      <c r="S960" s="34"/>
      <c r="T960" s="34"/>
      <c r="U960" s="34"/>
      <c r="V960" s="8"/>
      <c r="W960" t="s">
        <v>2968</v>
      </c>
      <c r="X960" t="s">
        <v>2763</v>
      </c>
      <c r="Y960" s="34" t="s">
        <v>64</v>
      </c>
      <c r="Z960"/>
      <c r="AA960"/>
      <c r="AE960"/>
      <c r="AF960"/>
      <c r="AG960"/>
      <c r="AH960"/>
    </row>
    <row r="961" spans="1:34" ht="15.75" customHeight="1" x14ac:dyDescent="0.15">
      <c r="A961" s="6">
        <v>955</v>
      </c>
      <c r="B961" s="18" t="s">
        <v>75</v>
      </c>
      <c r="C961" s="34" t="s">
        <v>2634</v>
      </c>
      <c r="D961" s="75" t="s">
        <v>2969</v>
      </c>
      <c r="E961" s="2" t="s">
        <v>2348</v>
      </c>
      <c r="F961">
        <v>15212</v>
      </c>
      <c r="G961" s="6"/>
      <c r="H961" s="6" t="s">
        <v>2970</v>
      </c>
      <c r="I961" s="34"/>
      <c r="J961" s="38"/>
      <c r="K961" s="38"/>
      <c r="L961" s="38"/>
      <c r="M961" s="38"/>
      <c r="N961" s="19"/>
      <c r="O961" s="76" t="s">
        <v>62</v>
      </c>
      <c r="P961" s="6" t="s">
        <v>62</v>
      </c>
      <c r="Q961" s="38" t="s">
        <v>62</v>
      </c>
      <c r="R961" s="38" t="s">
        <v>62</v>
      </c>
      <c r="S961" s="34"/>
      <c r="T961" s="34"/>
      <c r="U961" s="34"/>
      <c r="V961" s="8"/>
      <c r="W961" t="s">
        <v>2971</v>
      </c>
      <c r="X961" t="s">
        <v>2763</v>
      </c>
      <c r="Y961" s="34" t="s">
        <v>64</v>
      </c>
      <c r="Z961"/>
      <c r="AA961"/>
      <c r="AE961"/>
      <c r="AF961"/>
      <c r="AG961"/>
      <c r="AH961"/>
    </row>
    <row r="962" spans="1:34" ht="15.75" customHeight="1" x14ac:dyDescent="0.15">
      <c r="A962" s="6">
        <v>956</v>
      </c>
      <c r="B962" s="18" t="s">
        <v>75</v>
      </c>
      <c r="C962" s="34" t="s">
        <v>2634</v>
      </c>
      <c r="D962" s="75" t="s">
        <v>2972</v>
      </c>
      <c r="E962" s="2" t="s">
        <v>2348</v>
      </c>
      <c r="F962">
        <v>15221</v>
      </c>
      <c r="G962" s="6"/>
      <c r="H962" s="6" t="s">
        <v>2973</v>
      </c>
      <c r="I962" s="34"/>
      <c r="J962" s="38"/>
      <c r="K962" s="38"/>
      <c r="L962" s="38"/>
      <c r="M962" s="38"/>
      <c r="N962" s="19"/>
      <c r="O962" s="76" t="s">
        <v>62</v>
      </c>
      <c r="P962" s="6" t="s">
        <v>62</v>
      </c>
      <c r="Q962" s="38" t="s">
        <v>62</v>
      </c>
      <c r="R962" s="38" t="s">
        <v>62</v>
      </c>
      <c r="S962" s="34"/>
      <c r="T962" s="34"/>
      <c r="U962" s="34"/>
      <c r="V962" s="8"/>
      <c r="W962" t="s">
        <v>2974</v>
      </c>
      <c r="X962" t="s">
        <v>2975</v>
      </c>
      <c r="Y962" s="34"/>
      <c r="Z962"/>
      <c r="AA962"/>
      <c r="AE962"/>
      <c r="AF962"/>
      <c r="AG962"/>
      <c r="AH962"/>
    </row>
    <row r="963" spans="1:34" ht="15.75" customHeight="1" x14ac:dyDescent="0.15">
      <c r="A963" s="6">
        <v>957</v>
      </c>
      <c r="B963" s="18" t="s">
        <v>75</v>
      </c>
      <c r="C963" s="34" t="s">
        <v>2634</v>
      </c>
      <c r="D963" s="75" t="s">
        <v>2976</v>
      </c>
      <c r="E963" s="2" t="s">
        <v>2348</v>
      </c>
      <c r="F963">
        <v>15222</v>
      </c>
      <c r="G963" s="6"/>
      <c r="H963" s="6" t="s">
        <v>2977</v>
      </c>
      <c r="I963" s="34"/>
      <c r="J963" s="38"/>
      <c r="K963" s="38"/>
      <c r="L963" s="38"/>
      <c r="M963" s="38"/>
      <c r="N963" s="19"/>
      <c r="O963" s="76" t="s">
        <v>62</v>
      </c>
      <c r="P963" s="6" t="s">
        <v>62</v>
      </c>
      <c r="Q963" s="38" t="s">
        <v>62</v>
      </c>
      <c r="R963" s="38" t="s">
        <v>62</v>
      </c>
      <c r="S963" s="34"/>
      <c r="T963" s="34"/>
      <c r="U963" s="34"/>
      <c r="V963" s="8"/>
      <c r="W963" t="s">
        <v>2978</v>
      </c>
      <c r="X963" t="s">
        <v>2975</v>
      </c>
      <c r="Y963" s="34"/>
      <c r="Z963"/>
      <c r="AA963"/>
      <c r="AE963"/>
      <c r="AF963"/>
      <c r="AG963"/>
      <c r="AH963"/>
    </row>
    <row r="964" spans="1:34" ht="15.75" customHeight="1" x14ac:dyDescent="0.15">
      <c r="A964" s="6">
        <v>958</v>
      </c>
      <c r="B964" s="18" t="s">
        <v>75</v>
      </c>
      <c r="C964" s="34" t="s">
        <v>2634</v>
      </c>
      <c r="D964" s="75" t="s">
        <v>2979</v>
      </c>
      <c r="E964" s="2" t="s">
        <v>77</v>
      </c>
      <c r="F964">
        <v>15223</v>
      </c>
      <c r="G964" s="6"/>
      <c r="H964" s="6" t="s">
        <v>2980</v>
      </c>
      <c r="I964" s="34"/>
      <c r="J964" s="38"/>
      <c r="K964" s="38"/>
      <c r="L964" s="38"/>
      <c r="M964" s="38" t="s">
        <v>582</v>
      </c>
      <c r="N964" s="19">
        <v>10</v>
      </c>
      <c r="O964" s="76">
        <v>0</v>
      </c>
      <c r="P964" s="6">
        <v>65535</v>
      </c>
      <c r="Q964" s="38">
        <v>0</v>
      </c>
      <c r="R964" s="38">
        <v>6553.5</v>
      </c>
      <c r="S964" s="34"/>
      <c r="T964" s="34"/>
      <c r="U964" s="34"/>
      <c r="V964" s="8"/>
      <c r="W964" t="s">
        <v>2981</v>
      </c>
      <c r="Y964" s="34" t="s">
        <v>64</v>
      </c>
      <c r="Z964"/>
      <c r="AA964"/>
      <c r="AE964"/>
      <c r="AF964"/>
      <c r="AG964"/>
      <c r="AH964"/>
    </row>
    <row r="965" spans="1:34" ht="15.75" customHeight="1" x14ac:dyDescent="0.15">
      <c r="A965" s="6">
        <v>959</v>
      </c>
      <c r="B965" s="18" t="s">
        <v>75</v>
      </c>
      <c r="C965" s="34" t="s">
        <v>2634</v>
      </c>
      <c r="D965" s="75" t="s">
        <v>2982</v>
      </c>
      <c r="E965" s="2" t="s">
        <v>143</v>
      </c>
      <c r="F965">
        <v>15224</v>
      </c>
      <c r="G965" s="6"/>
      <c r="H965" s="6" t="s">
        <v>2983</v>
      </c>
      <c r="I965" s="34"/>
      <c r="J965" s="38"/>
      <c r="K965" s="38"/>
      <c r="L965" s="38"/>
      <c r="M965" s="38" t="s">
        <v>145</v>
      </c>
      <c r="N965" s="19">
        <v>1000</v>
      </c>
      <c r="O965" s="76">
        <v>-32768</v>
      </c>
      <c r="P965" s="6">
        <v>32767</v>
      </c>
      <c r="Q965" s="38">
        <v>-32.768000000000001</v>
      </c>
      <c r="R965" s="38">
        <v>32.767000000000003</v>
      </c>
      <c r="S965" s="34"/>
      <c r="T965" s="34"/>
      <c r="U965" s="34"/>
      <c r="V965" s="8"/>
      <c r="W965" t="s">
        <v>2984</v>
      </c>
      <c r="Y965" s="34" t="s">
        <v>64</v>
      </c>
      <c r="Z965"/>
      <c r="AA965"/>
      <c r="AE965"/>
      <c r="AF965"/>
      <c r="AG965"/>
      <c r="AH965"/>
    </row>
    <row r="966" spans="1:34" ht="15.75" customHeight="1" x14ac:dyDescent="0.15">
      <c r="A966" s="6">
        <v>960</v>
      </c>
      <c r="B966" s="18" t="s">
        <v>75</v>
      </c>
      <c r="C966" s="34" t="s">
        <v>2634</v>
      </c>
      <c r="D966" s="75" t="s">
        <v>2985</v>
      </c>
      <c r="E966" s="2" t="s">
        <v>143</v>
      </c>
      <c r="F966">
        <v>15225</v>
      </c>
      <c r="G966" s="6"/>
      <c r="H966" s="6" t="s">
        <v>2986</v>
      </c>
      <c r="I966" s="34"/>
      <c r="J966" s="38"/>
      <c r="K966" s="38"/>
      <c r="L966" s="38"/>
      <c r="M966" s="38" t="s">
        <v>145</v>
      </c>
      <c r="N966" s="19">
        <v>1000</v>
      </c>
      <c r="O966" s="76">
        <v>-32768</v>
      </c>
      <c r="P966" s="6">
        <v>32767</v>
      </c>
      <c r="Q966" s="38">
        <v>-32.768000000000001</v>
      </c>
      <c r="R966" s="38">
        <v>32.767000000000003</v>
      </c>
      <c r="S966" s="34"/>
      <c r="T966" s="34"/>
      <c r="U966" s="34"/>
      <c r="V966" s="8"/>
      <c r="W966" t="s">
        <v>2987</v>
      </c>
      <c r="Y966" s="34" t="s">
        <v>64</v>
      </c>
      <c r="Z966"/>
      <c r="AA966"/>
      <c r="AE966"/>
      <c r="AF966"/>
      <c r="AG966"/>
      <c r="AH966"/>
    </row>
    <row r="967" spans="1:34" ht="15.75" customHeight="1" x14ac:dyDescent="0.15">
      <c r="A967" s="6">
        <v>961</v>
      </c>
      <c r="B967" s="18" t="s">
        <v>75</v>
      </c>
      <c r="C967" s="34" t="s">
        <v>2634</v>
      </c>
      <c r="D967" s="75" t="s">
        <v>2988</v>
      </c>
      <c r="E967" s="2" t="s">
        <v>143</v>
      </c>
      <c r="F967">
        <v>15226</v>
      </c>
      <c r="G967" s="6"/>
      <c r="H967" s="6" t="s">
        <v>2989</v>
      </c>
      <c r="I967" s="34"/>
      <c r="J967" s="38"/>
      <c r="K967" s="38"/>
      <c r="L967" s="38"/>
      <c r="M967" s="38" t="s">
        <v>145</v>
      </c>
      <c r="N967" s="19">
        <v>1000</v>
      </c>
      <c r="O967" s="76">
        <v>-32768</v>
      </c>
      <c r="P967" s="6">
        <v>32767</v>
      </c>
      <c r="Q967" s="38">
        <v>-32.768000000000001</v>
      </c>
      <c r="R967" s="38">
        <v>32.767000000000003</v>
      </c>
      <c r="S967" s="34"/>
      <c r="T967" s="34"/>
      <c r="U967" s="34"/>
      <c r="V967" s="8"/>
      <c r="W967" t="s">
        <v>2990</v>
      </c>
      <c r="Y967" s="34" t="s">
        <v>64</v>
      </c>
      <c r="Z967"/>
      <c r="AA967"/>
      <c r="AE967"/>
      <c r="AF967"/>
      <c r="AG967"/>
      <c r="AH967"/>
    </row>
    <row r="968" spans="1:34" ht="15.75" customHeight="1" x14ac:dyDescent="0.15">
      <c r="A968" s="6">
        <v>962</v>
      </c>
      <c r="B968" s="18" t="s">
        <v>75</v>
      </c>
      <c r="C968" s="34" t="s">
        <v>2634</v>
      </c>
      <c r="D968" s="75" t="s">
        <v>2991</v>
      </c>
      <c r="E968" s="2" t="s">
        <v>77</v>
      </c>
      <c r="F968">
        <v>15227</v>
      </c>
      <c r="G968" s="6"/>
      <c r="H968" s="6" t="s">
        <v>2992</v>
      </c>
      <c r="I968" s="34"/>
      <c r="J968" s="38"/>
      <c r="K968" s="38"/>
      <c r="L968" s="38"/>
      <c r="M968" s="38" t="s">
        <v>145</v>
      </c>
      <c r="N968" s="19">
        <v>10</v>
      </c>
      <c r="O968" s="76">
        <v>0</v>
      </c>
      <c r="P968" s="6">
        <v>65535</v>
      </c>
      <c r="Q968" s="38">
        <v>0</v>
      </c>
      <c r="R968" s="38">
        <v>6553.5</v>
      </c>
      <c r="S968" s="34"/>
      <c r="T968" s="34"/>
      <c r="U968" s="34"/>
      <c r="V968" s="8"/>
      <c r="W968" t="s">
        <v>2993</v>
      </c>
      <c r="Y968" s="34" t="s">
        <v>64</v>
      </c>
      <c r="Z968"/>
      <c r="AA968"/>
      <c r="AE968"/>
      <c r="AF968"/>
      <c r="AG968"/>
      <c r="AH968"/>
    </row>
    <row r="969" spans="1:34" ht="15.75" customHeight="1" x14ac:dyDescent="0.15">
      <c r="A969" s="6">
        <v>963</v>
      </c>
      <c r="B969" s="18" t="s">
        <v>75</v>
      </c>
      <c r="C969" s="34" t="s">
        <v>2634</v>
      </c>
      <c r="D969" s="75" t="s">
        <v>2994</v>
      </c>
      <c r="E969" s="2" t="s">
        <v>77</v>
      </c>
      <c r="F969">
        <v>15228</v>
      </c>
      <c r="G969" s="6"/>
      <c r="H969" s="6" t="s">
        <v>2995</v>
      </c>
      <c r="I969" s="34"/>
      <c r="J969" s="38"/>
      <c r="K969" s="38"/>
      <c r="L969" s="38"/>
      <c r="M969" s="38" t="s">
        <v>145</v>
      </c>
      <c r="N969" s="19">
        <v>10</v>
      </c>
      <c r="O969" s="76">
        <v>0</v>
      </c>
      <c r="P969" s="6">
        <v>65535</v>
      </c>
      <c r="Q969" s="38">
        <v>0</v>
      </c>
      <c r="R969" s="38">
        <v>6553.5</v>
      </c>
      <c r="S969" s="34"/>
      <c r="T969" s="34"/>
      <c r="U969" s="34"/>
      <c r="V969" s="8"/>
      <c r="W969" t="s">
        <v>2996</v>
      </c>
      <c r="Y969" s="34" t="s">
        <v>64</v>
      </c>
      <c r="Z969"/>
      <c r="AA969"/>
      <c r="AE969"/>
      <c r="AF969"/>
      <c r="AG969"/>
      <c r="AH969"/>
    </row>
    <row r="970" spans="1:34" ht="15.75" customHeight="1" x14ac:dyDescent="0.15">
      <c r="A970" s="6">
        <v>964</v>
      </c>
      <c r="B970" s="18" t="s">
        <v>75</v>
      </c>
      <c r="C970" s="34" t="s">
        <v>2634</v>
      </c>
      <c r="D970" s="75" t="s">
        <v>2997</v>
      </c>
      <c r="E970" s="2" t="s">
        <v>77</v>
      </c>
      <c r="F970">
        <v>15229</v>
      </c>
      <c r="G970" s="6"/>
      <c r="H970" s="6" t="s">
        <v>2998</v>
      </c>
      <c r="I970" s="34"/>
      <c r="J970" s="38"/>
      <c r="K970" s="38"/>
      <c r="L970" s="38"/>
      <c r="M970" s="38" t="s">
        <v>145</v>
      </c>
      <c r="N970" s="19">
        <v>10</v>
      </c>
      <c r="O970" s="76">
        <v>0</v>
      </c>
      <c r="P970" s="6">
        <v>65535</v>
      </c>
      <c r="Q970" s="38">
        <v>0</v>
      </c>
      <c r="R970" s="38">
        <v>6553.5</v>
      </c>
      <c r="S970" s="34"/>
      <c r="T970" s="34"/>
      <c r="U970" s="34"/>
      <c r="V970" s="8"/>
      <c r="W970" t="s">
        <v>2999</v>
      </c>
      <c r="Y970" s="34" t="s">
        <v>64</v>
      </c>
      <c r="Z970"/>
      <c r="AA970"/>
      <c r="AE970"/>
      <c r="AF970"/>
      <c r="AG970"/>
      <c r="AH970"/>
    </row>
    <row r="971" spans="1:34" ht="15.75" customHeight="1" x14ac:dyDescent="0.15">
      <c r="A971" s="6">
        <v>965</v>
      </c>
      <c r="B971" s="18" t="s">
        <v>75</v>
      </c>
      <c r="C971" s="34" t="s">
        <v>2634</v>
      </c>
      <c r="D971" s="75" t="s">
        <v>3000</v>
      </c>
      <c r="E971" s="2" t="s">
        <v>2348</v>
      </c>
      <c r="F971">
        <v>15230</v>
      </c>
      <c r="G971" s="6"/>
      <c r="H971" s="6" t="s">
        <v>3001</v>
      </c>
      <c r="I971" s="34"/>
      <c r="J971" s="38"/>
      <c r="K971" s="38"/>
      <c r="L971" s="38"/>
      <c r="M971" s="38"/>
      <c r="N971" s="19"/>
      <c r="O971" s="76" t="s">
        <v>62</v>
      </c>
      <c r="P971" s="6" t="s">
        <v>62</v>
      </c>
      <c r="Q971" s="38" t="s">
        <v>62</v>
      </c>
      <c r="R971" s="38" t="s">
        <v>62</v>
      </c>
      <c r="S971" s="34"/>
      <c r="T971" s="34"/>
      <c r="U971" s="34"/>
      <c r="V971" s="8"/>
      <c r="W971" t="s">
        <v>3002</v>
      </c>
      <c r="X971" t="s">
        <v>3003</v>
      </c>
      <c r="Y971" s="34" t="s">
        <v>64</v>
      </c>
      <c r="Z971"/>
      <c r="AA971"/>
      <c r="AE971"/>
      <c r="AF971"/>
      <c r="AG971"/>
      <c r="AH971"/>
    </row>
    <row r="972" spans="1:34" ht="15.75" customHeight="1" x14ac:dyDescent="0.15">
      <c r="A972" s="6">
        <v>966</v>
      </c>
      <c r="B972" s="18" t="s">
        <v>75</v>
      </c>
      <c r="C972" s="34" t="s">
        <v>2634</v>
      </c>
      <c r="D972" s="75" t="s">
        <v>3004</v>
      </c>
      <c r="E972" s="2" t="s">
        <v>77</v>
      </c>
      <c r="F972">
        <v>15248</v>
      </c>
      <c r="G972" s="6"/>
      <c r="H972" s="6" t="s">
        <v>3005</v>
      </c>
      <c r="I972" s="34"/>
      <c r="J972" s="38"/>
      <c r="K972" s="38"/>
      <c r="L972" s="38"/>
      <c r="M972" s="38" t="s">
        <v>582</v>
      </c>
      <c r="N972" s="19">
        <v>1</v>
      </c>
      <c r="O972" s="76">
        <v>0</v>
      </c>
      <c r="P972" s="6">
        <v>65535</v>
      </c>
      <c r="Q972" s="38">
        <v>0</v>
      </c>
      <c r="R972" s="38">
        <v>65535</v>
      </c>
      <c r="S972" s="34"/>
      <c r="T972" s="34"/>
      <c r="U972" s="34"/>
      <c r="V972" s="8"/>
      <c r="W972" t="s">
        <v>3006</v>
      </c>
      <c r="Y972" s="34" t="s">
        <v>64</v>
      </c>
      <c r="Z972"/>
      <c r="AA972"/>
      <c r="AE972"/>
      <c r="AF972"/>
      <c r="AG972"/>
      <c r="AH972"/>
    </row>
    <row r="973" spans="1:34" ht="15.75" customHeight="1" x14ac:dyDescent="0.15">
      <c r="A973" s="6">
        <v>967</v>
      </c>
      <c r="B973" s="18" t="s">
        <v>75</v>
      </c>
      <c r="C973" s="34" t="s">
        <v>2634</v>
      </c>
      <c r="D973" s="75" t="s">
        <v>3007</v>
      </c>
      <c r="E973" s="2" t="s">
        <v>77</v>
      </c>
      <c r="F973">
        <v>15256</v>
      </c>
      <c r="G973" s="6"/>
      <c r="H973" s="6" t="s">
        <v>3008</v>
      </c>
      <c r="I973" s="34"/>
      <c r="J973" s="38"/>
      <c r="K973" s="38"/>
      <c r="L973" s="38"/>
      <c r="M973" s="38" t="s">
        <v>560</v>
      </c>
      <c r="N973" s="19">
        <v>10</v>
      </c>
      <c r="O973" s="76">
        <v>0</v>
      </c>
      <c r="P973" s="6">
        <v>65535</v>
      </c>
      <c r="Q973" s="38">
        <v>0</v>
      </c>
      <c r="R973" s="38">
        <v>6553.5</v>
      </c>
      <c r="S973" s="34"/>
      <c r="T973" s="34"/>
      <c r="U973" s="34"/>
      <c r="V973" s="8"/>
      <c r="W973" t="s">
        <v>3009</v>
      </c>
      <c r="Y973" s="34" t="s">
        <v>64</v>
      </c>
      <c r="Z973"/>
      <c r="AA973"/>
      <c r="AE973"/>
      <c r="AF973"/>
      <c r="AG973"/>
      <c r="AH973"/>
    </row>
    <row r="974" spans="1:34" ht="15.75" customHeight="1" x14ac:dyDescent="0.15">
      <c r="A974" s="6">
        <v>968</v>
      </c>
      <c r="B974" s="18" t="s">
        <v>75</v>
      </c>
      <c r="C974" s="34" t="s">
        <v>2634</v>
      </c>
      <c r="D974" s="75" t="s">
        <v>3010</v>
      </c>
      <c r="E974" s="2" t="s">
        <v>77</v>
      </c>
      <c r="F974">
        <v>15257</v>
      </c>
      <c r="G974" s="6"/>
      <c r="H974" s="6" t="s">
        <v>3011</v>
      </c>
      <c r="I974" s="34"/>
      <c r="J974" s="38"/>
      <c r="K974" s="38"/>
      <c r="L974" s="38"/>
      <c r="M974" s="38" t="s">
        <v>560</v>
      </c>
      <c r="N974" s="19">
        <v>10</v>
      </c>
      <c r="O974" s="76">
        <v>0</v>
      </c>
      <c r="P974" s="6">
        <v>65535</v>
      </c>
      <c r="Q974" s="38">
        <v>0</v>
      </c>
      <c r="R974" s="38">
        <v>6553.5</v>
      </c>
      <c r="S974" s="34"/>
      <c r="T974" s="34"/>
      <c r="U974" s="34"/>
      <c r="V974" s="8"/>
      <c r="W974" t="s">
        <v>3012</v>
      </c>
      <c r="Y974" s="34" t="s">
        <v>64</v>
      </c>
      <c r="Z974"/>
      <c r="AA974"/>
      <c r="AE974"/>
      <c r="AF974"/>
      <c r="AG974"/>
      <c r="AH974"/>
    </row>
    <row r="975" spans="1:34" ht="15.75" customHeight="1" x14ac:dyDescent="0.15">
      <c r="A975" s="6">
        <v>969</v>
      </c>
      <c r="B975" s="18" t="s">
        <v>75</v>
      </c>
      <c r="C975" s="34" t="s">
        <v>2634</v>
      </c>
      <c r="D975" s="75" t="s">
        <v>3013</v>
      </c>
      <c r="E975" s="2" t="s">
        <v>77</v>
      </c>
      <c r="F975">
        <v>15258</v>
      </c>
      <c r="G975" s="6"/>
      <c r="H975" s="6" t="s">
        <v>3014</v>
      </c>
      <c r="I975" s="34"/>
      <c r="J975" s="38"/>
      <c r="K975" s="38"/>
      <c r="L975" s="38"/>
      <c r="M975" s="38" t="s">
        <v>149</v>
      </c>
      <c r="N975" s="19">
        <v>100</v>
      </c>
      <c r="O975" s="76">
        <v>0</v>
      </c>
      <c r="P975" s="6">
        <v>65535</v>
      </c>
      <c r="Q975" s="38">
        <v>0</v>
      </c>
      <c r="R975" s="38">
        <v>655.35</v>
      </c>
      <c r="S975" s="34"/>
      <c r="T975" s="34"/>
      <c r="U975" s="34"/>
      <c r="V975" s="8"/>
      <c r="W975" t="s">
        <v>3015</v>
      </c>
      <c r="Y975" s="34" t="s">
        <v>64</v>
      </c>
      <c r="Z975"/>
      <c r="AA975"/>
      <c r="AE975"/>
      <c r="AF975"/>
      <c r="AG975"/>
      <c r="AH975"/>
    </row>
    <row r="976" spans="1:34" ht="15.75" customHeight="1" x14ac:dyDescent="0.15">
      <c r="A976" s="6">
        <v>970</v>
      </c>
      <c r="B976" s="18" t="s">
        <v>75</v>
      </c>
      <c r="C976" s="34" t="s">
        <v>2634</v>
      </c>
      <c r="D976" s="75" t="s">
        <v>3016</v>
      </c>
      <c r="E976" s="2" t="s">
        <v>77</v>
      </c>
      <c r="F976">
        <v>15259</v>
      </c>
      <c r="G976" s="6"/>
      <c r="H976" s="6" t="s">
        <v>3017</v>
      </c>
      <c r="I976" s="34"/>
      <c r="J976" s="38"/>
      <c r="K976" s="38"/>
      <c r="L976" s="38"/>
      <c r="M976" s="38" t="s">
        <v>149</v>
      </c>
      <c r="N976" s="19">
        <v>100</v>
      </c>
      <c r="O976" s="76">
        <v>0</v>
      </c>
      <c r="P976" s="6">
        <v>65535</v>
      </c>
      <c r="Q976" s="38">
        <v>0</v>
      </c>
      <c r="R976" s="38">
        <v>655.35</v>
      </c>
      <c r="S976" s="34"/>
      <c r="T976" s="34"/>
      <c r="U976" s="34"/>
      <c r="V976" s="8"/>
      <c r="W976" t="s">
        <v>3018</v>
      </c>
      <c r="Y976" s="34" t="s">
        <v>64</v>
      </c>
      <c r="Z976"/>
      <c r="AA976"/>
      <c r="AE976"/>
      <c r="AF976"/>
      <c r="AG976"/>
      <c r="AH976"/>
    </row>
    <row r="977" spans="1:34" ht="15.75" customHeight="1" x14ac:dyDescent="0.15">
      <c r="A977" s="6">
        <v>971</v>
      </c>
      <c r="B977" s="18" t="s">
        <v>75</v>
      </c>
      <c r="C977" s="34" t="s">
        <v>2634</v>
      </c>
      <c r="D977" s="75" t="s">
        <v>3019</v>
      </c>
      <c r="E977" s="2" t="s">
        <v>77</v>
      </c>
      <c r="F977">
        <v>15260</v>
      </c>
      <c r="G977" s="6"/>
      <c r="H977" s="6" t="s">
        <v>3020</v>
      </c>
      <c r="I977" s="34"/>
      <c r="J977" s="38"/>
      <c r="K977" s="38"/>
      <c r="L977" s="38"/>
      <c r="M977" s="38"/>
      <c r="N977" s="19"/>
      <c r="O977" s="76">
        <v>0</v>
      </c>
      <c r="P977" s="6">
        <v>65535</v>
      </c>
      <c r="Q977" s="38" t="s">
        <v>62</v>
      </c>
      <c r="R977" s="38" t="s">
        <v>62</v>
      </c>
      <c r="S977" s="34"/>
      <c r="T977" s="34"/>
      <c r="U977" s="34"/>
      <c r="V977" s="8"/>
      <c r="W977" t="s">
        <v>3021</v>
      </c>
      <c r="Y977" s="34" t="s">
        <v>64</v>
      </c>
      <c r="Z977"/>
      <c r="AA977"/>
      <c r="AE977"/>
      <c r="AF977"/>
      <c r="AG977"/>
      <c r="AH977"/>
    </row>
    <row r="978" spans="1:34" ht="15.75" customHeight="1" x14ac:dyDescent="0.15">
      <c r="A978" s="6">
        <v>972</v>
      </c>
      <c r="B978" s="18" t="s">
        <v>75</v>
      </c>
      <c r="C978" s="34" t="s">
        <v>2634</v>
      </c>
      <c r="D978" s="75" t="s">
        <v>3022</v>
      </c>
      <c r="E978" s="2" t="s">
        <v>77</v>
      </c>
      <c r="F978">
        <v>15261</v>
      </c>
      <c r="G978" s="6"/>
      <c r="H978" s="6" t="s">
        <v>3023</v>
      </c>
      <c r="I978" s="34"/>
      <c r="J978" s="38"/>
      <c r="K978" s="38"/>
      <c r="L978" s="38"/>
      <c r="M978" s="38"/>
      <c r="N978" s="19"/>
      <c r="O978" s="76">
        <v>0</v>
      </c>
      <c r="P978" s="6">
        <v>65535</v>
      </c>
      <c r="Q978" s="38" t="s">
        <v>62</v>
      </c>
      <c r="R978" s="38" t="s">
        <v>62</v>
      </c>
      <c r="S978" s="34"/>
      <c r="T978" s="34"/>
      <c r="U978" s="34"/>
      <c r="V978" s="8"/>
      <c r="W978" t="s">
        <v>3024</v>
      </c>
      <c r="Y978" s="34" t="s">
        <v>64</v>
      </c>
      <c r="Z978"/>
      <c r="AA978"/>
      <c r="AE978"/>
      <c r="AF978"/>
      <c r="AG978"/>
      <c r="AH978"/>
    </row>
    <row r="979" spans="1:34" ht="15.75" customHeight="1" x14ac:dyDescent="0.15">
      <c r="A979" s="6">
        <v>973</v>
      </c>
      <c r="B979" s="18"/>
      <c r="C979" s="34" t="s">
        <v>2634</v>
      </c>
      <c r="D979" s="75" t="s">
        <v>3025</v>
      </c>
      <c r="E979" s="2" t="s">
        <v>77</v>
      </c>
      <c r="F979">
        <v>15262</v>
      </c>
      <c r="G979" s="6"/>
      <c r="H979" s="6" t="s">
        <v>3026</v>
      </c>
      <c r="I979" s="34"/>
      <c r="J979" s="38"/>
      <c r="K979" s="38" t="s">
        <v>3027</v>
      </c>
      <c r="L979" s="38" t="s">
        <v>3028</v>
      </c>
      <c r="M979" s="38"/>
      <c r="N979" s="19"/>
      <c r="O979" s="76">
        <v>0</v>
      </c>
      <c r="P979" s="6">
        <v>65535</v>
      </c>
      <c r="Q979" s="38" t="s">
        <v>62</v>
      </c>
      <c r="R979" s="38" t="s">
        <v>62</v>
      </c>
      <c r="S979" s="34"/>
      <c r="T979" s="34"/>
      <c r="U979" s="34"/>
      <c r="V979" s="8"/>
      <c r="W979" t="s">
        <v>3029</v>
      </c>
      <c r="X979" t="s">
        <v>2666</v>
      </c>
      <c r="Y979" s="34"/>
      <c r="Z979"/>
      <c r="AA979"/>
      <c r="AE979"/>
      <c r="AF979"/>
      <c r="AG979"/>
      <c r="AH979"/>
    </row>
    <row r="980" spans="1:34" ht="15.75" customHeight="1" x14ac:dyDescent="0.15">
      <c r="A980" s="6">
        <v>974</v>
      </c>
      <c r="B980" s="18"/>
      <c r="C980" s="34" t="s">
        <v>2634</v>
      </c>
      <c r="D980" s="75" t="s">
        <v>3030</v>
      </c>
      <c r="E980" s="2" t="s">
        <v>77</v>
      </c>
      <c r="F980">
        <v>15263</v>
      </c>
      <c r="G980" s="6"/>
      <c r="H980" s="6" t="s">
        <v>3031</v>
      </c>
      <c r="I980" s="34"/>
      <c r="J980" s="38"/>
      <c r="K980" s="38" t="s">
        <v>3027</v>
      </c>
      <c r="L980" s="38" t="s">
        <v>3028</v>
      </c>
      <c r="M980" s="38"/>
      <c r="N980" s="19"/>
      <c r="O980" s="76">
        <v>0</v>
      </c>
      <c r="P980" s="6">
        <v>65535</v>
      </c>
      <c r="Q980" s="38" t="s">
        <v>62</v>
      </c>
      <c r="R980" s="38" t="s">
        <v>62</v>
      </c>
      <c r="S980" s="34"/>
      <c r="T980" s="34"/>
      <c r="U980" s="34"/>
      <c r="V980" s="8"/>
      <c r="W980" t="s">
        <v>3032</v>
      </c>
      <c r="X980" t="s">
        <v>2666</v>
      </c>
      <c r="Y980" s="34"/>
      <c r="Z980"/>
      <c r="AA980"/>
      <c r="AE980"/>
      <c r="AF980"/>
      <c r="AG980"/>
      <c r="AH980"/>
    </row>
    <row r="981" spans="1:34" ht="15.75" customHeight="1" x14ac:dyDescent="0.15">
      <c r="A981" s="6">
        <v>975</v>
      </c>
      <c r="B981" s="18" t="s">
        <v>75</v>
      </c>
      <c r="C981" s="34" t="s">
        <v>2634</v>
      </c>
      <c r="D981" s="75" t="s">
        <v>3033</v>
      </c>
      <c r="E981" s="2" t="s">
        <v>143</v>
      </c>
      <c r="F981">
        <v>15264</v>
      </c>
      <c r="G981" s="6"/>
      <c r="H981" s="6" t="s">
        <v>3034</v>
      </c>
      <c r="I981" s="34"/>
      <c r="J981" s="38"/>
      <c r="K981" s="38"/>
      <c r="L981" s="38"/>
      <c r="M981" s="38"/>
      <c r="N981" s="19"/>
      <c r="O981" s="76">
        <v>-32768</v>
      </c>
      <c r="P981" s="6">
        <v>32767</v>
      </c>
      <c r="Q981" s="38" t="s">
        <v>62</v>
      </c>
      <c r="R981" s="38" t="s">
        <v>62</v>
      </c>
      <c r="S981" s="34"/>
      <c r="T981" s="34"/>
      <c r="U981" s="34"/>
      <c r="V981" s="8"/>
      <c r="W981" t="s">
        <v>3035</v>
      </c>
      <c r="Y981" s="34" t="s">
        <v>64</v>
      </c>
      <c r="Z981"/>
      <c r="AA981"/>
      <c r="AE981"/>
      <c r="AF981"/>
      <c r="AG981"/>
      <c r="AH981"/>
    </row>
    <row r="982" spans="1:34" ht="15.75" customHeight="1" x14ac:dyDescent="0.15">
      <c r="A982" s="6">
        <v>976</v>
      </c>
      <c r="B982" s="18" t="s">
        <v>75</v>
      </c>
      <c r="C982" s="34" t="s">
        <v>2634</v>
      </c>
      <c r="D982" s="75" t="s">
        <v>3036</v>
      </c>
      <c r="E982" s="2" t="s">
        <v>143</v>
      </c>
      <c r="F982">
        <v>15265</v>
      </c>
      <c r="G982" s="6"/>
      <c r="H982" s="6" t="s">
        <v>3037</v>
      </c>
      <c r="I982" s="34"/>
      <c r="J982" s="38"/>
      <c r="K982" s="38"/>
      <c r="L982" s="38"/>
      <c r="M982" s="38"/>
      <c r="N982" s="19"/>
      <c r="O982" s="76">
        <v>-32768</v>
      </c>
      <c r="P982" s="6">
        <v>32767</v>
      </c>
      <c r="Q982" s="38" t="s">
        <v>62</v>
      </c>
      <c r="R982" s="38" t="s">
        <v>62</v>
      </c>
      <c r="S982" s="34"/>
      <c r="T982" s="34"/>
      <c r="U982" s="34"/>
      <c r="V982" s="8"/>
      <c r="W982" t="s">
        <v>3038</v>
      </c>
      <c r="Y982" s="34" t="s">
        <v>64</v>
      </c>
      <c r="Z982"/>
      <c r="AA982"/>
      <c r="AE982"/>
      <c r="AF982"/>
      <c r="AG982"/>
      <c r="AH982"/>
    </row>
    <row r="983" spans="1:34" ht="15.75" customHeight="1" x14ac:dyDescent="0.15">
      <c r="A983" s="6">
        <v>977</v>
      </c>
      <c r="B983" s="18" t="s">
        <v>75</v>
      </c>
      <c r="C983" s="34" t="s">
        <v>2634</v>
      </c>
      <c r="D983" s="75" t="s">
        <v>3039</v>
      </c>
      <c r="E983" s="2" t="s">
        <v>77</v>
      </c>
      <c r="F983">
        <v>15266</v>
      </c>
      <c r="G983" s="6"/>
      <c r="H983" s="6" t="s">
        <v>3040</v>
      </c>
      <c r="I983" s="34"/>
      <c r="J983" s="38"/>
      <c r="K983" s="38"/>
      <c r="L983" s="38"/>
      <c r="M983" s="38"/>
      <c r="N983" s="19"/>
      <c r="O983" s="76">
        <v>0</v>
      </c>
      <c r="P983" s="6">
        <v>65535</v>
      </c>
      <c r="Q983" s="38" t="s">
        <v>62</v>
      </c>
      <c r="R983" s="38" t="s">
        <v>62</v>
      </c>
      <c r="S983" s="34"/>
      <c r="T983" s="34"/>
      <c r="U983" s="34"/>
      <c r="V983" s="8"/>
      <c r="W983" t="s">
        <v>3041</v>
      </c>
      <c r="Y983" s="34" t="s">
        <v>64</v>
      </c>
      <c r="Z983"/>
      <c r="AA983"/>
      <c r="AE983"/>
      <c r="AF983"/>
      <c r="AG983"/>
      <c r="AH983"/>
    </row>
    <row r="984" spans="1:34" ht="15.75" customHeight="1" x14ac:dyDescent="0.15">
      <c r="A984" s="6">
        <v>978</v>
      </c>
      <c r="B984" s="18" t="s">
        <v>75</v>
      </c>
      <c r="C984" s="34" t="s">
        <v>2634</v>
      </c>
      <c r="D984" s="75" t="s">
        <v>3042</v>
      </c>
      <c r="E984" s="2" t="s">
        <v>77</v>
      </c>
      <c r="F984">
        <v>15267</v>
      </c>
      <c r="G984" s="6"/>
      <c r="H984" s="6" t="s">
        <v>3043</v>
      </c>
      <c r="I984" s="34"/>
      <c r="J984" s="38"/>
      <c r="K984" s="38"/>
      <c r="L984" s="38"/>
      <c r="M984" s="38"/>
      <c r="N984" s="19"/>
      <c r="O984" s="76">
        <v>0</v>
      </c>
      <c r="P984" s="6">
        <v>65535</v>
      </c>
      <c r="Q984" s="38" t="s">
        <v>62</v>
      </c>
      <c r="R984" s="38" t="s">
        <v>62</v>
      </c>
      <c r="S984" s="34"/>
      <c r="T984" s="34"/>
      <c r="U984" s="34"/>
      <c r="V984" s="8"/>
      <c r="W984" t="s">
        <v>3044</v>
      </c>
      <c r="Y984" s="34" t="s">
        <v>64</v>
      </c>
      <c r="Z984"/>
      <c r="AA984"/>
      <c r="AE984"/>
      <c r="AF984"/>
      <c r="AG984"/>
      <c r="AH984"/>
    </row>
    <row r="985" spans="1:34" ht="15.75" customHeight="1" x14ac:dyDescent="0.15">
      <c r="A985" s="6">
        <v>979</v>
      </c>
      <c r="B985" s="18" t="s">
        <v>75</v>
      </c>
      <c r="C985" s="34" t="s">
        <v>2634</v>
      </c>
      <c r="D985" s="75" t="s">
        <v>3045</v>
      </c>
      <c r="E985" s="2" t="s">
        <v>77</v>
      </c>
      <c r="F985">
        <v>15268</v>
      </c>
      <c r="G985" s="6"/>
      <c r="H985" s="6" t="s">
        <v>3046</v>
      </c>
      <c r="I985" s="34"/>
      <c r="J985" s="38"/>
      <c r="K985" s="38"/>
      <c r="L985" s="38"/>
      <c r="M985" s="38"/>
      <c r="N985" s="19"/>
      <c r="O985" s="76">
        <v>0</v>
      </c>
      <c r="P985" s="6">
        <v>65535</v>
      </c>
      <c r="Q985" s="38" t="s">
        <v>62</v>
      </c>
      <c r="R985" s="38" t="s">
        <v>62</v>
      </c>
      <c r="S985" s="34"/>
      <c r="T985" s="34"/>
      <c r="U985" s="34"/>
      <c r="V985" s="8"/>
      <c r="W985" t="s">
        <v>3047</v>
      </c>
      <c r="Y985" s="34" t="s">
        <v>64</v>
      </c>
      <c r="Z985"/>
      <c r="AA985"/>
      <c r="AE985"/>
      <c r="AF985"/>
      <c r="AG985"/>
      <c r="AH985"/>
    </row>
    <row r="986" spans="1:34" ht="15.75" customHeight="1" x14ac:dyDescent="0.15">
      <c r="A986" s="6">
        <v>980</v>
      </c>
      <c r="B986" s="18" t="s">
        <v>75</v>
      </c>
      <c r="C986" s="34" t="s">
        <v>2634</v>
      </c>
      <c r="D986" s="75" t="s">
        <v>3048</v>
      </c>
      <c r="E986" s="2" t="s">
        <v>77</v>
      </c>
      <c r="F986">
        <v>15269</v>
      </c>
      <c r="G986" s="6"/>
      <c r="H986" s="6" t="s">
        <v>3049</v>
      </c>
      <c r="I986" s="34"/>
      <c r="J986" s="38"/>
      <c r="K986" s="38"/>
      <c r="L986" s="38"/>
      <c r="M986" s="38" t="s">
        <v>560</v>
      </c>
      <c r="N986" s="19">
        <v>10</v>
      </c>
      <c r="O986" s="76">
        <v>0</v>
      </c>
      <c r="P986" s="6">
        <v>65535</v>
      </c>
      <c r="Q986" s="38">
        <v>0</v>
      </c>
      <c r="R986" s="38">
        <v>6553.5</v>
      </c>
      <c r="S986" s="34"/>
      <c r="T986" s="34"/>
      <c r="U986" s="34"/>
      <c r="V986" s="8"/>
      <c r="W986" t="s">
        <v>3050</v>
      </c>
      <c r="Y986" s="34" t="s">
        <v>64</v>
      </c>
      <c r="Z986"/>
      <c r="AA986"/>
      <c r="AE986"/>
      <c r="AF986"/>
      <c r="AG986"/>
      <c r="AH986"/>
    </row>
    <row r="987" spans="1:34" ht="15.75" customHeight="1" x14ac:dyDescent="0.15">
      <c r="A987" s="6">
        <v>981</v>
      </c>
      <c r="B987" s="18" t="s">
        <v>75</v>
      </c>
      <c r="C987" s="34" t="s">
        <v>2634</v>
      </c>
      <c r="D987" s="75" t="s">
        <v>3051</v>
      </c>
      <c r="E987" s="2" t="s">
        <v>77</v>
      </c>
      <c r="F987">
        <v>15270</v>
      </c>
      <c r="G987" s="6"/>
      <c r="H987" s="6" t="s">
        <v>3052</v>
      </c>
      <c r="I987" s="34"/>
      <c r="J987" s="38"/>
      <c r="K987" s="38"/>
      <c r="L987" s="38"/>
      <c r="M987" s="38" t="s">
        <v>560</v>
      </c>
      <c r="N987" s="19">
        <v>10</v>
      </c>
      <c r="O987" s="76">
        <v>0</v>
      </c>
      <c r="P987" s="6">
        <v>65535</v>
      </c>
      <c r="Q987" s="38">
        <v>0</v>
      </c>
      <c r="R987" s="38">
        <v>6553.5</v>
      </c>
      <c r="S987" s="34"/>
      <c r="T987" s="34"/>
      <c r="U987" s="34"/>
      <c r="V987" s="8"/>
      <c r="W987" t="s">
        <v>3053</v>
      </c>
      <c r="Y987" s="34" t="s">
        <v>64</v>
      </c>
      <c r="Z987"/>
      <c r="AA987"/>
      <c r="AE987"/>
      <c r="AF987"/>
      <c r="AG987"/>
      <c r="AH987"/>
    </row>
    <row r="988" spans="1:34" ht="15.75" customHeight="1" x14ac:dyDescent="0.15">
      <c r="A988" s="6">
        <v>982</v>
      </c>
      <c r="B988" s="18" t="s">
        <v>75</v>
      </c>
      <c r="C988" s="34" t="s">
        <v>2634</v>
      </c>
      <c r="D988" s="75" t="s">
        <v>3054</v>
      </c>
      <c r="E988" s="2" t="s">
        <v>77</v>
      </c>
      <c r="F988">
        <v>15271</v>
      </c>
      <c r="G988" s="6"/>
      <c r="H988" s="6" t="s">
        <v>3055</v>
      </c>
      <c r="I988" s="34"/>
      <c r="J988" s="38"/>
      <c r="K988" s="38"/>
      <c r="L988" s="38"/>
      <c r="M988" s="38" t="s">
        <v>560</v>
      </c>
      <c r="N988" s="19">
        <v>10</v>
      </c>
      <c r="O988" s="76">
        <v>0</v>
      </c>
      <c r="P988" s="6">
        <v>65535</v>
      </c>
      <c r="Q988" s="38">
        <v>0</v>
      </c>
      <c r="R988" s="38">
        <v>6553.5</v>
      </c>
      <c r="S988" s="34"/>
      <c r="T988" s="34"/>
      <c r="U988" s="34"/>
      <c r="V988" s="8"/>
      <c r="W988" t="s">
        <v>3056</v>
      </c>
      <c r="Y988" s="34" t="s">
        <v>64</v>
      </c>
      <c r="Z988"/>
      <c r="AA988"/>
      <c r="AE988"/>
      <c r="AF988"/>
      <c r="AG988"/>
      <c r="AH988"/>
    </row>
    <row r="989" spans="1:34" ht="15.75" customHeight="1" x14ac:dyDescent="0.15">
      <c r="A989" s="6">
        <v>983</v>
      </c>
      <c r="B989" s="18" t="s">
        <v>75</v>
      </c>
      <c r="C989" s="34" t="s">
        <v>2634</v>
      </c>
      <c r="D989" s="75" t="s">
        <v>3057</v>
      </c>
      <c r="E989" s="2" t="s">
        <v>77</v>
      </c>
      <c r="F989">
        <v>15272</v>
      </c>
      <c r="G989" s="6"/>
      <c r="H989" s="6" t="s">
        <v>3058</v>
      </c>
      <c r="I989" s="34"/>
      <c r="J989" s="38"/>
      <c r="K989" s="38"/>
      <c r="L989" s="38"/>
      <c r="M989" s="38" t="s">
        <v>560</v>
      </c>
      <c r="N989" s="19">
        <v>10</v>
      </c>
      <c r="O989" s="76">
        <v>0</v>
      </c>
      <c r="P989" s="6">
        <v>65535</v>
      </c>
      <c r="Q989" s="38">
        <v>0</v>
      </c>
      <c r="R989" s="38">
        <v>6553.5</v>
      </c>
      <c r="S989" s="34"/>
      <c r="T989" s="34"/>
      <c r="U989" s="34"/>
      <c r="V989" s="8"/>
      <c r="W989" t="s">
        <v>3059</v>
      </c>
      <c r="Y989" s="34" t="s">
        <v>64</v>
      </c>
      <c r="Z989"/>
      <c r="AA989"/>
      <c r="AE989"/>
      <c r="AF989"/>
      <c r="AG989"/>
      <c r="AH989"/>
    </row>
    <row r="990" spans="1:34" ht="15.75" customHeight="1" x14ac:dyDescent="0.15">
      <c r="A990" s="6">
        <v>984</v>
      </c>
      <c r="B990" s="18" t="s">
        <v>75</v>
      </c>
      <c r="C990" s="34" t="s">
        <v>2634</v>
      </c>
      <c r="D990" s="75" t="s">
        <v>3060</v>
      </c>
      <c r="E990" s="2" t="s">
        <v>77</v>
      </c>
      <c r="F990">
        <v>15273</v>
      </c>
      <c r="G990" s="6"/>
      <c r="H990" s="6" t="s">
        <v>3061</v>
      </c>
      <c r="I990" s="34"/>
      <c r="J990" s="38"/>
      <c r="K990" s="38"/>
      <c r="L990" s="38"/>
      <c r="M990" s="38" t="s">
        <v>582</v>
      </c>
      <c r="N990" s="19">
        <v>10</v>
      </c>
      <c r="O990" s="76">
        <v>0</v>
      </c>
      <c r="P990" s="6">
        <v>65535</v>
      </c>
      <c r="Q990" s="38">
        <v>0</v>
      </c>
      <c r="R990" s="38">
        <v>6553.5</v>
      </c>
      <c r="S990" s="34"/>
      <c r="T990" s="34"/>
      <c r="U990" s="34"/>
      <c r="V990" s="8"/>
      <c r="W990" t="s">
        <v>3062</v>
      </c>
      <c r="Y990" s="34" t="s">
        <v>64</v>
      </c>
      <c r="Z990"/>
      <c r="AA990"/>
      <c r="AE990"/>
      <c r="AF990"/>
      <c r="AG990"/>
      <c r="AH990"/>
    </row>
    <row r="991" spans="1:34" ht="15.75" customHeight="1" x14ac:dyDescent="0.15">
      <c r="A991" s="6">
        <v>985</v>
      </c>
      <c r="B991" s="18" t="s">
        <v>75</v>
      </c>
      <c r="C991" s="34" t="s">
        <v>2634</v>
      </c>
      <c r="D991" s="75" t="s">
        <v>3063</v>
      </c>
      <c r="E991" s="2" t="s">
        <v>77</v>
      </c>
      <c r="F991">
        <v>15274</v>
      </c>
      <c r="G991" s="6"/>
      <c r="H991" s="6" t="s">
        <v>3064</v>
      </c>
      <c r="I991" s="34"/>
      <c r="J991" s="38"/>
      <c r="K991" s="38"/>
      <c r="L991" s="38"/>
      <c r="M991" s="38" t="s">
        <v>582</v>
      </c>
      <c r="N991" s="19">
        <v>10</v>
      </c>
      <c r="O991" s="76">
        <v>0</v>
      </c>
      <c r="P991" s="6">
        <v>65535</v>
      </c>
      <c r="Q991" s="38">
        <v>0</v>
      </c>
      <c r="R991" s="38">
        <v>6553.5</v>
      </c>
      <c r="S991" s="34"/>
      <c r="T991" s="34"/>
      <c r="U991" s="34"/>
      <c r="V991" s="8"/>
      <c r="W991" t="s">
        <v>3065</v>
      </c>
      <c r="Y991" s="34" t="s">
        <v>64</v>
      </c>
      <c r="Z991"/>
      <c r="AA991"/>
      <c r="AE991"/>
      <c r="AF991"/>
      <c r="AG991"/>
      <c r="AH991"/>
    </row>
    <row r="992" spans="1:34" ht="15.75" customHeight="1" x14ac:dyDescent="0.15">
      <c r="A992" s="6">
        <v>986</v>
      </c>
      <c r="B992" s="18" t="s">
        <v>75</v>
      </c>
      <c r="C992" s="34" t="s">
        <v>2634</v>
      </c>
      <c r="D992" s="75" t="s">
        <v>3066</v>
      </c>
      <c r="E992" s="2" t="s">
        <v>77</v>
      </c>
      <c r="F992">
        <v>15275</v>
      </c>
      <c r="G992" s="6"/>
      <c r="H992" s="6" t="s">
        <v>3067</v>
      </c>
      <c r="I992" s="34"/>
      <c r="J992" s="38"/>
      <c r="K992" s="38"/>
      <c r="L992" s="38"/>
      <c r="M992" s="38" t="s">
        <v>582</v>
      </c>
      <c r="N992" s="19">
        <v>10</v>
      </c>
      <c r="O992" s="76">
        <v>0</v>
      </c>
      <c r="P992" s="6">
        <v>65535</v>
      </c>
      <c r="Q992" s="38">
        <v>0</v>
      </c>
      <c r="R992" s="38">
        <v>6553.5</v>
      </c>
      <c r="S992" s="34"/>
      <c r="T992" s="34"/>
      <c r="U992" s="34"/>
      <c r="V992" s="8"/>
      <c r="W992" t="s">
        <v>3068</v>
      </c>
      <c r="Y992" s="34" t="s">
        <v>64</v>
      </c>
      <c r="Z992"/>
      <c r="AA992"/>
      <c r="AE992"/>
      <c r="AF992"/>
      <c r="AG992"/>
      <c r="AH992"/>
    </row>
    <row r="993" spans="1:34" ht="15.75" customHeight="1" x14ac:dyDescent="0.15">
      <c r="A993" s="6">
        <v>987</v>
      </c>
      <c r="B993" s="18" t="s">
        <v>75</v>
      </c>
      <c r="C993" s="34" t="s">
        <v>2634</v>
      </c>
      <c r="D993" s="75" t="s">
        <v>3069</v>
      </c>
      <c r="E993" s="2" t="s">
        <v>77</v>
      </c>
      <c r="F993">
        <v>15280</v>
      </c>
      <c r="G993" s="6"/>
      <c r="H993" s="6" t="s">
        <v>3070</v>
      </c>
      <c r="I993" s="34"/>
      <c r="J993" s="38"/>
      <c r="K993" s="38"/>
      <c r="L993" s="38"/>
      <c r="M993" s="38" t="s">
        <v>2907</v>
      </c>
      <c r="N993" s="19">
        <v>0.05</v>
      </c>
      <c r="O993" s="76">
        <v>0</v>
      </c>
      <c r="P993" s="6">
        <v>65535</v>
      </c>
      <c r="Q993" s="38">
        <v>0</v>
      </c>
      <c r="R993" s="38">
        <v>1310700</v>
      </c>
      <c r="S993" s="34"/>
      <c r="T993" s="34"/>
      <c r="U993" s="34"/>
      <c r="V993" s="8"/>
      <c r="W993" t="s">
        <v>3071</v>
      </c>
      <c r="Y993" s="34" t="s">
        <v>64</v>
      </c>
      <c r="Z993"/>
      <c r="AA993"/>
      <c r="AE993"/>
      <c r="AF993"/>
      <c r="AG993"/>
      <c r="AH993"/>
    </row>
    <row r="994" spans="1:34" ht="15.75" customHeight="1" x14ac:dyDescent="0.15">
      <c r="A994" s="6">
        <v>988</v>
      </c>
      <c r="B994" s="18" t="s">
        <v>75</v>
      </c>
      <c r="C994" s="34" t="s">
        <v>2634</v>
      </c>
      <c r="D994" s="75" t="s">
        <v>3072</v>
      </c>
      <c r="E994" s="2" t="s">
        <v>77</v>
      </c>
      <c r="F994">
        <v>15281</v>
      </c>
      <c r="G994" s="6"/>
      <c r="H994" s="6" t="s">
        <v>3073</v>
      </c>
      <c r="I994" s="34"/>
      <c r="J994" s="38"/>
      <c r="K994" s="38"/>
      <c r="L994" s="38"/>
      <c r="M994" s="38" t="s">
        <v>2907</v>
      </c>
      <c r="N994" s="19">
        <v>0.05</v>
      </c>
      <c r="O994" s="76">
        <v>0</v>
      </c>
      <c r="P994" s="6">
        <v>65535</v>
      </c>
      <c r="Q994" s="38">
        <v>0</v>
      </c>
      <c r="R994" s="38">
        <v>1310700</v>
      </c>
      <c r="S994" s="34"/>
      <c r="T994" s="34"/>
      <c r="U994" s="34"/>
      <c r="V994" s="8"/>
      <c r="W994" t="s">
        <v>3074</v>
      </c>
      <c r="Y994" s="34" t="s">
        <v>64</v>
      </c>
      <c r="Z994"/>
      <c r="AA994"/>
      <c r="AE994"/>
      <c r="AF994"/>
      <c r="AG994"/>
      <c r="AH994"/>
    </row>
    <row r="995" spans="1:34" ht="15.75" customHeight="1" x14ac:dyDescent="0.15">
      <c r="A995" s="6">
        <v>989</v>
      </c>
      <c r="B995" s="18"/>
      <c r="C995" s="34" t="s">
        <v>2634</v>
      </c>
      <c r="D995" s="75" t="s">
        <v>3075</v>
      </c>
      <c r="E995" s="2" t="s">
        <v>77</v>
      </c>
      <c r="F995">
        <v>15305</v>
      </c>
      <c r="G995" s="6"/>
      <c r="H995" s="6" t="s">
        <v>3076</v>
      </c>
      <c r="I995" s="34"/>
      <c r="J995" s="38"/>
      <c r="K995" s="38"/>
      <c r="L995" s="38"/>
      <c r="M995" s="38" t="s">
        <v>582</v>
      </c>
      <c r="N995" s="19">
        <v>1</v>
      </c>
      <c r="O995" s="76">
        <v>0</v>
      </c>
      <c r="P995" s="6">
        <v>65535</v>
      </c>
      <c r="Q995" s="38">
        <v>0</v>
      </c>
      <c r="R995" s="38">
        <v>65535</v>
      </c>
      <c r="S995" s="34"/>
      <c r="T995" s="34"/>
      <c r="U995" s="34"/>
      <c r="V995" s="8"/>
      <c r="W995" t="s">
        <v>3077</v>
      </c>
      <c r="Y995" s="34"/>
      <c r="Z995"/>
      <c r="AA995"/>
      <c r="AE995"/>
      <c r="AF995"/>
      <c r="AG995"/>
      <c r="AH995"/>
    </row>
    <row r="996" spans="1:34" ht="15.75" customHeight="1" x14ac:dyDescent="0.15">
      <c r="A996" s="6">
        <v>990</v>
      </c>
      <c r="B996" s="18"/>
      <c r="C996" s="34" t="s">
        <v>2634</v>
      </c>
      <c r="D996" s="75" t="s">
        <v>3078</v>
      </c>
      <c r="E996" s="2" t="s">
        <v>77</v>
      </c>
      <c r="F996">
        <v>15306</v>
      </c>
      <c r="G996" s="6"/>
      <c r="H996" s="6" t="s">
        <v>3079</v>
      </c>
      <c r="I996" s="34"/>
      <c r="J996" s="38"/>
      <c r="K996" s="38"/>
      <c r="L996" s="38"/>
      <c r="M996" s="38"/>
      <c r="N996" s="19">
        <v>1</v>
      </c>
      <c r="O996" s="76">
        <v>0</v>
      </c>
      <c r="P996" s="6">
        <v>65535</v>
      </c>
      <c r="Q996" s="38">
        <v>0</v>
      </c>
      <c r="R996" s="38">
        <v>65535</v>
      </c>
      <c r="S996" s="34"/>
      <c r="T996" s="34"/>
      <c r="U996" s="34"/>
      <c r="V996" s="8"/>
      <c r="W996" t="s">
        <v>3080</v>
      </c>
      <c r="Y996" s="34"/>
      <c r="Z996"/>
      <c r="AA996"/>
      <c r="AE996"/>
      <c r="AF996"/>
      <c r="AG996"/>
      <c r="AH996"/>
    </row>
    <row r="997" spans="1:34" ht="15.75" customHeight="1" x14ac:dyDescent="0.15">
      <c r="A997" s="6">
        <v>991</v>
      </c>
      <c r="B997" s="18"/>
      <c r="C997" s="34" t="s">
        <v>2634</v>
      </c>
      <c r="D997" s="75" t="s">
        <v>3081</v>
      </c>
      <c r="E997" s="2" t="s">
        <v>77</v>
      </c>
      <c r="F997">
        <v>15307</v>
      </c>
      <c r="G997" s="6"/>
      <c r="H997" s="6" t="s">
        <v>3082</v>
      </c>
      <c r="I997" s="34"/>
      <c r="J997" s="38"/>
      <c r="K997" s="38"/>
      <c r="L997" s="38"/>
      <c r="M997" s="38" t="s">
        <v>2907</v>
      </c>
      <c r="N997" s="19">
        <v>1</v>
      </c>
      <c r="O997" s="76">
        <v>0</v>
      </c>
      <c r="P997" s="6">
        <v>65535</v>
      </c>
      <c r="Q997" s="38">
        <v>0</v>
      </c>
      <c r="R997" s="38">
        <v>65535</v>
      </c>
      <c r="S997" s="34"/>
      <c r="T997" s="34"/>
      <c r="U997" s="34"/>
      <c r="V997" s="8"/>
      <c r="W997" t="s">
        <v>3083</v>
      </c>
      <c r="Y997" s="34"/>
      <c r="Z997"/>
      <c r="AA997"/>
      <c r="AE997"/>
      <c r="AF997"/>
      <c r="AG997"/>
      <c r="AH997"/>
    </row>
    <row r="998" spans="1:34" ht="15.75" customHeight="1" x14ac:dyDescent="0.15">
      <c r="A998" s="6">
        <v>992</v>
      </c>
      <c r="B998" s="18"/>
      <c r="C998" s="34" t="s">
        <v>2634</v>
      </c>
      <c r="D998" s="75" t="s">
        <v>3084</v>
      </c>
      <c r="E998" s="2" t="s">
        <v>77</v>
      </c>
      <c r="F998">
        <v>15308</v>
      </c>
      <c r="G998" s="6"/>
      <c r="H998" s="6" t="s">
        <v>3085</v>
      </c>
      <c r="I998" s="34"/>
      <c r="J998" s="38"/>
      <c r="K998" s="38"/>
      <c r="L998" s="38"/>
      <c r="M998" s="38" t="s">
        <v>2685</v>
      </c>
      <c r="N998" s="19">
        <v>10</v>
      </c>
      <c r="O998" s="76">
        <v>0</v>
      </c>
      <c r="P998" s="6">
        <v>65535</v>
      </c>
      <c r="Q998" s="38">
        <v>0</v>
      </c>
      <c r="R998" s="38">
        <v>6553.5</v>
      </c>
      <c r="S998" s="34"/>
      <c r="T998" s="34"/>
      <c r="U998" s="34"/>
      <c r="V998" s="8"/>
      <c r="W998" t="s">
        <v>3086</v>
      </c>
      <c r="Y998" s="34"/>
      <c r="Z998"/>
      <c r="AA998"/>
      <c r="AE998"/>
      <c r="AF998"/>
      <c r="AG998"/>
      <c r="AH998"/>
    </row>
    <row r="999" spans="1:34" ht="15.75" customHeight="1" x14ac:dyDescent="0.15">
      <c r="A999" s="6">
        <v>993</v>
      </c>
      <c r="B999" s="18" t="s">
        <v>75</v>
      </c>
      <c r="C999" s="34" t="s">
        <v>2634</v>
      </c>
      <c r="D999" s="75" t="s">
        <v>3087</v>
      </c>
      <c r="E999" s="2" t="s">
        <v>77</v>
      </c>
      <c r="F999">
        <v>15799</v>
      </c>
      <c r="G999" s="6"/>
      <c r="H999" s="6" t="s">
        <v>3088</v>
      </c>
      <c r="I999" s="34"/>
      <c r="J999" s="38" t="s">
        <v>3089</v>
      </c>
      <c r="K999" s="38" t="s">
        <v>3090</v>
      </c>
      <c r="L999" s="38" t="s">
        <v>3091</v>
      </c>
      <c r="M999" s="38" t="s">
        <v>2276</v>
      </c>
      <c r="N999" s="19"/>
      <c r="O999" s="76">
        <v>0</v>
      </c>
      <c r="P999" s="6">
        <v>65535</v>
      </c>
      <c r="Q999" s="38" t="s">
        <v>62</v>
      </c>
      <c r="R999" s="38" t="s">
        <v>62</v>
      </c>
      <c r="S999" s="34"/>
      <c r="T999" s="34"/>
      <c r="U999" s="34"/>
      <c r="V999" s="8"/>
      <c r="W999" t="s">
        <v>3092</v>
      </c>
      <c r="Y999" s="34" t="s">
        <v>64</v>
      </c>
      <c r="Z999"/>
      <c r="AA999"/>
      <c r="AE999"/>
      <c r="AF999"/>
      <c r="AG999"/>
      <c r="AH999"/>
    </row>
    <row r="1000" spans="1:34" ht="15.75" customHeight="1" x14ac:dyDescent="0.15">
      <c r="A1000" s="6">
        <v>994</v>
      </c>
      <c r="B1000" s="18" t="s">
        <v>75</v>
      </c>
      <c r="C1000" s="34" t="s">
        <v>2634</v>
      </c>
      <c r="D1000" s="75" t="s">
        <v>3093</v>
      </c>
      <c r="E1000" s="2" t="s">
        <v>77</v>
      </c>
      <c r="F1000">
        <v>15801</v>
      </c>
      <c r="G1000" s="6"/>
      <c r="H1000" s="6" t="s">
        <v>3094</v>
      </c>
      <c r="I1000" s="34"/>
      <c r="J1000" s="38"/>
      <c r="K1000" s="38"/>
      <c r="L1000" s="38"/>
      <c r="M1000" s="38" t="s">
        <v>61</v>
      </c>
      <c r="N1000" s="19">
        <v>1</v>
      </c>
      <c r="O1000" s="76">
        <v>0</v>
      </c>
      <c r="P1000" s="6">
        <v>65535</v>
      </c>
      <c r="Q1000" s="38">
        <v>0</v>
      </c>
      <c r="R1000" s="38">
        <v>65535</v>
      </c>
      <c r="S1000" s="34"/>
      <c r="T1000" s="34"/>
      <c r="U1000" s="34"/>
      <c r="V1000" s="8"/>
      <c r="W1000" t="s">
        <v>3095</v>
      </c>
      <c r="Y1000" s="34" t="s">
        <v>64</v>
      </c>
      <c r="Z1000"/>
      <c r="AA1000"/>
      <c r="AE1000"/>
      <c r="AF1000"/>
      <c r="AG1000"/>
      <c r="AH1000"/>
    </row>
    <row r="1001" spans="1:34" s="63" customFormat="1" ht="15.75" customHeight="1" x14ac:dyDescent="0.15">
      <c r="A1001" s="6">
        <v>995</v>
      </c>
      <c r="B1001" s="18" t="s">
        <v>75</v>
      </c>
      <c r="C1001" s="34" t="s">
        <v>2634</v>
      </c>
      <c r="D1001" s="75" t="s">
        <v>3096</v>
      </c>
      <c r="E1001" s="2" t="s">
        <v>77</v>
      </c>
      <c r="F1001">
        <v>15802</v>
      </c>
      <c r="G1001" s="6"/>
      <c r="H1001" s="6" t="s">
        <v>3097</v>
      </c>
      <c r="I1001" s="34"/>
      <c r="J1001" s="38" t="s">
        <v>171</v>
      </c>
      <c r="K1001" s="38" t="s">
        <v>3098</v>
      </c>
      <c r="L1001" s="38" t="s">
        <v>3099</v>
      </c>
      <c r="M1001" s="38" t="s">
        <v>2276</v>
      </c>
      <c r="N1001" s="19"/>
      <c r="O1001" s="76">
        <v>0</v>
      </c>
      <c r="P1001" s="6">
        <v>65535</v>
      </c>
      <c r="Q1001" s="38" t="s">
        <v>62</v>
      </c>
      <c r="R1001" s="38" t="s">
        <v>62</v>
      </c>
      <c r="S1001" s="34"/>
      <c r="T1001" s="34"/>
      <c r="U1001" s="34"/>
      <c r="V1001" s="8"/>
      <c r="W1001" t="s">
        <v>3100</v>
      </c>
      <c r="X1001"/>
      <c r="Y1001" s="34" t="s">
        <v>64</v>
      </c>
    </row>
    <row r="1002" spans="1:34" ht="15.75" customHeight="1" x14ac:dyDescent="0.15">
      <c r="A1002" s="6">
        <v>996</v>
      </c>
      <c r="B1002" s="18" t="s">
        <v>75</v>
      </c>
      <c r="C1002" s="34" t="s">
        <v>2634</v>
      </c>
      <c r="D1002" s="75" t="s">
        <v>3101</v>
      </c>
      <c r="E1002" s="2" t="s">
        <v>77</v>
      </c>
      <c r="F1002">
        <v>15803</v>
      </c>
      <c r="G1002" s="6"/>
      <c r="H1002" s="6" t="s">
        <v>3102</v>
      </c>
      <c r="I1002" s="34"/>
      <c r="J1002" s="38" t="s">
        <v>171</v>
      </c>
      <c r="K1002" s="38" t="s">
        <v>3098</v>
      </c>
      <c r="L1002" s="38" t="s">
        <v>3099</v>
      </c>
      <c r="M1002" s="38" t="s">
        <v>2276</v>
      </c>
      <c r="N1002" s="19"/>
      <c r="O1002" s="76">
        <v>0</v>
      </c>
      <c r="P1002" s="6">
        <v>65535</v>
      </c>
      <c r="Q1002" s="38" t="s">
        <v>62</v>
      </c>
      <c r="R1002" s="38" t="s">
        <v>62</v>
      </c>
      <c r="S1002" s="34"/>
      <c r="T1002" s="34"/>
      <c r="U1002" s="34"/>
      <c r="V1002" s="8"/>
      <c r="W1002" t="s">
        <v>3103</v>
      </c>
      <c r="Y1002" s="34" t="s">
        <v>64</v>
      </c>
      <c r="Z1002"/>
      <c r="AA1002"/>
      <c r="AE1002"/>
      <c r="AF1002"/>
      <c r="AG1002"/>
      <c r="AH1002"/>
    </row>
    <row r="1003" spans="1:34" ht="15.75" customHeight="1" x14ac:dyDescent="0.15">
      <c r="A1003" s="6">
        <v>997</v>
      </c>
      <c r="B1003" s="18" t="s">
        <v>75</v>
      </c>
      <c r="C1003" s="34" t="s">
        <v>2634</v>
      </c>
      <c r="D1003" s="75" t="s">
        <v>3104</v>
      </c>
      <c r="E1003" s="2" t="s">
        <v>77</v>
      </c>
      <c r="F1003">
        <v>15804</v>
      </c>
      <c r="G1003" s="6"/>
      <c r="H1003" s="6" t="s">
        <v>3105</v>
      </c>
      <c r="I1003" s="34"/>
      <c r="J1003" s="38"/>
      <c r="K1003" s="38"/>
      <c r="L1003" s="38"/>
      <c r="M1003" s="38" t="s">
        <v>2311</v>
      </c>
      <c r="N1003" s="19">
        <v>1</v>
      </c>
      <c r="O1003" s="76">
        <v>0</v>
      </c>
      <c r="P1003" s="6">
        <v>65535</v>
      </c>
      <c r="Q1003" s="38">
        <v>0</v>
      </c>
      <c r="R1003" s="38">
        <v>65535</v>
      </c>
      <c r="S1003" s="34"/>
      <c r="T1003" s="34"/>
      <c r="U1003" s="34"/>
      <c r="V1003" s="8"/>
      <c r="W1003" t="s">
        <v>3106</v>
      </c>
      <c r="Y1003" s="34" t="s">
        <v>64</v>
      </c>
      <c r="Z1003"/>
      <c r="AA1003"/>
      <c r="AE1003"/>
      <c r="AF1003"/>
      <c r="AG1003"/>
      <c r="AH1003"/>
    </row>
    <row r="1004" spans="1:34" ht="15.75" customHeight="1" x14ac:dyDescent="0.15">
      <c r="A1004" s="6">
        <v>998</v>
      </c>
      <c r="B1004" s="18" t="s">
        <v>75</v>
      </c>
      <c r="C1004" s="34" t="s">
        <v>2634</v>
      </c>
      <c r="D1004" s="75" t="s">
        <v>3107</v>
      </c>
      <c r="E1004" s="2" t="s">
        <v>77</v>
      </c>
      <c r="F1004">
        <v>15805</v>
      </c>
      <c r="G1004" s="6"/>
      <c r="H1004" s="6" t="s">
        <v>3108</v>
      </c>
      <c r="I1004" s="34"/>
      <c r="J1004" s="38"/>
      <c r="K1004" s="38"/>
      <c r="L1004" s="38"/>
      <c r="M1004" s="38" t="s">
        <v>2311</v>
      </c>
      <c r="N1004" s="19">
        <v>1</v>
      </c>
      <c r="O1004" s="76">
        <v>0</v>
      </c>
      <c r="P1004" s="6">
        <v>65535</v>
      </c>
      <c r="Q1004" s="38">
        <v>0</v>
      </c>
      <c r="R1004" s="38">
        <v>65535</v>
      </c>
      <c r="S1004" s="34"/>
      <c r="T1004" s="34"/>
      <c r="U1004" s="34"/>
      <c r="V1004" s="8"/>
      <c r="W1004" t="s">
        <v>3109</v>
      </c>
      <c r="Y1004" s="34" t="s">
        <v>64</v>
      </c>
      <c r="Z1004"/>
      <c r="AA1004"/>
      <c r="AE1004"/>
      <c r="AF1004"/>
      <c r="AG1004"/>
      <c r="AH1004"/>
    </row>
    <row r="1005" spans="1:34" ht="15.75" customHeight="1" x14ac:dyDescent="0.15">
      <c r="A1005" s="6">
        <v>999</v>
      </c>
      <c r="B1005" s="18" t="s">
        <v>75</v>
      </c>
      <c r="C1005" s="34" t="s">
        <v>2634</v>
      </c>
      <c r="D1005" s="75" t="s">
        <v>3110</v>
      </c>
      <c r="E1005" s="2" t="s">
        <v>77</v>
      </c>
      <c r="F1005">
        <v>15806</v>
      </c>
      <c r="G1005" s="6"/>
      <c r="H1005" s="6" t="s">
        <v>3111</v>
      </c>
      <c r="I1005" s="34"/>
      <c r="J1005" s="38"/>
      <c r="K1005" s="38"/>
      <c r="L1005" s="38"/>
      <c r="M1005" s="38" t="s">
        <v>2311</v>
      </c>
      <c r="N1005" s="19">
        <v>1</v>
      </c>
      <c r="O1005" s="76">
        <v>0</v>
      </c>
      <c r="P1005" s="6">
        <v>65535</v>
      </c>
      <c r="Q1005" s="38">
        <v>0</v>
      </c>
      <c r="R1005" s="38">
        <v>65535</v>
      </c>
      <c r="S1005" s="34"/>
      <c r="T1005" s="34"/>
      <c r="U1005" s="34"/>
      <c r="V1005" s="8"/>
      <c r="W1005" t="s">
        <v>3112</v>
      </c>
      <c r="Y1005" s="34" t="s">
        <v>64</v>
      </c>
      <c r="Z1005"/>
      <c r="AA1005"/>
      <c r="AE1005"/>
      <c r="AF1005"/>
      <c r="AG1005"/>
      <c r="AH1005"/>
    </row>
    <row r="1006" spans="1:34" ht="15.75" customHeight="1" x14ac:dyDescent="0.15">
      <c r="A1006" s="6">
        <v>1000</v>
      </c>
      <c r="B1006" s="18" t="s">
        <v>75</v>
      </c>
      <c r="C1006" s="34" t="s">
        <v>2634</v>
      </c>
      <c r="D1006" s="75" t="s">
        <v>3113</v>
      </c>
      <c r="E1006" s="2" t="s">
        <v>77</v>
      </c>
      <c r="F1006">
        <v>15807</v>
      </c>
      <c r="G1006" s="6"/>
      <c r="H1006" s="6" t="s">
        <v>3114</v>
      </c>
      <c r="I1006" s="34"/>
      <c r="J1006" s="38"/>
      <c r="K1006" s="38"/>
      <c r="L1006" s="38"/>
      <c r="M1006" s="38" t="s">
        <v>2311</v>
      </c>
      <c r="N1006" s="19">
        <v>1</v>
      </c>
      <c r="O1006" s="76">
        <v>0</v>
      </c>
      <c r="P1006" s="6">
        <v>65535</v>
      </c>
      <c r="Q1006" s="38">
        <v>0</v>
      </c>
      <c r="R1006" s="38">
        <v>65535</v>
      </c>
      <c r="S1006" s="34"/>
      <c r="T1006" s="34"/>
      <c r="U1006" s="34"/>
      <c r="V1006" s="8"/>
      <c r="W1006" t="s">
        <v>3115</v>
      </c>
      <c r="Y1006" s="34" t="s">
        <v>64</v>
      </c>
      <c r="Z1006"/>
      <c r="AA1006"/>
      <c r="AE1006"/>
      <c r="AF1006"/>
      <c r="AG1006"/>
      <c r="AH1006"/>
    </row>
    <row r="1007" spans="1:34" ht="15.75" customHeight="1" x14ac:dyDescent="0.15">
      <c r="A1007" s="6">
        <v>1001</v>
      </c>
      <c r="B1007" s="18" t="s">
        <v>75</v>
      </c>
      <c r="C1007" s="34" t="s">
        <v>2634</v>
      </c>
      <c r="D1007" s="75" t="s">
        <v>3116</v>
      </c>
      <c r="E1007" s="2" t="s">
        <v>77</v>
      </c>
      <c r="F1007">
        <v>15808</v>
      </c>
      <c r="G1007" s="6"/>
      <c r="H1007" s="6" t="s">
        <v>3117</v>
      </c>
      <c r="I1007" s="34"/>
      <c r="J1007" s="38"/>
      <c r="K1007" s="38"/>
      <c r="L1007" s="38"/>
      <c r="M1007" s="38" t="s">
        <v>2311</v>
      </c>
      <c r="N1007" s="19">
        <v>1</v>
      </c>
      <c r="O1007" s="76">
        <v>0</v>
      </c>
      <c r="P1007" s="6">
        <v>65535</v>
      </c>
      <c r="Q1007" s="38">
        <v>0</v>
      </c>
      <c r="R1007" s="38">
        <v>65535</v>
      </c>
      <c r="S1007" s="34"/>
      <c r="T1007" s="34"/>
      <c r="U1007" s="34"/>
      <c r="V1007" s="8"/>
      <c r="W1007" t="s">
        <v>3118</v>
      </c>
      <c r="Y1007" s="34" t="s">
        <v>64</v>
      </c>
      <c r="Z1007"/>
      <c r="AA1007"/>
      <c r="AE1007"/>
      <c r="AF1007"/>
      <c r="AG1007"/>
      <c r="AH1007"/>
    </row>
    <row r="1008" spans="1:34" ht="15.75" customHeight="1" x14ac:dyDescent="0.15">
      <c r="A1008" s="6">
        <v>1002</v>
      </c>
      <c r="B1008" s="18" t="s">
        <v>75</v>
      </c>
      <c r="C1008" s="34" t="s">
        <v>2634</v>
      </c>
      <c r="D1008" s="75" t="s">
        <v>3119</v>
      </c>
      <c r="E1008" s="2" t="s">
        <v>77</v>
      </c>
      <c r="F1008">
        <v>15809</v>
      </c>
      <c r="G1008" s="6"/>
      <c r="H1008" s="6" t="s">
        <v>3120</v>
      </c>
      <c r="I1008" s="34"/>
      <c r="J1008" s="38"/>
      <c r="K1008" s="38"/>
      <c r="L1008" s="38"/>
      <c r="M1008" s="38" t="s">
        <v>2311</v>
      </c>
      <c r="N1008" s="19">
        <v>1</v>
      </c>
      <c r="O1008" s="76">
        <v>0</v>
      </c>
      <c r="P1008" s="6">
        <v>65535</v>
      </c>
      <c r="Q1008" s="38">
        <v>0</v>
      </c>
      <c r="R1008" s="38">
        <v>65535</v>
      </c>
      <c r="S1008" s="34"/>
      <c r="T1008" s="34"/>
      <c r="U1008" s="34"/>
      <c r="V1008" s="8"/>
      <c r="W1008" t="s">
        <v>3121</v>
      </c>
      <c r="Y1008" s="34" t="s">
        <v>64</v>
      </c>
      <c r="Z1008"/>
      <c r="AA1008"/>
      <c r="AE1008"/>
      <c r="AF1008"/>
      <c r="AG1008"/>
      <c r="AH1008"/>
    </row>
    <row r="1009" spans="1:34" s="63" customFormat="1" ht="15.75" customHeight="1" x14ac:dyDescent="0.15">
      <c r="A1009" s="6">
        <v>1003</v>
      </c>
      <c r="B1009" s="18" t="s">
        <v>75</v>
      </c>
      <c r="C1009" s="34" t="s">
        <v>2634</v>
      </c>
      <c r="D1009" s="75" t="s">
        <v>3122</v>
      </c>
      <c r="E1009" s="2" t="s">
        <v>77</v>
      </c>
      <c r="F1009">
        <v>15810</v>
      </c>
      <c r="G1009" s="6"/>
      <c r="H1009" s="6" t="s">
        <v>3123</v>
      </c>
      <c r="I1009" s="34"/>
      <c r="J1009" s="38"/>
      <c r="K1009" s="38"/>
      <c r="L1009" s="38"/>
      <c r="M1009" s="38" t="s">
        <v>2311</v>
      </c>
      <c r="N1009" s="19">
        <v>1</v>
      </c>
      <c r="O1009" s="76">
        <v>0</v>
      </c>
      <c r="P1009" s="6">
        <v>65535</v>
      </c>
      <c r="Q1009" s="38">
        <v>0</v>
      </c>
      <c r="R1009" s="38">
        <v>65535</v>
      </c>
      <c r="S1009" s="34"/>
      <c r="T1009" s="34"/>
      <c r="U1009" s="34"/>
      <c r="V1009" s="8"/>
      <c r="W1009" t="s">
        <v>3124</v>
      </c>
      <c r="X1009"/>
      <c r="Y1009" s="34" t="s">
        <v>64</v>
      </c>
    </row>
    <row r="1010" spans="1:34" ht="15.75" customHeight="1" x14ac:dyDescent="0.15">
      <c r="A1010" s="6">
        <v>1004</v>
      </c>
      <c r="B1010" s="18" t="s">
        <v>75</v>
      </c>
      <c r="C1010" s="34" t="s">
        <v>2634</v>
      </c>
      <c r="D1010" s="75" t="s">
        <v>3125</v>
      </c>
      <c r="E1010" s="2" t="s">
        <v>77</v>
      </c>
      <c r="F1010">
        <v>15820</v>
      </c>
      <c r="G1010" s="6"/>
      <c r="H1010" s="6" t="s">
        <v>3126</v>
      </c>
      <c r="I1010" s="34"/>
      <c r="J1010" s="38"/>
      <c r="K1010" s="38"/>
      <c r="L1010" s="38"/>
      <c r="M1010" s="38" t="s">
        <v>2311</v>
      </c>
      <c r="N1010" s="19">
        <v>1</v>
      </c>
      <c r="O1010" s="76">
        <v>0</v>
      </c>
      <c r="P1010" s="6">
        <v>65535</v>
      </c>
      <c r="Q1010" s="38">
        <v>0</v>
      </c>
      <c r="R1010" s="38">
        <v>65535</v>
      </c>
      <c r="S1010" s="34"/>
      <c r="T1010" s="34"/>
      <c r="U1010" s="34"/>
      <c r="V1010" s="8"/>
      <c r="W1010" t="s">
        <v>3127</v>
      </c>
      <c r="Y1010" s="34" t="s">
        <v>64</v>
      </c>
      <c r="Z1010"/>
      <c r="AA1010"/>
      <c r="AE1010"/>
      <c r="AF1010"/>
      <c r="AG1010"/>
      <c r="AH1010"/>
    </row>
    <row r="1011" spans="1:34" ht="15.75" customHeight="1" x14ac:dyDescent="0.15">
      <c r="A1011" s="6">
        <v>1005</v>
      </c>
      <c r="B1011" s="18" t="s">
        <v>75</v>
      </c>
      <c r="C1011" s="34" t="s">
        <v>2634</v>
      </c>
      <c r="D1011" s="75" t="s">
        <v>3128</v>
      </c>
      <c r="E1011" s="2" t="s">
        <v>77</v>
      </c>
      <c r="F1011">
        <v>15821</v>
      </c>
      <c r="G1011" s="6"/>
      <c r="H1011" s="6" t="s">
        <v>3129</v>
      </c>
      <c r="I1011" s="34"/>
      <c r="J1011" s="38"/>
      <c r="K1011" s="38"/>
      <c r="L1011" s="38"/>
      <c r="M1011" s="38" t="s">
        <v>2311</v>
      </c>
      <c r="N1011" s="19">
        <v>1</v>
      </c>
      <c r="O1011" s="76">
        <v>0</v>
      </c>
      <c r="P1011" s="6">
        <v>65535</v>
      </c>
      <c r="Q1011" s="38">
        <v>0</v>
      </c>
      <c r="R1011" s="38">
        <v>65535</v>
      </c>
      <c r="S1011" s="34"/>
      <c r="T1011" s="34"/>
      <c r="U1011" s="34"/>
      <c r="V1011" s="8"/>
      <c r="W1011" t="s">
        <v>3130</v>
      </c>
      <c r="Y1011" s="34" t="s">
        <v>64</v>
      </c>
      <c r="Z1011"/>
      <c r="AA1011"/>
      <c r="AE1011"/>
      <c r="AF1011"/>
      <c r="AG1011"/>
      <c r="AH1011"/>
    </row>
    <row r="1012" spans="1:34" ht="15.75" customHeight="1" x14ac:dyDescent="0.15">
      <c r="A1012" s="6">
        <v>1006</v>
      </c>
      <c r="B1012" s="18" t="s">
        <v>75</v>
      </c>
      <c r="C1012" s="34" t="s">
        <v>2634</v>
      </c>
      <c r="D1012" s="75" t="s">
        <v>3131</v>
      </c>
      <c r="E1012" s="2" t="s">
        <v>77</v>
      </c>
      <c r="F1012">
        <v>15822</v>
      </c>
      <c r="G1012" s="6"/>
      <c r="H1012" s="6" t="s">
        <v>3132</v>
      </c>
      <c r="I1012" s="34"/>
      <c r="J1012" s="38"/>
      <c r="K1012" s="38"/>
      <c r="L1012" s="38"/>
      <c r="M1012" s="38" t="s">
        <v>2311</v>
      </c>
      <c r="N1012" s="19">
        <v>1</v>
      </c>
      <c r="O1012" s="76">
        <v>0</v>
      </c>
      <c r="P1012" s="6">
        <v>65535</v>
      </c>
      <c r="Q1012" s="38">
        <v>0</v>
      </c>
      <c r="R1012" s="38">
        <v>65535</v>
      </c>
      <c r="S1012" s="34"/>
      <c r="T1012" s="34"/>
      <c r="U1012" s="34"/>
      <c r="V1012" s="8"/>
      <c r="W1012" t="s">
        <v>3133</v>
      </c>
      <c r="Y1012" s="34" t="s">
        <v>64</v>
      </c>
      <c r="Z1012"/>
      <c r="AA1012"/>
      <c r="AE1012"/>
      <c r="AF1012"/>
      <c r="AG1012"/>
      <c r="AH1012"/>
    </row>
    <row r="1013" spans="1:34" ht="15.75" customHeight="1" x14ac:dyDescent="0.15">
      <c r="A1013" s="6">
        <v>1007</v>
      </c>
      <c r="B1013" s="18" t="s">
        <v>75</v>
      </c>
      <c r="C1013" s="34" t="s">
        <v>2634</v>
      </c>
      <c r="D1013" s="75" t="s">
        <v>3134</v>
      </c>
      <c r="E1013" s="2" t="s">
        <v>77</v>
      </c>
      <c r="F1013">
        <v>15823</v>
      </c>
      <c r="G1013" s="6"/>
      <c r="H1013" s="6" t="s">
        <v>3135</v>
      </c>
      <c r="I1013" s="34"/>
      <c r="J1013" s="38"/>
      <c r="K1013" s="38"/>
      <c r="L1013" s="38"/>
      <c r="M1013" s="38" t="s">
        <v>2311</v>
      </c>
      <c r="N1013" s="19">
        <v>1</v>
      </c>
      <c r="O1013" s="76">
        <v>0</v>
      </c>
      <c r="P1013" s="6">
        <v>65535</v>
      </c>
      <c r="Q1013" s="38">
        <v>0</v>
      </c>
      <c r="R1013" s="38">
        <v>65535</v>
      </c>
      <c r="S1013" s="34"/>
      <c r="T1013" s="34"/>
      <c r="U1013" s="34"/>
      <c r="V1013" s="8"/>
      <c r="W1013" t="s">
        <v>3136</v>
      </c>
      <c r="Y1013" s="34" t="s">
        <v>64</v>
      </c>
      <c r="Z1013"/>
      <c r="AA1013"/>
      <c r="AE1013"/>
      <c r="AF1013"/>
      <c r="AG1013"/>
      <c r="AH1013"/>
    </row>
    <row r="1014" spans="1:34" ht="15.75" customHeight="1" x14ac:dyDescent="0.15">
      <c r="A1014" s="6">
        <v>1008</v>
      </c>
      <c r="B1014" s="18" t="s">
        <v>75</v>
      </c>
      <c r="C1014" s="34" t="s">
        <v>2634</v>
      </c>
      <c r="D1014" s="75" t="s">
        <v>3137</v>
      </c>
      <c r="E1014" s="2" t="s">
        <v>77</v>
      </c>
      <c r="F1014">
        <v>15824</v>
      </c>
      <c r="G1014" s="6"/>
      <c r="H1014" s="6" t="s">
        <v>3138</v>
      </c>
      <c r="I1014" s="34"/>
      <c r="J1014" s="38"/>
      <c r="K1014" s="38"/>
      <c r="L1014" s="38"/>
      <c r="M1014" s="38" t="s">
        <v>2311</v>
      </c>
      <c r="N1014" s="19">
        <v>1</v>
      </c>
      <c r="O1014" s="76">
        <v>0</v>
      </c>
      <c r="P1014" s="6">
        <v>65535</v>
      </c>
      <c r="Q1014" s="38">
        <v>0</v>
      </c>
      <c r="R1014" s="38">
        <v>65535</v>
      </c>
      <c r="S1014" s="34"/>
      <c r="T1014" s="34"/>
      <c r="U1014" s="34"/>
      <c r="V1014" s="8"/>
      <c r="W1014" t="s">
        <v>3139</v>
      </c>
      <c r="Y1014" s="34" t="s">
        <v>64</v>
      </c>
      <c r="Z1014"/>
      <c r="AA1014"/>
      <c r="AE1014"/>
      <c r="AF1014"/>
      <c r="AG1014"/>
      <c r="AH1014"/>
    </row>
    <row r="1015" spans="1:34" ht="15.75" customHeight="1" x14ac:dyDescent="0.15">
      <c r="A1015" s="6">
        <v>1009</v>
      </c>
      <c r="B1015" s="18" t="s">
        <v>75</v>
      </c>
      <c r="C1015" s="34" t="s">
        <v>2634</v>
      </c>
      <c r="D1015" s="75" t="s">
        <v>3140</v>
      </c>
      <c r="E1015" s="2" t="s">
        <v>77</v>
      </c>
      <c r="F1015">
        <v>15825</v>
      </c>
      <c r="G1015" s="6"/>
      <c r="H1015" s="6" t="s">
        <v>3141</v>
      </c>
      <c r="I1015" s="34"/>
      <c r="J1015" s="38"/>
      <c r="K1015" s="38"/>
      <c r="L1015" s="38"/>
      <c r="M1015" s="38" t="s">
        <v>2311</v>
      </c>
      <c r="N1015" s="19">
        <v>1</v>
      </c>
      <c r="O1015" s="76">
        <v>0</v>
      </c>
      <c r="P1015" s="6">
        <v>65535</v>
      </c>
      <c r="Q1015" s="38">
        <v>0</v>
      </c>
      <c r="R1015" s="38">
        <v>65535</v>
      </c>
      <c r="S1015" s="34"/>
      <c r="T1015" s="34"/>
      <c r="U1015" s="34"/>
      <c r="V1015" s="8"/>
      <c r="W1015" t="s">
        <v>3142</v>
      </c>
      <c r="Y1015" s="34" t="s">
        <v>64</v>
      </c>
      <c r="Z1015"/>
      <c r="AA1015"/>
      <c r="AE1015"/>
      <c r="AF1015"/>
      <c r="AG1015"/>
      <c r="AH1015"/>
    </row>
    <row r="1016" spans="1:34" ht="15.75" customHeight="1" x14ac:dyDescent="0.15">
      <c r="A1016" s="6">
        <v>1010</v>
      </c>
      <c r="B1016" s="18" t="s">
        <v>75</v>
      </c>
      <c r="C1016" s="34" t="s">
        <v>2634</v>
      </c>
      <c r="D1016" s="75" t="s">
        <v>3143</v>
      </c>
      <c r="E1016" s="2" t="s">
        <v>77</v>
      </c>
      <c r="F1016">
        <v>15826</v>
      </c>
      <c r="G1016" s="6"/>
      <c r="H1016" s="6" t="s">
        <v>3144</v>
      </c>
      <c r="I1016" s="34"/>
      <c r="J1016" s="38"/>
      <c r="K1016" s="38"/>
      <c r="L1016" s="38"/>
      <c r="M1016" s="38" t="s">
        <v>2311</v>
      </c>
      <c r="N1016" s="19">
        <v>1</v>
      </c>
      <c r="O1016" s="76">
        <v>0</v>
      </c>
      <c r="P1016" s="6">
        <v>65535</v>
      </c>
      <c r="Q1016" s="38">
        <v>0</v>
      </c>
      <c r="R1016" s="38">
        <v>65535</v>
      </c>
      <c r="S1016" s="34"/>
      <c r="T1016" s="34"/>
      <c r="U1016" s="34"/>
      <c r="V1016" s="8"/>
      <c r="W1016" t="s">
        <v>3145</v>
      </c>
      <c r="Y1016" s="34" t="s">
        <v>64</v>
      </c>
      <c r="Z1016"/>
      <c r="AA1016"/>
      <c r="AE1016"/>
      <c r="AF1016"/>
      <c r="AG1016"/>
      <c r="AH1016"/>
    </row>
    <row r="1017" spans="1:34" s="63" customFormat="1" ht="15.75" customHeight="1" x14ac:dyDescent="0.15">
      <c r="A1017" s="6">
        <v>1011</v>
      </c>
      <c r="B1017" s="18" t="s">
        <v>75</v>
      </c>
      <c r="C1017" s="34" t="s">
        <v>2634</v>
      </c>
      <c r="D1017" s="75" t="s">
        <v>3146</v>
      </c>
      <c r="E1017" s="2" t="s">
        <v>77</v>
      </c>
      <c r="F1017">
        <v>15836</v>
      </c>
      <c r="G1017" s="6"/>
      <c r="H1017" s="6" t="s">
        <v>3147</v>
      </c>
      <c r="I1017" s="34"/>
      <c r="J1017" s="38"/>
      <c r="K1017" s="38"/>
      <c r="L1017" s="38"/>
      <c r="M1017" s="38" t="s">
        <v>2311</v>
      </c>
      <c r="N1017" s="19">
        <v>1</v>
      </c>
      <c r="O1017" s="76">
        <v>0</v>
      </c>
      <c r="P1017" s="6">
        <v>65535</v>
      </c>
      <c r="Q1017" s="38">
        <v>0</v>
      </c>
      <c r="R1017" s="38">
        <v>65535</v>
      </c>
      <c r="S1017" s="34"/>
      <c r="T1017" s="34"/>
      <c r="U1017" s="34"/>
      <c r="V1017" s="8"/>
      <c r="W1017" t="s">
        <v>3148</v>
      </c>
      <c r="X1017"/>
      <c r="Y1017" s="34" t="s">
        <v>64</v>
      </c>
    </row>
    <row r="1018" spans="1:34" ht="15.75" customHeight="1" x14ac:dyDescent="0.15">
      <c r="A1018" s="6">
        <v>1012</v>
      </c>
      <c r="B1018" s="18" t="s">
        <v>75</v>
      </c>
      <c r="C1018" s="34" t="s">
        <v>2634</v>
      </c>
      <c r="D1018" s="75" t="s">
        <v>3149</v>
      </c>
      <c r="E1018" s="2" t="s">
        <v>77</v>
      </c>
      <c r="F1018">
        <v>15837</v>
      </c>
      <c r="G1018" s="6"/>
      <c r="H1018" s="6" t="s">
        <v>3150</v>
      </c>
      <c r="I1018" s="34"/>
      <c r="J1018" s="38"/>
      <c r="K1018" s="38"/>
      <c r="L1018" s="38"/>
      <c r="M1018" s="38" t="s">
        <v>2311</v>
      </c>
      <c r="N1018" s="19">
        <v>1</v>
      </c>
      <c r="O1018" s="76">
        <v>0</v>
      </c>
      <c r="P1018" s="6">
        <v>65535</v>
      </c>
      <c r="Q1018" s="38">
        <v>0</v>
      </c>
      <c r="R1018" s="38">
        <v>65535</v>
      </c>
      <c r="S1018" s="34"/>
      <c r="T1018" s="34"/>
      <c r="U1018" s="34"/>
      <c r="V1018" s="8"/>
      <c r="W1018" t="s">
        <v>3151</v>
      </c>
      <c r="Y1018" s="34" t="s">
        <v>64</v>
      </c>
      <c r="Z1018"/>
      <c r="AA1018"/>
      <c r="AE1018"/>
      <c r="AF1018"/>
      <c r="AG1018"/>
      <c r="AH1018"/>
    </row>
    <row r="1019" spans="1:34" ht="15.75" customHeight="1" x14ac:dyDescent="0.15">
      <c r="A1019" s="6">
        <v>1013</v>
      </c>
      <c r="B1019" s="18" t="s">
        <v>75</v>
      </c>
      <c r="C1019" s="34" t="s">
        <v>2634</v>
      </c>
      <c r="D1019" s="75" t="s">
        <v>3152</v>
      </c>
      <c r="E1019" s="2" t="s">
        <v>77</v>
      </c>
      <c r="F1019">
        <v>15838</v>
      </c>
      <c r="G1019" s="6"/>
      <c r="H1019" s="6" t="s">
        <v>3153</v>
      </c>
      <c r="I1019" s="34"/>
      <c r="J1019" s="38"/>
      <c r="K1019" s="38"/>
      <c r="L1019" s="38"/>
      <c r="M1019" s="38" t="s">
        <v>2311</v>
      </c>
      <c r="N1019" s="19">
        <v>1</v>
      </c>
      <c r="O1019" s="76">
        <v>0</v>
      </c>
      <c r="P1019" s="6">
        <v>65535</v>
      </c>
      <c r="Q1019" s="38">
        <v>0</v>
      </c>
      <c r="R1019" s="38">
        <v>65535</v>
      </c>
      <c r="S1019" s="34"/>
      <c r="T1019" s="34"/>
      <c r="U1019" s="34"/>
      <c r="V1019" s="8"/>
      <c r="W1019" t="s">
        <v>3154</v>
      </c>
      <c r="Y1019" s="34" t="s">
        <v>64</v>
      </c>
      <c r="Z1019"/>
      <c r="AA1019"/>
      <c r="AE1019"/>
      <c r="AF1019"/>
      <c r="AG1019"/>
      <c r="AH1019"/>
    </row>
    <row r="1020" spans="1:34" ht="15.75" customHeight="1" x14ac:dyDescent="0.15">
      <c r="A1020" s="6">
        <v>1014</v>
      </c>
      <c r="B1020" s="18" t="s">
        <v>75</v>
      </c>
      <c r="C1020" s="34" t="s">
        <v>2634</v>
      </c>
      <c r="D1020" s="75" t="s">
        <v>3155</v>
      </c>
      <c r="E1020" s="2" t="s">
        <v>77</v>
      </c>
      <c r="F1020">
        <v>15839</v>
      </c>
      <c r="G1020" s="6"/>
      <c r="H1020" s="6" t="s">
        <v>3156</v>
      </c>
      <c r="I1020" s="34"/>
      <c r="J1020" s="38"/>
      <c r="K1020" s="38"/>
      <c r="L1020" s="38"/>
      <c r="M1020" s="38" t="s">
        <v>2311</v>
      </c>
      <c r="N1020" s="19">
        <v>1</v>
      </c>
      <c r="O1020" s="76">
        <v>0</v>
      </c>
      <c r="P1020" s="6">
        <v>65535</v>
      </c>
      <c r="Q1020" s="38">
        <v>0</v>
      </c>
      <c r="R1020" s="38">
        <v>65535</v>
      </c>
      <c r="S1020" s="34"/>
      <c r="T1020" s="34"/>
      <c r="U1020" s="34"/>
      <c r="V1020" s="8"/>
      <c r="W1020" t="s">
        <v>3157</v>
      </c>
      <c r="Y1020" s="34" t="s">
        <v>64</v>
      </c>
      <c r="Z1020"/>
      <c r="AA1020"/>
      <c r="AE1020"/>
      <c r="AF1020"/>
      <c r="AG1020"/>
      <c r="AH1020"/>
    </row>
    <row r="1021" spans="1:34" ht="15.75" customHeight="1" x14ac:dyDescent="0.15">
      <c r="A1021" s="6">
        <v>1015</v>
      </c>
      <c r="B1021" s="18" t="s">
        <v>75</v>
      </c>
      <c r="C1021" s="34" t="s">
        <v>2634</v>
      </c>
      <c r="D1021" s="75" t="s">
        <v>3158</v>
      </c>
      <c r="E1021" s="2" t="s">
        <v>77</v>
      </c>
      <c r="F1021">
        <v>15840</v>
      </c>
      <c r="G1021" s="6"/>
      <c r="H1021" s="6" t="s">
        <v>3159</v>
      </c>
      <c r="I1021" s="34"/>
      <c r="J1021" s="38"/>
      <c r="K1021" s="38"/>
      <c r="L1021" s="38"/>
      <c r="M1021" s="38" t="s">
        <v>2311</v>
      </c>
      <c r="N1021" s="19">
        <v>1</v>
      </c>
      <c r="O1021" s="76">
        <v>0</v>
      </c>
      <c r="P1021" s="6">
        <v>65535</v>
      </c>
      <c r="Q1021" s="38">
        <v>0</v>
      </c>
      <c r="R1021" s="38">
        <v>65535</v>
      </c>
      <c r="S1021" s="34"/>
      <c r="T1021" s="34"/>
      <c r="U1021" s="34"/>
      <c r="V1021" s="8"/>
      <c r="W1021" t="s">
        <v>3160</v>
      </c>
      <c r="Y1021" s="34" t="s">
        <v>64</v>
      </c>
      <c r="Z1021"/>
      <c r="AA1021"/>
      <c r="AE1021"/>
      <c r="AF1021"/>
      <c r="AG1021"/>
      <c r="AH1021"/>
    </row>
    <row r="1022" spans="1:34" ht="15.75" customHeight="1" x14ac:dyDescent="0.15">
      <c r="A1022" s="6">
        <v>1016</v>
      </c>
      <c r="B1022" s="18" t="s">
        <v>75</v>
      </c>
      <c r="C1022" s="34" t="s">
        <v>2634</v>
      </c>
      <c r="D1022" s="75" t="s">
        <v>3161</v>
      </c>
      <c r="E1022" s="2" t="s">
        <v>77</v>
      </c>
      <c r="F1022">
        <v>15841</v>
      </c>
      <c r="G1022" s="6"/>
      <c r="H1022" s="6" t="s">
        <v>3162</v>
      </c>
      <c r="I1022" s="34"/>
      <c r="J1022" s="38"/>
      <c r="K1022" s="38"/>
      <c r="L1022" s="38"/>
      <c r="M1022" s="38" t="s">
        <v>2311</v>
      </c>
      <c r="N1022" s="19">
        <v>1</v>
      </c>
      <c r="O1022" s="76">
        <v>0</v>
      </c>
      <c r="P1022" s="6">
        <v>65535</v>
      </c>
      <c r="Q1022" s="38">
        <v>0</v>
      </c>
      <c r="R1022" s="38">
        <v>65535</v>
      </c>
      <c r="S1022" s="34"/>
      <c r="T1022" s="34"/>
      <c r="U1022" s="34"/>
      <c r="V1022" s="8"/>
      <c r="W1022" t="s">
        <v>3163</v>
      </c>
      <c r="Y1022" s="34" t="s">
        <v>64</v>
      </c>
      <c r="Z1022"/>
      <c r="AA1022"/>
      <c r="AE1022"/>
      <c r="AF1022"/>
      <c r="AG1022"/>
      <c r="AH1022"/>
    </row>
    <row r="1023" spans="1:34" ht="15.75" customHeight="1" x14ac:dyDescent="0.15">
      <c r="A1023" s="6">
        <v>1017</v>
      </c>
      <c r="B1023" s="18" t="s">
        <v>75</v>
      </c>
      <c r="C1023" s="34" t="s">
        <v>2634</v>
      </c>
      <c r="D1023" s="75" t="s">
        <v>3164</v>
      </c>
      <c r="E1023" s="2" t="s">
        <v>77</v>
      </c>
      <c r="F1023">
        <v>15842</v>
      </c>
      <c r="G1023" s="6"/>
      <c r="H1023" s="6" t="s">
        <v>3165</v>
      </c>
      <c r="I1023" s="34"/>
      <c r="J1023" s="38"/>
      <c r="K1023" s="38"/>
      <c r="L1023" s="38"/>
      <c r="M1023" s="38" t="s">
        <v>2311</v>
      </c>
      <c r="N1023" s="19">
        <v>1</v>
      </c>
      <c r="O1023" s="76">
        <v>0</v>
      </c>
      <c r="P1023" s="6">
        <v>65535</v>
      </c>
      <c r="Q1023" s="38">
        <v>0</v>
      </c>
      <c r="R1023" s="38">
        <v>65535</v>
      </c>
      <c r="S1023" s="34"/>
      <c r="T1023" s="34"/>
      <c r="U1023" s="34"/>
      <c r="V1023" s="8"/>
      <c r="W1023" t="s">
        <v>3166</v>
      </c>
      <c r="Y1023" s="34" t="s">
        <v>64</v>
      </c>
      <c r="Z1023"/>
      <c r="AA1023"/>
      <c r="AE1023"/>
      <c r="AF1023"/>
      <c r="AG1023"/>
      <c r="AH1023"/>
    </row>
    <row r="1024" spans="1:34" ht="15.75" customHeight="1" x14ac:dyDescent="0.15">
      <c r="A1024" s="6">
        <v>1018</v>
      </c>
      <c r="B1024" s="18" t="s">
        <v>75</v>
      </c>
      <c r="C1024" s="34" t="s">
        <v>2634</v>
      </c>
      <c r="D1024" s="75" t="s">
        <v>3167</v>
      </c>
      <c r="E1024" s="2" t="s">
        <v>77</v>
      </c>
      <c r="F1024">
        <v>15852</v>
      </c>
      <c r="G1024" s="6"/>
      <c r="H1024" s="6" t="s">
        <v>3168</v>
      </c>
      <c r="I1024" s="34"/>
      <c r="J1024" s="38"/>
      <c r="K1024" s="38"/>
      <c r="L1024" s="38"/>
      <c r="M1024" s="38" t="s">
        <v>2311</v>
      </c>
      <c r="N1024" s="19">
        <v>1</v>
      </c>
      <c r="O1024" s="76">
        <v>0</v>
      </c>
      <c r="P1024" s="6">
        <v>65535</v>
      </c>
      <c r="Q1024" s="38">
        <v>0</v>
      </c>
      <c r="R1024" s="38">
        <v>65535</v>
      </c>
      <c r="S1024" s="34"/>
      <c r="T1024" s="34"/>
      <c r="U1024" s="34"/>
      <c r="V1024" s="8"/>
      <c r="W1024" t="s">
        <v>3169</v>
      </c>
      <c r="Y1024" s="34" t="s">
        <v>64</v>
      </c>
      <c r="Z1024"/>
      <c r="AA1024"/>
      <c r="AE1024"/>
      <c r="AF1024"/>
      <c r="AG1024"/>
      <c r="AH1024"/>
    </row>
    <row r="1025" spans="1:34" s="63" customFormat="1" ht="15.75" customHeight="1" x14ac:dyDescent="0.15">
      <c r="A1025" s="6">
        <v>1019</v>
      </c>
      <c r="B1025" s="18" t="s">
        <v>75</v>
      </c>
      <c r="C1025" s="34" t="s">
        <v>2634</v>
      </c>
      <c r="D1025" s="75" t="s">
        <v>3170</v>
      </c>
      <c r="E1025" s="2" t="s">
        <v>77</v>
      </c>
      <c r="F1025">
        <v>15853</v>
      </c>
      <c r="G1025" s="6"/>
      <c r="H1025" s="6" t="s">
        <v>3171</v>
      </c>
      <c r="I1025" s="34"/>
      <c r="J1025" s="38"/>
      <c r="K1025" s="38"/>
      <c r="L1025" s="38"/>
      <c r="M1025" s="38" t="s">
        <v>2311</v>
      </c>
      <c r="N1025" s="19">
        <v>1</v>
      </c>
      <c r="O1025" s="76">
        <v>0</v>
      </c>
      <c r="P1025" s="6">
        <v>65535</v>
      </c>
      <c r="Q1025" s="38">
        <v>0</v>
      </c>
      <c r="R1025" s="38">
        <v>65535</v>
      </c>
      <c r="S1025" s="34"/>
      <c r="T1025" s="34"/>
      <c r="U1025" s="34"/>
      <c r="V1025" s="8"/>
      <c r="W1025" t="s">
        <v>3172</v>
      </c>
      <c r="X1025"/>
      <c r="Y1025" s="34" t="s">
        <v>64</v>
      </c>
    </row>
    <row r="1026" spans="1:34" ht="15.75" customHeight="1" x14ac:dyDescent="0.15">
      <c r="A1026" s="6">
        <v>1020</v>
      </c>
      <c r="B1026" s="18" t="s">
        <v>75</v>
      </c>
      <c r="C1026" s="34" t="s">
        <v>2634</v>
      </c>
      <c r="D1026" s="75" t="s">
        <v>3173</v>
      </c>
      <c r="E1026" s="2" t="s">
        <v>77</v>
      </c>
      <c r="F1026">
        <v>15854</v>
      </c>
      <c r="G1026" s="6"/>
      <c r="H1026" s="6" t="s">
        <v>3174</v>
      </c>
      <c r="I1026" s="34"/>
      <c r="J1026" s="38"/>
      <c r="K1026" s="38"/>
      <c r="L1026" s="38"/>
      <c r="M1026" s="38" t="s">
        <v>2311</v>
      </c>
      <c r="N1026" s="19">
        <v>1</v>
      </c>
      <c r="O1026" s="76">
        <v>0</v>
      </c>
      <c r="P1026" s="6">
        <v>65535</v>
      </c>
      <c r="Q1026" s="38">
        <v>0</v>
      </c>
      <c r="R1026" s="38">
        <v>65535</v>
      </c>
      <c r="S1026" s="34"/>
      <c r="T1026" s="34"/>
      <c r="U1026" s="34"/>
      <c r="V1026" s="8"/>
      <c r="W1026" t="s">
        <v>3175</v>
      </c>
      <c r="Y1026" s="34" t="s">
        <v>64</v>
      </c>
      <c r="Z1026"/>
      <c r="AA1026"/>
      <c r="AE1026"/>
      <c r="AF1026"/>
      <c r="AG1026"/>
      <c r="AH1026"/>
    </row>
    <row r="1027" spans="1:34" ht="15.75" customHeight="1" x14ac:dyDescent="0.15">
      <c r="A1027" s="6">
        <v>1021</v>
      </c>
      <c r="B1027" s="18" t="s">
        <v>75</v>
      </c>
      <c r="C1027" s="34" t="s">
        <v>2634</v>
      </c>
      <c r="D1027" s="75" t="s">
        <v>3176</v>
      </c>
      <c r="E1027" s="2" t="s">
        <v>77</v>
      </c>
      <c r="F1027">
        <v>15855</v>
      </c>
      <c r="G1027" s="6"/>
      <c r="H1027" s="6" t="s">
        <v>3177</v>
      </c>
      <c r="I1027" s="34"/>
      <c r="J1027" s="38"/>
      <c r="K1027" s="38"/>
      <c r="L1027" s="38"/>
      <c r="M1027" s="38" t="s">
        <v>2311</v>
      </c>
      <c r="N1027" s="19">
        <v>1</v>
      </c>
      <c r="O1027" s="76">
        <v>0</v>
      </c>
      <c r="P1027" s="6">
        <v>65535</v>
      </c>
      <c r="Q1027" s="38">
        <v>0</v>
      </c>
      <c r="R1027" s="38">
        <v>65535</v>
      </c>
      <c r="S1027" s="34"/>
      <c r="T1027" s="34"/>
      <c r="U1027" s="34"/>
      <c r="V1027" s="8"/>
      <c r="W1027" t="s">
        <v>3178</v>
      </c>
      <c r="Y1027" s="34" t="s">
        <v>64</v>
      </c>
      <c r="Z1027"/>
      <c r="AA1027"/>
      <c r="AE1027"/>
      <c r="AF1027"/>
      <c r="AG1027"/>
      <c r="AH1027"/>
    </row>
    <row r="1028" spans="1:34" ht="15.75" customHeight="1" x14ac:dyDescent="0.15">
      <c r="A1028" s="6">
        <v>1022</v>
      </c>
      <c r="B1028" s="18" t="s">
        <v>75</v>
      </c>
      <c r="C1028" s="34" t="s">
        <v>2634</v>
      </c>
      <c r="D1028" s="75" t="s">
        <v>3179</v>
      </c>
      <c r="E1028" s="2" t="s">
        <v>77</v>
      </c>
      <c r="F1028">
        <v>15856</v>
      </c>
      <c r="G1028" s="6"/>
      <c r="H1028" s="6" t="s">
        <v>3180</v>
      </c>
      <c r="I1028" s="34"/>
      <c r="J1028" s="38"/>
      <c r="K1028" s="38"/>
      <c r="L1028" s="38"/>
      <c r="M1028" s="38" t="s">
        <v>2311</v>
      </c>
      <c r="N1028" s="19">
        <v>1</v>
      </c>
      <c r="O1028" s="76">
        <v>0</v>
      </c>
      <c r="P1028" s="6">
        <v>65535</v>
      </c>
      <c r="Q1028" s="38">
        <v>0</v>
      </c>
      <c r="R1028" s="38">
        <v>65535</v>
      </c>
      <c r="S1028" s="34"/>
      <c r="T1028" s="34"/>
      <c r="U1028" s="34"/>
      <c r="V1028" s="8"/>
      <c r="W1028" t="s">
        <v>3181</v>
      </c>
      <c r="Y1028" s="34" t="s">
        <v>64</v>
      </c>
      <c r="Z1028"/>
      <c r="AA1028"/>
      <c r="AE1028"/>
      <c r="AF1028"/>
      <c r="AG1028"/>
      <c r="AH1028"/>
    </row>
    <row r="1029" spans="1:34" ht="15.75" customHeight="1" x14ac:dyDescent="0.15">
      <c r="A1029" s="6">
        <v>1023</v>
      </c>
      <c r="B1029" s="18" t="s">
        <v>75</v>
      </c>
      <c r="C1029" s="34" t="s">
        <v>2634</v>
      </c>
      <c r="D1029" s="75" t="s">
        <v>3182</v>
      </c>
      <c r="E1029" s="2" t="s">
        <v>77</v>
      </c>
      <c r="F1029">
        <v>15857</v>
      </c>
      <c r="G1029" s="6"/>
      <c r="H1029" s="6" t="s">
        <v>3183</v>
      </c>
      <c r="I1029" s="34"/>
      <c r="J1029" s="38"/>
      <c r="K1029" s="38"/>
      <c r="L1029" s="38"/>
      <c r="M1029" s="38" t="s">
        <v>2311</v>
      </c>
      <c r="N1029" s="19">
        <v>1</v>
      </c>
      <c r="O1029" s="76">
        <v>0</v>
      </c>
      <c r="P1029" s="6">
        <v>65535</v>
      </c>
      <c r="Q1029" s="38">
        <v>0</v>
      </c>
      <c r="R1029" s="38">
        <v>65535</v>
      </c>
      <c r="S1029" s="34"/>
      <c r="T1029" s="34"/>
      <c r="U1029" s="34"/>
      <c r="V1029" s="8"/>
      <c r="W1029" t="s">
        <v>3184</v>
      </c>
      <c r="Y1029" s="34" t="s">
        <v>64</v>
      </c>
      <c r="Z1029"/>
      <c r="AA1029"/>
      <c r="AE1029"/>
      <c r="AF1029"/>
      <c r="AG1029"/>
      <c r="AH1029"/>
    </row>
    <row r="1030" spans="1:34" ht="15.75" customHeight="1" x14ac:dyDescent="0.15">
      <c r="A1030" s="6">
        <v>1024</v>
      </c>
      <c r="B1030" s="18" t="s">
        <v>75</v>
      </c>
      <c r="C1030" s="34" t="s">
        <v>2634</v>
      </c>
      <c r="D1030" s="75" t="s">
        <v>3185</v>
      </c>
      <c r="E1030" s="2" t="s">
        <v>77</v>
      </c>
      <c r="F1030">
        <v>15858</v>
      </c>
      <c r="G1030" s="6"/>
      <c r="H1030" s="6" t="s">
        <v>3186</v>
      </c>
      <c r="I1030" s="34"/>
      <c r="J1030" s="38"/>
      <c r="K1030" s="38"/>
      <c r="L1030" s="38"/>
      <c r="M1030" s="38" t="s">
        <v>2311</v>
      </c>
      <c r="N1030" s="19">
        <v>1</v>
      </c>
      <c r="O1030" s="76">
        <v>0</v>
      </c>
      <c r="P1030" s="6">
        <v>65535</v>
      </c>
      <c r="Q1030" s="38">
        <v>0</v>
      </c>
      <c r="R1030" s="38">
        <v>65535</v>
      </c>
      <c r="S1030" s="34"/>
      <c r="T1030" s="34"/>
      <c r="U1030" s="34"/>
      <c r="V1030" s="8"/>
      <c r="W1030" t="s">
        <v>3187</v>
      </c>
      <c r="Y1030" s="34" t="s">
        <v>64</v>
      </c>
      <c r="Z1030"/>
      <c r="AA1030"/>
      <c r="AE1030"/>
      <c r="AF1030"/>
      <c r="AG1030"/>
      <c r="AH1030"/>
    </row>
    <row r="1031" spans="1:34" ht="10.5" x14ac:dyDescent="0.15">
      <c r="A1031" s="55"/>
      <c r="B1031" s="55"/>
      <c r="C1031" s="55"/>
      <c r="D1031" s="55"/>
      <c r="E1031" s="55"/>
      <c r="F1031" s="55"/>
      <c r="G1031" s="55"/>
      <c r="H1031" s="55"/>
      <c r="I1031" s="55"/>
      <c r="J1031" s="55"/>
      <c r="K1031" s="55"/>
      <c r="L1031" s="55"/>
      <c r="M1031" s="55"/>
      <c r="N1031" s="55"/>
      <c r="O1031" s="55"/>
      <c r="P1031" s="55"/>
      <c r="Q1031" s="55"/>
      <c r="R1031" s="55"/>
      <c r="S1031" s="55"/>
      <c r="T1031" s="55"/>
      <c r="U1031" s="55"/>
      <c r="V1031" s="55"/>
      <c r="W1031" s="55"/>
      <c r="X1031" s="55"/>
      <c r="Y1031" s="55"/>
      <c r="Z1031"/>
      <c r="AA1031"/>
      <c r="AE1031"/>
      <c r="AF1031"/>
      <c r="AG1031"/>
      <c r="AH1031"/>
    </row>
    <row r="1032" spans="1:34" ht="10.5" x14ac:dyDescent="0.15">
      <c r="A1032" s="55"/>
      <c r="B1032" s="55"/>
      <c r="C1032" s="55"/>
      <c r="D1032" s="55"/>
      <c r="E1032" s="55"/>
      <c r="F1032" s="55"/>
      <c r="G1032" s="55"/>
      <c r="H1032" s="55"/>
      <c r="I1032" s="55"/>
      <c r="J1032" s="55"/>
      <c r="K1032" s="55"/>
      <c r="L1032" s="55"/>
      <c r="M1032" s="55"/>
      <c r="N1032" s="55"/>
      <c r="O1032" s="55"/>
      <c r="P1032" s="55"/>
      <c r="Q1032" s="55"/>
      <c r="R1032" s="55"/>
      <c r="S1032" s="55"/>
      <c r="T1032" s="55"/>
      <c r="U1032" s="55"/>
      <c r="V1032" s="55"/>
      <c r="W1032" s="55"/>
      <c r="X1032" s="55"/>
      <c r="Y1032" s="55"/>
      <c r="Z1032"/>
      <c r="AA1032"/>
      <c r="AE1032"/>
      <c r="AF1032"/>
      <c r="AG1032"/>
      <c r="AH1032"/>
    </row>
    <row r="1033" spans="1:34" ht="10.5" x14ac:dyDescent="0.15">
      <c r="W1033"/>
      <c r="Z1033"/>
      <c r="AA1033"/>
      <c r="AE1033"/>
      <c r="AF1033"/>
      <c r="AG1033"/>
      <c r="AH1033"/>
    </row>
    <row r="1034" spans="1:34" ht="10.5" x14ac:dyDescent="0.15">
      <c r="W1034"/>
      <c r="Z1034"/>
      <c r="AA1034"/>
      <c r="AE1034"/>
      <c r="AF1034"/>
      <c r="AG1034"/>
      <c r="AH1034"/>
    </row>
    <row r="1035" spans="1:34" ht="10.5" x14ac:dyDescent="0.15">
      <c r="W1035"/>
      <c r="Z1035"/>
      <c r="AA1035"/>
      <c r="AE1035"/>
      <c r="AF1035"/>
      <c r="AG1035"/>
      <c r="AH1035"/>
    </row>
    <row r="1036" spans="1:34" ht="10.5" x14ac:dyDescent="0.15">
      <c r="W1036"/>
      <c r="Z1036"/>
      <c r="AA1036"/>
      <c r="AE1036"/>
      <c r="AF1036"/>
      <c r="AG1036"/>
      <c r="AH1036"/>
    </row>
    <row r="1037" spans="1:34" ht="10.5" x14ac:dyDescent="0.15">
      <c r="A1037" s="59"/>
      <c r="B1037" s="59"/>
      <c r="C1037" s="59"/>
      <c r="D1037" s="59"/>
      <c r="E1037" s="59"/>
      <c r="F1037" s="59"/>
      <c r="G1037" s="59"/>
      <c r="H1037" s="59"/>
      <c r="I1037" s="59"/>
      <c r="J1037" s="59"/>
      <c r="K1037" s="59"/>
      <c r="L1037" s="59"/>
      <c r="M1037" s="59"/>
      <c r="N1037" s="59"/>
      <c r="O1037" s="59"/>
      <c r="P1037" s="59"/>
      <c r="Q1037" s="59"/>
      <c r="R1037" s="59"/>
      <c r="S1037" s="59"/>
      <c r="T1037" s="59"/>
      <c r="U1037" s="59"/>
      <c r="V1037" s="59"/>
      <c r="W1037" s="59"/>
      <c r="X1037" s="59"/>
      <c r="Y1037" s="59"/>
      <c r="Z1037"/>
      <c r="AA1037"/>
      <c r="AE1037"/>
      <c r="AF1037"/>
      <c r="AG1037"/>
      <c r="AH1037"/>
    </row>
    <row r="1038" spans="1:34" ht="10.5" x14ac:dyDescent="0.15">
      <c r="W1038"/>
      <c r="Z1038"/>
      <c r="AA1038"/>
      <c r="AE1038"/>
      <c r="AF1038"/>
      <c r="AG1038"/>
      <c r="AH1038"/>
    </row>
    <row r="1039" spans="1:34" ht="10.5" x14ac:dyDescent="0.15">
      <c r="A1039" s="59"/>
      <c r="B1039" s="59"/>
      <c r="C1039" s="59"/>
      <c r="D1039" s="59"/>
      <c r="E1039" s="59"/>
      <c r="F1039" s="59"/>
      <c r="G1039" s="59"/>
      <c r="H1039" s="59"/>
      <c r="I1039" s="59"/>
      <c r="J1039" s="59"/>
      <c r="K1039" s="59"/>
      <c r="L1039" s="59"/>
      <c r="M1039" s="59"/>
      <c r="N1039" s="59"/>
      <c r="O1039" s="59"/>
      <c r="P1039" s="59"/>
      <c r="Q1039" s="59"/>
      <c r="R1039" s="59"/>
      <c r="S1039" s="59"/>
      <c r="T1039" s="59"/>
      <c r="U1039" s="59"/>
      <c r="V1039" s="59"/>
      <c r="W1039" s="59"/>
      <c r="X1039" s="59"/>
      <c r="Y1039" s="59"/>
      <c r="Z1039"/>
      <c r="AA1039"/>
      <c r="AE1039"/>
      <c r="AF1039"/>
      <c r="AG1039"/>
      <c r="AH1039"/>
    </row>
    <row r="1040" spans="1:34" ht="10.5" x14ac:dyDescent="0.15">
      <c r="A1040" s="59"/>
      <c r="B1040" s="59"/>
      <c r="C1040" s="59"/>
      <c r="D1040" s="59"/>
      <c r="E1040" s="59"/>
      <c r="F1040" s="59"/>
      <c r="G1040" s="59"/>
      <c r="H1040" s="59"/>
      <c r="I1040" s="59"/>
      <c r="J1040" s="59"/>
      <c r="K1040" s="59"/>
      <c r="L1040" s="59"/>
      <c r="M1040" s="59"/>
      <c r="N1040" s="59"/>
      <c r="O1040" s="59"/>
      <c r="P1040" s="59"/>
      <c r="Q1040" s="59"/>
      <c r="R1040" s="59"/>
      <c r="S1040" s="59"/>
      <c r="T1040" s="59"/>
      <c r="U1040" s="59"/>
      <c r="V1040" s="59"/>
      <c r="W1040" s="59"/>
      <c r="X1040" s="59"/>
      <c r="Y1040" s="59"/>
      <c r="Z1040"/>
      <c r="AA1040"/>
      <c r="AE1040"/>
      <c r="AF1040"/>
      <c r="AG1040"/>
      <c r="AH1040"/>
    </row>
    <row r="1041" spans="1:34" ht="10.5" x14ac:dyDescent="0.15">
      <c r="W1041"/>
      <c r="Z1041"/>
      <c r="AA1041"/>
      <c r="AE1041"/>
      <c r="AF1041"/>
      <c r="AG1041"/>
      <c r="AH1041"/>
    </row>
    <row r="1042" spans="1:34" ht="10.5" x14ac:dyDescent="0.15">
      <c r="A1042" s="55"/>
      <c r="B1042" s="55"/>
      <c r="C1042" s="55"/>
      <c r="D1042" s="55"/>
      <c r="E1042" s="55"/>
      <c r="F1042" s="55"/>
      <c r="G1042" s="55"/>
      <c r="H1042" s="55"/>
      <c r="I1042" s="55"/>
      <c r="J1042" s="55"/>
      <c r="K1042" s="55"/>
      <c r="L1042" s="55"/>
      <c r="M1042" s="55"/>
      <c r="N1042" s="55"/>
      <c r="O1042" s="55"/>
      <c r="P1042" s="55"/>
      <c r="Q1042" s="55"/>
      <c r="R1042" s="55"/>
      <c r="S1042" s="55"/>
      <c r="T1042" s="55"/>
      <c r="U1042" s="55"/>
      <c r="V1042" s="55"/>
      <c r="W1042" s="55"/>
      <c r="X1042" s="55"/>
      <c r="Y1042" s="55"/>
      <c r="Z1042"/>
      <c r="AA1042"/>
      <c r="AE1042"/>
      <c r="AF1042"/>
      <c r="AG1042"/>
      <c r="AH1042"/>
    </row>
    <row r="1043" spans="1:34" ht="10.5" x14ac:dyDescent="0.15">
      <c r="A1043" s="55"/>
      <c r="B1043" s="55"/>
      <c r="C1043" s="55"/>
      <c r="D1043" s="55"/>
      <c r="E1043" s="55"/>
      <c r="F1043" s="55"/>
      <c r="G1043" s="55"/>
      <c r="H1043" s="55"/>
      <c r="I1043" s="55"/>
      <c r="J1043" s="55"/>
      <c r="K1043" s="55"/>
      <c r="L1043" s="55"/>
      <c r="M1043" s="55"/>
      <c r="N1043" s="55"/>
      <c r="O1043" s="55"/>
      <c r="P1043" s="55"/>
      <c r="Q1043" s="55"/>
      <c r="R1043" s="55"/>
      <c r="S1043" s="55"/>
      <c r="T1043" s="55"/>
      <c r="U1043" s="55"/>
      <c r="V1043" s="55"/>
      <c r="W1043" s="55"/>
      <c r="X1043" s="55"/>
      <c r="Y1043" s="55"/>
      <c r="Z1043"/>
      <c r="AA1043"/>
      <c r="AE1043"/>
      <c r="AF1043"/>
      <c r="AG1043"/>
      <c r="AH1043"/>
    </row>
    <row r="1044" spans="1:34" ht="10.5" x14ac:dyDescent="0.15">
      <c r="A1044" s="55"/>
      <c r="B1044" s="55"/>
      <c r="C1044" s="55"/>
      <c r="D1044" s="55"/>
      <c r="E1044" s="55"/>
      <c r="F1044" s="55"/>
      <c r="G1044" s="55"/>
      <c r="H1044" s="55"/>
      <c r="I1044" s="55"/>
      <c r="J1044" s="55"/>
      <c r="K1044" s="55"/>
      <c r="L1044" s="55"/>
      <c r="M1044" s="55"/>
      <c r="N1044" s="55"/>
      <c r="O1044" s="55"/>
      <c r="P1044" s="55"/>
      <c r="Q1044" s="55"/>
      <c r="R1044" s="55"/>
      <c r="S1044" s="55"/>
      <c r="T1044" s="55"/>
      <c r="U1044" s="55"/>
      <c r="V1044" s="55"/>
      <c r="W1044" s="55"/>
      <c r="X1044" s="55"/>
      <c r="Y1044" s="55"/>
      <c r="Z1044"/>
      <c r="AA1044"/>
      <c r="AE1044"/>
      <c r="AF1044"/>
      <c r="AG1044"/>
      <c r="AH1044"/>
    </row>
    <row r="1045" spans="1:34" ht="10.5" x14ac:dyDescent="0.15">
      <c r="A1045" s="55"/>
      <c r="B1045" s="55"/>
      <c r="C1045" s="55"/>
      <c r="D1045" s="55"/>
      <c r="E1045" s="55"/>
      <c r="F1045" s="55"/>
      <c r="G1045" s="55"/>
      <c r="H1045" s="55"/>
      <c r="I1045" s="55"/>
      <c r="J1045" s="55"/>
      <c r="K1045" s="55"/>
      <c r="L1045" s="55"/>
      <c r="M1045" s="55"/>
      <c r="N1045" s="55"/>
      <c r="O1045" s="55"/>
      <c r="P1045" s="55"/>
      <c r="Q1045" s="55"/>
      <c r="R1045" s="55"/>
      <c r="S1045" s="55"/>
      <c r="T1045" s="55"/>
      <c r="U1045" s="55"/>
      <c r="V1045" s="55"/>
      <c r="W1045" s="55"/>
      <c r="X1045" s="55"/>
      <c r="Y1045" s="55"/>
      <c r="Z1045"/>
      <c r="AA1045"/>
      <c r="AE1045"/>
      <c r="AF1045"/>
      <c r="AG1045"/>
      <c r="AH1045"/>
    </row>
    <row r="1046" spans="1:34" ht="10.5" x14ac:dyDescent="0.15">
      <c r="A1046" s="55"/>
      <c r="B1046" s="55"/>
      <c r="C1046" s="55"/>
      <c r="D1046" s="55"/>
      <c r="E1046" s="55"/>
      <c r="F1046" s="55"/>
      <c r="G1046" s="55"/>
      <c r="H1046" s="55"/>
      <c r="I1046" s="55"/>
      <c r="J1046" s="55"/>
      <c r="K1046" s="55"/>
      <c r="L1046" s="55"/>
      <c r="M1046" s="55"/>
      <c r="N1046" s="55"/>
      <c r="O1046" s="55"/>
      <c r="P1046" s="55"/>
      <c r="Q1046" s="55"/>
      <c r="R1046" s="55"/>
      <c r="S1046" s="55"/>
      <c r="T1046" s="55"/>
      <c r="U1046" s="55"/>
      <c r="V1046" s="55"/>
      <c r="W1046" s="55"/>
      <c r="X1046" s="55"/>
      <c r="Y1046" s="55"/>
      <c r="Z1046"/>
      <c r="AA1046"/>
      <c r="AE1046"/>
      <c r="AF1046"/>
      <c r="AG1046"/>
      <c r="AH1046"/>
    </row>
    <row r="1047" spans="1:34" ht="10.5" x14ac:dyDescent="0.15">
      <c r="A1047" s="55"/>
      <c r="B1047" s="55"/>
      <c r="C1047" s="55"/>
      <c r="D1047" s="55"/>
      <c r="E1047" s="55"/>
      <c r="F1047" s="55"/>
      <c r="G1047" s="55"/>
      <c r="H1047" s="55"/>
      <c r="I1047" s="55"/>
      <c r="J1047" s="55"/>
      <c r="K1047" s="55"/>
      <c r="L1047" s="55"/>
      <c r="M1047" s="55"/>
      <c r="N1047" s="55"/>
      <c r="O1047" s="55"/>
      <c r="P1047" s="55"/>
      <c r="Q1047" s="55"/>
      <c r="R1047" s="55"/>
      <c r="S1047" s="55"/>
      <c r="T1047" s="55"/>
      <c r="U1047" s="55"/>
      <c r="V1047" s="55"/>
      <c r="W1047" s="55"/>
      <c r="X1047" s="55"/>
      <c r="Y1047" s="55"/>
      <c r="Z1047"/>
      <c r="AA1047"/>
      <c r="AE1047"/>
      <c r="AF1047"/>
      <c r="AG1047"/>
      <c r="AH1047"/>
    </row>
    <row r="1048" spans="1:34" ht="10.5" x14ac:dyDescent="0.15">
      <c r="A1048" s="55"/>
      <c r="B1048" s="55"/>
      <c r="C1048" s="55"/>
      <c r="D1048" s="55"/>
      <c r="E1048" s="55"/>
      <c r="F1048" s="55"/>
      <c r="G1048" s="55"/>
      <c r="H1048" s="55"/>
      <c r="I1048" s="55"/>
      <c r="J1048" s="55"/>
      <c r="K1048" s="55"/>
      <c r="L1048" s="55"/>
      <c r="M1048" s="55"/>
      <c r="N1048" s="55"/>
      <c r="O1048" s="55"/>
      <c r="P1048" s="55"/>
      <c r="Q1048" s="55"/>
      <c r="R1048" s="55"/>
      <c r="S1048" s="55"/>
      <c r="T1048" s="55"/>
      <c r="U1048" s="55"/>
      <c r="V1048" s="55"/>
      <c r="W1048" s="55"/>
      <c r="X1048" s="55"/>
      <c r="Y1048" s="55"/>
      <c r="Z1048"/>
      <c r="AA1048"/>
      <c r="AE1048"/>
      <c r="AF1048"/>
      <c r="AG1048"/>
      <c r="AH1048"/>
    </row>
    <row r="1049" spans="1:34" ht="10.5" x14ac:dyDescent="0.15">
      <c r="A1049" s="55"/>
      <c r="B1049" s="55"/>
      <c r="C1049" s="55"/>
      <c r="D1049" s="55"/>
      <c r="E1049" s="55"/>
      <c r="F1049" s="55"/>
      <c r="G1049" s="55"/>
      <c r="H1049" s="55"/>
      <c r="I1049" s="55"/>
      <c r="J1049" s="55"/>
      <c r="K1049" s="55"/>
      <c r="L1049" s="55"/>
      <c r="M1049" s="55"/>
      <c r="N1049" s="55"/>
      <c r="O1049" s="55"/>
      <c r="P1049" s="55"/>
      <c r="Q1049" s="55"/>
      <c r="R1049" s="55"/>
      <c r="S1049" s="55"/>
      <c r="T1049" s="55"/>
      <c r="U1049" s="55"/>
      <c r="V1049" s="55"/>
      <c r="W1049" s="55"/>
      <c r="X1049" s="55"/>
      <c r="Y1049" s="55"/>
      <c r="Z1049"/>
      <c r="AA1049"/>
      <c r="AE1049"/>
      <c r="AF1049"/>
      <c r="AG1049"/>
      <c r="AH1049"/>
    </row>
    <row r="1050" spans="1:34" ht="10.5" x14ac:dyDescent="0.15">
      <c r="A1050" s="55"/>
      <c r="B1050" s="55"/>
      <c r="C1050" s="55"/>
      <c r="D1050" s="55"/>
      <c r="E1050" s="55"/>
      <c r="F1050" s="55"/>
      <c r="G1050" s="55"/>
      <c r="H1050" s="55"/>
      <c r="I1050" s="55"/>
      <c r="J1050" s="55"/>
      <c r="K1050" s="55"/>
      <c r="L1050" s="55"/>
      <c r="M1050" s="55"/>
      <c r="N1050" s="55"/>
      <c r="O1050" s="55"/>
      <c r="P1050" s="55"/>
      <c r="Q1050" s="55"/>
      <c r="R1050" s="55"/>
      <c r="S1050" s="55"/>
      <c r="T1050" s="55"/>
      <c r="U1050" s="55"/>
      <c r="V1050" s="55"/>
      <c r="W1050" s="55"/>
      <c r="X1050" s="55"/>
      <c r="Y1050" s="55"/>
      <c r="Z1050"/>
      <c r="AA1050"/>
      <c r="AE1050"/>
      <c r="AF1050"/>
      <c r="AG1050"/>
      <c r="AH1050"/>
    </row>
    <row r="1051" spans="1:34" ht="10.5" x14ac:dyDescent="0.15">
      <c r="A1051" s="55"/>
      <c r="B1051" s="55"/>
      <c r="C1051" s="55"/>
      <c r="D1051" s="55"/>
      <c r="E1051" s="55"/>
      <c r="F1051" s="55"/>
      <c r="G1051" s="55"/>
      <c r="H1051" s="55"/>
      <c r="I1051" s="55"/>
      <c r="J1051" s="55"/>
      <c r="K1051" s="55"/>
      <c r="L1051" s="55"/>
      <c r="M1051" s="55"/>
      <c r="N1051" s="55"/>
      <c r="O1051" s="55"/>
      <c r="P1051" s="55"/>
      <c r="Q1051" s="55"/>
      <c r="R1051" s="55"/>
      <c r="S1051" s="55"/>
      <c r="T1051" s="55"/>
      <c r="U1051" s="55"/>
      <c r="V1051" s="55"/>
      <c r="W1051" s="55"/>
      <c r="X1051" s="55"/>
      <c r="Y1051" s="55"/>
      <c r="Z1051"/>
      <c r="AA1051"/>
      <c r="AE1051"/>
      <c r="AF1051"/>
      <c r="AG1051"/>
      <c r="AH1051"/>
    </row>
    <row r="1052" spans="1:34" ht="10.5" x14ac:dyDescent="0.15">
      <c r="W1052"/>
      <c r="Z1052"/>
      <c r="AA1052"/>
      <c r="AE1052"/>
      <c r="AF1052"/>
      <c r="AG1052"/>
      <c r="AH1052"/>
    </row>
    <row r="1053" spans="1:34" ht="10.5" x14ac:dyDescent="0.15">
      <c r="W1053"/>
      <c r="Z1053"/>
      <c r="AA1053"/>
      <c r="AE1053"/>
      <c r="AF1053"/>
      <c r="AG1053"/>
      <c r="AH1053"/>
    </row>
    <row r="1054" spans="1:34" ht="10.5" x14ac:dyDescent="0.15">
      <c r="W1054"/>
      <c r="Z1054"/>
      <c r="AA1054"/>
      <c r="AE1054"/>
      <c r="AF1054"/>
      <c r="AG1054"/>
      <c r="AH1054"/>
    </row>
    <row r="1055" spans="1:34" ht="10.5" x14ac:dyDescent="0.15">
      <c r="A1055" s="59"/>
      <c r="B1055" s="59"/>
      <c r="C1055" s="59"/>
      <c r="D1055" s="59"/>
      <c r="E1055" s="59"/>
      <c r="F1055" s="59"/>
      <c r="G1055" s="59"/>
      <c r="H1055" s="59"/>
      <c r="I1055" s="59"/>
      <c r="J1055" s="59"/>
      <c r="K1055" s="59"/>
      <c r="L1055" s="59"/>
      <c r="M1055" s="59"/>
      <c r="N1055" s="59"/>
      <c r="O1055" s="59"/>
      <c r="P1055" s="59"/>
      <c r="Q1055" s="59"/>
      <c r="R1055" s="59"/>
      <c r="S1055" s="59"/>
      <c r="T1055" s="59"/>
      <c r="U1055" s="59"/>
      <c r="V1055" s="59"/>
      <c r="W1055" s="59"/>
      <c r="X1055" s="59"/>
      <c r="Y1055" s="59"/>
      <c r="Z1055"/>
      <c r="AA1055"/>
      <c r="AE1055"/>
      <c r="AF1055"/>
      <c r="AG1055"/>
      <c r="AH1055"/>
    </row>
    <row r="1056" spans="1:34" ht="10.5" x14ac:dyDescent="0.15">
      <c r="A1056" s="59"/>
      <c r="B1056" s="59"/>
      <c r="C1056" s="59"/>
      <c r="D1056" s="59"/>
      <c r="E1056" s="59"/>
      <c r="F1056" s="59"/>
      <c r="G1056" s="59"/>
      <c r="H1056" s="59"/>
      <c r="I1056" s="59"/>
      <c r="J1056" s="59"/>
      <c r="K1056" s="59"/>
      <c r="L1056" s="59"/>
      <c r="M1056" s="59"/>
      <c r="N1056" s="59"/>
      <c r="O1056" s="59"/>
      <c r="P1056" s="59"/>
      <c r="Q1056" s="59"/>
      <c r="R1056" s="59"/>
      <c r="S1056" s="59"/>
      <c r="T1056" s="59"/>
      <c r="U1056" s="59"/>
      <c r="V1056" s="59"/>
      <c r="W1056" s="59"/>
      <c r="X1056" s="59"/>
      <c r="Y1056" s="59"/>
      <c r="Z1056"/>
      <c r="AA1056"/>
      <c r="AE1056"/>
      <c r="AF1056"/>
      <c r="AG1056"/>
      <c r="AH1056"/>
    </row>
    <row r="1057" spans="1:34" ht="10.5" x14ac:dyDescent="0.15">
      <c r="W1057"/>
      <c r="Z1057"/>
      <c r="AA1057"/>
      <c r="AE1057"/>
      <c r="AF1057"/>
      <c r="AG1057"/>
      <c r="AH1057"/>
    </row>
    <row r="1058" spans="1:34" ht="10.5" x14ac:dyDescent="0.15">
      <c r="W1058"/>
      <c r="Z1058"/>
      <c r="AA1058"/>
      <c r="AE1058"/>
      <c r="AF1058"/>
      <c r="AG1058"/>
      <c r="AH1058"/>
    </row>
    <row r="1059" spans="1:34" ht="10.5" x14ac:dyDescent="0.15">
      <c r="W1059"/>
      <c r="Z1059"/>
      <c r="AA1059"/>
      <c r="AE1059"/>
      <c r="AF1059"/>
      <c r="AG1059"/>
      <c r="AH1059"/>
    </row>
    <row r="1060" spans="1:34" ht="10.5" x14ac:dyDescent="0.15">
      <c r="W1060"/>
      <c r="Z1060"/>
      <c r="AA1060"/>
      <c r="AE1060"/>
      <c r="AF1060"/>
      <c r="AG1060"/>
      <c r="AH1060"/>
    </row>
    <row r="1061" spans="1:34" ht="10.5" x14ac:dyDescent="0.15">
      <c r="W1061"/>
      <c r="Z1061"/>
      <c r="AA1061"/>
      <c r="AE1061"/>
      <c r="AF1061"/>
      <c r="AG1061"/>
      <c r="AH1061"/>
    </row>
    <row r="1062" spans="1:34" ht="10.5" x14ac:dyDescent="0.15">
      <c r="A1062" s="59"/>
      <c r="B1062" s="59"/>
      <c r="C1062" s="59"/>
      <c r="D1062" s="59"/>
      <c r="E1062" s="59"/>
      <c r="F1062" s="59"/>
      <c r="G1062" s="59"/>
      <c r="H1062" s="59"/>
      <c r="I1062" s="59"/>
      <c r="J1062" s="59"/>
      <c r="K1062" s="59"/>
      <c r="L1062" s="59"/>
      <c r="M1062" s="59"/>
      <c r="N1062" s="59"/>
      <c r="O1062" s="59"/>
      <c r="P1062" s="59"/>
      <c r="Q1062" s="59"/>
      <c r="R1062" s="59"/>
      <c r="S1062" s="59"/>
      <c r="T1062" s="59"/>
      <c r="U1062" s="59"/>
      <c r="V1062" s="59"/>
      <c r="W1062" s="59"/>
      <c r="X1062" s="59"/>
      <c r="Y1062" s="59"/>
      <c r="Z1062"/>
      <c r="AA1062"/>
      <c r="AE1062"/>
      <c r="AF1062"/>
      <c r="AG1062"/>
      <c r="AH1062"/>
    </row>
    <row r="1063" spans="1:34" s="59" customFormat="1" ht="10.5" x14ac:dyDescent="0.15"/>
    <row r="1064" spans="1:34" s="59" customFormat="1" ht="10.5" x14ac:dyDescent="0.15">
      <c r="A1064" s="55"/>
      <c r="B1064" s="55"/>
      <c r="C1064" s="55"/>
      <c r="D1064" s="55"/>
      <c r="E1064" s="55"/>
      <c r="F1064" s="55"/>
      <c r="G1064" s="55"/>
      <c r="H1064" s="55"/>
      <c r="I1064" s="55"/>
      <c r="J1064" s="55"/>
      <c r="K1064" s="55"/>
      <c r="L1064" s="55"/>
      <c r="M1064" s="55"/>
      <c r="N1064" s="55"/>
      <c r="O1064" s="55"/>
      <c r="P1064" s="55"/>
      <c r="Q1064" s="55"/>
      <c r="R1064" s="55"/>
      <c r="S1064" s="55"/>
      <c r="T1064" s="55"/>
      <c r="U1064" s="55"/>
      <c r="V1064" s="55"/>
      <c r="W1064" s="55"/>
      <c r="X1064" s="55"/>
      <c r="Y1064" s="55"/>
    </row>
    <row r="1065" spans="1:34" s="55" customFormat="1" ht="10.5" x14ac:dyDescent="0.15"/>
    <row r="1066" spans="1:34" ht="10.5" x14ac:dyDescent="0.15">
      <c r="A1066" s="55"/>
      <c r="B1066" s="55"/>
      <c r="C1066" s="55"/>
      <c r="D1066" s="55"/>
      <c r="E1066" s="55"/>
      <c r="F1066" s="55"/>
      <c r="G1066" s="55"/>
      <c r="H1066" s="55"/>
      <c r="I1066" s="55"/>
      <c r="J1066" s="55"/>
      <c r="K1066" s="55"/>
      <c r="L1066" s="55"/>
      <c r="M1066" s="55"/>
      <c r="N1066" s="55"/>
      <c r="O1066" s="55"/>
      <c r="P1066" s="55"/>
      <c r="Q1066" s="55"/>
      <c r="R1066" s="55"/>
      <c r="S1066" s="55"/>
      <c r="T1066" s="55"/>
      <c r="U1066" s="55"/>
      <c r="V1066" s="55"/>
      <c r="W1066" s="55"/>
      <c r="X1066" s="55"/>
      <c r="Y1066" s="55"/>
      <c r="Z1066"/>
      <c r="AA1066"/>
      <c r="AE1066"/>
      <c r="AF1066"/>
      <c r="AG1066"/>
      <c r="AH1066"/>
    </row>
    <row r="1067" spans="1:34" ht="10.5" x14ac:dyDescent="0.15">
      <c r="A1067" s="55"/>
      <c r="B1067" s="55"/>
      <c r="C1067" s="55"/>
      <c r="D1067" s="55"/>
      <c r="E1067" s="55"/>
      <c r="F1067" s="55"/>
      <c r="G1067" s="55"/>
      <c r="H1067" s="55"/>
      <c r="I1067" s="55"/>
      <c r="J1067" s="55"/>
      <c r="K1067" s="55"/>
      <c r="L1067" s="55"/>
      <c r="M1067" s="55"/>
      <c r="N1067" s="55"/>
      <c r="O1067" s="55"/>
      <c r="P1067" s="55"/>
      <c r="Q1067" s="55"/>
      <c r="R1067" s="55"/>
      <c r="S1067" s="55"/>
      <c r="T1067" s="55"/>
      <c r="U1067" s="55"/>
      <c r="V1067" s="55"/>
      <c r="W1067" s="55"/>
      <c r="X1067" s="55"/>
      <c r="Y1067" s="55"/>
      <c r="Z1067"/>
      <c r="AA1067"/>
      <c r="AE1067"/>
      <c r="AF1067"/>
      <c r="AG1067"/>
      <c r="AH1067"/>
    </row>
    <row r="1068" spans="1:34" ht="10.5" x14ac:dyDescent="0.15">
      <c r="A1068" s="55"/>
      <c r="B1068" s="55"/>
      <c r="C1068" s="55"/>
      <c r="D1068" s="55"/>
      <c r="E1068" s="55"/>
      <c r="F1068" s="55"/>
      <c r="G1068" s="55"/>
      <c r="H1068" s="55"/>
      <c r="I1068" s="55"/>
      <c r="J1068" s="55"/>
      <c r="K1068" s="55"/>
      <c r="L1068" s="55"/>
      <c r="M1068" s="55"/>
      <c r="N1068" s="55"/>
      <c r="O1068" s="55"/>
      <c r="P1068" s="55"/>
      <c r="Q1068" s="55"/>
      <c r="R1068" s="55"/>
      <c r="S1068" s="55"/>
      <c r="T1068" s="55"/>
      <c r="U1068" s="55"/>
      <c r="V1068" s="55"/>
      <c r="W1068" s="55"/>
      <c r="X1068" s="55"/>
      <c r="Y1068" s="55"/>
      <c r="Z1068"/>
      <c r="AA1068"/>
      <c r="AE1068"/>
      <c r="AF1068"/>
      <c r="AG1068"/>
      <c r="AH1068"/>
    </row>
    <row r="1069" spans="1:34" ht="10.5" x14ac:dyDescent="0.15">
      <c r="A1069" s="55"/>
      <c r="B1069" s="55"/>
      <c r="C1069" s="55"/>
      <c r="D1069" s="55"/>
      <c r="E1069" s="55"/>
      <c r="F1069" s="55"/>
      <c r="G1069" s="55"/>
      <c r="H1069" s="55"/>
      <c r="I1069" s="55"/>
      <c r="J1069" s="55"/>
      <c r="K1069" s="55"/>
      <c r="L1069" s="55"/>
      <c r="M1069" s="55"/>
      <c r="N1069" s="55"/>
      <c r="O1069" s="55"/>
      <c r="P1069" s="55"/>
      <c r="Q1069" s="55"/>
      <c r="R1069" s="55"/>
      <c r="S1069" s="55"/>
      <c r="T1069" s="55"/>
      <c r="U1069" s="55"/>
      <c r="V1069" s="55"/>
      <c r="W1069" s="55"/>
      <c r="X1069" s="55"/>
      <c r="Y1069" s="55"/>
      <c r="Z1069"/>
      <c r="AA1069"/>
      <c r="AE1069"/>
      <c r="AF1069"/>
      <c r="AG1069"/>
      <c r="AH1069"/>
    </row>
    <row r="1070" spans="1:34" ht="10.5" x14ac:dyDescent="0.15">
      <c r="A1070" s="55"/>
      <c r="B1070" s="55"/>
      <c r="C1070" s="55"/>
      <c r="D1070" s="55"/>
      <c r="E1070" s="55"/>
      <c r="F1070" s="55"/>
      <c r="G1070" s="55"/>
      <c r="H1070" s="55"/>
      <c r="I1070" s="55"/>
      <c r="J1070" s="55"/>
      <c r="K1070" s="55"/>
      <c r="L1070" s="55"/>
      <c r="M1070" s="55"/>
      <c r="N1070" s="55"/>
      <c r="O1070" s="55"/>
      <c r="P1070" s="55"/>
      <c r="Q1070" s="55"/>
      <c r="R1070" s="55"/>
      <c r="S1070" s="55"/>
      <c r="T1070" s="55"/>
      <c r="U1070" s="55"/>
      <c r="V1070" s="55"/>
      <c r="W1070" s="55"/>
      <c r="X1070" s="55"/>
      <c r="Y1070" s="55"/>
      <c r="Z1070"/>
      <c r="AA1070"/>
      <c r="AE1070"/>
      <c r="AF1070"/>
      <c r="AG1070"/>
      <c r="AH1070"/>
    </row>
    <row r="1071" spans="1:34" ht="10.5" x14ac:dyDescent="0.15">
      <c r="A1071" s="55"/>
      <c r="B1071" s="55"/>
      <c r="C1071" s="55"/>
      <c r="D1071" s="55"/>
      <c r="E1071" s="55"/>
      <c r="F1071" s="55"/>
      <c r="G1071" s="55"/>
      <c r="H1071" s="55"/>
      <c r="I1071" s="55"/>
      <c r="J1071" s="55"/>
      <c r="K1071" s="55"/>
      <c r="L1071" s="55"/>
      <c r="M1071" s="55"/>
      <c r="N1071" s="55"/>
      <c r="O1071" s="55"/>
      <c r="P1071" s="55"/>
      <c r="Q1071" s="55"/>
      <c r="R1071" s="55"/>
      <c r="S1071" s="55"/>
      <c r="T1071" s="55"/>
      <c r="U1071" s="55"/>
      <c r="V1071" s="55"/>
      <c r="W1071" s="55"/>
      <c r="X1071" s="55"/>
      <c r="Y1071" s="55"/>
      <c r="Z1071"/>
      <c r="AA1071"/>
      <c r="AE1071"/>
      <c r="AF1071"/>
      <c r="AG1071"/>
      <c r="AH1071"/>
    </row>
    <row r="1072" spans="1:34" ht="10.5" x14ac:dyDescent="0.15">
      <c r="W1072"/>
      <c r="Z1072"/>
      <c r="AA1072"/>
      <c r="AE1072"/>
      <c r="AF1072"/>
      <c r="AG1072"/>
      <c r="AH1072"/>
    </row>
    <row r="1073" spans="1:34" ht="10.5" x14ac:dyDescent="0.15">
      <c r="W1073"/>
      <c r="Z1073"/>
      <c r="AA1073"/>
      <c r="AE1073"/>
      <c r="AF1073"/>
      <c r="AG1073"/>
      <c r="AH1073"/>
    </row>
    <row r="1074" spans="1:34" ht="10.5" x14ac:dyDescent="0.15">
      <c r="W1074"/>
      <c r="Z1074"/>
      <c r="AA1074"/>
      <c r="AE1074"/>
      <c r="AF1074"/>
      <c r="AG1074"/>
      <c r="AH1074"/>
    </row>
    <row r="1075" spans="1:34" ht="10.5" x14ac:dyDescent="0.15">
      <c r="W1075"/>
      <c r="Z1075"/>
      <c r="AA1075"/>
      <c r="AE1075"/>
      <c r="AF1075"/>
      <c r="AG1075"/>
      <c r="AH1075"/>
    </row>
    <row r="1076" spans="1:34" ht="10.5" x14ac:dyDescent="0.15">
      <c r="W1076"/>
      <c r="Z1076"/>
      <c r="AA1076"/>
      <c r="AE1076"/>
      <c r="AF1076"/>
      <c r="AG1076"/>
      <c r="AH1076"/>
    </row>
    <row r="1077" spans="1:34" ht="10.5" x14ac:dyDescent="0.15">
      <c r="W1077"/>
      <c r="Z1077"/>
      <c r="AA1077"/>
      <c r="AE1077"/>
      <c r="AF1077"/>
      <c r="AG1077"/>
      <c r="AH1077"/>
    </row>
    <row r="1078" spans="1:34" s="59" customFormat="1" ht="10.5" x14ac:dyDescent="0.15">
      <c r="A1078"/>
      <c r="B1078"/>
      <c r="C1078"/>
      <c r="D1078"/>
      <c r="E1078"/>
      <c r="F1078"/>
      <c r="G1078"/>
      <c r="H1078"/>
      <c r="I1078"/>
      <c r="J1078"/>
      <c r="K1078"/>
      <c r="L1078"/>
      <c r="M1078"/>
      <c r="N1078"/>
      <c r="O1078"/>
      <c r="P1078"/>
      <c r="Q1078"/>
      <c r="R1078"/>
      <c r="S1078"/>
      <c r="T1078"/>
      <c r="U1078"/>
      <c r="V1078"/>
      <c r="W1078"/>
      <c r="X1078"/>
      <c r="Y1078"/>
    </row>
    <row r="1079" spans="1:34" s="59" customFormat="1" ht="10.5" x14ac:dyDescent="0.15">
      <c r="A1079"/>
      <c r="B1079"/>
      <c r="C1079"/>
      <c r="D1079"/>
      <c r="E1079"/>
      <c r="F1079"/>
      <c r="G1079"/>
      <c r="H1079"/>
      <c r="I1079"/>
      <c r="J1079"/>
      <c r="K1079"/>
      <c r="L1079"/>
      <c r="M1079"/>
      <c r="N1079"/>
      <c r="O1079"/>
      <c r="P1079"/>
      <c r="Q1079"/>
      <c r="R1079"/>
      <c r="S1079"/>
      <c r="T1079"/>
      <c r="U1079"/>
      <c r="V1079"/>
      <c r="W1079"/>
      <c r="X1079"/>
      <c r="Y1079"/>
    </row>
    <row r="1080" spans="1:34" ht="10.5" x14ac:dyDescent="0.15">
      <c r="W1080"/>
      <c r="Z1080"/>
      <c r="AA1080"/>
      <c r="AE1080"/>
      <c r="AF1080"/>
      <c r="AG1080"/>
      <c r="AH1080"/>
    </row>
    <row r="1081" spans="1:34" s="59" customFormat="1" ht="10.5" x14ac:dyDescent="0.15">
      <c r="A1081"/>
      <c r="B1081"/>
      <c r="C1081"/>
      <c r="D1081"/>
      <c r="E1081"/>
      <c r="F1081"/>
      <c r="G1081"/>
      <c r="H1081"/>
      <c r="I1081"/>
      <c r="J1081"/>
      <c r="K1081"/>
      <c r="L1081"/>
      <c r="M1081"/>
      <c r="N1081"/>
      <c r="O1081"/>
      <c r="P1081"/>
      <c r="Q1081"/>
      <c r="R1081"/>
      <c r="S1081"/>
      <c r="T1081"/>
      <c r="U1081"/>
      <c r="V1081"/>
      <c r="W1081"/>
      <c r="X1081"/>
      <c r="Y1081"/>
    </row>
    <row r="1082" spans="1:34" ht="10.5" x14ac:dyDescent="0.15">
      <c r="W1082"/>
      <c r="Z1082"/>
      <c r="AA1082"/>
      <c r="AE1082"/>
      <c r="AF1082"/>
      <c r="AG1082"/>
      <c r="AH1082"/>
    </row>
    <row r="1083" spans="1:34" ht="10.5" x14ac:dyDescent="0.15">
      <c r="W1083"/>
      <c r="Z1083"/>
      <c r="AA1083"/>
      <c r="AE1083"/>
      <c r="AF1083"/>
      <c r="AG1083"/>
      <c r="AH1083"/>
    </row>
    <row r="1084" spans="1:34" ht="10.5" x14ac:dyDescent="0.15">
      <c r="W1084"/>
      <c r="Z1084"/>
      <c r="AA1084"/>
      <c r="AE1084"/>
      <c r="AF1084"/>
      <c r="AG1084"/>
      <c r="AH1084"/>
    </row>
    <row r="1085" spans="1:34" ht="10.5" x14ac:dyDescent="0.15">
      <c r="W1085"/>
      <c r="Z1085"/>
      <c r="AA1085"/>
      <c r="AE1085"/>
      <c r="AF1085"/>
      <c r="AG1085"/>
      <c r="AH1085"/>
    </row>
    <row r="1086" spans="1:34" ht="10.5" x14ac:dyDescent="0.15">
      <c r="W1086"/>
      <c r="Z1086"/>
      <c r="AA1086"/>
      <c r="AE1086"/>
      <c r="AF1086"/>
      <c r="AG1086"/>
      <c r="AH1086"/>
    </row>
    <row r="1087" spans="1:34" ht="10.5" x14ac:dyDescent="0.15">
      <c r="W1087"/>
      <c r="Z1087"/>
      <c r="AA1087"/>
      <c r="AE1087"/>
      <c r="AF1087"/>
      <c r="AG1087"/>
      <c r="AH1087"/>
    </row>
    <row r="1088" spans="1:34" ht="10.5" x14ac:dyDescent="0.15">
      <c r="W1088"/>
      <c r="Z1088"/>
      <c r="AA1088"/>
      <c r="AE1088"/>
      <c r="AF1088"/>
      <c r="AG1088"/>
      <c r="AH1088"/>
    </row>
    <row r="1089" spans="1:34" ht="10.5" x14ac:dyDescent="0.15">
      <c r="W1089"/>
      <c r="Z1089"/>
      <c r="AA1089"/>
      <c r="AE1089"/>
      <c r="AF1089"/>
      <c r="AG1089"/>
      <c r="AH1089"/>
    </row>
    <row r="1090" spans="1:34" ht="10.5" x14ac:dyDescent="0.15">
      <c r="W1090"/>
      <c r="Z1090"/>
      <c r="AA1090"/>
      <c r="AE1090"/>
      <c r="AF1090"/>
      <c r="AG1090"/>
      <c r="AH1090"/>
    </row>
    <row r="1091" spans="1:34" ht="10.5" x14ac:dyDescent="0.15">
      <c r="W1091"/>
      <c r="Z1091"/>
      <c r="AA1091"/>
      <c r="AE1091"/>
      <c r="AF1091"/>
      <c r="AG1091"/>
      <c r="AH1091"/>
    </row>
    <row r="1092" spans="1:34" ht="10.5" x14ac:dyDescent="0.15">
      <c r="W1092"/>
      <c r="Z1092"/>
      <c r="AA1092"/>
      <c r="AE1092"/>
      <c r="AF1092"/>
      <c r="AG1092"/>
      <c r="AH1092"/>
    </row>
    <row r="1093" spans="1:34" s="55" customFormat="1" ht="10.5" x14ac:dyDescent="0.15">
      <c r="A1093"/>
      <c r="B1093"/>
      <c r="C1093"/>
      <c r="D1093"/>
      <c r="E1093"/>
      <c r="F1093"/>
      <c r="G1093"/>
      <c r="H1093"/>
      <c r="I1093"/>
      <c r="J1093"/>
      <c r="K1093"/>
      <c r="L1093"/>
      <c r="M1093"/>
      <c r="N1093"/>
      <c r="O1093"/>
      <c r="P1093"/>
      <c r="Q1093"/>
      <c r="R1093"/>
      <c r="S1093"/>
      <c r="T1093"/>
      <c r="U1093"/>
      <c r="V1093"/>
      <c r="W1093"/>
      <c r="X1093"/>
      <c r="Y1093"/>
    </row>
    <row r="1094" spans="1:34" ht="10.5" x14ac:dyDescent="0.15">
      <c r="A1094" s="55"/>
      <c r="B1094" s="55"/>
      <c r="C1094" s="55"/>
      <c r="D1094" s="55"/>
      <c r="E1094" s="55"/>
      <c r="F1094" s="55"/>
      <c r="G1094" s="55"/>
      <c r="H1094" s="55"/>
      <c r="I1094" s="55"/>
      <c r="J1094" s="55"/>
      <c r="K1094" s="55"/>
      <c r="L1094" s="55"/>
      <c r="M1094" s="55"/>
      <c r="N1094" s="55"/>
      <c r="O1094" s="55"/>
      <c r="P1094" s="55"/>
      <c r="Q1094" s="55"/>
      <c r="R1094" s="55"/>
      <c r="S1094" s="55"/>
      <c r="T1094" s="55"/>
      <c r="U1094" s="55"/>
      <c r="V1094" s="55"/>
      <c r="W1094" s="55"/>
      <c r="X1094" s="55"/>
      <c r="Y1094" s="55"/>
      <c r="Z1094"/>
      <c r="AA1094"/>
      <c r="AE1094"/>
      <c r="AF1094"/>
      <c r="AG1094"/>
      <c r="AH1094"/>
    </row>
    <row r="1095" spans="1:34" ht="10.5" x14ac:dyDescent="0.15">
      <c r="A1095" s="55"/>
      <c r="B1095" s="55"/>
      <c r="C1095" s="55"/>
      <c r="D1095" s="55"/>
      <c r="E1095" s="55"/>
      <c r="F1095" s="55"/>
      <c r="G1095" s="55"/>
      <c r="H1095" s="55"/>
      <c r="I1095" s="55"/>
      <c r="J1095" s="55"/>
      <c r="K1095" s="55"/>
      <c r="L1095" s="55"/>
      <c r="M1095" s="55"/>
      <c r="N1095" s="55"/>
      <c r="O1095" s="55"/>
      <c r="P1095" s="55"/>
      <c r="Q1095" s="55"/>
      <c r="R1095" s="55"/>
      <c r="S1095" s="55"/>
      <c r="T1095" s="55"/>
      <c r="U1095" s="55"/>
      <c r="V1095" s="55"/>
      <c r="W1095" s="55"/>
      <c r="X1095" s="55"/>
      <c r="Y1095" s="55"/>
      <c r="Z1095"/>
      <c r="AA1095"/>
      <c r="AE1095"/>
      <c r="AF1095"/>
      <c r="AG1095"/>
      <c r="AH1095"/>
    </row>
    <row r="1096" spans="1:34" ht="10.5" x14ac:dyDescent="0.15">
      <c r="A1096" s="55"/>
      <c r="B1096" s="55"/>
      <c r="C1096" s="55"/>
      <c r="D1096" s="55"/>
      <c r="E1096" s="55"/>
      <c r="F1096" s="55"/>
      <c r="G1096" s="55"/>
      <c r="H1096" s="55"/>
      <c r="I1096" s="55"/>
      <c r="J1096" s="55"/>
      <c r="K1096" s="55"/>
      <c r="L1096" s="55"/>
      <c r="M1096" s="55"/>
      <c r="N1096" s="55"/>
      <c r="O1096" s="55"/>
      <c r="P1096" s="55"/>
      <c r="Q1096" s="55"/>
      <c r="R1096" s="55"/>
      <c r="S1096" s="55"/>
      <c r="T1096" s="55"/>
      <c r="U1096" s="55"/>
      <c r="V1096" s="55"/>
      <c r="W1096" s="55"/>
      <c r="X1096" s="55"/>
      <c r="Y1096" s="55"/>
      <c r="Z1096"/>
      <c r="AA1096"/>
      <c r="AE1096"/>
      <c r="AF1096"/>
      <c r="AG1096"/>
      <c r="AH1096"/>
    </row>
    <row r="1097" spans="1:34" ht="10.5" x14ac:dyDescent="0.15">
      <c r="W1097"/>
      <c r="Z1097"/>
      <c r="AA1097"/>
      <c r="AE1097"/>
      <c r="AF1097"/>
      <c r="AG1097"/>
      <c r="AH1097"/>
    </row>
    <row r="1098" spans="1:34" ht="10.5" x14ac:dyDescent="0.15">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c r="AA1098"/>
      <c r="AE1098"/>
      <c r="AF1098"/>
      <c r="AG1098"/>
      <c r="AH1098"/>
    </row>
    <row r="1099" spans="1:34" ht="10.5" x14ac:dyDescent="0.15">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c r="AA1099"/>
      <c r="AE1099"/>
      <c r="AF1099"/>
      <c r="AG1099"/>
      <c r="AH1099"/>
    </row>
    <row r="1100" spans="1:34" ht="10.5" x14ac:dyDescent="0.15">
      <c r="A1100" s="55"/>
      <c r="B1100" s="55"/>
      <c r="C1100" s="55"/>
      <c r="D1100" s="55"/>
      <c r="E1100" s="55"/>
      <c r="F1100" s="55"/>
      <c r="G1100" s="55"/>
      <c r="H1100" s="55"/>
      <c r="I1100" s="55"/>
      <c r="J1100" s="55"/>
      <c r="K1100" s="55"/>
      <c r="L1100" s="55"/>
      <c r="M1100" s="55"/>
      <c r="N1100" s="55"/>
      <c r="O1100" s="55"/>
      <c r="P1100" s="55"/>
      <c r="Q1100" s="55"/>
      <c r="R1100" s="55"/>
      <c r="S1100" s="55"/>
      <c r="T1100" s="55"/>
      <c r="U1100" s="55"/>
      <c r="V1100" s="55"/>
      <c r="W1100" s="55"/>
      <c r="X1100" s="55"/>
      <c r="Y1100" s="55"/>
      <c r="Z1100"/>
      <c r="AA1100"/>
      <c r="AE1100"/>
      <c r="AF1100"/>
      <c r="AG1100"/>
      <c r="AH1100"/>
    </row>
    <row r="1101" spans="1:34" ht="10.5" x14ac:dyDescent="0.15">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c r="AA1101"/>
      <c r="AE1101"/>
      <c r="AF1101"/>
      <c r="AG1101"/>
      <c r="AH1101"/>
    </row>
    <row r="1102" spans="1:34" ht="10.5" x14ac:dyDescent="0.15">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c r="AA1102"/>
      <c r="AE1102"/>
      <c r="AF1102"/>
      <c r="AG1102"/>
      <c r="AH1102"/>
    </row>
    <row r="1103" spans="1:34" ht="10.5" x14ac:dyDescent="0.15">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c r="AA1103"/>
      <c r="AE1103"/>
      <c r="AF1103"/>
      <c r="AG1103"/>
      <c r="AH1103"/>
    </row>
    <row r="1104" spans="1:34" ht="10.5" x14ac:dyDescent="0.15">
      <c r="A1104" s="55"/>
      <c r="B1104" s="55"/>
      <c r="C1104" s="55"/>
      <c r="D1104" s="55"/>
      <c r="E1104" s="55"/>
      <c r="F1104" s="55"/>
      <c r="G1104" s="55"/>
      <c r="H1104" s="55"/>
      <c r="I1104" s="55"/>
      <c r="J1104" s="55"/>
      <c r="K1104" s="55"/>
      <c r="L1104" s="55"/>
      <c r="M1104" s="55"/>
      <c r="N1104" s="55"/>
      <c r="O1104" s="55"/>
      <c r="P1104" s="55"/>
      <c r="Q1104" s="55"/>
      <c r="R1104" s="55"/>
      <c r="S1104" s="55"/>
      <c r="T1104" s="55"/>
      <c r="U1104" s="55"/>
      <c r="V1104" s="55"/>
      <c r="W1104" s="55"/>
      <c r="X1104" s="55"/>
      <c r="Y1104" s="55"/>
      <c r="Z1104"/>
      <c r="AA1104"/>
      <c r="AE1104"/>
      <c r="AF1104"/>
      <c r="AG1104"/>
      <c r="AH1104"/>
    </row>
    <row r="1105" spans="1:34" ht="10.5" x14ac:dyDescent="0.15">
      <c r="A1105" s="55"/>
      <c r="B1105" s="55"/>
      <c r="C1105" s="55"/>
      <c r="D1105" s="55"/>
      <c r="E1105" s="55"/>
      <c r="F1105" s="55"/>
      <c r="G1105" s="55"/>
      <c r="H1105" s="55"/>
      <c r="I1105" s="55"/>
      <c r="J1105" s="55"/>
      <c r="K1105" s="55"/>
      <c r="L1105" s="55"/>
      <c r="M1105" s="55"/>
      <c r="N1105" s="55"/>
      <c r="O1105" s="55"/>
      <c r="P1105" s="55"/>
      <c r="Q1105" s="55"/>
      <c r="R1105" s="55"/>
      <c r="S1105" s="55"/>
      <c r="T1105" s="55"/>
      <c r="U1105" s="55"/>
      <c r="V1105" s="55"/>
      <c r="W1105" s="55"/>
      <c r="X1105" s="55"/>
      <c r="Y1105" s="55"/>
      <c r="Z1105"/>
      <c r="AA1105"/>
      <c r="AE1105"/>
      <c r="AF1105"/>
      <c r="AG1105"/>
      <c r="AH1105"/>
    </row>
    <row r="1106" spans="1:34" ht="10.5" x14ac:dyDescent="0.15">
      <c r="A1106" s="55"/>
      <c r="B1106" s="55"/>
      <c r="C1106" s="55"/>
      <c r="D1106" s="55"/>
      <c r="E1106" s="55"/>
      <c r="F1106" s="55"/>
      <c r="G1106" s="55"/>
      <c r="H1106" s="55"/>
      <c r="I1106" s="55"/>
      <c r="J1106" s="55"/>
      <c r="K1106" s="55"/>
      <c r="L1106" s="55"/>
      <c r="M1106" s="55"/>
      <c r="N1106" s="55"/>
      <c r="O1106" s="55"/>
      <c r="P1106" s="55"/>
      <c r="Q1106" s="55"/>
      <c r="R1106" s="55"/>
      <c r="S1106" s="55"/>
      <c r="T1106" s="55"/>
      <c r="U1106" s="55"/>
      <c r="V1106" s="55"/>
      <c r="W1106" s="55"/>
      <c r="X1106" s="55"/>
      <c r="Y1106" s="55"/>
      <c r="Z1106"/>
      <c r="AA1106"/>
      <c r="AE1106"/>
      <c r="AF1106"/>
      <c r="AG1106"/>
      <c r="AH1106"/>
    </row>
    <row r="1107" spans="1:34" ht="10.5" x14ac:dyDescent="0.15">
      <c r="A1107" s="55"/>
      <c r="B1107" s="55"/>
      <c r="C1107" s="55"/>
      <c r="D1107" s="55"/>
      <c r="E1107" s="55"/>
      <c r="F1107" s="55"/>
      <c r="G1107" s="55"/>
      <c r="H1107" s="55"/>
      <c r="I1107" s="55"/>
      <c r="J1107" s="55"/>
      <c r="K1107" s="55"/>
      <c r="L1107" s="55"/>
      <c r="M1107" s="55"/>
      <c r="N1107" s="55"/>
      <c r="O1107" s="55"/>
      <c r="P1107" s="55"/>
      <c r="Q1107" s="55"/>
      <c r="R1107" s="55"/>
      <c r="S1107" s="55"/>
      <c r="T1107" s="55"/>
      <c r="U1107" s="55"/>
      <c r="V1107" s="55"/>
      <c r="W1107" s="55"/>
      <c r="X1107" s="55"/>
      <c r="Y1107" s="55"/>
      <c r="Z1107"/>
      <c r="AA1107"/>
      <c r="AE1107"/>
      <c r="AF1107"/>
      <c r="AG1107"/>
      <c r="AH1107"/>
    </row>
    <row r="1108" spans="1:34" ht="10.5" x14ac:dyDescent="0.15">
      <c r="A1108" s="55"/>
      <c r="B1108" s="55"/>
      <c r="C1108" s="55"/>
      <c r="D1108" s="55"/>
      <c r="E1108" s="55"/>
      <c r="F1108" s="55"/>
      <c r="G1108" s="55"/>
      <c r="H1108" s="55"/>
      <c r="I1108" s="55"/>
      <c r="J1108" s="55"/>
      <c r="K1108" s="55"/>
      <c r="L1108" s="55"/>
      <c r="M1108" s="55"/>
      <c r="N1108" s="55"/>
      <c r="O1108" s="55"/>
      <c r="P1108" s="55"/>
      <c r="Q1108" s="55"/>
      <c r="R1108" s="55"/>
      <c r="S1108" s="55"/>
      <c r="T1108" s="55"/>
      <c r="U1108" s="55"/>
      <c r="V1108" s="55"/>
      <c r="W1108" s="55"/>
      <c r="X1108" s="55"/>
      <c r="Y1108" s="55"/>
      <c r="Z1108"/>
      <c r="AA1108"/>
      <c r="AE1108"/>
      <c r="AF1108"/>
      <c r="AG1108"/>
      <c r="AH1108"/>
    </row>
    <row r="1109" spans="1:34" ht="10.5" x14ac:dyDescent="0.15">
      <c r="A1109" s="55"/>
      <c r="B1109" s="55"/>
      <c r="C1109" s="55"/>
      <c r="D1109" s="55"/>
      <c r="E1109" s="55"/>
      <c r="F1109" s="55"/>
      <c r="G1109" s="55"/>
      <c r="H1109" s="55"/>
      <c r="I1109" s="55"/>
      <c r="J1109" s="55"/>
      <c r="K1109" s="55"/>
      <c r="L1109" s="55"/>
      <c r="M1109" s="55"/>
      <c r="N1109" s="55"/>
      <c r="O1109" s="55"/>
      <c r="P1109" s="55"/>
      <c r="Q1109" s="55"/>
      <c r="R1109" s="55"/>
      <c r="S1109" s="55"/>
      <c r="T1109" s="55"/>
      <c r="U1109" s="55"/>
      <c r="V1109" s="55"/>
      <c r="W1109" s="55"/>
      <c r="X1109" s="55"/>
      <c r="Y1109" s="55"/>
      <c r="Z1109"/>
      <c r="AA1109"/>
      <c r="AE1109"/>
      <c r="AF1109"/>
      <c r="AG1109"/>
      <c r="AH1109"/>
    </row>
    <row r="1110" spans="1:34" ht="10.5" x14ac:dyDescent="0.15">
      <c r="A1110" s="55"/>
      <c r="B1110" s="55"/>
      <c r="C1110" s="55"/>
      <c r="D1110" s="55"/>
      <c r="E1110" s="55"/>
      <c r="F1110" s="55"/>
      <c r="G1110" s="55"/>
      <c r="H1110" s="55"/>
      <c r="I1110" s="55"/>
      <c r="J1110" s="55"/>
      <c r="K1110" s="55"/>
      <c r="L1110" s="55"/>
      <c r="M1110" s="55"/>
      <c r="N1110" s="55"/>
      <c r="O1110" s="55"/>
      <c r="P1110" s="55"/>
      <c r="Q1110" s="55"/>
      <c r="R1110" s="55"/>
      <c r="S1110" s="55"/>
      <c r="T1110" s="55"/>
      <c r="U1110" s="55"/>
      <c r="V1110" s="55"/>
      <c r="W1110" s="55"/>
      <c r="X1110" s="55"/>
      <c r="Y1110" s="55"/>
      <c r="Z1110"/>
      <c r="AA1110"/>
      <c r="AE1110"/>
      <c r="AF1110"/>
      <c r="AG1110"/>
      <c r="AH1110"/>
    </row>
    <row r="1111" spans="1:34" ht="10.5" x14ac:dyDescent="0.15">
      <c r="A1111" s="55"/>
      <c r="B1111" s="55"/>
      <c r="C1111" s="55"/>
      <c r="D1111" s="55"/>
      <c r="E1111" s="55"/>
      <c r="F1111" s="55"/>
      <c r="G1111" s="55"/>
      <c r="H1111" s="55"/>
      <c r="I1111" s="55"/>
      <c r="J1111" s="55"/>
      <c r="K1111" s="55"/>
      <c r="L1111" s="55"/>
      <c r="M1111" s="55"/>
      <c r="N1111" s="55"/>
      <c r="O1111" s="55"/>
      <c r="P1111" s="55"/>
      <c r="Q1111" s="55"/>
      <c r="R1111" s="55"/>
      <c r="S1111" s="55"/>
      <c r="T1111" s="55"/>
      <c r="U1111" s="55"/>
      <c r="V1111" s="55"/>
      <c r="W1111" s="55"/>
      <c r="X1111" s="55"/>
      <c r="Y1111" s="55"/>
      <c r="Z1111"/>
      <c r="AA1111"/>
      <c r="AE1111"/>
      <c r="AF1111"/>
      <c r="AG1111"/>
      <c r="AH1111"/>
    </row>
    <row r="1112" spans="1:34" ht="10.5" x14ac:dyDescent="0.15">
      <c r="A1112" s="55"/>
      <c r="B1112" s="55"/>
      <c r="C1112" s="55"/>
      <c r="D1112" s="55"/>
      <c r="E1112" s="55"/>
      <c r="F1112" s="55"/>
      <c r="G1112" s="55"/>
      <c r="H1112" s="55"/>
      <c r="I1112" s="55"/>
      <c r="J1112" s="55"/>
      <c r="K1112" s="55"/>
      <c r="L1112" s="55"/>
      <c r="M1112" s="55"/>
      <c r="N1112" s="55"/>
      <c r="O1112" s="55"/>
      <c r="P1112" s="55"/>
      <c r="Q1112" s="55"/>
      <c r="R1112" s="55"/>
      <c r="S1112" s="55"/>
      <c r="T1112" s="55"/>
      <c r="U1112" s="55"/>
      <c r="V1112" s="55"/>
      <c r="W1112" s="55"/>
      <c r="X1112" s="55"/>
      <c r="Y1112" s="55"/>
      <c r="Z1112"/>
      <c r="AA1112"/>
      <c r="AE1112"/>
      <c r="AF1112"/>
      <c r="AG1112"/>
      <c r="AH1112"/>
    </row>
    <row r="1113" spans="1:34" ht="10.5" x14ac:dyDescent="0.15">
      <c r="A1113" s="55"/>
      <c r="B1113" s="55"/>
      <c r="C1113" s="55"/>
      <c r="D1113" s="55"/>
      <c r="E1113" s="55"/>
      <c r="F1113" s="55"/>
      <c r="G1113" s="55"/>
      <c r="H1113" s="55"/>
      <c r="I1113" s="55"/>
      <c r="J1113" s="55"/>
      <c r="K1113" s="55"/>
      <c r="L1113" s="55"/>
      <c r="M1113" s="55"/>
      <c r="N1113" s="55"/>
      <c r="O1113" s="55"/>
      <c r="P1113" s="55"/>
      <c r="Q1113" s="55"/>
      <c r="R1113" s="55"/>
      <c r="S1113" s="55"/>
      <c r="T1113" s="55"/>
      <c r="U1113" s="55"/>
      <c r="V1113" s="55"/>
      <c r="W1113" s="55"/>
      <c r="X1113" s="55"/>
      <c r="Y1113" s="55"/>
      <c r="Z1113"/>
      <c r="AA1113"/>
      <c r="AE1113"/>
      <c r="AF1113"/>
      <c r="AG1113"/>
      <c r="AH1113"/>
    </row>
    <row r="1114" spans="1:34" ht="10.5" x14ac:dyDescent="0.15">
      <c r="A1114" s="55"/>
      <c r="B1114" s="55"/>
      <c r="C1114" s="55"/>
      <c r="D1114" s="55"/>
      <c r="E1114" s="55"/>
      <c r="F1114" s="55"/>
      <c r="G1114" s="55"/>
      <c r="H1114" s="55"/>
      <c r="I1114" s="55"/>
      <c r="J1114" s="55"/>
      <c r="K1114" s="55"/>
      <c r="L1114" s="55"/>
      <c r="M1114" s="55"/>
      <c r="N1114" s="55"/>
      <c r="O1114" s="55"/>
      <c r="P1114" s="55"/>
      <c r="Q1114" s="55"/>
      <c r="R1114" s="55"/>
      <c r="S1114" s="55"/>
      <c r="T1114" s="55"/>
      <c r="U1114" s="55"/>
      <c r="V1114" s="55"/>
      <c r="W1114" s="55"/>
      <c r="X1114" s="55"/>
      <c r="Y1114" s="55"/>
      <c r="Z1114"/>
      <c r="AA1114"/>
      <c r="AE1114"/>
      <c r="AF1114"/>
      <c r="AG1114"/>
      <c r="AH1114"/>
    </row>
    <row r="1115" spans="1:34" ht="10.5" x14ac:dyDescent="0.15">
      <c r="A1115" s="55"/>
      <c r="B1115" s="55"/>
      <c r="C1115" s="55"/>
      <c r="D1115" s="55"/>
      <c r="E1115" s="55"/>
      <c r="F1115" s="55"/>
      <c r="G1115" s="55"/>
      <c r="H1115" s="55"/>
      <c r="I1115" s="55"/>
      <c r="J1115" s="55"/>
      <c r="K1115" s="55"/>
      <c r="L1115" s="55"/>
      <c r="M1115" s="55"/>
      <c r="N1115" s="55"/>
      <c r="O1115" s="55"/>
      <c r="P1115" s="55"/>
      <c r="Q1115" s="55"/>
      <c r="R1115" s="55"/>
      <c r="S1115" s="55"/>
      <c r="T1115" s="55"/>
      <c r="U1115" s="55"/>
      <c r="V1115" s="55"/>
      <c r="W1115" s="55"/>
      <c r="X1115" s="55"/>
      <c r="Y1115" s="55"/>
      <c r="Z1115"/>
      <c r="AA1115"/>
      <c r="AE1115"/>
      <c r="AF1115"/>
      <c r="AG1115"/>
      <c r="AH1115"/>
    </row>
    <row r="1116" spans="1:34" ht="10.5" x14ac:dyDescent="0.15">
      <c r="A1116" s="55"/>
      <c r="B1116" s="55"/>
      <c r="C1116" s="55"/>
      <c r="D1116" s="55"/>
      <c r="E1116" s="55"/>
      <c r="F1116" s="55"/>
      <c r="G1116" s="55"/>
      <c r="H1116" s="55"/>
      <c r="I1116" s="55"/>
      <c r="J1116" s="55"/>
      <c r="K1116" s="55"/>
      <c r="L1116" s="55"/>
      <c r="M1116" s="55"/>
      <c r="N1116" s="55"/>
      <c r="O1116" s="55"/>
      <c r="P1116" s="55"/>
      <c r="Q1116" s="55"/>
      <c r="R1116" s="55"/>
      <c r="S1116" s="55"/>
      <c r="T1116" s="55"/>
      <c r="U1116" s="55"/>
      <c r="V1116" s="55"/>
      <c r="W1116" s="55"/>
      <c r="X1116" s="55"/>
      <c r="Y1116" s="55"/>
      <c r="Z1116"/>
      <c r="AA1116"/>
      <c r="AE1116"/>
      <c r="AF1116"/>
      <c r="AG1116"/>
      <c r="AH1116"/>
    </row>
    <row r="1117" spans="1:34" ht="10.5" x14ac:dyDescent="0.15">
      <c r="A1117" s="55"/>
      <c r="B1117" s="55"/>
      <c r="C1117" s="55"/>
      <c r="D1117" s="55"/>
      <c r="E1117" s="55"/>
      <c r="F1117" s="55"/>
      <c r="G1117" s="55"/>
      <c r="H1117" s="55"/>
      <c r="I1117" s="55"/>
      <c r="J1117" s="55"/>
      <c r="K1117" s="55"/>
      <c r="L1117" s="55"/>
      <c r="M1117" s="55"/>
      <c r="N1117" s="55"/>
      <c r="O1117" s="55"/>
      <c r="P1117" s="55"/>
      <c r="Q1117" s="55"/>
      <c r="R1117" s="55"/>
      <c r="S1117" s="55"/>
      <c r="T1117" s="55"/>
      <c r="U1117" s="55"/>
      <c r="V1117" s="55"/>
      <c r="W1117" s="55"/>
      <c r="X1117" s="55"/>
      <c r="Y1117" s="55"/>
      <c r="Z1117"/>
      <c r="AA1117"/>
      <c r="AE1117"/>
      <c r="AF1117"/>
      <c r="AG1117"/>
      <c r="AH1117"/>
    </row>
    <row r="1118" spans="1:34" ht="10.5" x14ac:dyDescent="0.15">
      <c r="A1118" s="55"/>
      <c r="B1118" s="55"/>
      <c r="C1118" s="55"/>
      <c r="D1118" s="55"/>
      <c r="E1118" s="55"/>
      <c r="F1118" s="55"/>
      <c r="G1118" s="55"/>
      <c r="H1118" s="55"/>
      <c r="I1118" s="55"/>
      <c r="J1118" s="55"/>
      <c r="K1118" s="55"/>
      <c r="L1118" s="55"/>
      <c r="M1118" s="55"/>
      <c r="N1118" s="55"/>
      <c r="O1118" s="55"/>
      <c r="P1118" s="55"/>
      <c r="Q1118" s="55"/>
      <c r="R1118" s="55"/>
      <c r="S1118" s="55"/>
      <c r="T1118" s="55"/>
      <c r="U1118" s="55"/>
      <c r="V1118" s="55"/>
      <c r="W1118" s="55"/>
      <c r="X1118" s="55"/>
      <c r="Y1118" s="55"/>
      <c r="Z1118"/>
      <c r="AA1118"/>
      <c r="AE1118"/>
      <c r="AF1118"/>
      <c r="AG1118"/>
      <c r="AH1118"/>
    </row>
    <row r="1119" spans="1:34" ht="10.5" x14ac:dyDescent="0.15">
      <c r="A1119" s="55"/>
      <c r="B1119" s="55"/>
      <c r="C1119" s="55"/>
      <c r="D1119" s="55"/>
      <c r="E1119" s="55"/>
      <c r="F1119" s="55"/>
      <c r="G1119" s="55"/>
      <c r="H1119" s="55"/>
      <c r="I1119" s="55"/>
      <c r="J1119" s="55"/>
      <c r="K1119" s="55"/>
      <c r="L1119" s="55"/>
      <c r="M1119" s="55"/>
      <c r="N1119" s="55"/>
      <c r="O1119" s="55"/>
      <c r="P1119" s="55"/>
      <c r="Q1119" s="55"/>
      <c r="R1119" s="55"/>
      <c r="S1119" s="55"/>
      <c r="T1119" s="55"/>
      <c r="U1119" s="55"/>
      <c r="V1119" s="55"/>
      <c r="W1119" s="55"/>
      <c r="X1119" s="55"/>
      <c r="Y1119" s="55"/>
      <c r="Z1119"/>
      <c r="AA1119"/>
      <c r="AE1119"/>
      <c r="AF1119"/>
      <c r="AG1119"/>
      <c r="AH1119"/>
    </row>
    <row r="1120" spans="1:34" ht="10.5" x14ac:dyDescent="0.15">
      <c r="A1120" s="55"/>
      <c r="B1120" s="55"/>
      <c r="C1120" s="55"/>
      <c r="D1120" s="55"/>
      <c r="E1120" s="55"/>
      <c r="F1120" s="55"/>
      <c r="G1120" s="55"/>
      <c r="H1120" s="55"/>
      <c r="I1120" s="55"/>
      <c r="J1120" s="55"/>
      <c r="K1120" s="55"/>
      <c r="L1120" s="55"/>
      <c r="M1120" s="55"/>
      <c r="N1120" s="55"/>
      <c r="O1120" s="55"/>
      <c r="P1120" s="55"/>
      <c r="Q1120" s="55"/>
      <c r="R1120" s="55"/>
      <c r="S1120" s="55"/>
      <c r="T1120" s="55"/>
      <c r="U1120" s="55"/>
      <c r="V1120" s="55"/>
      <c r="W1120" s="55"/>
      <c r="X1120" s="55"/>
      <c r="Y1120" s="55"/>
      <c r="Z1120"/>
      <c r="AA1120"/>
      <c r="AE1120"/>
      <c r="AF1120"/>
      <c r="AG1120"/>
      <c r="AH1120"/>
    </row>
    <row r="1121" spans="1:34" ht="10.5" x14ac:dyDescent="0.15">
      <c r="A1121" s="55"/>
      <c r="B1121" s="55"/>
      <c r="C1121" s="55"/>
      <c r="D1121" s="55"/>
      <c r="E1121" s="55"/>
      <c r="F1121" s="55"/>
      <c r="G1121" s="55"/>
      <c r="H1121" s="55"/>
      <c r="I1121" s="55"/>
      <c r="J1121" s="55"/>
      <c r="K1121" s="55"/>
      <c r="L1121" s="55"/>
      <c r="M1121" s="55"/>
      <c r="N1121" s="55"/>
      <c r="O1121" s="55"/>
      <c r="P1121" s="55"/>
      <c r="Q1121" s="55"/>
      <c r="R1121" s="55"/>
      <c r="S1121" s="55"/>
      <c r="T1121" s="55"/>
      <c r="U1121" s="55"/>
      <c r="V1121" s="55"/>
      <c r="W1121" s="55"/>
      <c r="X1121" s="55"/>
      <c r="Y1121" s="55"/>
      <c r="Z1121"/>
      <c r="AA1121"/>
      <c r="AE1121"/>
      <c r="AF1121"/>
      <c r="AG1121"/>
      <c r="AH1121"/>
    </row>
    <row r="1122" spans="1:34" ht="10.5" x14ac:dyDescent="0.15">
      <c r="A1122" s="55"/>
      <c r="B1122" s="55"/>
      <c r="C1122" s="55"/>
      <c r="D1122" s="55"/>
      <c r="E1122" s="55"/>
      <c r="F1122" s="55"/>
      <c r="G1122" s="55"/>
      <c r="H1122" s="55"/>
      <c r="I1122" s="55"/>
      <c r="J1122" s="55"/>
      <c r="K1122" s="55"/>
      <c r="L1122" s="55"/>
      <c r="M1122" s="55"/>
      <c r="N1122" s="55"/>
      <c r="O1122" s="55"/>
      <c r="P1122" s="55"/>
      <c r="Q1122" s="55"/>
      <c r="R1122" s="55"/>
      <c r="S1122" s="55"/>
      <c r="T1122" s="55"/>
      <c r="U1122" s="55"/>
      <c r="V1122" s="55"/>
      <c r="W1122" s="55"/>
      <c r="X1122" s="55"/>
      <c r="Y1122" s="55"/>
      <c r="Z1122"/>
      <c r="AA1122"/>
      <c r="AE1122"/>
      <c r="AF1122"/>
      <c r="AG1122"/>
      <c r="AH1122"/>
    </row>
    <row r="1123" spans="1:34" ht="10.5" x14ac:dyDescent="0.15">
      <c r="A1123" s="55"/>
      <c r="B1123" s="55"/>
      <c r="C1123" s="55"/>
      <c r="D1123" s="55"/>
      <c r="E1123" s="55"/>
      <c r="F1123" s="55"/>
      <c r="G1123" s="55"/>
      <c r="H1123" s="55"/>
      <c r="I1123" s="55"/>
      <c r="J1123" s="55"/>
      <c r="K1123" s="55"/>
      <c r="L1123" s="55"/>
      <c r="M1123" s="55"/>
      <c r="N1123" s="55"/>
      <c r="O1123" s="55"/>
      <c r="P1123" s="55"/>
      <c r="Q1123" s="55"/>
      <c r="R1123" s="55"/>
      <c r="S1123" s="55"/>
      <c r="T1123" s="55"/>
      <c r="U1123" s="55"/>
      <c r="V1123" s="55"/>
      <c r="W1123" s="55"/>
      <c r="X1123" s="55"/>
      <c r="Y1123" s="55"/>
      <c r="Z1123"/>
      <c r="AA1123"/>
      <c r="AE1123"/>
      <c r="AF1123"/>
      <c r="AG1123"/>
      <c r="AH1123"/>
    </row>
    <row r="1124" spans="1:34" ht="10.5" x14ac:dyDescent="0.15">
      <c r="A1124" s="55"/>
      <c r="B1124" s="55"/>
      <c r="C1124" s="55"/>
      <c r="D1124" s="55"/>
      <c r="E1124" s="55"/>
      <c r="F1124" s="55"/>
      <c r="G1124" s="55"/>
      <c r="H1124" s="55"/>
      <c r="I1124" s="55"/>
      <c r="J1124" s="55"/>
      <c r="K1124" s="55"/>
      <c r="L1124" s="55"/>
      <c r="M1124" s="55"/>
      <c r="N1124" s="55"/>
      <c r="O1124" s="55"/>
      <c r="P1124" s="55"/>
      <c r="Q1124" s="55"/>
      <c r="R1124" s="55"/>
      <c r="S1124" s="55"/>
      <c r="T1124" s="55"/>
      <c r="U1124" s="55"/>
      <c r="V1124" s="55"/>
      <c r="W1124" s="55"/>
      <c r="X1124" s="55"/>
      <c r="Y1124" s="55"/>
      <c r="Z1124"/>
      <c r="AA1124"/>
      <c r="AE1124"/>
      <c r="AF1124"/>
      <c r="AG1124"/>
      <c r="AH1124"/>
    </row>
    <row r="1125" spans="1:34" ht="10.5" x14ac:dyDescent="0.15">
      <c r="A1125" s="55"/>
      <c r="B1125" s="55"/>
      <c r="C1125" s="55"/>
      <c r="D1125" s="55"/>
      <c r="E1125" s="55"/>
      <c r="F1125" s="55"/>
      <c r="G1125" s="55"/>
      <c r="H1125" s="55"/>
      <c r="I1125" s="55"/>
      <c r="J1125" s="55"/>
      <c r="K1125" s="55"/>
      <c r="L1125" s="55"/>
      <c r="M1125" s="55"/>
      <c r="N1125" s="55"/>
      <c r="O1125" s="55"/>
      <c r="P1125" s="55"/>
      <c r="Q1125" s="55"/>
      <c r="R1125" s="55"/>
      <c r="S1125" s="55"/>
      <c r="T1125" s="55"/>
      <c r="U1125" s="55"/>
      <c r="V1125" s="55"/>
      <c r="W1125" s="55"/>
      <c r="X1125" s="55"/>
      <c r="Y1125" s="55"/>
      <c r="Z1125"/>
      <c r="AA1125"/>
      <c r="AE1125"/>
      <c r="AF1125"/>
      <c r="AG1125"/>
      <c r="AH1125"/>
    </row>
    <row r="1126" spans="1:34" ht="10.5" x14ac:dyDescent="0.15">
      <c r="A1126" s="55"/>
      <c r="B1126" s="55"/>
      <c r="C1126" s="55"/>
      <c r="D1126" s="55"/>
      <c r="E1126" s="55"/>
      <c r="F1126" s="55"/>
      <c r="G1126" s="55"/>
      <c r="H1126" s="55"/>
      <c r="I1126" s="55"/>
      <c r="J1126" s="55"/>
      <c r="K1126" s="55"/>
      <c r="L1126" s="55"/>
      <c r="M1126" s="55"/>
      <c r="N1126" s="55"/>
      <c r="O1126" s="55"/>
      <c r="P1126" s="55"/>
      <c r="Q1126" s="55"/>
      <c r="R1126" s="55"/>
      <c r="S1126" s="55"/>
      <c r="T1126" s="55"/>
      <c r="U1126" s="55"/>
      <c r="V1126" s="55"/>
      <c r="W1126" s="55"/>
      <c r="X1126" s="55"/>
      <c r="Y1126" s="55"/>
      <c r="Z1126"/>
      <c r="AA1126"/>
      <c r="AE1126"/>
      <c r="AF1126"/>
      <c r="AG1126"/>
      <c r="AH1126"/>
    </row>
    <row r="1127" spans="1:34" ht="10.5" x14ac:dyDescent="0.15">
      <c r="A1127" s="55"/>
      <c r="B1127" s="55"/>
      <c r="C1127" s="55"/>
      <c r="D1127" s="55"/>
      <c r="E1127" s="55"/>
      <c r="F1127" s="55"/>
      <c r="G1127" s="55"/>
      <c r="H1127" s="55"/>
      <c r="I1127" s="55"/>
      <c r="J1127" s="55"/>
      <c r="K1127" s="55"/>
      <c r="L1127" s="55"/>
      <c r="M1127" s="55"/>
      <c r="N1127" s="55"/>
      <c r="O1127" s="55"/>
      <c r="P1127" s="55"/>
      <c r="Q1127" s="55"/>
      <c r="R1127" s="55"/>
      <c r="S1127" s="55"/>
      <c r="T1127" s="55"/>
      <c r="U1127" s="55"/>
      <c r="V1127" s="55"/>
      <c r="W1127" s="55"/>
      <c r="X1127" s="55"/>
      <c r="Y1127" s="55"/>
      <c r="Z1127"/>
      <c r="AA1127"/>
      <c r="AE1127"/>
      <c r="AF1127"/>
      <c r="AG1127"/>
      <c r="AH1127"/>
    </row>
    <row r="1128" spans="1:34" ht="10.5" x14ac:dyDescent="0.15">
      <c r="A1128" s="55"/>
      <c r="B1128" s="55"/>
      <c r="C1128" s="55"/>
      <c r="D1128" s="55"/>
      <c r="E1128" s="55"/>
      <c r="F1128" s="55"/>
      <c r="G1128" s="55"/>
      <c r="H1128" s="55"/>
      <c r="I1128" s="55"/>
      <c r="J1128" s="55"/>
      <c r="K1128" s="55"/>
      <c r="L1128" s="55"/>
      <c r="M1128" s="55"/>
      <c r="N1128" s="55"/>
      <c r="O1128" s="55"/>
      <c r="P1128" s="55"/>
      <c r="Q1128" s="55"/>
      <c r="R1128" s="55"/>
      <c r="S1128" s="55"/>
      <c r="T1128" s="55"/>
      <c r="U1128" s="55"/>
      <c r="V1128" s="55"/>
      <c r="W1128" s="55"/>
      <c r="X1128" s="55"/>
      <c r="Y1128" s="55"/>
      <c r="Z1128"/>
      <c r="AA1128"/>
      <c r="AE1128"/>
      <c r="AF1128"/>
      <c r="AG1128"/>
      <c r="AH1128"/>
    </row>
    <row r="1129" spans="1:34" ht="10.5" x14ac:dyDescent="0.15">
      <c r="A1129" s="55"/>
      <c r="B1129" s="55"/>
      <c r="C1129" s="55"/>
      <c r="D1129" s="55"/>
      <c r="E1129" s="55"/>
      <c r="F1129" s="55"/>
      <c r="G1129" s="55"/>
      <c r="H1129" s="55"/>
      <c r="I1129" s="55"/>
      <c r="J1129" s="55"/>
      <c r="K1129" s="55"/>
      <c r="L1129" s="55"/>
      <c r="M1129" s="55"/>
      <c r="N1129" s="55"/>
      <c r="O1129" s="55"/>
      <c r="P1129" s="55"/>
      <c r="Q1129" s="55"/>
      <c r="R1129" s="55"/>
      <c r="S1129" s="55"/>
      <c r="T1129" s="55"/>
      <c r="U1129" s="55"/>
      <c r="V1129" s="55"/>
      <c r="W1129" s="55"/>
      <c r="X1129" s="55"/>
      <c r="Y1129" s="55"/>
      <c r="Z1129"/>
      <c r="AA1129"/>
      <c r="AE1129"/>
      <c r="AF1129"/>
      <c r="AG1129"/>
      <c r="AH1129"/>
    </row>
    <row r="1130" spans="1:34" ht="10.5" x14ac:dyDescent="0.15">
      <c r="A1130" s="55"/>
      <c r="B1130" s="55"/>
      <c r="C1130" s="55"/>
      <c r="D1130" s="55"/>
      <c r="E1130" s="55"/>
      <c r="F1130" s="55"/>
      <c r="G1130" s="55"/>
      <c r="H1130" s="55"/>
      <c r="I1130" s="55"/>
      <c r="J1130" s="55"/>
      <c r="K1130" s="55"/>
      <c r="L1130" s="55"/>
      <c r="M1130" s="55"/>
      <c r="N1130" s="55"/>
      <c r="O1130" s="55"/>
      <c r="P1130" s="55"/>
      <c r="Q1130" s="55"/>
      <c r="R1130" s="55"/>
      <c r="S1130" s="55"/>
      <c r="T1130" s="55"/>
      <c r="U1130" s="55"/>
      <c r="V1130" s="55"/>
      <c r="W1130" s="55"/>
      <c r="X1130" s="55"/>
      <c r="Y1130" s="55"/>
      <c r="Z1130"/>
      <c r="AA1130"/>
      <c r="AE1130"/>
      <c r="AF1130"/>
      <c r="AG1130"/>
      <c r="AH1130"/>
    </row>
    <row r="1131" spans="1:34" ht="10.5" x14ac:dyDescent="0.15">
      <c r="A1131" s="55"/>
      <c r="B1131" s="55"/>
      <c r="C1131" s="55"/>
      <c r="D1131" s="55"/>
      <c r="E1131" s="55"/>
      <c r="F1131" s="55"/>
      <c r="G1131" s="55"/>
      <c r="H1131" s="55"/>
      <c r="I1131" s="55"/>
      <c r="J1131" s="55"/>
      <c r="K1131" s="55"/>
      <c r="L1131" s="55"/>
      <c r="M1131" s="55"/>
      <c r="N1131" s="55"/>
      <c r="O1131" s="55"/>
      <c r="P1131" s="55"/>
      <c r="Q1131" s="55"/>
      <c r="R1131" s="55"/>
      <c r="S1131" s="55"/>
      <c r="T1131" s="55"/>
      <c r="U1131" s="55"/>
      <c r="V1131" s="55"/>
      <c r="W1131" s="55"/>
      <c r="X1131" s="55"/>
      <c r="Y1131" s="55"/>
      <c r="Z1131"/>
      <c r="AA1131"/>
      <c r="AE1131"/>
      <c r="AF1131"/>
      <c r="AG1131"/>
      <c r="AH1131"/>
    </row>
    <row r="1132" spans="1:34" ht="10.5" x14ac:dyDescent="0.15">
      <c r="A1132" s="55"/>
      <c r="B1132" s="55"/>
      <c r="C1132" s="55"/>
      <c r="D1132" s="55"/>
      <c r="E1132" s="55"/>
      <c r="F1132" s="55"/>
      <c r="G1132" s="55"/>
      <c r="H1132" s="55"/>
      <c r="I1132" s="55"/>
      <c r="J1132" s="55"/>
      <c r="K1132" s="55"/>
      <c r="L1132" s="55"/>
      <c r="M1132" s="55"/>
      <c r="N1132" s="55"/>
      <c r="O1132" s="55"/>
      <c r="P1132" s="55"/>
      <c r="Q1132" s="55"/>
      <c r="R1132" s="55"/>
      <c r="S1132" s="55"/>
      <c r="T1132" s="55"/>
      <c r="U1132" s="55"/>
      <c r="V1132" s="55"/>
      <c r="W1132" s="55"/>
      <c r="X1132" s="55"/>
      <c r="Y1132" s="55"/>
      <c r="Z1132"/>
      <c r="AA1132"/>
      <c r="AE1132"/>
      <c r="AF1132"/>
      <c r="AG1132"/>
      <c r="AH1132"/>
    </row>
    <row r="1133" spans="1:34" ht="10.5" x14ac:dyDescent="0.15">
      <c r="W1133"/>
      <c r="Z1133"/>
      <c r="AA1133"/>
      <c r="AE1133"/>
      <c r="AF1133"/>
      <c r="AG1133"/>
      <c r="AH1133"/>
    </row>
    <row r="1134" spans="1:34" ht="10.5" x14ac:dyDescent="0.15">
      <c r="W1134"/>
      <c r="Z1134"/>
      <c r="AA1134"/>
      <c r="AE1134"/>
      <c r="AF1134"/>
      <c r="AG1134"/>
      <c r="AH1134"/>
    </row>
    <row r="1135" spans="1:34" ht="10.5" x14ac:dyDescent="0.15">
      <c r="W1135"/>
      <c r="Z1135"/>
      <c r="AA1135"/>
      <c r="AE1135"/>
      <c r="AF1135"/>
      <c r="AG1135"/>
      <c r="AH1135"/>
    </row>
    <row r="1136" spans="1:34" ht="10.5" x14ac:dyDescent="0.15">
      <c r="W1136"/>
      <c r="Z1136"/>
      <c r="AA1136"/>
      <c r="AE1136"/>
      <c r="AF1136"/>
      <c r="AG1136"/>
      <c r="AH1136"/>
    </row>
    <row r="1137" spans="1:34" ht="10.5" x14ac:dyDescent="0.15">
      <c r="W1137"/>
      <c r="Z1137"/>
      <c r="AA1137"/>
      <c r="AE1137"/>
      <c r="AF1137"/>
      <c r="AG1137"/>
      <c r="AH1137"/>
    </row>
    <row r="1138" spans="1:34" ht="10.5" x14ac:dyDescent="0.15">
      <c r="W1138"/>
      <c r="Z1138"/>
      <c r="AA1138"/>
      <c r="AE1138"/>
      <c r="AF1138"/>
      <c r="AG1138"/>
      <c r="AH1138"/>
    </row>
    <row r="1139" spans="1:34" ht="10.5" x14ac:dyDescent="0.15">
      <c r="W1139"/>
      <c r="Z1139"/>
      <c r="AA1139"/>
      <c r="AE1139"/>
      <c r="AF1139"/>
      <c r="AG1139"/>
      <c r="AH1139"/>
    </row>
    <row r="1140" spans="1:34" ht="10.5" x14ac:dyDescent="0.15">
      <c r="W1140"/>
      <c r="Z1140"/>
      <c r="AA1140"/>
      <c r="AE1140"/>
      <c r="AF1140"/>
      <c r="AG1140"/>
      <c r="AH1140"/>
    </row>
    <row r="1141" spans="1:34" s="55" customFormat="1" ht="10.5" x14ac:dyDescent="0.15">
      <c r="A1141"/>
      <c r="B1141"/>
      <c r="C1141"/>
      <c r="D1141"/>
      <c r="E1141"/>
      <c r="F1141"/>
      <c r="G1141"/>
      <c r="H1141"/>
      <c r="I1141"/>
      <c r="J1141"/>
      <c r="K1141"/>
      <c r="L1141"/>
      <c r="M1141"/>
      <c r="N1141"/>
      <c r="O1141"/>
      <c r="P1141"/>
      <c r="Q1141"/>
      <c r="R1141"/>
      <c r="S1141"/>
      <c r="T1141"/>
      <c r="U1141"/>
      <c r="V1141"/>
      <c r="W1141"/>
      <c r="X1141"/>
      <c r="Y1141"/>
    </row>
    <row r="1142" spans="1:34" s="55" customFormat="1" ht="10.5" x14ac:dyDescent="0.15">
      <c r="A1142"/>
      <c r="B1142"/>
      <c r="C1142"/>
      <c r="D1142"/>
      <c r="E1142"/>
      <c r="F1142"/>
      <c r="G1142"/>
      <c r="H1142"/>
      <c r="I1142"/>
      <c r="J1142"/>
      <c r="K1142"/>
      <c r="L1142"/>
      <c r="M1142"/>
      <c r="N1142"/>
      <c r="O1142"/>
      <c r="P1142"/>
      <c r="Q1142"/>
      <c r="R1142"/>
      <c r="S1142"/>
      <c r="T1142"/>
      <c r="U1142"/>
      <c r="V1142"/>
      <c r="W1142"/>
      <c r="X1142"/>
      <c r="Y1142"/>
    </row>
    <row r="1143" spans="1:34" ht="10.5" x14ac:dyDescent="0.15">
      <c r="W1143"/>
      <c r="Z1143"/>
      <c r="AA1143"/>
      <c r="AE1143"/>
      <c r="AF1143"/>
      <c r="AG1143"/>
      <c r="AH1143"/>
    </row>
    <row r="1144" spans="1:34" ht="10.5" x14ac:dyDescent="0.15">
      <c r="W1144"/>
      <c r="Z1144"/>
      <c r="AA1144"/>
      <c r="AE1144"/>
      <c r="AF1144"/>
      <c r="AG1144"/>
      <c r="AH1144"/>
    </row>
    <row r="1145" spans="1:34" ht="10.5" x14ac:dyDescent="0.15">
      <c r="W1145"/>
      <c r="Z1145"/>
      <c r="AA1145"/>
      <c r="AE1145"/>
      <c r="AF1145"/>
      <c r="AG1145"/>
      <c r="AH1145"/>
    </row>
    <row r="1146" spans="1:34" ht="10.5" x14ac:dyDescent="0.15">
      <c r="W1146"/>
      <c r="Z1146"/>
      <c r="AA1146"/>
      <c r="AE1146"/>
      <c r="AF1146"/>
      <c r="AG1146"/>
      <c r="AH1146"/>
    </row>
    <row r="1147" spans="1:34" ht="10.5" x14ac:dyDescent="0.15">
      <c r="W1147"/>
      <c r="Z1147"/>
      <c r="AA1147"/>
      <c r="AE1147"/>
      <c r="AF1147"/>
      <c r="AG1147"/>
      <c r="AH1147"/>
    </row>
    <row r="1148" spans="1:34" ht="10.5" x14ac:dyDescent="0.15">
      <c r="W1148"/>
      <c r="Z1148"/>
      <c r="AA1148"/>
      <c r="AE1148"/>
      <c r="AF1148"/>
      <c r="AG1148"/>
      <c r="AH1148"/>
    </row>
    <row r="1149" spans="1:34" ht="10.5" x14ac:dyDescent="0.15">
      <c r="W1149"/>
      <c r="Z1149"/>
      <c r="AA1149"/>
      <c r="AE1149"/>
      <c r="AF1149"/>
      <c r="AG1149"/>
      <c r="AH1149"/>
    </row>
    <row r="1150" spans="1:34" ht="10.5" x14ac:dyDescent="0.15">
      <c r="W1150"/>
      <c r="Z1150"/>
      <c r="AA1150"/>
      <c r="AE1150"/>
      <c r="AF1150"/>
      <c r="AG1150"/>
      <c r="AH1150"/>
    </row>
    <row r="1151" spans="1:34" s="59" customFormat="1" ht="10.5" x14ac:dyDescent="0.15">
      <c r="A1151"/>
      <c r="B1151"/>
      <c r="C1151"/>
      <c r="D1151"/>
      <c r="E1151"/>
      <c r="F1151"/>
      <c r="G1151"/>
      <c r="H1151"/>
      <c r="I1151"/>
      <c r="J1151"/>
      <c r="K1151"/>
      <c r="L1151"/>
      <c r="M1151"/>
      <c r="N1151"/>
      <c r="O1151"/>
      <c r="P1151"/>
      <c r="Q1151"/>
      <c r="R1151"/>
      <c r="S1151"/>
      <c r="T1151"/>
      <c r="U1151"/>
      <c r="V1151"/>
      <c r="W1151"/>
      <c r="X1151"/>
      <c r="Y1151"/>
    </row>
    <row r="1152" spans="1:34" ht="10.5" x14ac:dyDescent="0.15">
      <c r="W1152"/>
      <c r="Z1152"/>
      <c r="AA1152"/>
      <c r="AE1152"/>
      <c r="AF1152"/>
      <c r="AG1152"/>
      <c r="AH1152"/>
    </row>
    <row r="1153" spans="1:34" ht="10.5" x14ac:dyDescent="0.15">
      <c r="W1153"/>
      <c r="Z1153"/>
      <c r="AA1153"/>
      <c r="AE1153"/>
      <c r="AF1153"/>
      <c r="AG1153"/>
      <c r="AH1153"/>
    </row>
    <row r="1154" spans="1:34" ht="10.5" x14ac:dyDescent="0.15">
      <c r="W1154"/>
      <c r="Z1154"/>
      <c r="AA1154"/>
      <c r="AE1154"/>
      <c r="AF1154"/>
      <c r="AG1154"/>
      <c r="AH1154"/>
    </row>
    <row r="1155" spans="1:34" ht="10.5" x14ac:dyDescent="0.15">
      <c r="W1155"/>
      <c r="Z1155"/>
      <c r="AA1155"/>
      <c r="AE1155"/>
      <c r="AF1155"/>
      <c r="AG1155"/>
      <c r="AH1155"/>
    </row>
    <row r="1156" spans="1:34" ht="10.5" x14ac:dyDescent="0.15">
      <c r="W1156"/>
      <c r="Z1156"/>
      <c r="AA1156"/>
      <c r="AE1156"/>
      <c r="AF1156"/>
      <c r="AG1156"/>
      <c r="AH1156"/>
    </row>
    <row r="1157" spans="1:34" ht="10.5" x14ac:dyDescent="0.15">
      <c r="W1157"/>
      <c r="Z1157"/>
      <c r="AA1157"/>
      <c r="AE1157"/>
      <c r="AF1157"/>
      <c r="AG1157"/>
      <c r="AH1157"/>
    </row>
    <row r="1158" spans="1:34" ht="10.5" x14ac:dyDescent="0.15">
      <c r="W1158"/>
      <c r="Z1158"/>
      <c r="AA1158"/>
      <c r="AE1158"/>
      <c r="AF1158"/>
      <c r="AG1158"/>
      <c r="AH1158"/>
    </row>
    <row r="1159" spans="1:34" s="55" customFormat="1" ht="10.5" x14ac:dyDescent="0.15">
      <c r="A1159"/>
      <c r="B1159"/>
      <c r="C1159"/>
      <c r="D1159"/>
      <c r="E1159"/>
      <c r="F1159"/>
      <c r="G1159"/>
      <c r="H1159"/>
      <c r="I1159"/>
      <c r="J1159"/>
      <c r="K1159"/>
      <c r="L1159"/>
      <c r="M1159"/>
      <c r="N1159"/>
      <c r="O1159"/>
      <c r="P1159"/>
      <c r="Q1159"/>
      <c r="R1159"/>
      <c r="S1159"/>
      <c r="T1159"/>
      <c r="U1159"/>
      <c r="V1159"/>
      <c r="W1159"/>
      <c r="X1159"/>
      <c r="Y1159"/>
    </row>
    <row r="1160" spans="1:34" s="55" customFormat="1" ht="10.5" x14ac:dyDescent="0.15">
      <c r="A1160"/>
      <c r="B1160"/>
      <c r="C1160"/>
      <c r="D1160"/>
      <c r="E1160"/>
      <c r="F1160"/>
      <c r="G1160"/>
      <c r="H1160"/>
      <c r="I1160"/>
      <c r="J1160"/>
      <c r="K1160"/>
      <c r="L1160"/>
      <c r="M1160"/>
      <c r="N1160"/>
      <c r="O1160"/>
      <c r="P1160"/>
      <c r="Q1160"/>
      <c r="R1160"/>
      <c r="S1160"/>
      <c r="T1160"/>
      <c r="U1160"/>
      <c r="V1160"/>
      <c r="W1160"/>
      <c r="X1160"/>
      <c r="Y1160"/>
    </row>
    <row r="1161" spans="1:34" ht="10.5" x14ac:dyDescent="0.15">
      <c r="W1161"/>
      <c r="Z1161"/>
      <c r="AA1161"/>
      <c r="AE1161"/>
      <c r="AF1161"/>
      <c r="AG1161"/>
      <c r="AH1161"/>
    </row>
    <row r="1162" spans="1:34" ht="10.5" x14ac:dyDescent="0.15">
      <c r="W1162"/>
      <c r="Z1162"/>
      <c r="AA1162"/>
      <c r="AE1162"/>
      <c r="AF1162"/>
      <c r="AG1162"/>
      <c r="AH1162"/>
    </row>
    <row r="1163" spans="1:34" ht="10.5" x14ac:dyDescent="0.15">
      <c r="W1163"/>
      <c r="Z1163"/>
      <c r="AA1163"/>
      <c r="AE1163"/>
      <c r="AF1163"/>
      <c r="AG1163"/>
      <c r="AH1163"/>
    </row>
    <row r="1164" spans="1:34" ht="10.5" x14ac:dyDescent="0.15">
      <c r="A1164" s="59"/>
      <c r="B1164" s="59"/>
      <c r="C1164" s="59"/>
      <c r="D1164" s="59"/>
      <c r="E1164" s="59"/>
      <c r="F1164" s="59"/>
      <c r="G1164" s="59"/>
      <c r="H1164" s="59"/>
      <c r="I1164" s="59"/>
      <c r="J1164" s="59"/>
      <c r="K1164" s="59"/>
      <c r="L1164" s="59"/>
      <c r="M1164" s="59"/>
      <c r="N1164" s="59"/>
      <c r="O1164" s="59"/>
      <c r="P1164" s="59"/>
      <c r="Q1164" s="59"/>
      <c r="R1164" s="59"/>
      <c r="S1164" s="59"/>
      <c r="T1164" s="59"/>
      <c r="U1164" s="59"/>
      <c r="V1164" s="59"/>
      <c r="W1164" s="59"/>
      <c r="X1164" s="59"/>
      <c r="Y1164" s="59"/>
      <c r="Z1164"/>
      <c r="AA1164"/>
      <c r="AE1164"/>
      <c r="AF1164"/>
      <c r="AG1164"/>
      <c r="AH1164"/>
    </row>
    <row r="1165" spans="1:34" ht="10.5" x14ac:dyDescent="0.15">
      <c r="A1165" s="59"/>
      <c r="B1165" s="59"/>
      <c r="C1165" s="59"/>
      <c r="D1165" s="59"/>
      <c r="E1165" s="59"/>
      <c r="F1165" s="59"/>
      <c r="G1165" s="59"/>
      <c r="H1165" s="59"/>
      <c r="I1165" s="59"/>
      <c r="J1165" s="59"/>
      <c r="K1165" s="59"/>
      <c r="L1165" s="59"/>
      <c r="M1165" s="59"/>
      <c r="N1165" s="59"/>
      <c r="O1165" s="59"/>
      <c r="P1165" s="59"/>
      <c r="Q1165" s="59"/>
      <c r="R1165" s="59"/>
      <c r="S1165" s="59"/>
      <c r="T1165" s="59"/>
      <c r="U1165" s="59"/>
      <c r="V1165" s="59"/>
      <c r="W1165" s="59"/>
      <c r="X1165" s="59"/>
      <c r="Y1165" s="59"/>
      <c r="Z1165"/>
      <c r="AA1165"/>
      <c r="AE1165"/>
      <c r="AF1165"/>
      <c r="AG1165"/>
      <c r="AH1165"/>
    </row>
    <row r="1166" spans="1:34" ht="10.5" x14ac:dyDescent="0.15">
      <c r="A1166" s="59"/>
      <c r="B1166" s="59"/>
      <c r="C1166" s="59"/>
      <c r="D1166" s="59"/>
      <c r="E1166" s="59"/>
      <c r="F1166" s="59"/>
      <c r="G1166" s="59"/>
      <c r="H1166" s="59"/>
      <c r="I1166" s="59"/>
      <c r="J1166" s="59"/>
      <c r="K1166" s="59"/>
      <c r="L1166" s="59"/>
      <c r="M1166" s="59"/>
      <c r="N1166" s="59"/>
      <c r="O1166" s="59"/>
      <c r="P1166" s="59"/>
      <c r="Q1166" s="59"/>
      <c r="R1166" s="59"/>
      <c r="S1166" s="59"/>
      <c r="T1166" s="59"/>
      <c r="U1166" s="59"/>
      <c r="V1166" s="59"/>
      <c r="W1166" s="59"/>
      <c r="X1166" s="59"/>
      <c r="Y1166" s="59"/>
      <c r="Z1166"/>
      <c r="AA1166"/>
      <c r="AE1166"/>
      <c r="AF1166"/>
      <c r="AG1166"/>
      <c r="AH1166"/>
    </row>
    <row r="1167" spans="1:34" ht="10.5" x14ac:dyDescent="0.15">
      <c r="W1167"/>
      <c r="Z1167"/>
      <c r="AA1167"/>
      <c r="AE1167"/>
      <c r="AF1167"/>
      <c r="AG1167"/>
      <c r="AH1167"/>
    </row>
    <row r="1168" spans="1:34" ht="10.5" x14ac:dyDescent="0.15">
      <c r="A1168" s="59"/>
      <c r="B1168" s="59"/>
      <c r="C1168" s="59"/>
      <c r="D1168" s="59"/>
      <c r="E1168" s="59"/>
      <c r="F1168" s="59"/>
      <c r="G1168" s="59"/>
      <c r="H1168" s="59"/>
      <c r="I1168" s="59"/>
      <c r="J1168" s="59"/>
      <c r="K1168" s="59"/>
      <c r="L1168" s="59"/>
      <c r="M1168" s="59"/>
      <c r="N1168" s="59"/>
      <c r="O1168" s="59"/>
      <c r="P1168" s="59"/>
      <c r="Q1168" s="59"/>
      <c r="R1168" s="59"/>
      <c r="S1168" s="59"/>
      <c r="T1168" s="59"/>
      <c r="U1168" s="59"/>
      <c r="V1168" s="59"/>
      <c r="W1168" s="59"/>
      <c r="X1168" s="59"/>
      <c r="Y1168" s="59"/>
      <c r="Z1168"/>
      <c r="AA1168"/>
      <c r="AE1168"/>
      <c r="AF1168"/>
      <c r="AG1168"/>
      <c r="AH1168"/>
    </row>
    <row r="1169" spans="1:34" ht="10.5" x14ac:dyDescent="0.15">
      <c r="W1169"/>
      <c r="Z1169"/>
      <c r="AA1169"/>
      <c r="AE1169"/>
      <c r="AF1169"/>
      <c r="AG1169"/>
      <c r="AH1169"/>
    </row>
    <row r="1170" spans="1:34" ht="10.5" x14ac:dyDescent="0.15">
      <c r="W1170"/>
      <c r="Z1170"/>
      <c r="AA1170"/>
      <c r="AE1170"/>
      <c r="AF1170"/>
      <c r="AG1170"/>
      <c r="AH1170"/>
    </row>
    <row r="1171" spans="1:34" ht="10.5" x14ac:dyDescent="0.15">
      <c r="W1171"/>
      <c r="Z1171"/>
      <c r="AA1171"/>
      <c r="AE1171"/>
      <c r="AF1171"/>
      <c r="AG1171"/>
      <c r="AH1171"/>
    </row>
    <row r="1172" spans="1:34" ht="10.5" x14ac:dyDescent="0.15">
      <c r="A1172" s="59"/>
      <c r="B1172" s="59"/>
      <c r="C1172" s="59"/>
      <c r="D1172" s="59"/>
      <c r="E1172" s="59"/>
      <c r="F1172" s="59"/>
      <c r="G1172" s="59"/>
      <c r="H1172" s="59"/>
      <c r="I1172" s="59"/>
      <c r="J1172" s="59"/>
      <c r="K1172" s="59"/>
      <c r="L1172" s="59"/>
      <c r="M1172" s="59"/>
      <c r="N1172" s="59"/>
      <c r="O1172" s="59"/>
      <c r="P1172" s="59"/>
      <c r="Q1172" s="59"/>
      <c r="R1172" s="59"/>
      <c r="S1172" s="59"/>
      <c r="T1172" s="59"/>
      <c r="U1172" s="59"/>
      <c r="V1172" s="59"/>
      <c r="W1172" s="59"/>
      <c r="X1172" s="59"/>
      <c r="Y1172" s="59"/>
      <c r="Z1172"/>
      <c r="AA1172"/>
      <c r="AE1172"/>
      <c r="AF1172"/>
      <c r="AG1172"/>
      <c r="AH1172"/>
    </row>
    <row r="1173" spans="1:34" ht="10.5" x14ac:dyDescent="0.15">
      <c r="A1173" s="59"/>
      <c r="B1173" s="59"/>
      <c r="C1173" s="59"/>
      <c r="D1173" s="59"/>
      <c r="E1173" s="59"/>
      <c r="F1173" s="59"/>
      <c r="G1173" s="59"/>
      <c r="H1173" s="59"/>
      <c r="I1173" s="59"/>
      <c r="J1173" s="59"/>
      <c r="K1173" s="59"/>
      <c r="L1173" s="59"/>
      <c r="M1173" s="59"/>
      <c r="N1173" s="59"/>
      <c r="O1173" s="59"/>
      <c r="P1173" s="59"/>
      <c r="Q1173" s="59"/>
      <c r="R1173" s="59"/>
      <c r="S1173" s="59"/>
      <c r="T1173" s="59"/>
      <c r="U1173" s="59"/>
      <c r="V1173" s="59"/>
      <c r="W1173" s="59"/>
      <c r="X1173" s="59"/>
      <c r="Y1173" s="59"/>
      <c r="Z1173"/>
      <c r="AA1173"/>
      <c r="AE1173"/>
      <c r="AF1173"/>
      <c r="AG1173"/>
      <c r="AH1173"/>
    </row>
    <row r="1174" spans="1:34" ht="10.5" x14ac:dyDescent="0.15">
      <c r="W1174"/>
      <c r="Z1174"/>
      <c r="AA1174"/>
      <c r="AE1174"/>
      <c r="AF1174"/>
      <c r="AG1174"/>
      <c r="AH1174"/>
    </row>
    <row r="1175" spans="1:34" s="55" customFormat="1" ht="10.5" x14ac:dyDescent="0.15">
      <c r="A1175" s="59"/>
      <c r="B1175" s="59"/>
      <c r="C1175" s="59"/>
      <c r="D1175" s="59"/>
      <c r="E1175" s="59"/>
      <c r="F1175" s="59"/>
      <c r="G1175" s="59"/>
      <c r="H1175" s="59"/>
      <c r="I1175" s="59"/>
      <c r="J1175" s="59"/>
      <c r="K1175" s="59"/>
      <c r="L1175" s="59"/>
      <c r="M1175" s="59"/>
      <c r="N1175" s="59"/>
      <c r="O1175" s="59"/>
      <c r="P1175" s="59"/>
      <c r="Q1175" s="59"/>
      <c r="R1175" s="59"/>
      <c r="S1175" s="59"/>
      <c r="T1175" s="59"/>
      <c r="U1175" s="59"/>
      <c r="V1175" s="59"/>
      <c r="W1175" s="59"/>
      <c r="X1175" s="59"/>
      <c r="Y1175" s="59"/>
    </row>
    <row r="1176" spans="1:34" s="55" customFormat="1" ht="10.5" x14ac:dyDescent="0.15">
      <c r="A1176"/>
      <c r="B1176"/>
      <c r="C1176"/>
      <c r="D1176"/>
      <c r="E1176"/>
      <c r="F1176"/>
      <c r="G1176"/>
      <c r="H1176"/>
      <c r="I1176"/>
      <c r="J1176"/>
      <c r="K1176"/>
      <c r="L1176"/>
      <c r="M1176"/>
      <c r="N1176"/>
      <c r="O1176"/>
      <c r="P1176"/>
      <c r="Q1176"/>
      <c r="R1176"/>
      <c r="S1176"/>
      <c r="T1176"/>
      <c r="U1176"/>
      <c r="V1176"/>
      <c r="W1176"/>
      <c r="X1176"/>
      <c r="Y1176"/>
    </row>
    <row r="1177" spans="1:34" s="55" customFormat="1" ht="10.5" x14ac:dyDescent="0.15">
      <c r="A1177"/>
      <c r="B1177"/>
      <c r="C1177"/>
      <c r="D1177"/>
      <c r="E1177"/>
      <c r="F1177"/>
      <c r="G1177"/>
      <c r="H1177"/>
      <c r="I1177"/>
      <c r="J1177"/>
      <c r="K1177"/>
      <c r="L1177"/>
      <c r="M1177"/>
      <c r="N1177"/>
      <c r="O1177"/>
      <c r="P1177"/>
      <c r="Q1177"/>
      <c r="R1177"/>
      <c r="S1177"/>
      <c r="T1177"/>
      <c r="U1177"/>
      <c r="V1177"/>
      <c r="W1177"/>
      <c r="X1177"/>
      <c r="Y1177"/>
    </row>
    <row r="1178" spans="1:34" s="55" customFormat="1" ht="10.5" x14ac:dyDescent="0.15">
      <c r="A1178" s="59"/>
      <c r="B1178" s="59"/>
      <c r="C1178" s="59"/>
      <c r="D1178" s="59"/>
      <c r="E1178" s="59"/>
      <c r="F1178" s="59"/>
      <c r="G1178" s="59"/>
      <c r="H1178" s="59"/>
      <c r="I1178" s="59"/>
      <c r="J1178" s="59"/>
      <c r="K1178" s="59"/>
      <c r="L1178" s="59"/>
      <c r="M1178" s="59"/>
      <c r="N1178" s="59"/>
      <c r="O1178" s="59"/>
      <c r="P1178" s="59"/>
      <c r="Q1178" s="59"/>
      <c r="R1178" s="59"/>
      <c r="S1178" s="59"/>
      <c r="T1178" s="59"/>
      <c r="U1178" s="59"/>
      <c r="V1178" s="59"/>
      <c r="W1178" s="59"/>
      <c r="X1178" s="59"/>
      <c r="Y1178" s="59"/>
    </row>
    <row r="1179" spans="1:34" ht="10.5" x14ac:dyDescent="0.15">
      <c r="A1179" s="59"/>
      <c r="B1179" s="59"/>
      <c r="C1179" s="59"/>
      <c r="D1179" s="59"/>
      <c r="E1179" s="59"/>
      <c r="F1179" s="59"/>
      <c r="G1179" s="59"/>
      <c r="H1179" s="59"/>
      <c r="I1179" s="59"/>
      <c r="J1179" s="59"/>
      <c r="K1179" s="59"/>
      <c r="L1179" s="59"/>
      <c r="M1179" s="59"/>
      <c r="N1179" s="59"/>
      <c r="O1179" s="59"/>
      <c r="P1179" s="59"/>
      <c r="Q1179" s="59"/>
      <c r="R1179" s="59"/>
      <c r="S1179" s="59"/>
      <c r="T1179" s="59"/>
      <c r="U1179" s="59"/>
      <c r="V1179" s="59"/>
      <c r="W1179" s="59"/>
      <c r="X1179" s="59"/>
      <c r="Y1179" s="59"/>
      <c r="Z1179"/>
      <c r="AA1179"/>
      <c r="AE1179"/>
      <c r="AF1179"/>
      <c r="AG1179"/>
      <c r="AH1179"/>
    </row>
    <row r="1180" spans="1:34" ht="10.5" x14ac:dyDescent="0.15">
      <c r="W1180"/>
      <c r="Z1180"/>
      <c r="AA1180"/>
      <c r="AE1180"/>
      <c r="AF1180"/>
      <c r="AG1180"/>
      <c r="AH1180"/>
    </row>
    <row r="1181" spans="1:34" ht="10.5" x14ac:dyDescent="0.15">
      <c r="W1181"/>
      <c r="Z1181"/>
      <c r="AA1181"/>
      <c r="AE1181"/>
      <c r="AF1181"/>
      <c r="AG1181"/>
      <c r="AH1181"/>
    </row>
    <row r="1182" spans="1:34" ht="10.5" x14ac:dyDescent="0.15">
      <c r="W1182"/>
      <c r="Z1182"/>
      <c r="AA1182"/>
      <c r="AE1182"/>
      <c r="AF1182"/>
      <c r="AG1182"/>
      <c r="AH1182"/>
    </row>
    <row r="1183" spans="1:34" ht="10.5" x14ac:dyDescent="0.15">
      <c r="W1183"/>
      <c r="Z1183"/>
      <c r="AA1183"/>
      <c r="AE1183"/>
      <c r="AF1183"/>
      <c r="AG1183"/>
      <c r="AH1183"/>
    </row>
    <row r="1184" spans="1:34" ht="10.5" x14ac:dyDescent="0.15">
      <c r="W1184"/>
      <c r="Z1184"/>
      <c r="AA1184"/>
      <c r="AE1184"/>
      <c r="AF1184"/>
      <c r="AG1184"/>
      <c r="AH1184"/>
    </row>
    <row r="1185" spans="1:25" s="9" customFormat="1" ht="10.5" x14ac:dyDescent="0.15">
      <c r="A1185"/>
      <c r="B1185"/>
      <c r="C1185"/>
      <c r="D1185"/>
      <c r="E1185"/>
      <c r="F1185"/>
      <c r="G1185"/>
      <c r="H1185"/>
      <c r="I1185"/>
      <c r="J1185"/>
      <c r="K1185"/>
      <c r="L1185"/>
      <c r="M1185"/>
      <c r="N1185"/>
      <c r="O1185"/>
      <c r="P1185"/>
      <c r="Q1185"/>
      <c r="R1185"/>
      <c r="S1185"/>
      <c r="T1185"/>
      <c r="U1185"/>
      <c r="V1185"/>
      <c r="W1185"/>
      <c r="X1185"/>
      <c r="Y1185"/>
    </row>
    <row r="1186" spans="1:25" s="9" customFormat="1" ht="10.5" x14ac:dyDescent="0.15">
      <c r="A1186"/>
      <c r="B1186"/>
      <c r="C1186"/>
      <c r="D1186"/>
      <c r="E1186"/>
      <c r="F1186"/>
      <c r="G1186"/>
      <c r="H1186"/>
      <c r="I1186"/>
      <c r="J1186"/>
      <c r="K1186"/>
      <c r="L1186"/>
      <c r="M1186"/>
      <c r="N1186"/>
      <c r="O1186"/>
      <c r="P1186"/>
      <c r="Q1186"/>
      <c r="R1186"/>
      <c r="S1186"/>
      <c r="T1186"/>
      <c r="U1186"/>
      <c r="V1186"/>
      <c r="W1186"/>
      <c r="X1186"/>
      <c r="Y1186"/>
    </row>
    <row r="1187" spans="1:25" s="9" customFormat="1" ht="10.5" x14ac:dyDescent="0.15">
      <c r="A1187"/>
      <c r="B1187"/>
      <c r="C1187"/>
      <c r="D1187"/>
      <c r="E1187"/>
      <c r="F1187"/>
      <c r="G1187"/>
      <c r="H1187"/>
      <c r="I1187"/>
      <c r="J1187"/>
      <c r="K1187"/>
      <c r="L1187"/>
      <c r="M1187"/>
      <c r="N1187"/>
      <c r="O1187"/>
      <c r="P1187"/>
      <c r="Q1187"/>
      <c r="R1187"/>
      <c r="S1187"/>
      <c r="T1187"/>
      <c r="U1187"/>
      <c r="V1187"/>
      <c r="W1187"/>
      <c r="X1187"/>
      <c r="Y1187"/>
    </row>
    <row r="1188" spans="1:25" s="9" customFormat="1" ht="10.5" x14ac:dyDescent="0.15">
      <c r="A1188"/>
      <c r="B1188"/>
      <c r="C1188"/>
      <c r="D1188"/>
      <c r="E1188"/>
      <c r="F1188"/>
      <c r="G1188"/>
      <c r="H1188"/>
      <c r="I1188"/>
      <c r="J1188"/>
      <c r="K1188"/>
      <c r="L1188"/>
      <c r="M1188"/>
      <c r="N1188"/>
      <c r="O1188"/>
      <c r="P1188"/>
      <c r="Q1188"/>
      <c r="R1188"/>
      <c r="S1188"/>
      <c r="T1188"/>
      <c r="U1188"/>
      <c r="V1188"/>
      <c r="W1188"/>
      <c r="X1188"/>
      <c r="Y1188"/>
    </row>
    <row r="1189" spans="1:25" s="9" customFormat="1" ht="10.5" x14ac:dyDescent="0.15">
      <c r="A1189"/>
      <c r="B1189"/>
      <c r="C1189"/>
      <c r="D1189"/>
      <c r="E1189"/>
      <c r="F1189"/>
      <c r="G1189"/>
      <c r="H1189"/>
      <c r="I1189"/>
      <c r="J1189"/>
      <c r="K1189"/>
      <c r="L1189"/>
      <c r="M1189"/>
      <c r="N1189"/>
      <c r="O1189"/>
      <c r="P1189"/>
      <c r="Q1189"/>
      <c r="R1189"/>
      <c r="S1189"/>
      <c r="T1189"/>
      <c r="U1189"/>
      <c r="V1189"/>
      <c r="W1189"/>
      <c r="X1189"/>
      <c r="Y1189"/>
    </row>
    <row r="1190" spans="1:25" s="9" customFormat="1" ht="10.5" x14ac:dyDescent="0.15">
      <c r="A1190"/>
      <c r="B1190"/>
      <c r="C1190"/>
      <c r="D1190"/>
      <c r="E1190"/>
      <c r="F1190"/>
      <c r="G1190"/>
      <c r="H1190"/>
      <c r="I1190"/>
      <c r="J1190"/>
      <c r="K1190"/>
      <c r="L1190"/>
      <c r="M1190"/>
      <c r="N1190"/>
      <c r="O1190"/>
      <c r="P1190"/>
      <c r="Q1190"/>
      <c r="R1190"/>
      <c r="S1190"/>
      <c r="T1190"/>
      <c r="U1190"/>
      <c r="V1190"/>
      <c r="W1190"/>
      <c r="X1190"/>
      <c r="Y1190"/>
    </row>
    <row r="1191" spans="1:25" s="9" customFormat="1" ht="10.5" x14ac:dyDescent="0.15">
      <c r="A1191"/>
      <c r="B1191"/>
      <c r="C1191"/>
      <c r="D1191"/>
      <c r="E1191"/>
      <c r="F1191"/>
      <c r="G1191"/>
      <c r="H1191"/>
      <c r="I1191"/>
      <c r="J1191"/>
      <c r="K1191"/>
      <c r="L1191"/>
      <c r="M1191"/>
      <c r="N1191"/>
      <c r="O1191"/>
      <c r="P1191"/>
      <c r="Q1191"/>
      <c r="R1191"/>
      <c r="S1191"/>
      <c r="T1191"/>
      <c r="U1191"/>
      <c r="V1191"/>
      <c r="W1191"/>
      <c r="X1191"/>
      <c r="Y1191"/>
    </row>
    <row r="1192" spans="1:25" s="9" customFormat="1" ht="10.5" x14ac:dyDescent="0.15">
      <c r="A1192"/>
      <c r="B1192"/>
      <c r="C1192"/>
      <c r="D1192"/>
      <c r="E1192"/>
      <c r="F1192"/>
      <c r="G1192"/>
      <c r="H1192"/>
      <c r="I1192"/>
      <c r="J1192"/>
      <c r="K1192"/>
      <c r="L1192"/>
      <c r="M1192"/>
      <c r="N1192"/>
      <c r="O1192"/>
      <c r="P1192"/>
      <c r="Q1192"/>
      <c r="R1192"/>
      <c r="S1192"/>
      <c r="T1192"/>
      <c r="U1192"/>
      <c r="V1192"/>
      <c r="W1192"/>
      <c r="X1192"/>
      <c r="Y1192"/>
    </row>
    <row r="1193" spans="1:25" s="9" customFormat="1" ht="10.5" x14ac:dyDescent="0.15">
      <c r="A1193"/>
      <c r="B1193"/>
      <c r="C1193"/>
      <c r="D1193"/>
      <c r="E1193"/>
      <c r="F1193"/>
      <c r="G1193"/>
      <c r="H1193"/>
      <c r="I1193"/>
      <c r="J1193"/>
      <c r="K1193"/>
      <c r="L1193"/>
      <c r="M1193"/>
      <c r="N1193"/>
      <c r="O1193"/>
      <c r="P1193"/>
      <c r="Q1193"/>
      <c r="R1193"/>
      <c r="S1193"/>
      <c r="T1193"/>
      <c r="U1193"/>
      <c r="V1193"/>
      <c r="W1193"/>
      <c r="X1193"/>
      <c r="Y1193"/>
    </row>
    <row r="1194" spans="1:25" s="9" customFormat="1" ht="10.5" x14ac:dyDescent="0.15">
      <c r="A1194"/>
      <c r="B1194"/>
      <c r="C1194"/>
      <c r="D1194"/>
      <c r="E1194"/>
      <c r="F1194"/>
      <c r="G1194"/>
      <c r="H1194"/>
      <c r="I1194"/>
      <c r="J1194"/>
      <c r="K1194"/>
      <c r="L1194"/>
      <c r="M1194"/>
      <c r="N1194"/>
      <c r="O1194"/>
      <c r="P1194"/>
      <c r="Q1194"/>
      <c r="R1194"/>
      <c r="S1194"/>
      <c r="T1194"/>
      <c r="U1194"/>
      <c r="V1194"/>
      <c r="W1194"/>
      <c r="X1194"/>
      <c r="Y1194"/>
    </row>
    <row r="1195" spans="1:25" s="9" customFormat="1" ht="10.5" x14ac:dyDescent="0.15">
      <c r="A1195"/>
      <c r="B1195"/>
      <c r="C1195"/>
      <c r="D1195"/>
      <c r="E1195"/>
      <c r="F1195"/>
      <c r="G1195"/>
      <c r="H1195"/>
      <c r="I1195"/>
      <c r="J1195"/>
      <c r="K1195"/>
      <c r="L1195"/>
      <c r="M1195"/>
      <c r="N1195"/>
      <c r="O1195"/>
      <c r="P1195"/>
      <c r="Q1195"/>
      <c r="R1195"/>
      <c r="S1195"/>
      <c r="T1195"/>
      <c r="U1195"/>
      <c r="V1195"/>
      <c r="W1195"/>
      <c r="X1195"/>
      <c r="Y1195"/>
    </row>
    <row r="1196" spans="1:25" s="9" customFormat="1" ht="10.5" x14ac:dyDescent="0.15">
      <c r="A1196"/>
      <c r="B1196"/>
      <c r="C1196"/>
      <c r="D1196"/>
      <c r="E1196"/>
      <c r="F1196"/>
      <c r="G1196"/>
      <c r="H1196"/>
      <c r="I1196"/>
      <c r="J1196"/>
      <c r="K1196"/>
      <c r="L1196"/>
      <c r="M1196"/>
      <c r="N1196"/>
      <c r="O1196"/>
      <c r="P1196"/>
      <c r="Q1196"/>
      <c r="R1196"/>
      <c r="S1196"/>
      <c r="T1196"/>
      <c r="U1196"/>
      <c r="V1196"/>
      <c r="W1196"/>
      <c r="X1196"/>
      <c r="Y1196"/>
    </row>
    <row r="1197" spans="1:25" s="9" customFormat="1" ht="10.5" x14ac:dyDescent="0.15">
      <c r="A1197"/>
      <c r="B1197"/>
      <c r="C1197"/>
      <c r="D1197"/>
      <c r="E1197"/>
      <c r="F1197"/>
      <c r="G1197"/>
      <c r="H1197"/>
      <c r="I1197"/>
      <c r="J1197"/>
      <c r="K1197"/>
      <c r="L1197"/>
      <c r="M1197"/>
      <c r="N1197"/>
      <c r="O1197"/>
      <c r="P1197"/>
      <c r="Q1197"/>
      <c r="R1197"/>
      <c r="S1197"/>
      <c r="T1197"/>
      <c r="U1197"/>
      <c r="V1197"/>
      <c r="W1197"/>
      <c r="X1197"/>
      <c r="Y1197"/>
    </row>
    <row r="1198" spans="1:25" s="9" customFormat="1" ht="10.5" x14ac:dyDescent="0.15">
      <c r="A1198"/>
      <c r="B1198"/>
      <c r="C1198"/>
      <c r="D1198"/>
      <c r="E1198"/>
      <c r="F1198"/>
      <c r="G1198"/>
      <c r="H1198"/>
      <c r="I1198"/>
      <c r="J1198"/>
      <c r="K1198"/>
      <c r="L1198"/>
      <c r="M1198"/>
      <c r="N1198"/>
      <c r="O1198"/>
      <c r="P1198"/>
      <c r="Q1198"/>
      <c r="R1198"/>
      <c r="S1198"/>
      <c r="T1198"/>
      <c r="U1198"/>
      <c r="V1198"/>
      <c r="W1198"/>
      <c r="X1198"/>
      <c r="Y1198"/>
    </row>
    <row r="1199" spans="1:25" s="9" customFormat="1" ht="10.5" x14ac:dyDescent="0.15">
      <c r="A1199"/>
      <c r="B1199"/>
      <c r="C1199"/>
      <c r="D1199"/>
      <c r="E1199"/>
      <c r="F1199"/>
      <c r="G1199"/>
      <c r="H1199"/>
      <c r="I1199"/>
      <c r="J1199"/>
      <c r="K1199"/>
      <c r="L1199"/>
      <c r="M1199"/>
      <c r="N1199"/>
      <c r="O1199"/>
      <c r="P1199"/>
      <c r="Q1199"/>
      <c r="R1199"/>
      <c r="S1199"/>
      <c r="T1199"/>
      <c r="U1199"/>
      <c r="V1199"/>
      <c r="W1199"/>
      <c r="X1199"/>
      <c r="Y1199"/>
    </row>
    <row r="1200" spans="1:25" s="9" customFormat="1" ht="10.5" x14ac:dyDescent="0.15">
      <c r="A1200"/>
      <c r="B1200"/>
      <c r="C1200"/>
      <c r="D1200"/>
      <c r="E1200"/>
      <c r="F1200"/>
      <c r="G1200"/>
      <c r="H1200"/>
      <c r="I1200"/>
      <c r="J1200"/>
      <c r="K1200"/>
      <c r="L1200"/>
      <c r="M1200"/>
      <c r="N1200"/>
      <c r="O1200"/>
      <c r="P1200"/>
      <c r="Q1200"/>
      <c r="R1200"/>
      <c r="S1200"/>
      <c r="T1200"/>
      <c r="U1200"/>
      <c r="V1200"/>
      <c r="W1200"/>
      <c r="X1200"/>
      <c r="Y1200"/>
    </row>
    <row r="1201" spans="1:31" s="9" customFormat="1" ht="10.5" x14ac:dyDescent="0.15">
      <c r="A1201"/>
      <c r="B1201"/>
      <c r="C1201"/>
      <c r="D1201"/>
      <c r="E1201"/>
      <c r="F1201"/>
      <c r="G1201"/>
      <c r="H1201"/>
      <c r="I1201"/>
      <c r="J1201"/>
      <c r="K1201"/>
      <c r="L1201"/>
      <c r="M1201"/>
      <c r="N1201"/>
      <c r="O1201"/>
      <c r="P1201"/>
      <c r="Q1201"/>
      <c r="R1201"/>
      <c r="S1201"/>
      <c r="T1201"/>
      <c r="U1201"/>
      <c r="V1201"/>
      <c r="W1201"/>
      <c r="X1201"/>
      <c r="Y1201"/>
    </row>
    <row r="1202" spans="1:31" s="9" customFormat="1" ht="10.5" x14ac:dyDescent="0.15">
      <c r="A1202"/>
      <c r="B1202"/>
      <c r="C1202"/>
      <c r="D1202"/>
      <c r="E1202"/>
      <c r="F1202"/>
      <c r="G1202"/>
      <c r="H1202"/>
      <c r="I1202"/>
      <c r="J1202"/>
      <c r="K1202"/>
      <c r="L1202"/>
      <c r="M1202"/>
      <c r="N1202"/>
      <c r="O1202"/>
      <c r="P1202"/>
      <c r="Q1202"/>
      <c r="R1202"/>
      <c r="S1202"/>
      <c r="T1202"/>
      <c r="U1202"/>
      <c r="V1202"/>
      <c r="W1202"/>
      <c r="X1202"/>
      <c r="Y1202"/>
    </row>
    <row r="1203" spans="1:31" s="9" customFormat="1" ht="10.5" x14ac:dyDescent="0.15">
      <c r="A1203"/>
      <c r="B1203"/>
      <c r="C1203"/>
      <c r="D1203"/>
      <c r="E1203"/>
      <c r="F1203"/>
      <c r="G1203"/>
      <c r="H1203"/>
      <c r="I1203"/>
      <c r="J1203"/>
      <c r="K1203"/>
      <c r="L1203"/>
      <c r="M1203"/>
      <c r="N1203"/>
      <c r="O1203"/>
      <c r="P1203"/>
      <c r="Q1203"/>
      <c r="R1203"/>
      <c r="S1203"/>
      <c r="T1203"/>
      <c r="U1203"/>
      <c r="V1203"/>
      <c r="W1203"/>
      <c r="X1203"/>
      <c r="Y1203"/>
    </row>
    <row r="1204" spans="1:31" s="9" customFormat="1" ht="10.5" x14ac:dyDescent="0.15">
      <c r="A1204"/>
      <c r="B1204"/>
      <c r="C1204"/>
      <c r="D1204"/>
      <c r="E1204"/>
      <c r="F1204"/>
      <c r="G1204"/>
      <c r="H1204"/>
      <c r="I1204"/>
      <c r="J1204"/>
      <c r="K1204"/>
      <c r="L1204"/>
      <c r="M1204"/>
      <c r="N1204"/>
      <c r="O1204"/>
      <c r="P1204"/>
      <c r="Q1204"/>
      <c r="R1204"/>
      <c r="S1204"/>
      <c r="T1204"/>
      <c r="U1204"/>
      <c r="V1204"/>
      <c r="W1204"/>
      <c r="X1204"/>
      <c r="Y1204"/>
    </row>
    <row r="1205" spans="1:31" s="9" customFormat="1" ht="10.5" x14ac:dyDescent="0.15">
      <c r="A1205"/>
      <c r="B1205"/>
      <c r="C1205"/>
      <c r="D1205"/>
      <c r="E1205"/>
      <c r="F1205"/>
      <c r="G1205"/>
      <c r="H1205"/>
      <c r="I1205"/>
      <c r="J1205"/>
      <c r="K1205"/>
      <c r="L1205"/>
      <c r="M1205"/>
      <c r="N1205"/>
      <c r="O1205"/>
      <c r="P1205"/>
      <c r="Q1205"/>
      <c r="R1205"/>
      <c r="S1205"/>
      <c r="T1205"/>
      <c r="U1205"/>
      <c r="V1205"/>
      <c r="W1205"/>
      <c r="X1205"/>
      <c r="Y1205"/>
    </row>
    <row r="1206" spans="1:31" s="9" customFormat="1" ht="10.5" x14ac:dyDescent="0.15">
      <c r="A1206"/>
      <c r="B1206"/>
      <c r="C1206"/>
      <c r="D1206"/>
      <c r="E1206"/>
      <c r="F1206"/>
      <c r="G1206"/>
      <c r="H1206"/>
      <c r="I1206"/>
      <c r="J1206"/>
      <c r="K1206"/>
      <c r="L1206"/>
      <c r="M1206"/>
      <c r="N1206"/>
      <c r="O1206"/>
      <c r="P1206"/>
      <c r="Q1206"/>
      <c r="R1206"/>
      <c r="S1206"/>
      <c r="T1206"/>
      <c r="U1206"/>
      <c r="V1206"/>
      <c r="W1206"/>
      <c r="X1206"/>
      <c r="Y1206"/>
    </row>
    <row r="1207" spans="1:31" s="9" customFormat="1" ht="10.5" x14ac:dyDescent="0.15">
      <c r="A1207"/>
      <c r="B1207"/>
      <c r="C1207"/>
      <c r="D1207"/>
      <c r="E1207"/>
      <c r="F1207"/>
      <c r="G1207"/>
      <c r="H1207"/>
      <c r="I1207"/>
      <c r="J1207"/>
      <c r="K1207"/>
      <c r="L1207"/>
      <c r="M1207"/>
      <c r="N1207"/>
      <c r="O1207"/>
      <c r="P1207"/>
      <c r="Q1207"/>
      <c r="R1207"/>
      <c r="S1207"/>
      <c r="T1207"/>
      <c r="U1207"/>
      <c r="V1207"/>
      <c r="W1207"/>
      <c r="X1207"/>
      <c r="Y1207"/>
    </row>
    <row r="1208" spans="1:31" s="9" customFormat="1" ht="10.5" x14ac:dyDescent="0.15">
      <c r="A1208" s="55"/>
      <c r="B1208" s="55"/>
      <c r="C1208" s="55"/>
      <c r="D1208" s="55"/>
      <c r="E1208" s="55"/>
      <c r="F1208" s="55"/>
      <c r="G1208" s="55"/>
      <c r="H1208" s="55"/>
      <c r="I1208" s="55"/>
      <c r="J1208" s="55"/>
      <c r="K1208" s="55"/>
      <c r="L1208" s="55"/>
      <c r="M1208" s="55"/>
      <c r="N1208" s="55"/>
      <c r="O1208" s="55"/>
      <c r="P1208" s="55"/>
      <c r="Q1208" s="55"/>
      <c r="R1208" s="55"/>
      <c r="S1208" s="55"/>
      <c r="T1208" s="55"/>
      <c r="U1208" s="55"/>
      <c r="V1208" s="55"/>
      <c r="W1208" s="55"/>
      <c r="X1208" s="55"/>
      <c r="Y1208" s="55"/>
    </row>
    <row r="1209" spans="1:31" s="9" customFormat="1" ht="10.5" x14ac:dyDescent="0.15">
      <c r="A1209"/>
      <c r="B1209"/>
      <c r="C1209"/>
      <c r="D1209"/>
      <c r="E1209"/>
      <c r="F1209"/>
      <c r="G1209"/>
      <c r="H1209"/>
      <c r="I1209"/>
      <c r="J1209"/>
      <c r="K1209"/>
      <c r="L1209"/>
      <c r="M1209"/>
      <c r="N1209"/>
      <c r="O1209"/>
      <c r="P1209"/>
      <c r="Q1209"/>
      <c r="R1209"/>
      <c r="S1209"/>
      <c r="T1209"/>
      <c r="U1209"/>
      <c r="V1209"/>
      <c r="W1209"/>
      <c r="X1209"/>
      <c r="Y1209"/>
    </row>
    <row r="1210" spans="1:31" s="9" customFormat="1" ht="10.5" x14ac:dyDescent="0.15">
      <c r="A1210"/>
      <c r="B1210"/>
      <c r="C1210"/>
      <c r="D1210"/>
      <c r="E1210"/>
      <c r="F1210"/>
      <c r="G1210"/>
      <c r="H1210"/>
      <c r="I1210"/>
      <c r="J1210"/>
      <c r="K1210"/>
      <c r="L1210"/>
      <c r="M1210"/>
      <c r="N1210"/>
      <c r="O1210"/>
      <c r="P1210"/>
      <c r="Q1210"/>
      <c r="R1210"/>
      <c r="S1210"/>
      <c r="T1210"/>
      <c r="U1210"/>
      <c r="V1210"/>
      <c r="W1210"/>
      <c r="X1210"/>
      <c r="Y1210"/>
    </row>
    <row r="1211" spans="1:31" s="9" customFormat="1" ht="16.149999999999999" customHeight="1" x14ac:dyDescent="0.15">
      <c r="A1211"/>
      <c r="B1211"/>
      <c r="C1211"/>
      <c r="D1211"/>
      <c r="E1211"/>
      <c r="F1211"/>
      <c r="G1211"/>
      <c r="H1211"/>
      <c r="I1211"/>
      <c r="J1211"/>
      <c r="K1211"/>
      <c r="L1211"/>
      <c r="M1211"/>
      <c r="N1211"/>
      <c r="O1211"/>
      <c r="P1211"/>
      <c r="Q1211"/>
      <c r="R1211"/>
      <c r="S1211"/>
      <c r="T1211"/>
      <c r="U1211"/>
      <c r="V1211"/>
      <c r="W1211"/>
      <c r="X1211"/>
      <c r="Y1211"/>
      <c r="Z1211" s="19"/>
      <c r="AA1211" s="19"/>
      <c r="AD1211"/>
      <c r="AE1211" s="20"/>
    </row>
    <row r="1212" spans="1:31" s="9" customFormat="1" ht="16.149999999999999" customHeight="1" x14ac:dyDescent="0.15">
      <c r="A1212"/>
      <c r="B1212"/>
      <c r="C1212"/>
      <c r="D1212"/>
      <c r="E1212"/>
      <c r="F1212"/>
      <c r="G1212"/>
      <c r="H1212"/>
      <c r="I1212"/>
      <c r="J1212"/>
      <c r="K1212"/>
      <c r="L1212"/>
      <c r="M1212"/>
      <c r="N1212"/>
      <c r="O1212"/>
      <c r="P1212"/>
      <c r="Q1212"/>
      <c r="R1212"/>
      <c r="S1212"/>
      <c r="T1212"/>
      <c r="U1212"/>
      <c r="V1212"/>
      <c r="W1212"/>
      <c r="X1212"/>
      <c r="Y1212"/>
      <c r="Z1212" s="19"/>
      <c r="AA1212" s="19"/>
      <c r="AD1212"/>
      <c r="AE1212" s="20"/>
    </row>
    <row r="1213" spans="1:31" s="9" customFormat="1" ht="16.149999999999999" customHeight="1" x14ac:dyDescent="0.15">
      <c r="A1213"/>
      <c r="B1213"/>
      <c r="C1213"/>
      <c r="D1213"/>
      <c r="E1213"/>
      <c r="F1213"/>
      <c r="G1213"/>
      <c r="H1213"/>
      <c r="I1213"/>
      <c r="J1213"/>
      <c r="K1213"/>
      <c r="L1213"/>
      <c r="M1213"/>
      <c r="N1213"/>
      <c r="O1213"/>
      <c r="P1213"/>
      <c r="Q1213"/>
      <c r="R1213"/>
      <c r="S1213"/>
      <c r="T1213"/>
      <c r="U1213"/>
      <c r="V1213"/>
      <c r="W1213"/>
      <c r="X1213"/>
      <c r="Y1213"/>
      <c r="Z1213" s="19"/>
      <c r="AA1213" s="19"/>
      <c r="AD1213"/>
      <c r="AE1213" s="20"/>
    </row>
    <row r="1214" spans="1:31" s="9" customFormat="1" ht="16.149999999999999" customHeight="1" x14ac:dyDescent="0.15">
      <c r="A1214"/>
      <c r="B1214"/>
      <c r="C1214"/>
      <c r="D1214"/>
      <c r="E1214"/>
      <c r="F1214"/>
      <c r="G1214"/>
      <c r="H1214"/>
      <c r="I1214"/>
      <c r="J1214"/>
      <c r="K1214"/>
      <c r="L1214"/>
      <c r="M1214"/>
      <c r="N1214"/>
      <c r="O1214"/>
      <c r="P1214"/>
      <c r="Q1214"/>
      <c r="R1214"/>
      <c r="S1214"/>
      <c r="T1214"/>
      <c r="U1214"/>
      <c r="V1214"/>
      <c r="W1214"/>
      <c r="X1214"/>
      <c r="Y1214"/>
      <c r="Z1214" s="19"/>
      <c r="AA1214" s="19"/>
      <c r="AD1214"/>
      <c r="AE1214" s="20"/>
    </row>
    <row r="1215" spans="1:31" s="9" customFormat="1" ht="16.149999999999999" customHeight="1" x14ac:dyDescent="0.15">
      <c r="A1215"/>
      <c r="B1215"/>
      <c r="C1215"/>
      <c r="D1215"/>
      <c r="E1215"/>
      <c r="F1215"/>
      <c r="G1215"/>
      <c r="H1215"/>
      <c r="I1215"/>
      <c r="J1215"/>
      <c r="K1215"/>
      <c r="L1215"/>
      <c r="M1215"/>
      <c r="N1215"/>
      <c r="O1215"/>
      <c r="P1215"/>
      <c r="Q1215"/>
      <c r="R1215"/>
      <c r="S1215"/>
      <c r="T1215"/>
      <c r="U1215"/>
      <c r="V1215"/>
      <c r="W1215"/>
      <c r="X1215"/>
      <c r="Y1215"/>
      <c r="Z1215" s="19"/>
      <c r="AA1215" s="19"/>
      <c r="AD1215"/>
      <c r="AE1215" s="20"/>
    </row>
    <row r="1216" spans="1:31" s="9" customFormat="1" ht="16.149999999999999" customHeight="1" x14ac:dyDescent="0.15">
      <c r="A1216"/>
      <c r="B1216"/>
      <c r="C1216"/>
      <c r="D1216"/>
      <c r="E1216"/>
      <c r="F1216"/>
      <c r="G1216"/>
      <c r="H1216"/>
      <c r="I1216"/>
      <c r="J1216"/>
      <c r="K1216"/>
      <c r="L1216"/>
      <c r="M1216"/>
      <c r="N1216"/>
      <c r="O1216"/>
      <c r="P1216"/>
      <c r="Q1216"/>
      <c r="R1216"/>
      <c r="S1216"/>
      <c r="T1216"/>
      <c r="U1216"/>
      <c r="V1216"/>
      <c r="W1216"/>
      <c r="X1216"/>
      <c r="Y1216"/>
      <c r="Z1216" s="19"/>
      <c r="AA1216" s="19"/>
      <c r="AD1216"/>
      <c r="AE1216" s="20"/>
    </row>
    <row r="1217" spans="1:31" s="9" customFormat="1" ht="16.149999999999999" customHeight="1" x14ac:dyDescent="0.15">
      <c r="A1217" s="59"/>
      <c r="B1217" s="59"/>
      <c r="C1217" s="59"/>
      <c r="D1217" s="59"/>
      <c r="E1217" s="59"/>
      <c r="F1217" s="59"/>
      <c r="G1217" s="59"/>
      <c r="H1217" s="59"/>
      <c r="I1217" s="59"/>
      <c r="J1217" s="59"/>
      <c r="K1217" s="59"/>
      <c r="L1217" s="59"/>
      <c r="M1217" s="59"/>
      <c r="N1217" s="59"/>
      <c r="O1217" s="59"/>
      <c r="P1217" s="59"/>
      <c r="Q1217" s="59"/>
      <c r="R1217" s="59"/>
      <c r="S1217" s="59"/>
      <c r="T1217" s="59"/>
      <c r="U1217" s="59"/>
      <c r="V1217" s="59"/>
      <c r="W1217" s="59"/>
      <c r="X1217" s="59"/>
      <c r="Y1217" s="59"/>
      <c r="Z1217" s="19"/>
      <c r="AA1217" s="19"/>
      <c r="AD1217"/>
      <c r="AE1217" s="20"/>
    </row>
    <row r="1218" spans="1:31" s="9" customFormat="1" ht="16.149999999999999" customHeight="1" x14ac:dyDescent="0.15">
      <c r="A1218"/>
      <c r="B1218"/>
      <c r="C1218"/>
      <c r="D1218"/>
      <c r="E1218"/>
      <c r="F1218"/>
      <c r="G1218"/>
      <c r="H1218"/>
      <c r="I1218"/>
      <c r="J1218"/>
      <c r="K1218"/>
      <c r="L1218"/>
      <c r="M1218"/>
      <c r="N1218"/>
      <c r="O1218"/>
      <c r="P1218"/>
      <c r="Q1218"/>
      <c r="R1218"/>
      <c r="S1218"/>
      <c r="T1218"/>
      <c r="U1218"/>
      <c r="V1218"/>
      <c r="W1218"/>
      <c r="X1218"/>
      <c r="Y1218"/>
      <c r="Z1218" s="19"/>
      <c r="AA1218" s="19"/>
      <c r="AD1218"/>
      <c r="AE1218" s="20"/>
    </row>
    <row r="1219" spans="1:31" s="9" customFormat="1" ht="16.149999999999999" customHeight="1" x14ac:dyDescent="0.15">
      <c r="A1219"/>
      <c r="B1219"/>
      <c r="C1219"/>
      <c r="D1219"/>
      <c r="E1219"/>
      <c r="F1219"/>
      <c r="G1219"/>
      <c r="H1219"/>
      <c r="I1219"/>
      <c r="J1219"/>
      <c r="K1219"/>
      <c r="L1219"/>
      <c r="M1219"/>
      <c r="N1219"/>
      <c r="O1219"/>
      <c r="P1219"/>
      <c r="Q1219"/>
      <c r="R1219"/>
      <c r="S1219"/>
      <c r="T1219"/>
      <c r="U1219"/>
      <c r="V1219"/>
      <c r="W1219"/>
      <c r="X1219"/>
      <c r="Y1219"/>
      <c r="Z1219" s="19"/>
      <c r="AA1219" s="19"/>
      <c r="AD1219"/>
      <c r="AE1219" s="20"/>
    </row>
    <row r="1220" spans="1:31" s="9" customFormat="1" ht="16.149999999999999" customHeight="1" x14ac:dyDescent="0.15">
      <c r="A1220"/>
      <c r="B1220"/>
      <c r="C1220"/>
      <c r="D1220"/>
      <c r="E1220"/>
      <c r="F1220"/>
      <c r="G1220"/>
      <c r="H1220"/>
      <c r="I1220"/>
      <c r="J1220"/>
      <c r="K1220"/>
      <c r="L1220"/>
      <c r="M1220"/>
      <c r="N1220"/>
      <c r="O1220"/>
      <c r="P1220"/>
      <c r="Q1220"/>
      <c r="R1220"/>
      <c r="S1220"/>
      <c r="T1220"/>
      <c r="U1220"/>
      <c r="V1220"/>
      <c r="W1220"/>
      <c r="X1220"/>
      <c r="Y1220"/>
      <c r="Z1220" s="19"/>
      <c r="AA1220" s="19"/>
      <c r="AD1220"/>
      <c r="AE1220" s="20"/>
    </row>
    <row r="1221" spans="1:31" s="9" customFormat="1" ht="16.149999999999999" customHeight="1" x14ac:dyDescent="0.15">
      <c r="A1221" s="55"/>
      <c r="B1221" s="55"/>
      <c r="C1221" s="55"/>
      <c r="D1221" s="55"/>
      <c r="E1221" s="55"/>
      <c r="F1221" s="55"/>
      <c r="G1221" s="55"/>
      <c r="H1221" s="55"/>
      <c r="I1221" s="55"/>
      <c r="J1221" s="55"/>
      <c r="K1221" s="55"/>
      <c r="L1221" s="55"/>
      <c r="M1221" s="55"/>
      <c r="N1221" s="55"/>
      <c r="O1221" s="55"/>
      <c r="P1221" s="55"/>
      <c r="Q1221" s="55"/>
      <c r="R1221" s="55"/>
      <c r="S1221" s="55"/>
      <c r="T1221" s="55"/>
      <c r="U1221" s="55"/>
      <c r="V1221" s="55"/>
      <c r="W1221" s="55"/>
      <c r="X1221" s="55"/>
      <c r="Y1221" s="55"/>
      <c r="Z1221" s="19"/>
      <c r="AA1221" s="19"/>
      <c r="AD1221"/>
      <c r="AE1221" s="20"/>
    </row>
    <row r="1222" spans="1:31" s="9" customFormat="1" ht="16.149999999999999" customHeight="1" x14ac:dyDescent="0.15">
      <c r="A1222" s="55"/>
      <c r="B1222" s="55"/>
      <c r="C1222" s="55"/>
      <c r="D1222" s="55"/>
      <c r="E1222" s="55"/>
      <c r="F1222" s="55"/>
      <c r="G1222" s="55"/>
      <c r="H1222" s="55"/>
      <c r="I1222" s="55"/>
      <c r="J1222" s="55"/>
      <c r="K1222" s="55"/>
      <c r="L1222" s="55"/>
      <c r="M1222" s="55"/>
      <c r="N1222" s="55"/>
      <c r="O1222" s="55"/>
      <c r="P1222" s="55"/>
      <c r="Q1222" s="55"/>
      <c r="R1222" s="55"/>
      <c r="S1222" s="55"/>
      <c r="T1222" s="55"/>
      <c r="U1222" s="55"/>
      <c r="V1222" s="55"/>
      <c r="W1222" s="55"/>
      <c r="X1222" s="55"/>
      <c r="Y1222" s="55"/>
      <c r="Z1222" s="19"/>
      <c r="AA1222" s="19"/>
      <c r="AD1222"/>
      <c r="AE1222" s="20"/>
    </row>
    <row r="1223" spans="1:31" s="9" customFormat="1" ht="16.149999999999999" customHeight="1" x14ac:dyDescent="0.15">
      <c r="A1223" s="55"/>
      <c r="B1223" s="55"/>
      <c r="C1223" s="55"/>
      <c r="D1223" s="55"/>
      <c r="E1223" s="55"/>
      <c r="F1223" s="55"/>
      <c r="G1223" s="55"/>
      <c r="H1223" s="55"/>
      <c r="I1223" s="55"/>
      <c r="J1223" s="55"/>
      <c r="K1223" s="55"/>
      <c r="L1223" s="55"/>
      <c r="M1223" s="55"/>
      <c r="N1223" s="55"/>
      <c r="O1223" s="55"/>
      <c r="P1223" s="55"/>
      <c r="Q1223" s="55"/>
      <c r="R1223" s="55"/>
      <c r="S1223" s="55"/>
      <c r="T1223" s="55"/>
      <c r="U1223" s="55"/>
      <c r="V1223" s="55"/>
      <c r="W1223" s="55"/>
      <c r="X1223" s="55"/>
      <c r="Y1223" s="55"/>
      <c r="Z1223" s="19"/>
      <c r="AA1223" s="19"/>
      <c r="AD1223"/>
      <c r="AE1223" s="20"/>
    </row>
    <row r="1224" spans="1:31" s="9" customFormat="1" ht="16.149999999999999" customHeight="1" x14ac:dyDescent="0.15">
      <c r="A1224" s="55"/>
      <c r="B1224" s="55"/>
      <c r="C1224" s="55"/>
      <c r="D1224" s="55"/>
      <c r="E1224" s="55"/>
      <c r="F1224" s="55"/>
      <c r="G1224" s="55"/>
      <c r="H1224" s="55"/>
      <c r="I1224" s="55"/>
      <c r="J1224" s="55"/>
      <c r="K1224" s="55"/>
      <c r="L1224" s="55"/>
      <c r="M1224" s="55"/>
      <c r="N1224" s="55"/>
      <c r="O1224" s="55"/>
      <c r="P1224" s="55"/>
      <c r="Q1224" s="55"/>
      <c r="R1224" s="55"/>
      <c r="S1224" s="55"/>
      <c r="T1224" s="55"/>
      <c r="U1224" s="55"/>
      <c r="V1224" s="55"/>
      <c r="W1224" s="55"/>
      <c r="X1224" s="55"/>
      <c r="Y1224" s="55"/>
      <c r="Z1224" s="19"/>
      <c r="AA1224" s="19"/>
      <c r="AD1224"/>
      <c r="AE1224" s="20"/>
    </row>
    <row r="1225" spans="1:31" s="9" customFormat="1" ht="16.149999999999999" customHeight="1" x14ac:dyDescent="0.15">
      <c r="A1225"/>
      <c r="B1225"/>
      <c r="C1225"/>
      <c r="D1225"/>
      <c r="E1225"/>
      <c r="F1225"/>
      <c r="G1225"/>
      <c r="H1225"/>
      <c r="I1225"/>
      <c r="J1225"/>
      <c r="K1225"/>
      <c r="L1225"/>
      <c r="M1225"/>
      <c r="N1225"/>
      <c r="O1225"/>
      <c r="P1225"/>
      <c r="Q1225"/>
      <c r="R1225"/>
      <c r="S1225"/>
      <c r="T1225"/>
      <c r="U1225"/>
      <c r="V1225"/>
      <c r="W1225"/>
      <c r="X1225"/>
      <c r="Y1225"/>
      <c r="Z1225" s="19"/>
      <c r="AA1225" s="19"/>
      <c r="AD1225"/>
      <c r="AE1225" s="20"/>
    </row>
    <row r="1226" spans="1:31" s="9" customFormat="1" ht="16.149999999999999" customHeight="1" x14ac:dyDescent="0.15">
      <c r="A1226"/>
      <c r="B1226"/>
      <c r="C1226"/>
      <c r="D1226"/>
      <c r="E1226"/>
      <c r="F1226"/>
      <c r="G1226"/>
      <c r="H1226"/>
      <c r="I1226"/>
      <c r="J1226"/>
      <c r="K1226"/>
      <c r="L1226"/>
      <c r="M1226"/>
      <c r="N1226"/>
      <c r="O1226"/>
      <c r="P1226"/>
      <c r="Q1226"/>
      <c r="R1226"/>
      <c r="S1226"/>
      <c r="T1226"/>
      <c r="U1226"/>
      <c r="V1226"/>
      <c r="W1226"/>
      <c r="X1226"/>
      <c r="Y1226"/>
      <c r="Z1226" s="19"/>
      <c r="AA1226" s="19"/>
      <c r="AD1226"/>
      <c r="AE1226" s="20"/>
    </row>
    <row r="1227" spans="1:31" s="9" customFormat="1" ht="16.149999999999999" customHeight="1" x14ac:dyDescent="0.15">
      <c r="A1227" s="59"/>
      <c r="B1227" s="59"/>
      <c r="C1227" s="59"/>
      <c r="D1227" s="59"/>
      <c r="E1227" s="59"/>
      <c r="F1227" s="59"/>
      <c r="G1227" s="59"/>
      <c r="H1227" s="59"/>
      <c r="I1227" s="59"/>
      <c r="J1227" s="59"/>
      <c r="K1227" s="59"/>
      <c r="L1227" s="59"/>
      <c r="M1227" s="59"/>
      <c r="N1227" s="59"/>
      <c r="O1227" s="59"/>
      <c r="P1227" s="59"/>
      <c r="Q1227" s="59"/>
      <c r="R1227" s="59"/>
      <c r="S1227" s="59"/>
      <c r="T1227" s="59"/>
      <c r="U1227" s="59"/>
      <c r="V1227" s="59"/>
      <c r="W1227" s="59"/>
      <c r="X1227" s="59"/>
      <c r="Y1227" s="59"/>
      <c r="Z1227" s="19"/>
      <c r="AA1227" s="19"/>
      <c r="AD1227"/>
      <c r="AE1227" s="20"/>
    </row>
    <row r="1228" spans="1:31" s="9" customFormat="1" ht="16.149999999999999" customHeight="1" x14ac:dyDescent="0.15">
      <c r="A1228" s="55"/>
      <c r="B1228" s="55"/>
      <c r="C1228" s="55"/>
      <c r="D1228" s="55"/>
      <c r="E1228" s="55"/>
      <c r="F1228" s="55"/>
      <c r="G1228" s="55"/>
      <c r="H1228" s="55"/>
      <c r="I1228" s="55"/>
      <c r="J1228" s="55"/>
      <c r="K1228" s="55"/>
      <c r="L1228" s="55"/>
      <c r="M1228" s="55"/>
      <c r="N1228" s="55"/>
      <c r="O1228" s="55"/>
      <c r="P1228" s="55"/>
      <c r="Q1228" s="55"/>
      <c r="R1228" s="55"/>
      <c r="S1228" s="55"/>
      <c r="T1228" s="55"/>
      <c r="U1228" s="55"/>
      <c r="V1228" s="55"/>
      <c r="W1228" s="55"/>
      <c r="X1228" s="55"/>
      <c r="Y1228" s="55"/>
      <c r="Z1228" s="24"/>
      <c r="AA1228" s="24"/>
      <c r="AD1228"/>
      <c r="AE1228" s="22"/>
    </row>
    <row r="1229" spans="1:31" ht="16.149999999999999" customHeight="1" x14ac:dyDescent="0.15">
      <c r="A1229" s="59"/>
      <c r="B1229" s="59"/>
      <c r="C1229" s="59"/>
      <c r="D1229" s="59"/>
      <c r="E1229" s="59"/>
      <c r="F1229" s="59"/>
      <c r="G1229" s="59"/>
      <c r="H1229" s="59"/>
      <c r="I1229" s="59"/>
      <c r="J1229" s="59"/>
      <c r="K1229" s="59"/>
      <c r="L1229" s="59"/>
      <c r="M1229" s="59"/>
      <c r="N1229" s="59"/>
      <c r="O1229" s="59"/>
      <c r="P1229" s="59"/>
      <c r="Q1229" s="59"/>
      <c r="R1229" s="59"/>
      <c r="S1229" s="59"/>
      <c r="T1229" s="59"/>
      <c r="U1229" s="59"/>
      <c r="V1229" s="59"/>
      <c r="W1229" s="59"/>
      <c r="X1229" s="59"/>
      <c r="Y1229" s="59"/>
    </row>
    <row r="1230" spans="1:31" ht="16.149999999999999" customHeight="1" x14ac:dyDescent="0.15">
      <c r="A1230" s="59"/>
      <c r="B1230" s="59"/>
      <c r="C1230" s="59"/>
      <c r="D1230" s="59"/>
      <c r="E1230" s="59"/>
      <c r="F1230" s="59"/>
      <c r="G1230" s="59"/>
      <c r="H1230" s="59"/>
      <c r="I1230" s="59"/>
      <c r="J1230" s="59"/>
      <c r="K1230" s="59"/>
      <c r="L1230" s="59"/>
      <c r="M1230" s="59"/>
      <c r="N1230" s="59"/>
      <c r="O1230" s="59"/>
      <c r="P1230" s="59"/>
      <c r="Q1230" s="59"/>
      <c r="R1230" s="59"/>
      <c r="S1230" s="59"/>
      <c r="T1230" s="59"/>
      <c r="U1230" s="59"/>
      <c r="V1230" s="59"/>
      <c r="W1230" s="59"/>
      <c r="X1230" s="59"/>
      <c r="Y1230" s="59"/>
    </row>
    <row r="1231" spans="1:31" ht="16.149999999999999" customHeight="1" x14ac:dyDescent="0.15">
      <c r="A1231" s="55"/>
      <c r="B1231" s="55"/>
      <c r="C1231" s="55"/>
      <c r="D1231" s="55"/>
      <c r="E1231" s="55"/>
      <c r="F1231" s="55"/>
      <c r="G1231" s="55"/>
      <c r="H1231" s="55"/>
      <c r="I1231" s="55"/>
      <c r="J1231" s="55"/>
      <c r="K1231" s="55"/>
      <c r="L1231" s="55"/>
      <c r="M1231" s="55"/>
      <c r="N1231" s="55"/>
      <c r="O1231" s="55"/>
      <c r="P1231" s="55"/>
      <c r="Q1231" s="55"/>
      <c r="R1231" s="55"/>
      <c r="S1231" s="55"/>
      <c r="T1231" s="55"/>
      <c r="U1231" s="55"/>
      <c r="V1231" s="55"/>
      <c r="W1231" s="55"/>
      <c r="X1231" s="55"/>
      <c r="Y1231" s="55"/>
    </row>
    <row r="1232" spans="1:31" ht="16.149999999999999" customHeight="1" x14ac:dyDescent="0.15">
      <c r="A1232" s="55"/>
      <c r="B1232" s="55"/>
      <c r="C1232" s="55"/>
      <c r="D1232" s="55"/>
      <c r="E1232" s="55"/>
      <c r="F1232" s="55"/>
      <c r="G1232" s="55"/>
      <c r="H1232" s="55"/>
      <c r="I1232" s="55"/>
      <c r="J1232" s="55"/>
      <c r="K1232" s="55"/>
      <c r="L1232" s="55"/>
      <c r="M1232" s="55"/>
      <c r="N1232" s="55"/>
      <c r="O1232" s="55"/>
      <c r="P1232" s="55"/>
      <c r="Q1232" s="55"/>
      <c r="R1232" s="55"/>
      <c r="S1232" s="55"/>
      <c r="T1232" s="55"/>
      <c r="U1232" s="55"/>
      <c r="V1232" s="55"/>
      <c r="W1232" s="55"/>
      <c r="X1232" s="55"/>
      <c r="Y1232" s="55"/>
    </row>
    <row r="1233" spans="1:25" ht="16.149999999999999" customHeight="1" x14ac:dyDescent="0.15">
      <c r="A1233" s="55"/>
      <c r="B1233" s="55"/>
      <c r="C1233" s="55"/>
      <c r="D1233" s="55"/>
      <c r="E1233" s="55"/>
      <c r="F1233" s="55"/>
      <c r="G1233" s="55"/>
      <c r="H1233" s="55"/>
      <c r="I1233" s="55"/>
      <c r="J1233" s="55"/>
      <c r="K1233" s="55"/>
      <c r="L1233" s="55"/>
      <c r="M1233" s="55"/>
      <c r="N1233" s="55"/>
      <c r="O1233" s="55"/>
      <c r="P1233" s="55"/>
      <c r="Q1233" s="55"/>
      <c r="R1233" s="55"/>
      <c r="S1233" s="55"/>
      <c r="T1233" s="55"/>
      <c r="U1233" s="55"/>
      <c r="V1233" s="55"/>
      <c r="W1233" s="55"/>
      <c r="X1233" s="55"/>
      <c r="Y1233" s="55"/>
    </row>
    <row r="1234" spans="1:25" ht="16.149999999999999" customHeight="1" x14ac:dyDescent="0.15">
      <c r="A1234" s="59"/>
      <c r="B1234" s="59"/>
      <c r="C1234" s="59"/>
      <c r="D1234" s="59"/>
      <c r="E1234" s="59"/>
      <c r="F1234" s="59"/>
      <c r="G1234" s="59"/>
      <c r="H1234" s="59"/>
      <c r="I1234" s="59"/>
      <c r="J1234" s="59"/>
      <c r="K1234" s="59"/>
      <c r="L1234" s="59"/>
      <c r="M1234" s="59"/>
      <c r="N1234" s="59"/>
      <c r="O1234" s="59"/>
      <c r="P1234" s="59"/>
      <c r="Q1234" s="59"/>
      <c r="R1234" s="59"/>
      <c r="S1234" s="59"/>
      <c r="T1234" s="59"/>
      <c r="U1234" s="59"/>
      <c r="V1234" s="59"/>
      <c r="W1234" s="59"/>
      <c r="X1234" s="59"/>
      <c r="Y1234" s="59"/>
    </row>
    <row r="1235" spans="1:25" ht="16.149999999999999" customHeight="1" x14ac:dyDescent="0.15">
      <c r="A1235" s="59"/>
      <c r="B1235" s="59"/>
      <c r="C1235" s="59"/>
      <c r="D1235" s="59"/>
      <c r="E1235" s="59"/>
      <c r="F1235" s="59"/>
      <c r="G1235" s="59"/>
      <c r="H1235" s="59"/>
      <c r="I1235" s="59"/>
      <c r="J1235" s="59"/>
      <c r="K1235" s="59"/>
      <c r="L1235" s="59"/>
      <c r="M1235" s="59"/>
      <c r="N1235" s="59"/>
      <c r="O1235" s="59"/>
      <c r="P1235" s="59"/>
      <c r="Q1235" s="59"/>
      <c r="R1235" s="59"/>
      <c r="S1235" s="59"/>
      <c r="T1235" s="59"/>
      <c r="U1235" s="59"/>
      <c r="V1235" s="59"/>
      <c r="W1235" s="59"/>
      <c r="X1235" s="59"/>
      <c r="Y1235" s="59"/>
    </row>
    <row r="1236" spans="1:25" ht="16.149999999999999" customHeight="1" x14ac:dyDescent="0.15">
      <c r="A1236" s="59"/>
      <c r="B1236" s="59"/>
      <c r="C1236" s="59"/>
      <c r="D1236" s="59"/>
      <c r="E1236" s="59"/>
      <c r="F1236" s="59"/>
      <c r="G1236" s="59"/>
      <c r="H1236" s="59"/>
      <c r="I1236" s="59"/>
      <c r="J1236" s="59"/>
      <c r="K1236" s="59"/>
      <c r="L1236" s="59"/>
      <c r="M1236" s="59"/>
      <c r="N1236" s="59"/>
      <c r="O1236" s="59"/>
      <c r="P1236" s="59"/>
      <c r="Q1236" s="59"/>
      <c r="R1236" s="59"/>
      <c r="S1236" s="59"/>
      <c r="T1236" s="59"/>
      <c r="U1236" s="59"/>
      <c r="V1236" s="59"/>
      <c r="W1236" s="59"/>
      <c r="X1236" s="59"/>
      <c r="Y1236" s="59"/>
    </row>
    <row r="1237" spans="1:25" ht="16.149999999999999" customHeight="1" x14ac:dyDescent="0.15">
      <c r="A1237" s="59"/>
      <c r="B1237" s="59"/>
      <c r="C1237" s="59"/>
      <c r="D1237" s="59"/>
      <c r="E1237" s="59"/>
      <c r="F1237" s="59"/>
      <c r="G1237" s="59"/>
      <c r="H1237" s="59"/>
      <c r="I1237" s="59"/>
      <c r="J1237" s="59"/>
      <c r="K1237" s="59"/>
      <c r="L1237" s="59"/>
      <c r="M1237" s="59"/>
      <c r="N1237" s="59"/>
      <c r="O1237" s="59"/>
      <c r="P1237" s="59"/>
      <c r="Q1237" s="59"/>
      <c r="R1237" s="59"/>
      <c r="S1237" s="59"/>
      <c r="T1237" s="59"/>
      <c r="U1237" s="59"/>
      <c r="V1237" s="59"/>
      <c r="W1237" s="59"/>
      <c r="X1237" s="59"/>
      <c r="Y1237" s="59"/>
    </row>
    <row r="1238" spans="1:25" ht="16.149999999999999" customHeight="1" x14ac:dyDescent="0.15">
      <c r="A1238" s="59"/>
      <c r="B1238" s="59"/>
      <c r="C1238" s="59"/>
      <c r="D1238" s="59"/>
      <c r="E1238" s="59"/>
      <c r="F1238" s="59"/>
      <c r="G1238" s="59"/>
      <c r="H1238" s="59"/>
      <c r="I1238" s="59"/>
      <c r="J1238" s="59"/>
      <c r="K1238" s="59"/>
      <c r="L1238" s="59"/>
      <c r="M1238" s="59"/>
      <c r="N1238" s="59"/>
      <c r="O1238" s="59"/>
      <c r="P1238" s="59"/>
      <c r="Q1238" s="59"/>
      <c r="R1238" s="59"/>
      <c r="S1238" s="59"/>
      <c r="T1238" s="59"/>
      <c r="U1238" s="59"/>
      <c r="V1238" s="59"/>
      <c r="W1238" s="59"/>
      <c r="X1238" s="59"/>
      <c r="Y1238" s="59"/>
    </row>
    <row r="1239" spans="1:25" ht="16.149999999999999" customHeight="1" x14ac:dyDescent="0.15">
      <c r="A1239" s="59"/>
      <c r="B1239" s="59"/>
      <c r="C1239" s="59"/>
      <c r="D1239" s="59"/>
      <c r="E1239" s="59"/>
      <c r="F1239" s="59"/>
      <c r="G1239" s="59"/>
      <c r="H1239" s="59"/>
      <c r="I1239" s="59"/>
      <c r="J1239" s="59"/>
      <c r="K1239" s="59"/>
      <c r="L1239" s="59"/>
      <c r="M1239" s="59"/>
      <c r="N1239" s="59"/>
      <c r="O1239" s="59"/>
      <c r="P1239" s="59"/>
      <c r="Q1239" s="59"/>
      <c r="R1239" s="59"/>
      <c r="S1239" s="59"/>
      <c r="T1239" s="59"/>
      <c r="U1239" s="59"/>
      <c r="V1239" s="59"/>
      <c r="W1239" s="59"/>
      <c r="X1239" s="59"/>
      <c r="Y1239" s="59"/>
    </row>
    <row r="1240" spans="1:25" ht="16.149999999999999" customHeight="1" x14ac:dyDescent="0.15">
      <c r="W1240"/>
    </row>
    <row r="1241" spans="1:25" ht="16.149999999999999" customHeight="1" x14ac:dyDescent="0.15">
      <c r="A1241" s="64"/>
      <c r="B1241" s="64"/>
      <c r="C1241" s="64"/>
      <c r="D1241" s="64"/>
      <c r="E1241" s="64"/>
      <c r="F1241" s="64"/>
      <c r="G1241" s="64"/>
      <c r="H1241" s="64"/>
      <c r="I1241" s="64"/>
      <c r="J1241" s="64"/>
      <c r="K1241" s="64"/>
      <c r="L1241" s="64"/>
      <c r="M1241" s="64"/>
      <c r="N1241" s="64"/>
      <c r="O1241" s="64"/>
      <c r="P1241" s="64"/>
      <c r="Q1241" s="64"/>
      <c r="R1241" s="64"/>
      <c r="S1241" s="64"/>
      <c r="T1241" s="64"/>
      <c r="U1241" s="64"/>
      <c r="V1241" s="64"/>
      <c r="W1241" s="64"/>
      <c r="X1241" s="64"/>
      <c r="Y1241" s="64"/>
    </row>
    <row r="1242" spans="1:25" ht="16.149999999999999" customHeight="1" x14ac:dyDescent="0.15">
      <c r="W1242"/>
    </row>
    <row r="1243" spans="1:25" ht="16.149999999999999" customHeight="1" x14ac:dyDescent="0.15">
      <c r="A1243" s="64"/>
      <c r="B1243" s="64"/>
      <c r="C1243" s="64"/>
      <c r="D1243" s="64"/>
      <c r="E1243" s="64"/>
      <c r="F1243" s="64"/>
      <c r="G1243" s="64"/>
      <c r="H1243" s="64"/>
      <c r="I1243" s="64"/>
      <c r="J1243" s="64"/>
      <c r="K1243" s="64"/>
      <c r="L1243" s="64"/>
      <c r="M1243" s="64"/>
      <c r="N1243" s="64"/>
      <c r="O1243" s="64"/>
      <c r="P1243" s="64"/>
      <c r="Q1243" s="64"/>
      <c r="R1243" s="64"/>
      <c r="S1243" s="64"/>
      <c r="T1243" s="64"/>
      <c r="U1243" s="64"/>
      <c r="V1243" s="64"/>
      <c r="W1243" s="64"/>
      <c r="X1243" s="64"/>
      <c r="Y1243" s="64"/>
    </row>
    <row r="1244" spans="1:25" ht="16.149999999999999" customHeight="1" x14ac:dyDescent="0.15">
      <c r="W1244"/>
    </row>
    <row r="1245" spans="1:25" ht="16.149999999999999" customHeight="1" x14ac:dyDescent="0.15">
      <c r="A1245" s="64"/>
      <c r="B1245" s="64"/>
      <c r="C1245" s="64"/>
      <c r="D1245" s="64"/>
      <c r="E1245" s="64"/>
      <c r="F1245" s="64"/>
      <c r="G1245" s="64"/>
      <c r="H1245" s="64"/>
      <c r="I1245" s="64"/>
      <c r="J1245" s="64"/>
      <c r="K1245" s="64"/>
      <c r="L1245" s="64"/>
      <c r="M1245" s="64"/>
      <c r="N1245" s="64"/>
      <c r="O1245" s="64"/>
      <c r="P1245" s="64"/>
      <c r="Q1245" s="64"/>
      <c r="R1245" s="64"/>
      <c r="S1245" s="64"/>
      <c r="T1245" s="64"/>
      <c r="U1245" s="64"/>
      <c r="V1245" s="64"/>
      <c r="W1245" s="64"/>
      <c r="X1245" s="64"/>
      <c r="Y1245" s="64"/>
    </row>
    <row r="1246" spans="1:25" ht="16.149999999999999" customHeight="1" x14ac:dyDescent="0.15">
      <c r="W1246"/>
    </row>
    <row r="1247" spans="1:25" ht="16.149999999999999" customHeight="1" x14ac:dyDescent="0.15">
      <c r="W1247"/>
    </row>
    <row r="1248" spans="1:25" ht="16.149999999999999" customHeight="1" x14ac:dyDescent="0.15">
      <c r="W1248"/>
    </row>
    <row r="1249" spans="1:25" ht="16.149999999999999" customHeight="1" x14ac:dyDescent="0.15">
      <c r="W1249"/>
    </row>
    <row r="1250" spans="1:25" ht="16.149999999999999" customHeight="1" x14ac:dyDescent="0.15">
      <c r="W1250"/>
    </row>
    <row r="1251" spans="1:25" ht="16.149999999999999" customHeight="1" x14ac:dyDescent="0.15">
      <c r="W1251"/>
    </row>
    <row r="1252" spans="1:25" ht="16.149999999999999" customHeight="1" x14ac:dyDescent="0.15">
      <c r="W1252"/>
    </row>
    <row r="1253" spans="1:25" ht="16.149999999999999" customHeight="1" x14ac:dyDescent="0.15">
      <c r="W1253"/>
    </row>
    <row r="1254" spans="1:25" ht="16.149999999999999" customHeight="1" x14ac:dyDescent="0.15">
      <c r="W1254"/>
    </row>
    <row r="1255" spans="1:25" ht="16.149999999999999" customHeight="1" x14ac:dyDescent="0.15">
      <c r="W1255"/>
    </row>
    <row r="1256" spans="1:25" ht="16.149999999999999" customHeight="1" x14ac:dyDescent="0.15">
      <c r="W1256"/>
    </row>
    <row r="1257" spans="1:25" ht="16.149999999999999" customHeight="1" x14ac:dyDescent="0.15">
      <c r="W1257"/>
    </row>
    <row r="1258" spans="1:25" ht="16.149999999999999" customHeight="1" x14ac:dyDescent="0.15">
      <c r="W1258"/>
    </row>
    <row r="1259" spans="1:25" ht="16.149999999999999" customHeight="1" x14ac:dyDescent="0.15">
      <c r="W1259"/>
    </row>
    <row r="1260" spans="1:25" ht="16.149999999999999" customHeight="1" x14ac:dyDescent="0.15">
      <c r="W1260"/>
    </row>
    <row r="1261" spans="1:25" ht="16.149999999999999" customHeight="1" x14ac:dyDescent="0.15">
      <c r="W1261"/>
    </row>
    <row r="1262" spans="1:25" ht="16.149999999999999" customHeight="1" x14ac:dyDescent="0.15">
      <c r="W1262"/>
    </row>
    <row r="1263" spans="1:25" ht="16.149999999999999" customHeight="1" x14ac:dyDescent="0.15">
      <c r="W1263"/>
    </row>
    <row r="1264" spans="1:25" ht="16.149999999999999" customHeight="1" x14ac:dyDescent="0.15">
      <c r="A1264" s="59"/>
      <c r="B1264" s="59"/>
      <c r="C1264" s="59"/>
      <c r="D1264" s="59"/>
      <c r="E1264" s="59"/>
      <c r="F1264" s="59"/>
      <c r="G1264" s="59"/>
      <c r="H1264" s="59"/>
      <c r="I1264" s="59"/>
      <c r="J1264" s="59"/>
      <c r="K1264" s="59"/>
      <c r="L1264" s="59"/>
      <c r="M1264" s="59"/>
      <c r="N1264" s="59"/>
      <c r="O1264" s="59"/>
      <c r="P1264" s="59"/>
      <c r="Q1264" s="59"/>
      <c r="R1264" s="59"/>
      <c r="S1264" s="59"/>
      <c r="T1264" s="59"/>
      <c r="U1264" s="59"/>
      <c r="V1264" s="59"/>
      <c r="W1264" s="59"/>
      <c r="X1264" s="59"/>
      <c r="Y1264" s="59"/>
    </row>
    <row r="1265" spans="1:25" ht="16.149999999999999" customHeight="1" x14ac:dyDescent="0.15">
      <c r="W1265"/>
    </row>
    <row r="1266" spans="1:25" ht="16.149999999999999" customHeight="1" x14ac:dyDescent="0.15">
      <c r="W1266"/>
    </row>
    <row r="1267" spans="1:25" ht="16.149999999999999" customHeight="1" x14ac:dyDescent="0.15">
      <c r="W1267"/>
    </row>
    <row r="1268" spans="1:25" ht="16.149999999999999" customHeight="1" x14ac:dyDescent="0.15">
      <c r="W1268"/>
    </row>
    <row r="1269" spans="1:25" ht="16.149999999999999" customHeight="1" x14ac:dyDescent="0.15">
      <c r="W1269"/>
    </row>
    <row r="1270" spans="1:25" ht="16.149999999999999" customHeight="1" x14ac:dyDescent="0.15">
      <c r="A1270" s="59"/>
      <c r="B1270" s="59"/>
      <c r="C1270" s="59"/>
      <c r="D1270" s="59"/>
      <c r="E1270" s="59"/>
      <c r="F1270" s="59"/>
      <c r="G1270" s="59"/>
      <c r="H1270" s="59"/>
      <c r="I1270" s="59"/>
      <c r="J1270" s="59"/>
      <c r="K1270" s="59"/>
      <c r="L1270" s="59"/>
      <c r="M1270" s="59"/>
      <c r="N1270" s="59"/>
      <c r="O1270" s="59"/>
      <c r="P1270" s="59"/>
      <c r="Q1270" s="59"/>
      <c r="R1270" s="59"/>
      <c r="S1270" s="59"/>
      <c r="T1270" s="59"/>
      <c r="U1270" s="59"/>
      <c r="V1270" s="59"/>
      <c r="W1270" s="59"/>
      <c r="X1270" s="59"/>
      <c r="Y1270" s="59"/>
    </row>
    <row r="1271" spans="1:25" ht="16.149999999999999" customHeight="1" x14ac:dyDescent="0.15">
      <c r="A1271" s="59"/>
      <c r="B1271" s="59"/>
      <c r="C1271" s="59"/>
      <c r="D1271" s="59"/>
      <c r="E1271" s="59"/>
      <c r="F1271" s="59"/>
      <c r="G1271" s="59"/>
      <c r="H1271" s="59"/>
      <c r="I1271" s="59"/>
      <c r="J1271" s="59"/>
      <c r="K1271" s="59"/>
      <c r="L1271" s="59"/>
      <c r="M1271" s="59"/>
      <c r="N1271" s="59"/>
      <c r="O1271" s="59"/>
      <c r="P1271" s="59"/>
      <c r="Q1271" s="59"/>
      <c r="R1271" s="59"/>
      <c r="S1271" s="59"/>
      <c r="T1271" s="59"/>
      <c r="U1271" s="59"/>
      <c r="V1271" s="59"/>
      <c r="W1271" s="59"/>
      <c r="X1271" s="59"/>
      <c r="Y1271" s="59"/>
    </row>
    <row r="1272" spans="1:25" ht="16.149999999999999" customHeight="1" x14ac:dyDescent="0.15">
      <c r="W1272"/>
    </row>
    <row r="1273" spans="1:25" ht="16.149999999999999" customHeight="1" x14ac:dyDescent="0.15">
      <c r="W1273"/>
    </row>
    <row r="1274" spans="1:25" ht="16.149999999999999" customHeight="1" x14ac:dyDescent="0.15">
      <c r="W1274"/>
    </row>
    <row r="1275" spans="1:25" ht="16.149999999999999" customHeight="1" x14ac:dyDescent="0.15">
      <c r="A1275" s="59"/>
      <c r="B1275" s="59"/>
      <c r="C1275" s="59"/>
      <c r="D1275" s="59"/>
      <c r="E1275" s="59"/>
      <c r="F1275" s="59"/>
      <c r="G1275" s="59"/>
      <c r="H1275" s="59"/>
      <c r="I1275" s="59"/>
      <c r="J1275" s="59"/>
      <c r="K1275" s="59"/>
      <c r="L1275" s="59"/>
      <c r="M1275" s="59"/>
      <c r="N1275" s="59"/>
      <c r="O1275" s="59"/>
      <c r="P1275" s="59"/>
      <c r="Q1275" s="59"/>
      <c r="R1275" s="59"/>
      <c r="S1275" s="59"/>
      <c r="T1275" s="59"/>
      <c r="U1275" s="59"/>
      <c r="V1275" s="59"/>
      <c r="W1275" s="59"/>
      <c r="X1275" s="59"/>
      <c r="Y1275" s="59"/>
    </row>
    <row r="1276" spans="1:25" ht="16.149999999999999" customHeight="1" x14ac:dyDescent="0.15">
      <c r="A1276" s="59"/>
      <c r="B1276" s="59"/>
      <c r="C1276" s="59"/>
      <c r="D1276" s="59"/>
      <c r="E1276" s="59"/>
      <c r="F1276" s="59"/>
      <c r="G1276" s="59"/>
      <c r="H1276" s="59"/>
      <c r="I1276" s="59"/>
      <c r="J1276" s="59"/>
      <c r="K1276" s="59"/>
      <c r="L1276" s="59"/>
      <c r="M1276" s="59"/>
      <c r="N1276" s="59"/>
      <c r="O1276" s="59"/>
      <c r="P1276" s="59"/>
      <c r="Q1276" s="59"/>
      <c r="R1276" s="59"/>
      <c r="S1276" s="59"/>
      <c r="T1276" s="59"/>
      <c r="U1276" s="59"/>
      <c r="V1276" s="59"/>
      <c r="W1276" s="59"/>
      <c r="X1276" s="59"/>
      <c r="Y1276" s="59"/>
    </row>
    <row r="1277" spans="1:25" ht="16.149999999999999" customHeight="1" x14ac:dyDescent="0.15">
      <c r="A1277" s="59"/>
      <c r="B1277" s="59"/>
      <c r="C1277" s="59"/>
      <c r="D1277" s="59"/>
      <c r="E1277" s="59"/>
      <c r="F1277" s="59"/>
      <c r="G1277" s="59"/>
      <c r="H1277" s="59"/>
      <c r="I1277" s="59"/>
      <c r="J1277" s="59"/>
      <c r="K1277" s="59"/>
      <c r="L1277" s="59"/>
      <c r="M1277" s="59"/>
      <c r="N1277" s="59"/>
      <c r="O1277" s="59"/>
      <c r="P1277" s="59"/>
      <c r="Q1277" s="59"/>
      <c r="R1277" s="59"/>
      <c r="S1277" s="59"/>
      <c r="T1277" s="59"/>
      <c r="U1277" s="59"/>
      <c r="V1277" s="59"/>
      <c r="W1277" s="59"/>
      <c r="X1277" s="59"/>
      <c r="Y1277" s="59"/>
    </row>
    <row r="1278" spans="1:25" ht="16.149999999999999" customHeight="1" x14ac:dyDescent="0.15">
      <c r="W1278"/>
    </row>
    <row r="1279" spans="1:25" ht="16.149999999999999" customHeight="1" x14ac:dyDescent="0.15">
      <c r="W1279"/>
    </row>
    <row r="1280" spans="1:25" ht="16.149999999999999" customHeight="1" x14ac:dyDescent="0.15">
      <c r="W1280"/>
    </row>
    <row r="1281" spans="1:25" ht="16.149999999999999" customHeight="1" x14ac:dyDescent="0.15">
      <c r="A1281" s="59"/>
      <c r="B1281" s="59"/>
      <c r="C1281" s="59"/>
      <c r="D1281" s="59"/>
      <c r="E1281" s="59"/>
      <c r="F1281" s="59"/>
      <c r="G1281" s="59"/>
      <c r="H1281" s="59"/>
      <c r="I1281" s="59"/>
      <c r="J1281" s="59"/>
      <c r="K1281" s="59"/>
      <c r="L1281" s="59"/>
      <c r="M1281" s="59"/>
      <c r="N1281" s="59"/>
      <c r="O1281" s="59"/>
      <c r="P1281" s="59"/>
      <c r="Q1281" s="59"/>
      <c r="R1281" s="59"/>
      <c r="S1281" s="59"/>
      <c r="T1281" s="59"/>
      <c r="U1281" s="59"/>
      <c r="V1281" s="59"/>
      <c r="W1281" s="59"/>
      <c r="X1281" s="59"/>
      <c r="Y1281" s="59"/>
    </row>
    <row r="1282" spans="1:25" ht="16.149999999999999" customHeight="1" x14ac:dyDescent="0.15">
      <c r="W1282"/>
    </row>
    <row r="1283" spans="1:25" ht="16.149999999999999" customHeight="1" x14ac:dyDescent="0.15">
      <c r="W1283"/>
    </row>
    <row r="1284" spans="1:25" ht="16.149999999999999" customHeight="1" x14ac:dyDescent="0.15">
      <c r="A1284" s="59"/>
      <c r="B1284" s="59"/>
      <c r="C1284" s="59"/>
      <c r="D1284" s="59"/>
      <c r="E1284" s="59"/>
      <c r="F1284" s="59"/>
      <c r="G1284" s="59"/>
      <c r="H1284" s="59"/>
      <c r="I1284" s="59"/>
      <c r="J1284" s="59"/>
      <c r="K1284" s="59"/>
      <c r="L1284" s="59"/>
      <c r="M1284" s="59"/>
      <c r="N1284" s="59"/>
      <c r="O1284" s="59"/>
      <c r="P1284" s="59"/>
      <c r="Q1284" s="59"/>
      <c r="R1284" s="59"/>
      <c r="S1284" s="59"/>
      <c r="T1284" s="59"/>
      <c r="U1284" s="59"/>
      <c r="V1284" s="59"/>
      <c r="W1284" s="59"/>
      <c r="X1284" s="59"/>
      <c r="Y1284" s="59"/>
    </row>
    <row r="1285" spans="1:25" ht="16.149999999999999" customHeight="1" x14ac:dyDescent="0.15">
      <c r="W1285"/>
    </row>
    <row r="1286" spans="1:25" ht="16.149999999999999" customHeight="1" x14ac:dyDescent="0.15">
      <c r="W1286"/>
    </row>
    <row r="1287" spans="1:25" ht="16.149999999999999" customHeight="1" x14ac:dyDescent="0.15">
      <c r="W1287"/>
    </row>
    <row r="1288" spans="1:25" ht="16.149999999999999" customHeight="1" x14ac:dyDescent="0.15">
      <c r="A1288" s="59"/>
      <c r="B1288" s="59"/>
      <c r="C1288" s="59"/>
      <c r="D1288" s="59"/>
      <c r="E1288" s="59"/>
      <c r="F1288" s="59"/>
      <c r="G1288" s="59"/>
      <c r="H1288" s="59"/>
      <c r="I1288" s="59"/>
      <c r="J1288" s="59"/>
      <c r="K1288" s="59"/>
      <c r="L1288" s="59"/>
      <c r="M1288" s="59"/>
      <c r="N1288" s="59"/>
      <c r="O1288" s="59"/>
      <c r="P1288" s="59"/>
      <c r="Q1288" s="59"/>
      <c r="R1288" s="59"/>
      <c r="S1288" s="59"/>
      <c r="T1288" s="59"/>
      <c r="U1288" s="59"/>
      <c r="V1288" s="59"/>
      <c r="W1288" s="59"/>
      <c r="X1288" s="59"/>
      <c r="Y1288" s="59"/>
    </row>
    <row r="1289" spans="1:25" ht="16.149999999999999" customHeight="1" x14ac:dyDescent="0.15">
      <c r="W1289"/>
    </row>
    <row r="1290" spans="1:25" ht="16.149999999999999" customHeight="1" x14ac:dyDescent="0.15">
      <c r="W1290"/>
    </row>
    <row r="1291" spans="1:25" ht="16.149999999999999" customHeight="1" x14ac:dyDescent="0.15">
      <c r="W1291"/>
    </row>
    <row r="1292" spans="1:25" ht="16.149999999999999" customHeight="1" x14ac:dyDescent="0.15">
      <c r="A1292" s="59"/>
      <c r="B1292" s="59"/>
      <c r="C1292" s="59"/>
      <c r="D1292" s="59"/>
      <c r="E1292" s="59"/>
      <c r="F1292" s="59"/>
      <c r="G1292" s="59"/>
      <c r="H1292" s="59"/>
      <c r="I1292" s="59"/>
      <c r="J1292" s="59"/>
      <c r="K1292" s="59"/>
      <c r="L1292" s="59"/>
      <c r="M1292" s="59"/>
      <c r="N1292" s="59"/>
      <c r="O1292" s="59"/>
      <c r="P1292" s="59"/>
      <c r="Q1292" s="59"/>
      <c r="R1292" s="59"/>
      <c r="S1292" s="59"/>
      <c r="T1292" s="59"/>
      <c r="U1292" s="59"/>
      <c r="V1292" s="59"/>
      <c r="W1292" s="59"/>
      <c r="X1292" s="59"/>
      <c r="Y1292" s="59"/>
    </row>
    <row r="1293" spans="1:25" ht="16.149999999999999" customHeight="1" x14ac:dyDescent="0.15">
      <c r="W1293"/>
    </row>
    <row r="1294" spans="1:25" ht="16.149999999999999" customHeight="1" x14ac:dyDescent="0.15">
      <c r="W1294"/>
    </row>
    <row r="1295" spans="1:25" ht="16.149999999999999" customHeight="1" x14ac:dyDescent="0.15">
      <c r="W1295"/>
    </row>
    <row r="1296" spans="1:25" ht="16.149999999999999" customHeight="1" x14ac:dyDescent="0.15">
      <c r="W1296"/>
    </row>
    <row r="1297" spans="1:25" ht="16.149999999999999" customHeight="1" x14ac:dyDescent="0.15">
      <c r="W1297"/>
    </row>
    <row r="1298" spans="1:25" ht="16.149999999999999" customHeight="1" x14ac:dyDescent="0.15">
      <c r="W1298"/>
    </row>
    <row r="1299" spans="1:25" ht="16.149999999999999" customHeight="1" x14ac:dyDescent="0.15">
      <c r="A1299" s="55"/>
      <c r="B1299" s="55"/>
      <c r="C1299" s="55"/>
      <c r="D1299" s="55"/>
      <c r="E1299" s="55"/>
      <c r="F1299" s="55"/>
      <c r="G1299" s="55"/>
      <c r="H1299" s="55"/>
      <c r="I1299" s="55"/>
      <c r="J1299" s="55"/>
      <c r="K1299" s="55"/>
      <c r="L1299" s="55"/>
      <c r="M1299" s="55"/>
      <c r="N1299" s="55"/>
      <c r="O1299" s="55"/>
      <c r="P1299" s="55"/>
      <c r="Q1299" s="55"/>
      <c r="R1299" s="55"/>
      <c r="S1299" s="55"/>
      <c r="T1299" s="55"/>
      <c r="U1299" s="55"/>
      <c r="V1299" s="55"/>
      <c r="W1299" s="55"/>
      <c r="X1299" s="55"/>
      <c r="Y1299" s="55"/>
    </row>
    <row r="1300" spans="1:25" ht="16.149999999999999" customHeight="1" x14ac:dyDescent="0.15">
      <c r="A1300" s="55"/>
      <c r="B1300" s="55"/>
      <c r="C1300" s="55"/>
      <c r="D1300" s="55"/>
      <c r="E1300" s="55"/>
      <c r="F1300" s="55"/>
      <c r="G1300" s="55"/>
      <c r="H1300" s="55"/>
      <c r="I1300" s="55"/>
      <c r="J1300" s="55"/>
      <c r="K1300" s="55"/>
      <c r="L1300" s="55"/>
      <c r="M1300" s="55"/>
      <c r="N1300" s="55"/>
      <c r="O1300" s="55"/>
      <c r="P1300" s="55"/>
      <c r="Q1300" s="55"/>
      <c r="R1300" s="55"/>
      <c r="S1300" s="55"/>
      <c r="T1300" s="55"/>
      <c r="U1300" s="55"/>
      <c r="V1300" s="55"/>
      <c r="W1300" s="55"/>
      <c r="X1300" s="55"/>
      <c r="Y1300" s="55"/>
    </row>
    <row r="1301" spans="1:25" ht="16.149999999999999" customHeight="1" x14ac:dyDescent="0.15">
      <c r="A1301" s="55"/>
      <c r="B1301" s="55"/>
      <c r="C1301" s="55"/>
      <c r="D1301" s="55"/>
      <c r="E1301" s="55"/>
      <c r="F1301" s="55"/>
      <c r="G1301" s="55"/>
      <c r="H1301" s="55"/>
      <c r="I1301" s="55"/>
      <c r="J1301" s="55"/>
      <c r="K1301" s="55"/>
      <c r="L1301" s="55"/>
      <c r="M1301" s="55"/>
      <c r="N1301" s="55"/>
      <c r="O1301" s="55"/>
      <c r="P1301" s="55"/>
      <c r="Q1301" s="55"/>
      <c r="R1301" s="55"/>
      <c r="S1301" s="55"/>
      <c r="T1301" s="55"/>
      <c r="U1301" s="55"/>
      <c r="V1301" s="55"/>
      <c r="W1301" s="55"/>
      <c r="X1301" s="55"/>
      <c r="Y1301" s="55"/>
    </row>
    <row r="1302" spans="1:25" ht="16.149999999999999" customHeight="1" x14ac:dyDescent="0.15">
      <c r="A1302" s="55"/>
      <c r="B1302" s="55"/>
      <c r="C1302" s="55"/>
      <c r="D1302" s="55"/>
      <c r="E1302" s="55"/>
      <c r="F1302" s="55"/>
      <c r="G1302" s="55"/>
      <c r="H1302" s="55"/>
      <c r="I1302" s="55"/>
      <c r="J1302" s="55"/>
      <c r="K1302" s="55"/>
      <c r="L1302" s="55"/>
      <c r="M1302" s="55"/>
      <c r="N1302" s="55"/>
      <c r="O1302" s="55"/>
      <c r="P1302" s="55"/>
      <c r="Q1302" s="55"/>
      <c r="R1302" s="55"/>
      <c r="S1302" s="55"/>
      <c r="T1302" s="55"/>
      <c r="U1302" s="55"/>
      <c r="V1302" s="55"/>
      <c r="W1302" s="55"/>
      <c r="X1302" s="55"/>
      <c r="Y1302" s="55"/>
    </row>
    <row r="1303" spans="1:25" ht="16.149999999999999" customHeight="1" x14ac:dyDescent="0.15">
      <c r="A1303" s="55"/>
      <c r="B1303" s="55"/>
      <c r="C1303" s="55"/>
      <c r="D1303" s="55"/>
      <c r="E1303" s="55"/>
      <c r="F1303" s="55"/>
      <c r="G1303" s="55"/>
      <c r="H1303" s="55"/>
      <c r="I1303" s="55"/>
      <c r="J1303" s="55"/>
      <c r="K1303" s="55"/>
      <c r="L1303" s="55"/>
      <c r="M1303" s="55"/>
      <c r="N1303" s="55"/>
      <c r="O1303" s="55"/>
      <c r="P1303" s="55"/>
      <c r="Q1303" s="55"/>
      <c r="R1303" s="55"/>
      <c r="S1303" s="55"/>
      <c r="T1303" s="55"/>
      <c r="U1303" s="55"/>
      <c r="V1303" s="55"/>
      <c r="W1303" s="55"/>
      <c r="X1303" s="55"/>
      <c r="Y1303" s="55"/>
    </row>
    <row r="1304" spans="1:25" ht="16.149999999999999" customHeight="1" x14ac:dyDescent="0.15">
      <c r="A1304" s="55"/>
      <c r="B1304" s="55"/>
      <c r="C1304" s="55"/>
      <c r="D1304" s="55"/>
      <c r="E1304" s="55"/>
      <c r="F1304" s="55"/>
      <c r="G1304" s="55"/>
      <c r="H1304" s="55"/>
      <c r="I1304" s="55"/>
      <c r="J1304" s="55"/>
      <c r="K1304" s="55"/>
      <c r="L1304" s="55"/>
      <c r="M1304" s="55"/>
      <c r="N1304" s="55"/>
      <c r="O1304" s="55"/>
      <c r="P1304" s="55"/>
      <c r="Q1304" s="55"/>
      <c r="R1304" s="55"/>
      <c r="S1304" s="55"/>
      <c r="T1304" s="55"/>
      <c r="U1304" s="55"/>
      <c r="V1304" s="55"/>
      <c r="W1304" s="55"/>
      <c r="X1304" s="55"/>
      <c r="Y1304" s="55"/>
    </row>
    <row r="1305" spans="1:25" ht="16.149999999999999" customHeight="1" x14ac:dyDescent="0.15">
      <c r="A1305" s="55"/>
      <c r="B1305" s="55"/>
      <c r="C1305" s="55"/>
      <c r="D1305" s="55"/>
      <c r="E1305" s="55"/>
      <c r="F1305" s="55"/>
      <c r="G1305" s="55"/>
      <c r="H1305" s="55"/>
      <c r="I1305" s="55"/>
      <c r="J1305" s="55"/>
      <c r="K1305" s="55"/>
      <c r="L1305" s="55"/>
      <c r="M1305" s="55"/>
      <c r="N1305" s="55"/>
      <c r="O1305" s="55"/>
      <c r="P1305" s="55"/>
      <c r="Q1305" s="55"/>
      <c r="R1305" s="55"/>
      <c r="S1305" s="55"/>
      <c r="T1305" s="55"/>
      <c r="U1305" s="55"/>
      <c r="V1305" s="55"/>
      <c r="W1305" s="55"/>
      <c r="X1305" s="55"/>
      <c r="Y1305" s="55"/>
    </row>
    <row r="1306" spans="1:25" ht="16.149999999999999" customHeight="1" x14ac:dyDescent="0.15">
      <c r="A1306" s="55"/>
      <c r="B1306" s="55"/>
      <c r="C1306" s="55"/>
      <c r="D1306" s="55"/>
      <c r="E1306" s="55"/>
      <c r="F1306" s="55"/>
      <c r="G1306" s="55"/>
      <c r="H1306" s="55"/>
      <c r="I1306" s="55"/>
      <c r="J1306" s="55"/>
      <c r="K1306" s="55"/>
      <c r="L1306" s="55"/>
      <c r="M1306" s="55"/>
      <c r="N1306" s="55"/>
      <c r="O1306" s="55"/>
      <c r="P1306" s="55"/>
      <c r="Q1306" s="55"/>
      <c r="R1306" s="55"/>
      <c r="S1306" s="55"/>
      <c r="T1306" s="55"/>
      <c r="U1306" s="55"/>
      <c r="V1306" s="55"/>
      <c r="W1306" s="55"/>
      <c r="X1306" s="55"/>
      <c r="Y1306" s="55"/>
    </row>
    <row r="1307" spans="1:25" ht="16.149999999999999" customHeight="1" x14ac:dyDescent="0.15">
      <c r="A1307" s="55"/>
      <c r="B1307" s="55"/>
      <c r="C1307" s="55"/>
      <c r="D1307" s="55"/>
      <c r="E1307" s="55"/>
      <c r="F1307" s="55"/>
      <c r="G1307" s="55"/>
      <c r="H1307" s="55"/>
      <c r="I1307" s="55"/>
      <c r="J1307" s="55"/>
      <c r="K1307" s="55"/>
      <c r="L1307" s="55"/>
      <c r="M1307" s="55"/>
      <c r="N1307" s="55"/>
      <c r="O1307" s="55"/>
      <c r="P1307" s="55"/>
      <c r="Q1307" s="55"/>
      <c r="R1307" s="55"/>
      <c r="S1307" s="55"/>
      <c r="T1307" s="55"/>
      <c r="U1307" s="55"/>
      <c r="V1307" s="55"/>
      <c r="W1307" s="55"/>
      <c r="X1307" s="55"/>
      <c r="Y1307" s="55"/>
    </row>
    <row r="1308" spans="1:25" ht="16.149999999999999" customHeight="1" x14ac:dyDescent="0.15">
      <c r="A1308" s="55"/>
      <c r="B1308" s="55"/>
      <c r="C1308" s="55"/>
      <c r="D1308" s="55"/>
      <c r="E1308" s="55"/>
      <c r="F1308" s="55"/>
      <c r="G1308" s="55"/>
      <c r="H1308" s="55"/>
      <c r="I1308" s="55"/>
      <c r="J1308" s="55"/>
      <c r="K1308" s="55"/>
      <c r="L1308" s="55"/>
      <c r="M1308" s="55"/>
      <c r="N1308" s="55"/>
      <c r="O1308" s="55"/>
      <c r="P1308" s="55"/>
      <c r="Q1308" s="55"/>
      <c r="R1308" s="55"/>
      <c r="S1308" s="55"/>
      <c r="T1308" s="55"/>
      <c r="U1308" s="55"/>
      <c r="V1308" s="55"/>
      <c r="W1308" s="55"/>
      <c r="X1308" s="55"/>
      <c r="Y1308" s="55"/>
    </row>
    <row r="1309" spans="1:25" ht="16.149999999999999" customHeight="1" x14ac:dyDescent="0.15">
      <c r="A1309" s="55"/>
      <c r="B1309" s="55"/>
      <c r="C1309" s="55"/>
      <c r="D1309" s="55"/>
      <c r="E1309" s="55"/>
      <c r="F1309" s="55"/>
      <c r="G1309" s="55"/>
      <c r="H1309" s="55"/>
      <c r="I1309" s="55"/>
      <c r="J1309" s="55"/>
      <c r="K1309" s="55"/>
      <c r="L1309" s="55"/>
      <c r="M1309" s="55"/>
      <c r="N1309" s="55"/>
      <c r="O1309" s="55"/>
      <c r="P1309" s="55"/>
      <c r="Q1309" s="55"/>
      <c r="R1309" s="55"/>
      <c r="S1309" s="55"/>
      <c r="T1309" s="55"/>
      <c r="U1309" s="55"/>
      <c r="V1309" s="55"/>
      <c r="W1309" s="55"/>
      <c r="X1309" s="55"/>
      <c r="Y1309" s="55"/>
    </row>
    <row r="1310" spans="1:25" ht="16.149999999999999" customHeight="1" x14ac:dyDescent="0.15">
      <c r="W1310"/>
    </row>
    <row r="1311" spans="1:25" ht="16.149999999999999" customHeight="1" x14ac:dyDescent="0.15">
      <c r="W1311"/>
    </row>
    <row r="1312" spans="1:25" ht="16.149999999999999" customHeight="1" x14ac:dyDescent="0.15">
      <c r="W1312"/>
    </row>
    <row r="1313" spans="23:23" ht="16.149999999999999" customHeight="1" x14ac:dyDescent="0.15">
      <c r="W1313"/>
    </row>
    <row r="1314" spans="23:23" ht="16.149999999999999" customHeight="1" x14ac:dyDescent="0.15">
      <c r="W1314"/>
    </row>
    <row r="1315" spans="23:23" ht="16.149999999999999" customHeight="1" x14ac:dyDescent="0.15">
      <c r="W1315"/>
    </row>
    <row r="1316" spans="23:23" ht="16.149999999999999" customHeight="1" x14ac:dyDescent="0.15">
      <c r="W1316"/>
    </row>
    <row r="1317" spans="23:23" ht="16.149999999999999" customHeight="1" x14ac:dyDescent="0.15">
      <c r="W1317"/>
    </row>
    <row r="1318" spans="23:23" ht="16.149999999999999" customHeight="1" x14ac:dyDescent="0.15">
      <c r="W1318"/>
    </row>
    <row r="1319" spans="23:23" ht="16.149999999999999" customHeight="1" x14ac:dyDescent="0.15">
      <c r="W1319"/>
    </row>
    <row r="1320" spans="23:23" ht="16.149999999999999" customHeight="1" x14ac:dyDescent="0.15">
      <c r="W1320"/>
    </row>
    <row r="1321" spans="23:23" ht="16.149999999999999" customHeight="1" x14ac:dyDescent="0.15">
      <c r="W1321"/>
    </row>
    <row r="1322" spans="23:23" ht="16.149999999999999" customHeight="1" x14ac:dyDescent="0.15">
      <c r="W1322"/>
    </row>
    <row r="1323" spans="23:23" ht="16.149999999999999" customHeight="1" x14ac:dyDescent="0.15">
      <c r="W1323"/>
    </row>
    <row r="1324" spans="23:23" ht="16.149999999999999" customHeight="1" x14ac:dyDescent="0.15">
      <c r="W1324"/>
    </row>
    <row r="1325" spans="23:23" ht="16.149999999999999" customHeight="1" x14ac:dyDescent="0.15">
      <c r="W1325"/>
    </row>
    <row r="1326" spans="23:23" ht="16.149999999999999" customHeight="1" x14ac:dyDescent="0.15">
      <c r="W1326"/>
    </row>
    <row r="1327" spans="23:23" ht="16.149999999999999" customHeight="1" x14ac:dyDescent="0.15">
      <c r="W1327"/>
    </row>
    <row r="1328" spans="23:23" ht="16.149999999999999" customHeight="1" x14ac:dyDescent="0.15">
      <c r="W1328"/>
    </row>
    <row r="1329" spans="1:25" ht="16.149999999999999" customHeight="1" x14ac:dyDescent="0.15">
      <c r="W1329"/>
    </row>
    <row r="1330" spans="1:25" ht="16.149999999999999" customHeight="1" x14ac:dyDescent="0.15">
      <c r="W1330"/>
    </row>
    <row r="1331" spans="1:25" ht="16.149999999999999" customHeight="1" x14ac:dyDescent="0.15">
      <c r="W1331"/>
    </row>
    <row r="1332" spans="1:25" ht="16.149999999999999" customHeight="1" x14ac:dyDescent="0.15">
      <c r="W1332"/>
    </row>
    <row r="1333" spans="1:25" ht="16.149999999999999" customHeight="1" x14ac:dyDescent="0.15">
      <c r="W1333"/>
    </row>
    <row r="1334" spans="1:25" ht="16.149999999999999" customHeight="1" x14ac:dyDescent="0.15">
      <c r="W1334"/>
    </row>
    <row r="1335" spans="1:25" ht="16.149999999999999" customHeight="1" x14ac:dyDescent="0.15">
      <c r="W1335"/>
    </row>
    <row r="1336" spans="1:25" ht="16.149999999999999" customHeight="1" x14ac:dyDescent="0.15">
      <c r="W1336"/>
    </row>
    <row r="1337" spans="1:25" ht="16.149999999999999" customHeight="1" x14ac:dyDescent="0.15">
      <c r="W1337"/>
    </row>
    <row r="1338" spans="1:25" ht="16.149999999999999" customHeight="1" x14ac:dyDescent="0.15">
      <c r="W1338"/>
    </row>
    <row r="1339" spans="1:25" ht="16.149999999999999" customHeight="1" x14ac:dyDescent="0.15">
      <c r="W1339"/>
    </row>
    <row r="1340" spans="1:25" ht="16.149999999999999" customHeight="1" x14ac:dyDescent="0.15">
      <c r="W1340"/>
    </row>
    <row r="1341" spans="1:25" ht="16.149999999999999" customHeight="1" x14ac:dyDescent="0.15">
      <c r="A1341" s="59"/>
      <c r="B1341" s="59"/>
      <c r="C1341" s="59"/>
      <c r="D1341" s="59"/>
      <c r="E1341" s="59"/>
      <c r="F1341" s="59"/>
      <c r="G1341" s="59"/>
      <c r="H1341" s="59"/>
      <c r="I1341" s="59"/>
      <c r="J1341" s="59"/>
      <c r="K1341" s="59"/>
      <c r="L1341" s="59"/>
      <c r="M1341" s="59"/>
      <c r="N1341" s="59"/>
      <c r="O1341" s="59"/>
      <c r="P1341" s="59"/>
      <c r="Q1341" s="59"/>
      <c r="R1341" s="59"/>
      <c r="S1341" s="59"/>
      <c r="T1341" s="59"/>
      <c r="U1341" s="59"/>
      <c r="V1341" s="59"/>
      <c r="W1341" s="59"/>
      <c r="X1341" s="59"/>
      <c r="Y1341" s="59"/>
    </row>
    <row r="1342" spans="1:25" ht="16.149999999999999" customHeight="1" x14ac:dyDescent="0.15">
      <c r="A1342" s="59"/>
      <c r="B1342" s="59"/>
      <c r="C1342" s="59"/>
      <c r="D1342" s="59"/>
      <c r="E1342" s="59"/>
      <c r="F1342" s="59"/>
      <c r="G1342" s="59"/>
      <c r="H1342" s="59"/>
      <c r="I1342" s="59"/>
      <c r="J1342" s="59"/>
      <c r="K1342" s="59"/>
      <c r="L1342" s="59"/>
      <c r="M1342" s="59"/>
      <c r="N1342" s="59"/>
      <c r="O1342" s="59"/>
      <c r="P1342" s="59"/>
      <c r="Q1342" s="59"/>
      <c r="R1342" s="59"/>
      <c r="S1342" s="59"/>
      <c r="T1342" s="59"/>
      <c r="U1342" s="59"/>
      <c r="V1342" s="59"/>
      <c r="W1342" s="59"/>
      <c r="X1342" s="59"/>
      <c r="Y1342" s="59"/>
    </row>
    <row r="1343" spans="1:25" ht="16.149999999999999" customHeight="1" x14ac:dyDescent="0.15">
      <c r="A1343" s="59"/>
      <c r="B1343" s="59"/>
      <c r="C1343" s="59"/>
      <c r="D1343" s="59"/>
      <c r="E1343" s="59"/>
      <c r="F1343" s="59"/>
      <c r="G1343" s="59"/>
      <c r="H1343" s="59"/>
      <c r="I1343" s="59"/>
      <c r="J1343" s="59"/>
      <c r="K1343" s="59"/>
      <c r="L1343" s="59"/>
      <c r="M1343" s="59"/>
      <c r="N1343" s="59"/>
      <c r="O1343" s="59"/>
      <c r="P1343" s="59"/>
      <c r="Q1343" s="59"/>
      <c r="R1343" s="59"/>
      <c r="S1343" s="59"/>
      <c r="T1343" s="59"/>
      <c r="U1343" s="59"/>
      <c r="V1343" s="59"/>
      <c r="W1343" s="59"/>
      <c r="X1343" s="59"/>
      <c r="Y1343" s="59"/>
    </row>
    <row r="1344" spans="1:25" ht="16.149999999999999" customHeight="1" x14ac:dyDescent="0.15">
      <c r="W1344"/>
    </row>
    <row r="1345" spans="1:25" ht="16.149999999999999" customHeight="1" x14ac:dyDescent="0.15">
      <c r="A1345" s="59"/>
      <c r="B1345" s="59"/>
      <c r="C1345" s="59"/>
      <c r="D1345" s="59"/>
      <c r="E1345" s="59"/>
      <c r="F1345" s="59"/>
      <c r="G1345" s="59"/>
      <c r="H1345" s="59"/>
      <c r="I1345" s="59"/>
      <c r="J1345" s="59"/>
      <c r="K1345" s="59"/>
      <c r="L1345" s="59"/>
      <c r="M1345" s="59"/>
      <c r="N1345" s="59"/>
      <c r="O1345" s="59"/>
      <c r="P1345" s="59"/>
      <c r="Q1345" s="59"/>
      <c r="R1345" s="59"/>
      <c r="S1345" s="59"/>
      <c r="T1345" s="59"/>
      <c r="U1345" s="59"/>
      <c r="V1345" s="59"/>
      <c r="W1345" s="59"/>
      <c r="X1345" s="59"/>
      <c r="Y1345" s="59"/>
    </row>
    <row r="1346" spans="1:25" ht="16.149999999999999" customHeight="1" x14ac:dyDescent="0.15">
      <c r="W1346"/>
    </row>
    <row r="1347" spans="1:25" ht="16.149999999999999" customHeight="1" x14ac:dyDescent="0.15">
      <c r="W1347"/>
    </row>
    <row r="1348" spans="1:25" ht="16.149999999999999" customHeight="1" x14ac:dyDescent="0.15">
      <c r="W1348"/>
    </row>
    <row r="1349" spans="1:25" ht="16.149999999999999" customHeight="1" x14ac:dyDescent="0.15">
      <c r="A1349" s="59"/>
      <c r="B1349" s="59"/>
      <c r="C1349" s="59"/>
      <c r="D1349" s="59"/>
      <c r="E1349" s="59"/>
      <c r="F1349" s="59"/>
      <c r="G1349" s="59"/>
      <c r="H1349" s="59"/>
      <c r="I1349" s="59"/>
      <c r="J1349" s="59"/>
      <c r="K1349" s="59"/>
      <c r="L1349" s="59"/>
      <c r="M1349" s="59"/>
      <c r="N1349" s="59"/>
      <c r="O1349" s="59"/>
      <c r="P1349" s="59"/>
      <c r="Q1349" s="59"/>
      <c r="R1349" s="59"/>
      <c r="S1349" s="59"/>
      <c r="T1349" s="59"/>
      <c r="U1349" s="59"/>
      <c r="V1349" s="59"/>
      <c r="W1349" s="59"/>
      <c r="X1349" s="59"/>
      <c r="Y1349" s="59"/>
    </row>
    <row r="1350" spans="1:25" ht="16.149999999999999" customHeight="1" x14ac:dyDescent="0.15">
      <c r="A1350" s="59"/>
      <c r="B1350" s="59"/>
      <c r="C1350" s="59"/>
      <c r="D1350" s="59"/>
      <c r="E1350" s="59"/>
      <c r="F1350" s="59"/>
      <c r="G1350" s="59"/>
      <c r="H1350" s="59"/>
      <c r="I1350" s="59"/>
      <c r="J1350" s="59"/>
      <c r="K1350" s="59"/>
      <c r="L1350" s="59"/>
      <c r="M1350" s="59"/>
      <c r="N1350" s="59"/>
      <c r="O1350" s="59"/>
      <c r="P1350" s="59"/>
      <c r="Q1350" s="59"/>
      <c r="R1350" s="59"/>
      <c r="S1350" s="59"/>
      <c r="T1350" s="59"/>
      <c r="U1350" s="59"/>
      <c r="V1350" s="59"/>
      <c r="W1350" s="59"/>
      <c r="X1350" s="59"/>
      <c r="Y1350" s="59"/>
    </row>
    <row r="1351" spans="1:25" ht="16.149999999999999" customHeight="1" x14ac:dyDescent="0.15">
      <c r="W1351"/>
    </row>
    <row r="1352" spans="1:25" ht="16.149999999999999" customHeight="1" x14ac:dyDescent="0.15">
      <c r="A1352" s="59"/>
      <c r="B1352" s="59"/>
      <c r="C1352" s="59"/>
      <c r="D1352" s="59"/>
      <c r="E1352" s="59"/>
      <c r="F1352" s="59"/>
      <c r="G1352" s="59"/>
      <c r="H1352" s="59"/>
      <c r="I1352" s="59"/>
      <c r="J1352" s="59"/>
      <c r="K1352" s="59"/>
      <c r="L1352" s="59"/>
      <c r="M1352" s="59"/>
      <c r="N1352" s="59"/>
      <c r="O1352" s="59"/>
      <c r="P1352" s="59"/>
      <c r="Q1352" s="59"/>
      <c r="R1352" s="59"/>
      <c r="S1352" s="59"/>
      <c r="T1352" s="59"/>
      <c r="U1352" s="59"/>
      <c r="V1352" s="59"/>
      <c r="W1352" s="59"/>
      <c r="X1352" s="59"/>
      <c r="Y1352" s="59"/>
    </row>
    <row r="1353" spans="1:25" ht="16.149999999999999" customHeight="1" x14ac:dyDescent="0.15">
      <c r="W1353"/>
    </row>
    <row r="1354" spans="1:25" ht="16.149999999999999" customHeight="1" x14ac:dyDescent="0.15">
      <c r="W1354"/>
    </row>
    <row r="1355" spans="1:25" ht="16.149999999999999" customHeight="1" x14ac:dyDescent="0.15">
      <c r="A1355" s="59"/>
      <c r="B1355" s="59"/>
      <c r="C1355" s="59"/>
      <c r="D1355" s="59"/>
      <c r="E1355" s="59"/>
      <c r="F1355" s="59"/>
      <c r="G1355" s="59"/>
      <c r="H1355" s="59"/>
      <c r="I1355" s="59"/>
      <c r="J1355" s="59"/>
      <c r="K1355" s="59"/>
      <c r="L1355" s="59"/>
      <c r="M1355" s="59"/>
      <c r="N1355" s="59"/>
      <c r="O1355" s="59"/>
      <c r="P1355" s="59"/>
      <c r="Q1355" s="59"/>
      <c r="R1355" s="59"/>
      <c r="S1355" s="59"/>
      <c r="T1355" s="59"/>
      <c r="U1355" s="59"/>
      <c r="V1355" s="59"/>
      <c r="W1355" s="59"/>
      <c r="X1355" s="59"/>
      <c r="Y1355" s="59"/>
    </row>
    <row r="1356" spans="1:25" ht="16.149999999999999" customHeight="1" x14ac:dyDescent="0.15">
      <c r="A1356" s="59"/>
      <c r="B1356" s="59"/>
      <c r="C1356" s="59"/>
      <c r="D1356" s="59"/>
      <c r="E1356" s="59"/>
      <c r="F1356" s="59"/>
      <c r="G1356" s="59"/>
      <c r="H1356" s="59"/>
      <c r="I1356" s="59"/>
      <c r="J1356" s="59"/>
      <c r="K1356" s="59"/>
      <c r="L1356" s="59"/>
      <c r="M1356" s="59"/>
      <c r="N1356" s="59"/>
      <c r="O1356" s="59"/>
      <c r="P1356" s="59"/>
      <c r="Q1356" s="59"/>
      <c r="R1356" s="59"/>
      <c r="S1356" s="59"/>
      <c r="T1356" s="59"/>
      <c r="U1356" s="59"/>
      <c r="V1356" s="59"/>
      <c r="W1356" s="59"/>
      <c r="X1356" s="59"/>
      <c r="Y1356" s="59"/>
    </row>
    <row r="1357" spans="1:25" ht="16.149999999999999" customHeight="1" x14ac:dyDescent="0.15">
      <c r="W1357"/>
    </row>
    <row r="1358" spans="1:25" ht="16.149999999999999" customHeight="1" x14ac:dyDescent="0.15">
      <c r="W1358"/>
    </row>
    <row r="1359" spans="1:25" ht="16.149999999999999" customHeight="1" x14ac:dyDescent="0.15">
      <c r="W1359"/>
    </row>
    <row r="1360" spans="1:25" ht="16.149999999999999" customHeight="1" x14ac:dyDescent="0.15">
      <c r="W1360"/>
    </row>
    <row r="1361" spans="23:23" ht="16.149999999999999" customHeight="1" x14ac:dyDescent="0.15">
      <c r="W1361"/>
    </row>
    <row r="1362" spans="23:23" ht="16.149999999999999" customHeight="1" x14ac:dyDescent="0.15">
      <c r="W1362"/>
    </row>
    <row r="1363" spans="23:23" ht="16.149999999999999" customHeight="1" x14ac:dyDescent="0.15">
      <c r="W1363"/>
    </row>
    <row r="1364" spans="23:23" ht="16.149999999999999" customHeight="1" x14ac:dyDescent="0.15">
      <c r="W1364"/>
    </row>
    <row r="1365" spans="23:23" ht="16.149999999999999" customHeight="1" x14ac:dyDescent="0.15">
      <c r="W1365"/>
    </row>
    <row r="1366" spans="23:23" ht="16.149999999999999" customHeight="1" x14ac:dyDescent="0.15">
      <c r="W1366"/>
    </row>
    <row r="1367" spans="23:23" ht="16.149999999999999" customHeight="1" x14ac:dyDescent="0.15">
      <c r="W1367"/>
    </row>
    <row r="1368" spans="23:23" ht="16.149999999999999" customHeight="1" x14ac:dyDescent="0.15">
      <c r="W1368"/>
    </row>
    <row r="1369" spans="23:23" ht="16.149999999999999" customHeight="1" x14ac:dyDescent="0.15">
      <c r="W1369"/>
    </row>
    <row r="1370" spans="23:23" ht="16.149999999999999" customHeight="1" x14ac:dyDescent="0.15">
      <c r="W1370"/>
    </row>
    <row r="1371" spans="23:23" ht="16.149999999999999" customHeight="1" x14ac:dyDescent="0.15">
      <c r="W1371"/>
    </row>
    <row r="1372" spans="23:23" ht="16.149999999999999" customHeight="1" x14ac:dyDescent="0.15">
      <c r="W1372"/>
    </row>
    <row r="1373" spans="23:23" ht="16.149999999999999" customHeight="1" x14ac:dyDescent="0.15">
      <c r="W1373"/>
    </row>
    <row r="1374" spans="23:23" ht="16.149999999999999" customHeight="1" x14ac:dyDescent="0.15">
      <c r="W1374"/>
    </row>
    <row r="1375" spans="23:23" ht="16.149999999999999" customHeight="1" x14ac:dyDescent="0.15">
      <c r="W1375"/>
    </row>
    <row r="1376" spans="23:23" ht="16.149999999999999" customHeight="1" x14ac:dyDescent="0.15">
      <c r="W1376"/>
    </row>
    <row r="1377" spans="1:25" ht="16.149999999999999" customHeight="1" x14ac:dyDescent="0.15">
      <c r="W1377"/>
    </row>
    <row r="1378" spans="1:25" ht="16.149999999999999" customHeight="1" x14ac:dyDescent="0.15">
      <c r="W1378"/>
    </row>
    <row r="1379" spans="1:25" ht="16.149999999999999" customHeight="1" x14ac:dyDescent="0.15">
      <c r="W1379"/>
    </row>
    <row r="1380" spans="1:25" ht="16.149999999999999" customHeight="1" x14ac:dyDescent="0.15">
      <c r="W1380"/>
    </row>
    <row r="1381" spans="1:25" ht="16.149999999999999" customHeight="1" x14ac:dyDescent="0.15">
      <c r="W1381"/>
    </row>
    <row r="1382" spans="1:25" ht="16.149999999999999" customHeight="1" x14ac:dyDescent="0.15">
      <c r="W1382"/>
    </row>
    <row r="1383" spans="1:25" ht="16.149999999999999" customHeight="1" x14ac:dyDescent="0.15">
      <c r="W1383"/>
    </row>
    <row r="1384" spans="1:25" ht="16.149999999999999" customHeight="1" x14ac:dyDescent="0.15">
      <c r="W1384"/>
    </row>
    <row r="1385" spans="1:25" ht="16.149999999999999" customHeight="1" x14ac:dyDescent="0.15">
      <c r="A1385" s="55"/>
      <c r="B1385" s="55"/>
      <c r="C1385" s="55"/>
      <c r="D1385" s="55"/>
      <c r="E1385" s="55"/>
      <c r="F1385" s="55"/>
      <c r="G1385" s="55"/>
      <c r="H1385" s="55"/>
      <c r="I1385" s="55"/>
      <c r="J1385" s="55"/>
      <c r="K1385" s="55"/>
      <c r="L1385" s="55"/>
      <c r="M1385" s="55"/>
      <c r="N1385" s="55"/>
      <c r="O1385" s="55"/>
      <c r="P1385" s="55"/>
      <c r="Q1385" s="55"/>
      <c r="R1385" s="55"/>
      <c r="S1385" s="55"/>
      <c r="T1385" s="55"/>
      <c r="U1385" s="55"/>
      <c r="V1385" s="55"/>
      <c r="W1385" s="55"/>
      <c r="X1385" s="55"/>
      <c r="Y1385" s="55"/>
    </row>
    <row r="1386" spans="1:25" ht="16.149999999999999" customHeight="1" x14ac:dyDescent="0.15">
      <c r="W1386"/>
    </row>
    <row r="1387" spans="1:25" ht="16.149999999999999" customHeight="1" x14ac:dyDescent="0.15">
      <c r="W1387"/>
    </row>
    <row r="1388" spans="1:25" ht="16.149999999999999" customHeight="1" x14ac:dyDescent="0.15">
      <c r="W1388"/>
    </row>
    <row r="1389" spans="1:25" ht="16.149999999999999" customHeight="1" x14ac:dyDescent="0.15">
      <c r="W1389"/>
    </row>
    <row r="1390" spans="1:25" ht="16.149999999999999" customHeight="1" x14ac:dyDescent="0.15">
      <c r="W1390"/>
    </row>
    <row r="1391" spans="1:25" ht="16.149999999999999" customHeight="1" x14ac:dyDescent="0.15">
      <c r="W1391"/>
    </row>
    <row r="1392" spans="1:25" ht="16.149999999999999" customHeight="1" x14ac:dyDescent="0.15">
      <c r="W1392"/>
    </row>
    <row r="1393" spans="1:25" ht="16.149999999999999" customHeight="1" x14ac:dyDescent="0.15">
      <c r="W1393"/>
    </row>
    <row r="1394" spans="1:25" ht="16.149999999999999" customHeight="1" x14ac:dyDescent="0.15">
      <c r="A1394" s="59"/>
      <c r="B1394" s="59"/>
      <c r="C1394" s="59"/>
      <c r="D1394" s="59"/>
      <c r="E1394" s="59"/>
      <c r="F1394" s="59"/>
      <c r="G1394" s="59"/>
      <c r="H1394" s="59"/>
      <c r="I1394" s="59"/>
      <c r="J1394" s="59"/>
      <c r="K1394" s="59"/>
      <c r="L1394" s="59"/>
      <c r="M1394" s="59"/>
      <c r="N1394" s="59"/>
      <c r="O1394" s="59"/>
      <c r="P1394" s="59"/>
      <c r="Q1394" s="59"/>
      <c r="R1394" s="59"/>
      <c r="S1394" s="59"/>
      <c r="T1394" s="59"/>
      <c r="U1394" s="59"/>
      <c r="V1394" s="59"/>
      <c r="W1394" s="59"/>
      <c r="X1394" s="59"/>
      <c r="Y1394" s="59"/>
    </row>
    <row r="1395" spans="1:25" ht="16.149999999999999" customHeight="1" x14ac:dyDescent="0.15">
      <c r="W1395"/>
    </row>
    <row r="1396" spans="1:25" ht="16.149999999999999" customHeight="1" x14ac:dyDescent="0.15">
      <c r="W1396"/>
    </row>
    <row r="1397" spans="1:25" ht="16.149999999999999" customHeight="1" x14ac:dyDescent="0.15">
      <c r="W1397"/>
    </row>
    <row r="1398" spans="1:25" ht="16.149999999999999" customHeight="1" x14ac:dyDescent="0.15">
      <c r="A1398" s="55"/>
      <c r="B1398" s="55"/>
      <c r="C1398" s="55"/>
      <c r="D1398" s="55"/>
      <c r="E1398" s="55"/>
      <c r="F1398" s="55"/>
      <c r="G1398" s="55"/>
      <c r="H1398" s="55"/>
      <c r="I1398" s="55"/>
      <c r="J1398" s="55"/>
      <c r="K1398" s="55"/>
      <c r="L1398" s="55"/>
      <c r="M1398" s="55"/>
      <c r="N1398" s="55"/>
      <c r="O1398" s="55"/>
      <c r="P1398" s="55"/>
      <c r="Q1398" s="55"/>
      <c r="R1398" s="55"/>
      <c r="S1398" s="55"/>
      <c r="T1398" s="55"/>
      <c r="U1398" s="55"/>
      <c r="V1398" s="55"/>
      <c r="W1398" s="55"/>
      <c r="X1398" s="55"/>
      <c r="Y1398" s="55"/>
    </row>
    <row r="1399" spans="1:25" ht="16.149999999999999" customHeight="1" x14ac:dyDescent="0.15">
      <c r="A1399" s="55"/>
      <c r="B1399" s="55"/>
      <c r="C1399" s="55"/>
      <c r="D1399" s="55"/>
      <c r="E1399" s="55"/>
      <c r="F1399" s="55"/>
      <c r="G1399" s="55"/>
      <c r="H1399" s="55"/>
      <c r="I1399" s="55"/>
      <c r="J1399" s="55"/>
      <c r="K1399" s="55"/>
      <c r="L1399" s="55"/>
      <c r="M1399" s="55"/>
      <c r="N1399" s="55"/>
      <c r="O1399" s="55"/>
      <c r="P1399" s="55"/>
      <c r="Q1399" s="55"/>
      <c r="R1399" s="55"/>
      <c r="S1399" s="55"/>
      <c r="T1399" s="55"/>
      <c r="U1399" s="55"/>
      <c r="V1399" s="55"/>
      <c r="W1399" s="55"/>
      <c r="X1399" s="55"/>
      <c r="Y1399" s="55"/>
    </row>
    <row r="1400" spans="1:25" ht="16.149999999999999" customHeight="1" x14ac:dyDescent="0.15">
      <c r="A1400" s="55"/>
      <c r="B1400" s="55"/>
      <c r="C1400" s="55"/>
      <c r="D1400" s="55"/>
      <c r="E1400" s="55"/>
      <c r="F1400" s="55"/>
      <c r="G1400" s="55"/>
      <c r="H1400" s="55"/>
      <c r="I1400" s="55"/>
      <c r="J1400" s="55"/>
      <c r="K1400" s="55"/>
      <c r="L1400" s="55"/>
      <c r="M1400" s="55"/>
      <c r="N1400" s="55"/>
      <c r="O1400" s="55"/>
      <c r="P1400" s="55"/>
      <c r="Q1400" s="55"/>
      <c r="R1400" s="55"/>
      <c r="S1400" s="55"/>
      <c r="T1400" s="55"/>
      <c r="U1400" s="55"/>
      <c r="V1400" s="55"/>
      <c r="W1400" s="55"/>
      <c r="X1400" s="55"/>
      <c r="Y1400" s="55"/>
    </row>
    <row r="1401" spans="1:25" ht="16.149999999999999" customHeight="1" x14ac:dyDescent="0.15">
      <c r="A1401" s="55"/>
      <c r="B1401" s="55"/>
      <c r="C1401" s="55"/>
      <c r="D1401" s="55"/>
      <c r="E1401" s="55"/>
      <c r="F1401" s="55"/>
      <c r="G1401" s="55"/>
      <c r="H1401" s="55"/>
      <c r="I1401" s="55"/>
      <c r="J1401" s="55"/>
      <c r="K1401" s="55"/>
      <c r="L1401" s="55"/>
      <c r="M1401" s="55"/>
      <c r="N1401" s="55"/>
      <c r="O1401" s="55"/>
      <c r="P1401" s="55"/>
      <c r="Q1401" s="55"/>
      <c r="R1401" s="55"/>
      <c r="S1401" s="55"/>
      <c r="T1401" s="55"/>
      <c r="U1401" s="55"/>
      <c r="V1401" s="55"/>
      <c r="W1401" s="55"/>
      <c r="X1401" s="55"/>
      <c r="Y1401" s="55"/>
    </row>
    <row r="1402" spans="1:25" ht="16.149999999999999" customHeight="1" x14ac:dyDescent="0.15">
      <c r="W1402"/>
    </row>
    <row r="1403" spans="1:25" ht="16.149999999999999" customHeight="1" x14ac:dyDescent="0.15">
      <c r="W1403"/>
    </row>
    <row r="1404" spans="1:25" ht="16.149999999999999" customHeight="1" x14ac:dyDescent="0.15">
      <c r="A1404" s="59"/>
      <c r="B1404" s="59"/>
      <c r="C1404" s="59"/>
      <c r="D1404" s="59"/>
      <c r="E1404" s="59"/>
      <c r="F1404" s="59"/>
      <c r="G1404" s="59"/>
      <c r="H1404" s="59"/>
      <c r="I1404" s="59"/>
      <c r="J1404" s="59"/>
      <c r="K1404" s="59"/>
      <c r="L1404" s="59"/>
      <c r="M1404" s="59"/>
      <c r="N1404" s="59"/>
      <c r="O1404" s="59"/>
      <c r="P1404" s="59"/>
      <c r="Q1404" s="59"/>
      <c r="R1404" s="59"/>
      <c r="S1404" s="59"/>
      <c r="T1404" s="59"/>
      <c r="U1404" s="59"/>
      <c r="V1404" s="59"/>
      <c r="W1404" s="59"/>
      <c r="X1404" s="59"/>
      <c r="Y1404" s="59"/>
    </row>
    <row r="1405" spans="1:25" ht="16.149999999999999" customHeight="1" x14ac:dyDescent="0.15">
      <c r="A1405" s="55"/>
      <c r="B1405" s="55"/>
      <c r="C1405" s="55"/>
      <c r="D1405" s="55"/>
      <c r="E1405" s="55"/>
      <c r="F1405" s="55"/>
      <c r="G1405" s="55"/>
      <c r="H1405" s="55"/>
      <c r="I1405" s="55"/>
      <c r="J1405" s="55"/>
      <c r="K1405" s="55"/>
      <c r="L1405" s="55"/>
      <c r="M1405" s="55"/>
      <c r="N1405" s="55"/>
      <c r="O1405" s="55"/>
      <c r="P1405" s="55"/>
      <c r="Q1405" s="55"/>
      <c r="R1405" s="55"/>
      <c r="S1405" s="55"/>
      <c r="T1405" s="55"/>
      <c r="U1405" s="55"/>
      <c r="V1405" s="55"/>
      <c r="W1405" s="55"/>
      <c r="X1405" s="55"/>
      <c r="Y1405" s="55"/>
    </row>
    <row r="1406" spans="1:25" ht="16.149999999999999" customHeight="1" x14ac:dyDescent="0.15">
      <c r="A1406" s="59"/>
      <c r="B1406" s="59"/>
      <c r="C1406" s="59"/>
      <c r="D1406" s="59"/>
      <c r="E1406" s="59"/>
      <c r="F1406" s="59"/>
      <c r="G1406" s="59"/>
      <c r="H1406" s="59"/>
      <c r="I1406" s="59"/>
      <c r="J1406" s="59"/>
      <c r="K1406" s="59"/>
      <c r="L1406" s="59"/>
      <c r="M1406" s="59"/>
      <c r="N1406" s="59"/>
      <c r="O1406" s="59"/>
      <c r="P1406" s="59"/>
      <c r="Q1406" s="59"/>
      <c r="R1406" s="59"/>
      <c r="S1406" s="59"/>
      <c r="T1406" s="59"/>
      <c r="U1406" s="59"/>
      <c r="V1406" s="59"/>
      <c r="W1406" s="59"/>
      <c r="X1406" s="59"/>
      <c r="Y1406" s="59"/>
    </row>
    <row r="1407" spans="1:25" ht="16.149999999999999" customHeight="1" x14ac:dyDescent="0.15">
      <c r="A1407" s="59"/>
      <c r="B1407" s="59"/>
      <c r="C1407" s="59"/>
      <c r="D1407" s="59"/>
      <c r="E1407" s="59"/>
      <c r="F1407" s="59"/>
      <c r="G1407" s="59"/>
      <c r="H1407" s="59"/>
      <c r="I1407" s="59"/>
      <c r="J1407" s="59"/>
      <c r="K1407" s="59"/>
      <c r="L1407" s="59"/>
      <c r="M1407" s="59"/>
      <c r="N1407" s="59"/>
      <c r="O1407" s="59"/>
      <c r="P1407" s="59"/>
      <c r="Q1407" s="59"/>
      <c r="R1407" s="59"/>
      <c r="S1407" s="59"/>
      <c r="T1407" s="59"/>
      <c r="U1407" s="59"/>
      <c r="V1407" s="59"/>
      <c r="W1407" s="59"/>
      <c r="X1407" s="59"/>
      <c r="Y1407" s="59"/>
    </row>
    <row r="1408" spans="1:25" ht="16.149999999999999" customHeight="1" x14ac:dyDescent="0.15">
      <c r="A1408" s="55"/>
      <c r="B1408" s="55"/>
      <c r="C1408" s="55"/>
      <c r="D1408" s="55"/>
      <c r="E1408" s="55"/>
      <c r="F1408" s="55"/>
      <c r="G1408" s="55"/>
      <c r="H1408" s="55"/>
      <c r="I1408" s="55"/>
      <c r="J1408" s="55"/>
      <c r="K1408" s="55"/>
      <c r="L1408" s="55"/>
      <c r="M1408" s="55"/>
      <c r="N1408" s="55"/>
      <c r="O1408" s="55"/>
      <c r="P1408" s="55"/>
      <c r="Q1408" s="55"/>
      <c r="R1408" s="55"/>
      <c r="S1408" s="55"/>
      <c r="T1408" s="55"/>
      <c r="U1408" s="55"/>
      <c r="V1408" s="55"/>
      <c r="W1408" s="55"/>
      <c r="X1408" s="55"/>
      <c r="Y1408" s="55"/>
    </row>
    <row r="1409" spans="1:25" ht="16.149999999999999" customHeight="1" x14ac:dyDescent="0.15">
      <c r="A1409" s="55"/>
      <c r="B1409" s="55"/>
      <c r="C1409" s="55"/>
      <c r="D1409" s="55"/>
      <c r="E1409" s="55"/>
      <c r="F1409" s="55"/>
      <c r="G1409" s="55"/>
      <c r="H1409" s="55"/>
      <c r="I1409" s="55"/>
      <c r="J1409" s="55"/>
      <c r="K1409" s="55"/>
      <c r="L1409" s="55"/>
      <c r="M1409" s="55"/>
      <c r="N1409" s="55"/>
      <c r="O1409" s="55"/>
      <c r="P1409" s="55"/>
      <c r="Q1409" s="55"/>
      <c r="R1409" s="55"/>
      <c r="S1409" s="55"/>
      <c r="T1409" s="55"/>
      <c r="U1409" s="55"/>
      <c r="V1409" s="55"/>
      <c r="W1409" s="55"/>
      <c r="X1409" s="55"/>
      <c r="Y1409" s="55"/>
    </row>
    <row r="1410" spans="1:25" ht="16.149999999999999" customHeight="1" x14ac:dyDescent="0.15">
      <c r="A1410" s="55"/>
      <c r="B1410" s="55"/>
      <c r="C1410" s="55"/>
      <c r="D1410" s="55"/>
      <c r="E1410" s="55"/>
      <c r="F1410" s="55"/>
      <c r="G1410" s="55"/>
      <c r="H1410" s="55"/>
      <c r="I1410" s="55"/>
      <c r="J1410" s="55"/>
      <c r="K1410" s="55"/>
      <c r="L1410" s="55"/>
      <c r="M1410" s="55"/>
      <c r="N1410" s="55"/>
      <c r="O1410" s="55"/>
      <c r="P1410" s="55"/>
      <c r="Q1410" s="55"/>
      <c r="R1410" s="55"/>
      <c r="S1410" s="55"/>
      <c r="T1410" s="55"/>
      <c r="U1410" s="55"/>
      <c r="V1410" s="55"/>
      <c r="W1410" s="55"/>
      <c r="X1410" s="55"/>
      <c r="Y1410" s="55"/>
    </row>
    <row r="1411" spans="1:25" ht="16.149999999999999" customHeight="1" x14ac:dyDescent="0.15">
      <c r="A1411" s="59"/>
      <c r="B1411" s="59"/>
      <c r="C1411" s="59"/>
      <c r="D1411" s="59"/>
      <c r="E1411" s="59"/>
      <c r="F1411" s="59"/>
      <c r="G1411" s="59"/>
      <c r="H1411" s="59"/>
      <c r="I1411" s="59"/>
      <c r="J1411" s="59"/>
      <c r="K1411" s="59"/>
      <c r="L1411" s="59"/>
      <c r="M1411" s="59"/>
      <c r="N1411" s="59"/>
      <c r="O1411" s="59"/>
      <c r="P1411" s="59"/>
      <c r="Q1411" s="59"/>
      <c r="R1411" s="59"/>
      <c r="S1411" s="59"/>
      <c r="T1411" s="59"/>
      <c r="U1411" s="59"/>
      <c r="V1411" s="59"/>
      <c r="W1411" s="59"/>
      <c r="X1411" s="59"/>
      <c r="Y1411" s="59"/>
    </row>
    <row r="1412" spans="1:25" ht="16.149999999999999" customHeight="1" x14ac:dyDescent="0.15">
      <c r="A1412" s="59"/>
      <c r="B1412" s="59"/>
      <c r="C1412" s="59"/>
      <c r="D1412" s="59"/>
      <c r="E1412" s="59"/>
      <c r="F1412" s="59"/>
      <c r="G1412" s="59"/>
      <c r="H1412" s="59"/>
      <c r="I1412" s="59"/>
      <c r="J1412" s="59"/>
      <c r="K1412" s="59"/>
      <c r="L1412" s="59"/>
      <c r="M1412" s="59"/>
      <c r="N1412" s="59"/>
      <c r="O1412" s="59"/>
      <c r="P1412" s="59"/>
      <c r="Q1412" s="59"/>
      <c r="R1412" s="59"/>
      <c r="S1412" s="59"/>
      <c r="T1412" s="59"/>
      <c r="U1412" s="59"/>
      <c r="V1412" s="59"/>
      <c r="W1412" s="59"/>
      <c r="X1412" s="59"/>
      <c r="Y1412" s="59"/>
    </row>
    <row r="1413" spans="1:25" ht="16.149999999999999" customHeight="1" x14ac:dyDescent="0.15">
      <c r="A1413" s="59"/>
      <c r="B1413" s="59"/>
      <c r="C1413" s="59"/>
      <c r="D1413" s="59"/>
      <c r="E1413" s="59"/>
      <c r="F1413" s="59"/>
      <c r="G1413" s="59"/>
      <c r="H1413" s="59"/>
      <c r="I1413" s="59"/>
      <c r="J1413" s="59"/>
      <c r="K1413" s="59"/>
      <c r="L1413" s="59"/>
      <c r="M1413" s="59"/>
      <c r="N1413" s="59"/>
      <c r="O1413" s="59"/>
      <c r="P1413" s="59"/>
      <c r="Q1413" s="59"/>
      <c r="R1413" s="59"/>
      <c r="S1413" s="59"/>
      <c r="T1413" s="59"/>
      <c r="U1413" s="59"/>
      <c r="V1413" s="59"/>
      <c r="W1413" s="59"/>
      <c r="X1413" s="59"/>
      <c r="Y1413" s="59"/>
    </row>
    <row r="1414" spans="1:25" ht="16.149999999999999" customHeight="1" x14ac:dyDescent="0.15">
      <c r="A1414" s="59"/>
      <c r="B1414" s="59"/>
      <c r="C1414" s="59"/>
      <c r="D1414" s="59"/>
      <c r="E1414" s="59"/>
      <c r="F1414" s="59"/>
      <c r="G1414" s="59"/>
      <c r="H1414" s="59"/>
      <c r="I1414" s="59"/>
      <c r="J1414" s="59"/>
      <c r="K1414" s="59"/>
      <c r="L1414" s="59"/>
      <c r="M1414" s="59"/>
      <c r="N1414" s="59"/>
      <c r="O1414" s="59"/>
      <c r="P1414" s="59"/>
      <c r="Q1414" s="59"/>
      <c r="R1414" s="59"/>
      <c r="S1414" s="59"/>
      <c r="T1414" s="59"/>
      <c r="U1414" s="59"/>
      <c r="V1414" s="59"/>
      <c r="W1414" s="59"/>
      <c r="X1414" s="59"/>
      <c r="Y1414" s="59"/>
    </row>
    <row r="1415" spans="1:25" ht="16.149999999999999" customHeight="1" x14ac:dyDescent="0.15">
      <c r="A1415" s="59"/>
      <c r="B1415" s="59"/>
      <c r="C1415" s="59"/>
      <c r="D1415" s="59"/>
      <c r="E1415" s="59"/>
      <c r="F1415" s="59"/>
      <c r="G1415" s="59"/>
      <c r="H1415" s="59"/>
      <c r="I1415" s="59"/>
      <c r="J1415" s="59"/>
      <c r="K1415" s="59"/>
      <c r="L1415" s="59"/>
      <c r="M1415" s="59"/>
      <c r="N1415" s="59"/>
      <c r="O1415" s="59"/>
      <c r="P1415" s="59"/>
      <c r="Q1415" s="59"/>
      <c r="R1415" s="59"/>
      <c r="S1415" s="59"/>
      <c r="T1415" s="59"/>
      <c r="U1415" s="59"/>
      <c r="V1415" s="59"/>
      <c r="W1415" s="59"/>
      <c r="X1415" s="59"/>
      <c r="Y1415" s="59"/>
    </row>
    <row r="1416" spans="1:25" ht="16.149999999999999" customHeight="1" x14ac:dyDescent="0.15">
      <c r="A1416" s="59"/>
      <c r="B1416" s="59"/>
      <c r="C1416" s="59"/>
      <c r="D1416" s="59"/>
      <c r="E1416" s="59"/>
      <c r="F1416" s="59"/>
      <c r="G1416" s="59"/>
      <c r="H1416" s="59"/>
      <c r="I1416" s="59"/>
      <c r="J1416" s="59"/>
      <c r="K1416" s="59"/>
      <c r="L1416" s="59"/>
      <c r="M1416" s="59"/>
      <c r="N1416" s="59"/>
      <c r="O1416" s="59"/>
      <c r="P1416" s="59"/>
      <c r="Q1416" s="59"/>
      <c r="R1416" s="59"/>
      <c r="S1416" s="59"/>
      <c r="T1416" s="59"/>
      <c r="U1416" s="59"/>
      <c r="V1416" s="59"/>
      <c r="W1416" s="59"/>
      <c r="X1416" s="59"/>
      <c r="Y1416" s="59"/>
    </row>
    <row r="1417" spans="1:25" ht="16.149999999999999" customHeight="1" x14ac:dyDescent="0.15">
      <c r="W1417"/>
    </row>
    <row r="1418" spans="1:25" ht="16.149999999999999" customHeight="1" x14ac:dyDescent="0.15">
      <c r="A1418" s="64"/>
      <c r="B1418" s="64"/>
      <c r="C1418" s="64"/>
      <c r="D1418" s="64"/>
      <c r="E1418" s="64"/>
      <c r="F1418" s="64"/>
      <c r="G1418" s="64"/>
      <c r="H1418" s="64"/>
      <c r="I1418" s="64"/>
      <c r="J1418" s="64"/>
      <c r="K1418" s="64"/>
      <c r="L1418" s="64"/>
      <c r="M1418" s="64"/>
      <c r="N1418" s="64"/>
      <c r="O1418" s="64"/>
      <c r="P1418" s="64"/>
      <c r="Q1418" s="64"/>
      <c r="R1418" s="64"/>
      <c r="S1418" s="64"/>
      <c r="T1418" s="64"/>
      <c r="U1418" s="64"/>
      <c r="V1418" s="64"/>
      <c r="W1418" s="64"/>
      <c r="X1418" s="64"/>
      <c r="Y1418" s="64"/>
    </row>
    <row r="1419" spans="1:25" ht="16.149999999999999" customHeight="1" x14ac:dyDescent="0.15">
      <c r="W1419"/>
    </row>
    <row r="1420" spans="1:25" ht="16.149999999999999" customHeight="1" x14ac:dyDescent="0.15">
      <c r="A1420" s="64"/>
      <c r="B1420" s="64"/>
      <c r="C1420" s="64"/>
      <c r="D1420" s="64"/>
      <c r="E1420" s="64"/>
      <c r="F1420" s="64"/>
      <c r="G1420" s="64"/>
      <c r="H1420" s="64"/>
      <c r="I1420" s="64"/>
      <c r="J1420" s="64"/>
      <c r="K1420" s="64"/>
      <c r="L1420" s="64"/>
      <c r="M1420" s="64"/>
      <c r="N1420" s="64"/>
      <c r="O1420" s="64"/>
      <c r="P1420" s="64"/>
      <c r="Q1420" s="64"/>
      <c r="R1420" s="64"/>
      <c r="S1420" s="64"/>
      <c r="T1420" s="64"/>
      <c r="U1420" s="64"/>
      <c r="V1420" s="64"/>
      <c r="W1420" s="64"/>
      <c r="X1420" s="64"/>
      <c r="Y1420" s="64"/>
    </row>
    <row r="1421" spans="1:25" ht="16.149999999999999" customHeight="1" x14ac:dyDescent="0.15">
      <c r="W1421"/>
    </row>
    <row r="1422" spans="1:25" ht="16.149999999999999" customHeight="1" x14ac:dyDescent="0.15">
      <c r="A1422" s="64"/>
      <c r="B1422" s="64"/>
      <c r="C1422" s="64"/>
      <c r="D1422" s="64"/>
      <c r="E1422" s="64"/>
      <c r="F1422" s="64"/>
      <c r="G1422" s="64"/>
      <c r="H1422" s="64"/>
      <c r="I1422" s="64"/>
      <c r="J1422" s="64"/>
      <c r="K1422" s="64"/>
      <c r="L1422" s="64"/>
      <c r="M1422" s="64"/>
      <c r="N1422" s="64"/>
      <c r="O1422" s="64"/>
      <c r="P1422" s="64"/>
      <c r="Q1422" s="64"/>
      <c r="R1422" s="64"/>
      <c r="S1422" s="64"/>
      <c r="T1422" s="64"/>
      <c r="U1422" s="64"/>
      <c r="V1422" s="64"/>
      <c r="W1422" s="64"/>
      <c r="X1422" s="64"/>
      <c r="Y1422" s="64"/>
    </row>
    <row r="1423" spans="1:25" ht="16.149999999999999" customHeight="1" x14ac:dyDescent="0.15">
      <c r="W1423"/>
    </row>
    <row r="1424" spans="1:25" ht="16.149999999999999" customHeight="1" x14ac:dyDescent="0.15">
      <c r="W1424"/>
    </row>
    <row r="1425" spans="23:23" ht="16.149999999999999" customHeight="1" x14ac:dyDescent="0.15">
      <c r="W1425"/>
    </row>
    <row r="1426" spans="23:23" ht="16.149999999999999" customHeight="1" x14ac:dyDescent="0.15">
      <c r="W1426"/>
    </row>
    <row r="1427" spans="23:23" ht="16.149999999999999" customHeight="1" x14ac:dyDescent="0.15">
      <c r="W1427"/>
    </row>
    <row r="1428" spans="23:23" ht="16.149999999999999" customHeight="1" x14ac:dyDescent="0.15">
      <c r="W1428"/>
    </row>
    <row r="1429" spans="23:23" ht="16.149999999999999" customHeight="1" x14ac:dyDescent="0.15">
      <c r="W1429"/>
    </row>
    <row r="1430" spans="23:23" ht="16.149999999999999" customHeight="1" x14ac:dyDescent="0.15">
      <c r="W1430"/>
    </row>
    <row r="1431" spans="23:23" ht="16.149999999999999" customHeight="1" x14ac:dyDescent="0.15">
      <c r="W1431"/>
    </row>
    <row r="1432" spans="23:23" ht="16.149999999999999" customHeight="1" x14ac:dyDescent="0.15">
      <c r="W1432"/>
    </row>
    <row r="1433" spans="23:23" ht="16.149999999999999" customHeight="1" x14ac:dyDescent="0.15">
      <c r="W1433"/>
    </row>
    <row r="1434" spans="23:23" ht="16.149999999999999" customHeight="1" x14ac:dyDescent="0.15">
      <c r="W1434"/>
    </row>
    <row r="1435" spans="23:23" ht="16.149999999999999" customHeight="1" x14ac:dyDescent="0.15">
      <c r="W1435"/>
    </row>
    <row r="1436" spans="23:23" ht="16.149999999999999" customHeight="1" x14ac:dyDescent="0.15">
      <c r="W1436"/>
    </row>
    <row r="1437" spans="23:23" ht="16.149999999999999" customHeight="1" x14ac:dyDescent="0.15">
      <c r="W1437"/>
    </row>
    <row r="1438" spans="23:23" ht="16.149999999999999" customHeight="1" x14ac:dyDescent="0.15">
      <c r="W1438"/>
    </row>
    <row r="1439" spans="23:23" ht="16.149999999999999" customHeight="1" x14ac:dyDescent="0.15">
      <c r="W1439"/>
    </row>
    <row r="1440" spans="23:23" ht="16.149999999999999" customHeight="1" x14ac:dyDescent="0.15">
      <c r="W1440"/>
    </row>
    <row r="1441" spans="1:25" ht="16.149999999999999" customHeight="1" x14ac:dyDescent="0.15">
      <c r="A1441" s="59"/>
      <c r="B1441" s="59"/>
      <c r="C1441" s="59"/>
      <c r="D1441" s="59"/>
      <c r="E1441" s="59"/>
      <c r="F1441" s="59"/>
      <c r="G1441" s="59"/>
      <c r="H1441" s="59"/>
      <c r="I1441" s="59"/>
      <c r="J1441" s="59"/>
      <c r="K1441" s="59"/>
      <c r="L1441" s="59"/>
      <c r="M1441" s="59"/>
      <c r="N1441" s="59"/>
      <c r="O1441" s="59"/>
      <c r="P1441" s="59"/>
      <c r="Q1441" s="59"/>
      <c r="R1441" s="59"/>
      <c r="S1441" s="59"/>
      <c r="T1441" s="59"/>
      <c r="U1441" s="59"/>
      <c r="V1441" s="59"/>
      <c r="W1441" s="59"/>
      <c r="X1441" s="59"/>
      <c r="Y1441" s="59"/>
    </row>
    <row r="1442" spans="1:25" ht="16.149999999999999" customHeight="1" x14ac:dyDescent="0.15">
      <c r="W1442"/>
    </row>
    <row r="1443" spans="1:25" ht="16.149999999999999" customHeight="1" x14ac:dyDescent="0.15">
      <c r="W1443"/>
    </row>
    <row r="1444" spans="1:25" ht="16.149999999999999" customHeight="1" x14ac:dyDescent="0.15">
      <c r="W1444"/>
    </row>
    <row r="1445" spans="1:25" ht="16.149999999999999" customHeight="1" x14ac:dyDescent="0.15">
      <c r="W1445"/>
    </row>
    <row r="1446" spans="1:25" ht="16.149999999999999" customHeight="1" x14ac:dyDescent="0.15">
      <c r="W1446"/>
    </row>
    <row r="1447" spans="1:25" ht="16.149999999999999" customHeight="1" x14ac:dyDescent="0.15">
      <c r="A1447" s="59"/>
      <c r="B1447" s="59"/>
      <c r="C1447" s="59"/>
      <c r="D1447" s="59"/>
      <c r="E1447" s="59"/>
      <c r="F1447" s="59"/>
      <c r="G1447" s="59"/>
      <c r="H1447" s="59"/>
      <c r="I1447" s="59"/>
      <c r="J1447" s="59"/>
      <c r="K1447" s="59"/>
      <c r="L1447" s="59"/>
      <c r="M1447" s="59"/>
      <c r="N1447" s="59"/>
      <c r="O1447" s="59"/>
      <c r="P1447" s="59"/>
      <c r="Q1447" s="59"/>
      <c r="R1447" s="59"/>
      <c r="S1447" s="59"/>
      <c r="T1447" s="59"/>
      <c r="U1447" s="59"/>
      <c r="V1447" s="59"/>
      <c r="W1447" s="59"/>
      <c r="X1447" s="59"/>
      <c r="Y1447" s="59"/>
    </row>
    <row r="1448" spans="1:25" ht="16.149999999999999" customHeight="1" x14ac:dyDescent="0.15">
      <c r="A1448" s="59"/>
      <c r="B1448" s="59"/>
      <c r="C1448" s="59"/>
      <c r="D1448" s="59"/>
      <c r="E1448" s="59"/>
      <c r="F1448" s="59"/>
      <c r="G1448" s="59"/>
      <c r="H1448" s="59"/>
      <c r="I1448" s="59"/>
      <c r="J1448" s="59"/>
      <c r="K1448" s="59"/>
      <c r="L1448" s="59"/>
      <c r="M1448" s="59"/>
      <c r="N1448" s="59"/>
      <c r="O1448" s="59"/>
      <c r="P1448" s="59"/>
      <c r="Q1448" s="59"/>
      <c r="R1448" s="59"/>
      <c r="S1448" s="59"/>
      <c r="T1448" s="59"/>
      <c r="U1448" s="59"/>
      <c r="V1448" s="59"/>
      <c r="W1448" s="59"/>
      <c r="X1448" s="59"/>
      <c r="Y1448" s="59"/>
    </row>
    <row r="1449" spans="1:25" ht="16.149999999999999" customHeight="1" x14ac:dyDescent="0.15">
      <c r="W1449"/>
    </row>
    <row r="1450" spans="1:25" ht="16.149999999999999" customHeight="1" x14ac:dyDescent="0.15">
      <c r="W1450"/>
    </row>
    <row r="1451" spans="1:25" ht="16.149999999999999" customHeight="1" x14ac:dyDescent="0.15">
      <c r="W1451"/>
    </row>
    <row r="1452" spans="1:25" ht="16.149999999999999" customHeight="1" x14ac:dyDescent="0.15">
      <c r="A1452" s="59"/>
      <c r="B1452" s="59"/>
      <c r="C1452" s="59"/>
      <c r="D1452" s="59"/>
      <c r="E1452" s="59"/>
      <c r="F1452" s="59"/>
      <c r="G1452" s="59"/>
      <c r="H1452" s="59"/>
      <c r="I1452" s="59"/>
      <c r="J1452" s="59"/>
      <c r="K1452" s="59"/>
      <c r="L1452" s="59"/>
      <c r="M1452" s="59"/>
      <c r="N1452" s="59"/>
      <c r="O1452" s="59"/>
      <c r="P1452" s="59"/>
      <c r="Q1452" s="59"/>
      <c r="R1452" s="59"/>
      <c r="S1452" s="59"/>
      <c r="T1452" s="59"/>
      <c r="U1452" s="59"/>
      <c r="V1452" s="59"/>
      <c r="W1452" s="59"/>
      <c r="X1452" s="59"/>
      <c r="Y1452" s="59"/>
    </row>
    <row r="1453" spans="1:25" ht="16.149999999999999" customHeight="1" x14ac:dyDescent="0.15">
      <c r="A1453" s="59"/>
      <c r="B1453" s="59"/>
      <c r="C1453" s="59"/>
      <c r="D1453" s="59"/>
      <c r="E1453" s="59"/>
      <c r="F1453" s="59"/>
      <c r="G1453" s="59"/>
      <c r="H1453" s="59"/>
      <c r="I1453" s="59"/>
      <c r="J1453" s="59"/>
      <c r="K1453" s="59"/>
      <c r="L1453" s="59"/>
      <c r="M1453" s="59"/>
      <c r="N1453" s="59"/>
      <c r="O1453" s="59"/>
      <c r="P1453" s="59"/>
      <c r="Q1453" s="59"/>
      <c r="R1453" s="59"/>
      <c r="S1453" s="59"/>
      <c r="T1453" s="59"/>
      <c r="U1453" s="59"/>
      <c r="V1453" s="59"/>
      <c r="W1453" s="59"/>
      <c r="X1453" s="59"/>
      <c r="Y1453" s="59"/>
    </row>
    <row r="1454" spans="1:25" ht="16.149999999999999" customHeight="1" x14ac:dyDescent="0.15">
      <c r="A1454" s="59"/>
      <c r="B1454" s="59"/>
      <c r="C1454" s="59"/>
      <c r="D1454" s="59"/>
      <c r="E1454" s="59"/>
      <c r="F1454" s="59"/>
      <c r="G1454" s="59"/>
      <c r="H1454" s="59"/>
      <c r="I1454" s="59"/>
      <c r="J1454" s="59"/>
      <c r="K1454" s="59"/>
      <c r="L1454" s="59"/>
      <c r="M1454" s="59"/>
      <c r="N1454" s="59"/>
      <c r="O1454" s="59"/>
      <c r="P1454" s="59"/>
      <c r="Q1454" s="59"/>
      <c r="R1454" s="59"/>
      <c r="S1454" s="59"/>
      <c r="T1454" s="59"/>
      <c r="U1454" s="59"/>
      <c r="V1454" s="59"/>
      <c r="W1454" s="59"/>
      <c r="X1454" s="59"/>
      <c r="Y1454" s="59"/>
    </row>
    <row r="1455" spans="1:25" ht="16.149999999999999" customHeight="1" x14ac:dyDescent="0.15">
      <c r="W1455"/>
    </row>
    <row r="1456" spans="1:25" ht="16.149999999999999" customHeight="1" x14ac:dyDescent="0.15">
      <c r="W1456"/>
    </row>
    <row r="1457" spans="1:25" ht="16.149999999999999" customHeight="1" x14ac:dyDescent="0.15">
      <c r="W1457"/>
    </row>
    <row r="1458" spans="1:25" ht="16.149999999999999" customHeight="1" x14ac:dyDescent="0.15">
      <c r="A1458" s="59"/>
      <c r="B1458" s="59"/>
      <c r="C1458" s="59"/>
      <c r="D1458" s="59"/>
      <c r="E1458" s="59"/>
      <c r="F1458" s="59"/>
      <c r="G1458" s="59"/>
      <c r="H1458" s="59"/>
      <c r="I1458" s="59"/>
      <c r="J1458" s="59"/>
      <c r="K1458" s="59"/>
      <c r="L1458" s="59"/>
      <c r="M1458" s="59"/>
      <c r="N1458" s="59"/>
      <c r="O1458" s="59"/>
      <c r="P1458" s="59"/>
      <c r="Q1458" s="59"/>
      <c r="R1458" s="59"/>
      <c r="S1458" s="59"/>
      <c r="T1458" s="59"/>
      <c r="U1458" s="59"/>
      <c r="V1458" s="59"/>
      <c r="W1458" s="59"/>
      <c r="X1458" s="59"/>
      <c r="Y1458" s="59"/>
    </row>
    <row r="1459" spans="1:25" ht="16.149999999999999" customHeight="1" x14ac:dyDescent="0.15">
      <c r="W1459"/>
    </row>
    <row r="1460" spans="1:25" ht="16.149999999999999" customHeight="1" x14ac:dyDescent="0.15">
      <c r="W1460"/>
    </row>
    <row r="1461" spans="1:25" ht="16.149999999999999" customHeight="1" x14ac:dyDescent="0.15">
      <c r="A1461" s="59"/>
      <c r="B1461" s="59"/>
      <c r="C1461" s="59"/>
      <c r="D1461" s="59"/>
      <c r="E1461" s="59"/>
      <c r="F1461" s="59"/>
      <c r="G1461" s="59"/>
      <c r="H1461" s="59"/>
      <c r="I1461" s="59"/>
      <c r="J1461" s="59"/>
      <c r="K1461" s="59"/>
      <c r="L1461" s="59"/>
      <c r="M1461" s="59"/>
      <c r="N1461" s="59"/>
      <c r="O1461" s="59"/>
      <c r="P1461" s="59"/>
      <c r="Q1461" s="59"/>
      <c r="R1461" s="59"/>
      <c r="S1461" s="59"/>
      <c r="T1461" s="59"/>
      <c r="U1461" s="59"/>
      <c r="V1461" s="59"/>
      <c r="W1461" s="59"/>
      <c r="X1461" s="59"/>
      <c r="Y1461" s="59"/>
    </row>
    <row r="1462" spans="1:25" ht="16.149999999999999" customHeight="1" x14ac:dyDescent="0.15">
      <c r="W1462"/>
    </row>
    <row r="1463" spans="1:25" ht="16.149999999999999" customHeight="1" x14ac:dyDescent="0.15">
      <c r="W1463"/>
    </row>
    <row r="1464" spans="1:25" ht="16.149999999999999" customHeight="1" x14ac:dyDescent="0.15">
      <c r="W1464"/>
    </row>
    <row r="1465" spans="1:25" ht="16.149999999999999" customHeight="1" x14ac:dyDescent="0.15">
      <c r="A1465" s="59"/>
      <c r="B1465" s="59"/>
      <c r="C1465" s="59"/>
      <c r="D1465" s="59"/>
      <c r="E1465" s="59"/>
      <c r="F1465" s="59"/>
      <c r="G1465" s="59"/>
      <c r="H1465" s="59"/>
      <c r="I1465" s="59"/>
      <c r="J1465" s="59"/>
      <c r="K1465" s="59"/>
      <c r="L1465" s="59"/>
      <c r="M1465" s="59"/>
      <c r="N1465" s="59"/>
      <c r="O1465" s="59"/>
      <c r="P1465" s="59"/>
      <c r="Q1465" s="59"/>
      <c r="R1465" s="59"/>
      <c r="S1465" s="59"/>
      <c r="T1465" s="59"/>
      <c r="U1465" s="59"/>
      <c r="V1465" s="59"/>
      <c r="W1465" s="59"/>
      <c r="X1465" s="59"/>
      <c r="Y1465" s="59"/>
    </row>
    <row r="1466" spans="1:25" ht="16.149999999999999" customHeight="1" x14ac:dyDescent="0.15">
      <c r="W1466"/>
    </row>
    <row r="1467" spans="1:25" ht="16.149999999999999" customHeight="1" x14ac:dyDescent="0.15">
      <c r="W1467"/>
    </row>
    <row r="1468" spans="1:25" ht="16.149999999999999" customHeight="1" x14ac:dyDescent="0.15">
      <c r="W1468"/>
    </row>
    <row r="1469" spans="1:25" ht="16.149999999999999" customHeight="1" x14ac:dyDescent="0.15">
      <c r="A1469" s="59"/>
      <c r="B1469" s="59"/>
      <c r="C1469" s="59"/>
      <c r="D1469" s="59"/>
      <c r="E1469" s="59"/>
      <c r="F1469" s="59"/>
      <c r="G1469" s="59"/>
      <c r="H1469" s="59"/>
      <c r="I1469" s="59"/>
      <c r="J1469" s="59"/>
      <c r="K1469" s="59"/>
      <c r="L1469" s="59"/>
      <c r="M1469" s="59"/>
      <c r="N1469" s="59"/>
      <c r="O1469" s="59"/>
      <c r="P1469" s="59"/>
      <c r="Q1469" s="59"/>
      <c r="R1469" s="59"/>
      <c r="S1469" s="59"/>
      <c r="T1469" s="59"/>
      <c r="U1469" s="59"/>
      <c r="V1469" s="59"/>
      <c r="W1469" s="59"/>
      <c r="X1469" s="59"/>
      <c r="Y1469" s="59"/>
    </row>
    <row r="1470" spans="1:25" ht="16.149999999999999" customHeight="1" x14ac:dyDescent="0.15">
      <c r="W1470"/>
    </row>
    <row r="1471" spans="1:25" ht="16.149999999999999" customHeight="1" x14ac:dyDescent="0.15">
      <c r="W1471"/>
    </row>
    <row r="1472" spans="1:25" ht="16.149999999999999" customHeight="1" x14ac:dyDescent="0.15">
      <c r="W1472"/>
    </row>
    <row r="1473" spans="1:25" ht="16.149999999999999" customHeight="1" x14ac:dyDescent="0.15">
      <c r="W1473"/>
    </row>
    <row r="1474" spans="1:25" ht="16.149999999999999" customHeight="1" x14ac:dyDescent="0.15">
      <c r="W1474"/>
    </row>
    <row r="1475" spans="1:25" ht="16.149999999999999" customHeight="1" x14ac:dyDescent="0.15">
      <c r="W1475"/>
    </row>
    <row r="1476" spans="1:25" ht="16.149999999999999" customHeight="1" x14ac:dyDescent="0.15">
      <c r="A1476" s="55"/>
      <c r="B1476" s="55"/>
      <c r="C1476" s="55"/>
      <c r="D1476" s="55"/>
      <c r="E1476" s="55"/>
      <c r="F1476" s="55"/>
      <c r="G1476" s="55"/>
      <c r="H1476" s="55"/>
      <c r="I1476" s="55"/>
      <c r="J1476" s="55"/>
      <c r="K1476" s="55"/>
      <c r="L1476" s="55"/>
      <c r="M1476" s="55"/>
      <c r="N1476" s="55"/>
      <c r="O1476" s="55"/>
      <c r="P1476" s="55"/>
      <c r="Q1476" s="55"/>
      <c r="R1476" s="55"/>
      <c r="S1476" s="55"/>
      <c r="T1476" s="55"/>
      <c r="U1476" s="55"/>
      <c r="V1476" s="55"/>
      <c r="W1476" s="55"/>
      <c r="X1476" s="55"/>
      <c r="Y1476" s="55"/>
    </row>
    <row r="1477" spans="1:25" ht="16.149999999999999" customHeight="1" x14ac:dyDescent="0.15">
      <c r="A1477" s="55"/>
      <c r="B1477" s="55"/>
      <c r="C1477" s="55"/>
      <c r="D1477" s="55"/>
      <c r="E1477" s="55"/>
      <c r="F1477" s="55"/>
      <c r="G1477" s="55"/>
      <c r="H1477" s="55"/>
      <c r="I1477" s="55"/>
      <c r="J1477" s="55"/>
      <c r="K1477" s="55"/>
      <c r="L1477" s="55"/>
      <c r="M1477" s="55"/>
      <c r="N1477" s="55"/>
      <c r="O1477" s="55"/>
      <c r="P1477" s="55"/>
      <c r="Q1477" s="55"/>
      <c r="R1477" s="55"/>
      <c r="S1477" s="55"/>
      <c r="T1477" s="55"/>
      <c r="U1477" s="55"/>
      <c r="V1477" s="55"/>
      <c r="W1477" s="55"/>
      <c r="X1477" s="55"/>
      <c r="Y1477" s="55"/>
    </row>
    <row r="1478" spans="1:25" ht="16.149999999999999" customHeight="1" x14ac:dyDescent="0.15">
      <c r="A1478" s="55"/>
      <c r="B1478" s="55"/>
      <c r="C1478" s="55"/>
      <c r="D1478" s="55"/>
      <c r="E1478" s="55"/>
      <c r="F1478" s="55"/>
      <c r="G1478" s="55"/>
      <c r="H1478" s="55"/>
      <c r="I1478" s="55"/>
      <c r="J1478" s="55"/>
      <c r="K1478" s="55"/>
      <c r="L1478" s="55"/>
      <c r="M1478" s="55"/>
      <c r="N1478" s="55"/>
      <c r="O1478" s="55"/>
      <c r="P1478" s="55"/>
      <c r="Q1478" s="55"/>
      <c r="R1478" s="55"/>
      <c r="S1478" s="55"/>
      <c r="T1478" s="55"/>
      <c r="U1478" s="55"/>
      <c r="V1478" s="55"/>
      <c r="W1478" s="55"/>
      <c r="X1478" s="55"/>
      <c r="Y1478" s="55"/>
    </row>
    <row r="1479" spans="1:25" ht="16.149999999999999" customHeight="1" x14ac:dyDescent="0.15">
      <c r="A1479" s="55"/>
      <c r="B1479" s="55"/>
      <c r="C1479" s="55"/>
      <c r="D1479" s="55"/>
      <c r="E1479" s="55"/>
      <c r="F1479" s="55"/>
      <c r="G1479" s="55"/>
      <c r="H1479" s="55"/>
      <c r="I1479" s="55"/>
      <c r="J1479" s="55"/>
      <c r="K1479" s="55"/>
      <c r="L1479" s="55"/>
      <c r="M1479" s="55"/>
      <c r="N1479" s="55"/>
      <c r="O1479" s="55"/>
      <c r="P1479" s="55"/>
      <c r="Q1479" s="55"/>
      <c r="R1479" s="55"/>
      <c r="S1479" s="55"/>
      <c r="T1479" s="55"/>
      <c r="U1479" s="55"/>
      <c r="V1479" s="55"/>
      <c r="W1479" s="55"/>
      <c r="X1479" s="55"/>
      <c r="Y1479" s="55"/>
    </row>
    <row r="1480" spans="1:25" ht="16.149999999999999" customHeight="1" x14ac:dyDescent="0.15">
      <c r="A1480" s="55"/>
      <c r="B1480" s="55"/>
      <c r="C1480" s="55"/>
      <c r="D1480" s="55"/>
      <c r="E1480" s="55"/>
      <c r="F1480" s="55"/>
      <c r="G1480" s="55"/>
      <c r="H1480" s="55"/>
      <c r="I1480" s="55"/>
      <c r="J1480" s="55"/>
      <c r="K1480" s="55"/>
      <c r="L1480" s="55"/>
      <c r="M1480" s="55"/>
      <c r="N1480" s="55"/>
      <c r="O1480" s="55"/>
      <c r="P1480" s="55"/>
      <c r="Q1480" s="55"/>
      <c r="R1480" s="55"/>
      <c r="S1480" s="55"/>
      <c r="T1480" s="55"/>
      <c r="U1480" s="55"/>
      <c r="V1480" s="55"/>
      <c r="W1480" s="55"/>
      <c r="X1480" s="55"/>
      <c r="Y1480" s="55"/>
    </row>
    <row r="1481" spans="1:25" ht="16.149999999999999" customHeight="1" x14ac:dyDescent="0.15">
      <c r="A1481" s="55"/>
      <c r="B1481" s="55"/>
      <c r="C1481" s="55"/>
      <c r="D1481" s="55"/>
      <c r="E1481" s="55"/>
      <c r="F1481" s="55"/>
      <c r="G1481" s="55"/>
      <c r="H1481" s="55"/>
      <c r="I1481" s="55"/>
      <c r="J1481" s="55"/>
      <c r="K1481" s="55"/>
      <c r="L1481" s="55"/>
      <c r="M1481" s="55"/>
      <c r="N1481" s="55"/>
      <c r="O1481" s="55"/>
      <c r="P1481" s="55"/>
      <c r="Q1481" s="55"/>
      <c r="R1481" s="55"/>
      <c r="S1481" s="55"/>
      <c r="T1481" s="55"/>
      <c r="U1481" s="55"/>
      <c r="V1481" s="55"/>
      <c r="W1481" s="55"/>
      <c r="X1481" s="55"/>
      <c r="Y1481" s="55"/>
    </row>
    <row r="1482" spans="1:25" ht="16.149999999999999" customHeight="1" x14ac:dyDescent="0.15">
      <c r="A1482" s="55"/>
      <c r="B1482" s="55"/>
      <c r="C1482" s="55"/>
      <c r="D1482" s="55"/>
      <c r="E1482" s="55"/>
      <c r="F1482" s="55"/>
      <c r="G1482" s="55"/>
      <c r="H1482" s="55"/>
      <c r="I1482" s="55"/>
      <c r="J1482" s="55"/>
      <c r="K1482" s="55"/>
      <c r="L1482" s="55"/>
      <c r="M1482" s="55"/>
      <c r="N1482" s="55"/>
      <c r="O1482" s="55"/>
      <c r="P1482" s="55"/>
      <c r="Q1482" s="55"/>
      <c r="R1482" s="55"/>
      <c r="S1482" s="55"/>
      <c r="T1482" s="55"/>
      <c r="U1482" s="55"/>
      <c r="V1482" s="55"/>
      <c r="W1482" s="55"/>
      <c r="X1482" s="55"/>
      <c r="Y1482" s="55"/>
    </row>
    <row r="1483" spans="1:25" ht="16.149999999999999" customHeight="1" x14ac:dyDescent="0.15">
      <c r="A1483" s="55"/>
      <c r="B1483" s="55"/>
      <c r="C1483" s="55"/>
      <c r="D1483" s="55"/>
      <c r="E1483" s="55"/>
      <c r="F1483" s="55"/>
      <c r="G1483" s="55"/>
      <c r="H1483" s="55"/>
      <c r="I1483" s="55"/>
      <c r="J1483" s="55"/>
      <c r="K1483" s="55"/>
      <c r="L1483" s="55"/>
      <c r="M1483" s="55"/>
      <c r="N1483" s="55"/>
      <c r="O1483" s="55"/>
      <c r="P1483" s="55"/>
      <c r="Q1483" s="55"/>
      <c r="R1483" s="55"/>
      <c r="S1483" s="55"/>
      <c r="T1483" s="55"/>
      <c r="U1483" s="55"/>
      <c r="V1483" s="55"/>
      <c r="W1483" s="55"/>
      <c r="X1483" s="55"/>
      <c r="Y1483" s="55"/>
    </row>
    <row r="1484" spans="1:25" ht="16.149999999999999" customHeight="1" x14ac:dyDescent="0.15">
      <c r="A1484" s="55"/>
      <c r="B1484" s="55"/>
      <c r="C1484" s="55"/>
      <c r="D1484" s="55"/>
      <c r="E1484" s="55"/>
      <c r="F1484" s="55"/>
      <c r="G1484" s="55"/>
      <c r="H1484" s="55"/>
      <c r="I1484" s="55"/>
      <c r="J1484" s="55"/>
      <c r="K1484" s="55"/>
      <c r="L1484" s="55"/>
      <c r="M1484" s="55"/>
      <c r="N1484" s="55"/>
      <c r="O1484" s="55"/>
      <c r="P1484" s="55"/>
      <c r="Q1484" s="55"/>
      <c r="R1484" s="55"/>
      <c r="S1484" s="55"/>
      <c r="T1484" s="55"/>
      <c r="U1484" s="55"/>
      <c r="V1484" s="55"/>
      <c r="W1484" s="55"/>
      <c r="X1484" s="55"/>
      <c r="Y1484" s="55"/>
    </row>
    <row r="1485" spans="1:25" ht="16.149999999999999" customHeight="1" x14ac:dyDescent="0.15">
      <c r="A1485" s="55"/>
      <c r="B1485" s="55"/>
      <c r="C1485" s="55"/>
      <c r="D1485" s="55"/>
      <c r="E1485" s="55"/>
      <c r="F1485" s="55"/>
      <c r="G1485" s="55"/>
      <c r="H1485" s="55"/>
      <c r="I1485" s="55"/>
      <c r="J1485" s="55"/>
      <c r="K1485" s="55"/>
      <c r="L1485" s="55"/>
      <c r="M1485" s="55"/>
      <c r="N1485" s="55"/>
      <c r="O1485" s="55"/>
      <c r="P1485" s="55"/>
      <c r="Q1485" s="55"/>
      <c r="R1485" s="55"/>
      <c r="S1485" s="55"/>
      <c r="T1485" s="55"/>
      <c r="U1485" s="55"/>
      <c r="V1485" s="55"/>
      <c r="W1485" s="55"/>
      <c r="X1485" s="55"/>
      <c r="Y1485" s="55"/>
    </row>
    <row r="1486" spans="1:25" ht="16.149999999999999" customHeight="1" x14ac:dyDescent="0.15">
      <c r="A1486" s="55"/>
      <c r="B1486" s="55"/>
      <c r="C1486" s="55"/>
      <c r="D1486" s="55"/>
      <c r="E1486" s="55"/>
      <c r="F1486" s="55"/>
      <c r="G1486" s="55"/>
      <c r="H1486" s="55"/>
      <c r="I1486" s="55"/>
      <c r="J1486" s="55"/>
      <c r="K1486" s="55"/>
      <c r="L1486" s="55"/>
      <c r="M1486" s="55"/>
      <c r="N1486" s="55"/>
      <c r="O1486" s="55"/>
      <c r="P1486" s="55"/>
      <c r="Q1486" s="55"/>
      <c r="R1486" s="55"/>
      <c r="S1486" s="55"/>
      <c r="T1486" s="55"/>
      <c r="U1486" s="55"/>
      <c r="V1486" s="55"/>
      <c r="W1486" s="55"/>
      <c r="X1486" s="55"/>
      <c r="Y1486" s="55"/>
    </row>
    <row r="1487" spans="1:25" ht="16.149999999999999" customHeight="1" x14ac:dyDescent="0.15">
      <c r="W1487"/>
    </row>
    <row r="1488" spans="1:25" ht="16.149999999999999" customHeight="1" x14ac:dyDescent="0.15">
      <c r="W1488"/>
    </row>
    <row r="1489" spans="23:23" ht="16.149999999999999" customHeight="1" x14ac:dyDescent="0.15">
      <c r="W1489"/>
    </row>
    <row r="1490" spans="23:23" ht="16.149999999999999" customHeight="1" x14ac:dyDescent="0.15">
      <c r="W1490"/>
    </row>
    <row r="1491" spans="23:23" ht="16.149999999999999" customHeight="1" x14ac:dyDescent="0.15">
      <c r="W1491"/>
    </row>
    <row r="1492" spans="23:23" ht="16.149999999999999" customHeight="1" x14ac:dyDescent="0.15">
      <c r="W1492"/>
    </row>
    <row r="1493" spans="23:23" ht="16.149999999999999" customHeight="1" x14ac:dyDescent="0.15">
      <c r="W1493"/>
    </row>
    <row r="1494" spans="23:23" ht="16.149999999999999" customHeight="1" x14ac:dyDescent="0.15">
      <c r="W1494"/>
    </row>
    <row r="1495" spans="23:23" ht="16.149999999999999" customHeight="1" x14ac:dyDescent="0.15">
      <c r="W1495"/>
    </row>
    <row r="1496" spans="23:23" ht="16.149999999999999" customHeight="1" x14ac:dyDescent="0.15">
      <c r="W1496"/>
    </row>
    <row r="1497" spans="23:23" ht="16.149999999999999" customHeight="1" x14ac:dyDescent="0.15">
      <c r="W1497"/>
    </row>
    <row r="1498" spans="23:23" ht="16.149999999999999" customHeight="1" x14ac:dyDescent="0.15">
      <c r="W1498"/>
    </row>
    <row r="1499" spans="23:23" ht="16.149999999999999" customHeight="1" x14ac:dyDescent="0.15">
      <c r="W1499"/>
    </row>
    <row r="1500" spans="23:23" ht="16.149999999999999" customHeight="1" x14ac:dyDescent="0.15">
      <c r="W1500"/>
    </row>
    <row r="1501" spans="23:23" ht="16.149999999999999" customHeight="1" x14ac:dyDescent="0.15">
      <c r="W1501"/>
    </row>
    <row r="1502" spans="23:23" ht="16.149999999999999" customHeight="1" x14ac:dyDescent="0.15">
      <c r="W1502"/>
    </row>
    <row r="1503" spans="23:23" ht="16.149999999999999" customHeight="1" x14ac:dyDescent="0.15">
      <c r="W1503"/>
    </row>
    <row r="1504" spans="23:23" ht="16.149999999999999" customHeight="1" x14ac:dyDescent="0.15">
      <c r="W1504"/>
    </row>
    <row r="1505" spans="1:25" ht="16.149999999999999" customHeight="1" x14ac:dyDescent="0.15">
      <c r="W1505"/>
    </row>
    <row r="1506" spans="1:25" ht="16.149999999999999" customHeight="1" x14ac:dyDescent="0.15">
      <c r="W1506"/>
    </row>
    <row r="1507" spans="1:25" ht="16.149999999999999" customHeight="1" x14ac:dyDescent="0.15">
      <c r="W1507"/>
    </row>
    <row r="1508" spans="1:25" ht="16.149999999999999" customHeight="1" x14ac:dyDescent="0.15">
      <c r="W1508"/>
    </row>
    <row r="1509" spans="1:25" ht="16.149999999999999" customHeight="1" x14ac:dyDescent="0.15">
      <c r="W1509"/>
    </row>
    <row r="1510" spans="1:25" ht="16.149999999999999" customHeight="1" x14ac:dyDescent="0.15">
      <c r="W1510"/>
    </row>
    <row r="1511" spans="1:25" ht="16.149999999999999" customHeight="1" x14ac:dyDescent="0.15">
      <c r="W1511"/>
    </row>
    <row r="1512" spans="1:25" ht="16.149999999999999" customHeight="1" x14ac:dyDescent="0.15">
      <c r="W1512"/>
    </row>
    <row r="1513" spans="1:25" ht="16.149999999999999" customHeight="1" x14ac:dyDescent="0.15">
      <c r="W1513"/>
    </row>
    <row r="1514" spans="1:25" ht="16.149999999999999" customHeight="1" x14ac:dyDescent="0.15">
      <c r="W1514"/>
    </row>
    <row r="1515" spans="1:25" ht="16.149999999999999" customHeight="1" x14ac:dyDescent="0.15">
      <c r="W1515"/>
    </row>
    <row r="1516" spans="1:25" ht="16.149999999999999" customHeight="1" x14ac:dyDescent="0.15">
      <c r="W1516"/>
    </row>
    <row r="1517" spans="1:25" ht="16.149999999999999" customHeight="1" x14ac:dyDescent="0.15">
      <c r="W1517"/>
    </row>
    <row r="1518" spans="1:25" ht="16.149999999999999" customHeight="1" x14ac:dyDescent="0.15">
      <c r="A1518" s="59"/>
      <c r="B1518" s="59"/>
      <c r="C1518" s="59"/>
      <c r="D1518" s="59"/>
      <c r="E1518" s="59"/>
      <c r="F1518" s="59"/>
      <c r="G1518" s="59"/>
      <c r="H1518" s="59"/>
      <c r="I1518" s="59"/>
      <c r="J1518" s="59"/>
      <c r="K1518" s="59"/>
      <c r="L1518" s="59"/>
      <c r="M1518" s="59"/>
      <c r="N1518" s="59"/>
      <c r="O1518" s="59"/>
      <c r="P1518" s="59"/>
      <c r="Q1518" s="59"/>
      <c r="R1518" s="59"/>
      <c r="S1518" s="59"/>
      <c r="T1518" s="59"/>
      <c r="U1518" s="59"/>
      <c r="V1518" s="59"/>
      <c r="W1518" s="59"/>
      <c r="X1518" s="59"/>
      <c r="Y1518" s="59"/>
    </row>
    <row r="1519" spans="1:25" ht="16.149999999999999" customHeight="1" x14ac:dyDescent="0.15">
      <c r="A1519" s="59"/>
      <c r="B1519" s="59"/>
      <c r="C1519" s="59"/>
      <c r="D1519" s="59"/>
      <c r="E1519" s="59"/>
      <c r="F1519" s="59"/>
      <c r="G1519" s="59"/>
      <c r="H1519" s="59"/>
      <c r="I1519" s="59"/>
      <c r="J1519" s="59"/>
      <c r="K1519" s="59"/>
      <c r="L1519" s="59"/>
      <c r="M1519" s="59"/>
      <c r="N1519" s="59"/>
      <c r="O1519" s="59"/>
      <c r="P1519" s="59"/>
      <c r="Q1519" s="59"/>
      <c r="R1519" s="59"/>
      <c r="S1519" s="59"/>
      <c r="T1519" s="59"/>
      <c r="U1519" s="59"/>
      <c r="V1519" s="59"/>
      <c r="W1519" s="59"/>
      <c r="X1519" s="59"/>
      <c r="Y1519" s="59"/>
    </row>
    <row r="1520" spans="1:25" ht="16.149999999999999" customHeight="1" x14ac:dyDescent="0.15">
      <c r="A1520" s="59"/>
      <c r="B1520" s="59"/>
      <c r="C1520" s="59"/>
      <c r="D1520" s="59"/>
      <c r="E1520" s="59"/>
      <c r="F1520" s="59"/>
      <c r="G1520" s="59"/>
      <c r="H1520" s="59"/>
      <c r="I1520" s="59"/>
      <c r="J1520" s="59"/>
      <c r="K1520" s="59"/>
      <c r="L1520" s="59"/>
      <c r="M1520" s="59"/>
      <c r="N1520" s="59"/>
      <c r="O1520" s="59"/>
      <c r="P1520" s="59"/>
      <c r="Q1520" s="59"/>
      <c r="R1520" s="59"/>
      <c r="S1520" s="59"/>
      <c r="T1520" s="59"/>
      <c r="U1520" s="59"/>
      <c r="V1520" s="59"/>
      <c r="W1520" s="59"/>
      <c r="X1520" s="59"/>
      <c r="Y1520" s="59"/>
    </row>
    <row r="1521" spans="1:25" ht="16.149999999999999" customHeight="1" x14ac:dyDescent="0.15">
      <c r="W1521"/>
    </row>
    <row r="1522" spans="1:25" ht="16.149999999999999" customHeight="1" x14ac:dyDescent="0.15">
      <c r="A1522" s="59"/>
      <c r="B1522" s="59"/>
      <c r="C1522" s="59"/>
      <c r="D1522" s="59"/>
      <c r="E1522" s="59"/>
      <c r="F1522" s="59"/>
      <c r="G1522" s="59"/>
      <c r="H1522" s="59"/>
      <c r="I1522" s="59"/>
      <c r="J1522" s="59"/>
      <c r="K1522" s="59"/>
      <c r="L1522" s="59"/>
      <c r="M1522" s="59"/>
      <c r="N1522" s="59"/>
      <c r="O1522" s="59"/>
      <c r="P1522" s="59"/>
      <c r="Q1522" s="59"/>
      <c r="R1522" s="59"/>
      <c r="S1522" s="59"/>
      <c r="T1522" s="59"/>
      <c r="U1522" s="59"/>
      <c r="V1522" s="59"/>
      <c r="W1522" s="59"/>
      <c r="X1522" s="59"/>
      <c r="Y1522" s="59"/>
    </row>
    <row r="1523" spans="1:25" ht="16.149999999999999" customHeight="1" x14ac:dyDescent="0.15">
      <c r="W1523"/>
    </row>
    <row r="1524" spans="1:25" ht="16.149999999999999" customHeight="1" x14ac:dyDescent="0.15">
      <c r="W1524"/>
    </row>
    <row r="1525" spans="1:25" ht="16.149999999999999" customHeight="1" x14ac:dyDescent="0.15">
      <c r="W1525"/>
    </row>
    <row r="1526" spans="1:25" ht="16.149999999999999" customHeight="1" x14ac:dyDescent="0.15">
      <c r="A1526" s="59"/>
      <c r="B1526" s="59"/>
      <c r="C1526" s="59"/>
      <c r="D1526" s="59"/>
      <c r="E1526" s="59"/>
      <c r="F1526" s="59"/>
      <c r="G1526" s="59"/>
      <c r="H1526" s="59"/>
      <c r="I1526" s="59"/>
      <c r="J1526" s="59"/>
      <c r="K1526" s="59"/>
      <c r="L1526" s="59"/>
      <c r="M1526" s="59"/>
      <c r="N1526" s="59"/>
      <c r="O1526" s="59"/>
      <c r="P1526" s="59"/>
      <c r="Q1526" s="59"/>
      <c r="R1526" s="59"/>
      <c r="S1526" s="59"/>
      <c r="T1526" s="59"/>
      <c r="U1526" s="59"/>
      <c r="V1526" s="59"/>
      <c r="W1526" s="59"/>
      <c r="X1526" s="59"/>
      <c r="Y1526" s="59"/>
    </row>
    <row r="1527" spans="1:25" ht="16.149999999999999" customHeight="1" x14ac:dyDescent="0.15">
      <c r="A1527" s="59"/>
      <c r="B1527" s="59"/>
      <c r="C1527" s="59"/>
      <c r="D1527" s="59"/>
      <c r="E1527" s="59"/>
      <c r="F1527" s="59"/>
      <c r="G1527" s="59"/>
      <c r="H1527" s="59"/>
      <c r="I1527" s="59"/>
      <c r="J1527" s="59"/>
      <c r="K1527" s="59"/>
      <c r="L1527" s="59"/>
      <c r="M1527" s="59"/>
      <c r="N1527" s="59"/>
      <c r="O1527" s="59"/>
      <c r="P1527" s="59"/>
      <c r="Q1527" s="59"/>
      <c r="R1527" s="59"/>
      <c r="S1527" s="59"/>
      <c r="T1527" s="59"/>
      <c r="U1527" s="59"/>
      <c r="V1527" s="59"/>
      <c r="W1527" s="59"/>
      <c r="X1527" s="59"/>
      <c r="Y1527" s="59"/>
    </row>
    <row r="1528" spans="1:25" ht="16.149999999999999" customHeight="1" x14ac:dyDescent="0.15">
      <c r="W1528"/>
    </row>
    <row r="1529" spans="1:25" ht="16.149999999999999" customHeight="1" x14ac:dyDescent="0.15">
      <c r="A1529" s="59"/>
      <c r="B1529" s="59"/>
      <c r="C1529" s="59"/>
      <c r="D1529" s="59"/>
      <c r="E1529" s="59"/>
      <c r="F1529" s="59"/>
      <c r="G1529" s="59"/>
      <c r="H1529" s="59"/>
      <c r="I1529" s="59"/>
      <c r="J1529" s="59"/>
      <c r="K1529" s="59"/>
      <c r="L1529" s="59"/>
      <c r="M1529" s="59"/>
      <c r="N1529" s="59"/>
      <c r="O1529" s="59"/>
      <c r="P1529" s="59"/>
      <c r="Q1529" s="59"/>
      <c r="R1529" s="59"/>
      <c r="S1529" s="59"/>
      <c r="T1529" s="59"/>
      <c r="U1529" s="59"/>
      <c r="V1529" s="59"/>
      <c r="W1529" s="59"/>
      <c r="X1529" s="59"/>
      <c r="Y1529" s="59"/>
    </row>
    <row r="1530" spans="1:25" ht="16.149999999999999" customHeight="1" x14ac:dyDescent="0.15">
      <c r="W1530"/>
    </row>
    <row r="1531" spans="1:25" ht="16.149999999999999" customHeight="1" x14ac:dyDescent="0.15">
      <c r="W1531"/>
    </row>
    <row r="1532" spans="1:25" ht="16.149999999999999" customHeight="1" x14ac:dyDescent="0.15">
      <c r="A1532" s="59"/>
      <c r="B1532" s="59"/>
      <c r="C1532" s="59"/>
      <c r="D1532" s="59"/>
      <c r="E1532" s="59"/>
      <c r="F1532" s="59"/>
      <c r="G1532" s="59"/>
      <c r="H1532" s="59"/>
      <c r="I1532" s="59"/>
      <c r="J1532" s="59"/>
      <c r="K1532" s="59"/>
      <c r="L1532" s="59"/>
      <c r="M1532" s="59"/>
      <c r="N1532" s="59"/>
      <c r="O1532" s="59"/>
      <c r="P1532" s="59"/>
      <c r="Q1532" s="59"/>
      <c r="R1532" s="59"/>
      <c r="S1532" s="59"/>
      <c r="T1532" s="59"/>
      <c r="U1532" s="59"/>
      <c r="V1532" s="59"/>
      <c r="W1532" s="59"/>
      <c r="X1532" s="59"/>
      <c r="Y1532" s="59"/>
    </row>
    <row r="1533" spans="1:25" ht="16.149999999999999" customHeight="1" x14ac:dyDescent="0.15">
      <c r="A1533" s="59"/>
      <c r="B1533" s="59"/>
      <c r="C1533" s="59"/>
      <c r="D1533" s="59"/>
      <c r="E1533" s="59"/>
      <c r="F1533" s="59"/>
      <c r="G1533" s="59"/>
      <c r="H1533" s="59"/>
      <c r="I1533" s="59"/>
      <c r="J1533" s="59"/>
      <c r="K1533" s="59"/>
      <c r="L1533" s="59"/>
      <c r="M1533" s="59"/>
      <c r="N1533" s="59"/>
      <c r="O1533" s="59"/>
      <c r="P1533" s="59"/>
      <c r="Q1533" s="59"/>
      <c r="R1533" s="59"/>
      <c r="S1533" s="59"/>
      <c r="T1533" s="59"/>
      <c r="U1533" s="59"/>
      <c r="V1533" s="59"/>
      <c r="W1533" s="59"/>
      <c r="X1533" s="59"/>
      <c r="Y1533" s="59"/>
    </row>
    <row r="1534" spans="1:25" ht="16.149999999999999" customHeight="1" x14ac:dyDescent="0.15">
      <c r="W1534"/>
    </row>
    <row r="1535" spans="1:25" ht="16.149999999999999" customHeight="1" x14ac:dyDescent="0.15">
      <c r="W1535"/>
    </row>
    <row r="1536" spans="1:25" ht="16.149999999999999" customHeight="1" x14ac:dyDescent="0.15">
      <c r="W1536"/>
    </row>
    <row r="1537" spans="23:23" ht="16.149999999999999" customHeight="1" x14ac:dyDescent="0.15">
      <c r="W1537"/>
    </row>
    <row r="1538" spans="23:23" ht="16.149999999999999" customHeight="1" x14ac:dyDescent="0.15">
      <c r="W1538"/>
    </row>
    <row r="1539" spans="23:23" ht="16.149999999999999" customHeight="1" x14ac:dyDescent="0.15">
      <c r="W1539"/>
    </row>
    <row r="1540" spans="23:23" ht="16.149999999999999" customHeight="1" x14ac:dyDescent="0.15">
      <c r="W1540"/>
    </row>
    <row r="1541" spans="23:23" ht="16.149999999999999" customHeight="1" x14ac:dyDescent="0.15">
      <c r="W1541"/>
    </row>
    <row r="1542" spans="23:23" ht="16.149999999999999" customHeight="1" x14ac:dyDescent="0.15">
      <c r="W1542"/>
    </row>
    <row r="1543" spans="23:23" ht="16.149999999999999" customHeight="1" x14ac:dyDescent="0.15">
      <c r="W1543"/>
    </row>
    <row r="1544" spans="23:23" ht="16.149999999999999" customHeight="1" x14ac:dyDescent="0.15">
      <c r="W1544"/>
    </row>
    <row r="1545" spans="23:23" ht="16.149999999999999" customHeight="1" x14ac:dyDescent="0.15">
      <c r="W1545"/>
    </row>
    <row r="1546" spans="23:23" ht="16.149999999999999" customHeight="1" x14ac:dyDescent="0.15">
      <c r="W1546"/>
    </row>
    <row r="1547" spans="23:23" ht="16.149999999999999" customHeight="1" x14ac:dyDescent="0.15">
      <c r="W1547"/>
    </row>
    <row r="1548" spans="23:23" ht="16.149999999999999" customHeight="1" x14ac:dyDescent="0.15">
      <c r="W1548"/>
    </row>
    <row r="1549" spans="23:23" ht="16.149999999999999" customHeight="1" x14ac:dyDescent="0.15">
      <c r="W1549"/>
    </row>
    <row r="1550" spans="23:23" ht="16.149999999999999" customHeight="1" x14ac:dyDescent="0.15">
      <c r="W1550"/>
    </row>
    <row r="1551" spans="23:23" ht="16.149999999999999" customHeight="1" x14ac:dyDescent="0.15">
      <c r="W1551"/>
    </row>
    <row r="1552" spans="23:23" ht="16.149999999999999" customHeight="1" x14ac:dyDescent="0.15">
      <c r="W1552"/>
    </row>
    <row r="1553" spans="1:25" ht="16.149999999999999" customHeight="1" x14ac:dyDescent="0.15">
      <c r="W1553"/>
    </row>
    <row r="1554" spans="1:25" ht="16.149999999999999" customHeight="1" x14ac:dyDescent="0.15">
      <c r="W1554"/>
    </row>
    <row r="1555" spans="1:25" ht="16.149999999999999" customHeight="1" x14ac:dyDescent="0.15">
      <c r="W1555"/>
    </row>
    <row r="1556" spans="1:25" ht="16.149999999999999" customHeight="1" x14ac:dyDescent="0.15">
      <c r="W1556"/>
    </row>
    <row r="1557" spans="1:25" ht="16.149999999999999" customHeight="1" x14ac:dyDescent="0.15">
      <c r="W1557"/>
    </row>
    <row r="1558" spans="1:25" ht="16.149999999999999" customHeight="1" x14ac:dyDescent="0.15">
      <c r="W1558"/>
    </row>
    <row r="1559" spans="1:25" ht="16.149999999999999" customHeight="1" x14ac:dyDescent="0.15">
      <c r="W1559"/>
    </row>
    <row r="1560" spans="1:25" ht="16.149999999999999" customHeight="1" x14ac:dyDescent="0.15">
      <c r="W1560"/>
    </row>
    <row r="1561" spans="1:25" ht="16.149999999999999" customHeight="1" x14ac:dyDescent="0.15">
      <c r="W1561"/>
    </row>
    <row r="1562" spans="1:25" ht="16.149999999999999" customHeight="1" x14ac:dyDescent="0.15">
      <c r="A1562" s="55"/>
      <c r="B1562" s="55"/>
      <c r="C1562" s="55"/>
      <c r="D1562" s="55"/>
      <c r="E1562" s="55"/>
      <c r="F1562" s="55"/>
      <c r="G1562" s="55"/>
      <c r="H1562" s="55"/>
      <c r="I1562" s="55"/>
      <c r="J1562" s="55"/>
      <c r="K1562" s="55"/>
      <c r="L1562" s="55"/>
      <c r="M1562" s="55"/>
      <c r="N1562" s="55"/>
      <c r="O1562" s="55"/>
      <c r="P1562" s="55"/>
      <c r="Q1562" s="55"/>
      <c r="R1562" s="55"/>
      <c r="S1562" s="55"/>
      <c r="T1562" s="55"/>
      <c r="U1562" s="55"/>
      <c r="V1562" s="55"/>
      <c r="W1562" s="55"/>
      <c r="X1562" s="55"/>
      <c r="Y1562" s="55"/>
    </row>
    <row r="1563" spans="1:25" ht="16.149999999999999" customHeight="1" x14ac:dyDescent="0.15">
      <c r="W1563"/>
    </row>
    <row r="1564" spans="1:25" ht="16.149999999999999" customHeight="1" x14ac:dyDescent="0.15">
      <c r="W1564"/>
    </row>
    <row r="1565" spans="1:25" ht="16.149999999999999" customHeight="1" x14ac:dyDescent="0.15">
      <c r="W1565"/>
    </row>
    <row r="1566" spans="1:25" ht="16.149999999999999" customHeight="1" x14ac:dyDescent="0.15">
      <c r="W1566"/>
    </row>
    <row r="1567" spans="1:25" ht="16.149999999999999" customHeight="1" x14ac:dyDescent="0.15">
      <c r="W1567"/>
    </row>
    <row r="1568" spans="1:25" ht="16.149999999999999" customHeight="1" x14ac:dyDescent="0.15">
      <c r="W1568"/>
    </row>
    <row r="1569" spans="1:25" ht="16.149999999999999" customHeight="1" x14ac:dyDescent="0.15">
      <c r="W1569"/>
    </row>
    <row r="1570" spans="1:25" ht="16.149999999999999" customHeight="1" x14ac:dyDescent="0.15">
      <c r="W1570"/>
    </row>
    <row r="1571" spans="1:25" ht="16.149999999999999" customHeight="1" x14ac:dyDescent="0.15">
      <c r="A1571" s="59"/>
      <c r="B1571" s="59"/>
      <c r="C1571" s="59"/>
      <c r="D1571" s="59"/>
      <c r="E1571" s="59"/>
      <c r="F1571" s="59"/>
      <c r="G1571" s="59"/>
      <c r="H1571" s="59"/>
      <c r="I1571" s="59"/>
      <c r="J1571" s="59"/>
      <c r="K1571" s="59"/>
      <c r="L1571" s="59"/>
      <c r="M1571" s="59"/>
      <c r="N1571" s="59"/>
      <c r="O1571" s="59"/>
      <c r="P1571" s="59"/>
      <c r="Q1571" s="59"/>
      <c r="R1571" s="59"/>
      <c r="S1571" s="59"/>
      <c r="T1571" s="59"/>
      <c r="U1571" s="59"/>
      <c r="V1571" s="59"/>
      <c r="W1571" s="59"/>
      <c r="X1571" s="59"/>
      <c r="Y1571" s="59"/>
    </row>
    <row r="1572" spans="1:25" ht="16.149999999999999" customHeight="1" x14ac:dyDescent="0.15">
      <c r="W1572"/>
    </row>
    <row r="1573" spans="1:25" ht="16.149999999999999" customHeight="1" x14ac:dyDescent="0.15">
      <c r="W1573"/>
    </row>
    <row r="1574" spans="1:25" ht="16.149999999999999" customHeight="1" x14ac:dyDescent="0.15">
      <c r="W1574"/>
    </row>
    <row r="1575" spans="1:25" ht="16.149999999999999" customHeight="1" x14ac:dyDescent="0.15">
      <c r="A1575" s="55"/>
      <c r="B1575" s="55"/>
      <c r="C1575" s="55"/>
      <c r="D1575" s="55"/>
      <c r="E1575" s="55"/>
      <c r="F1575" s="55"/>
      <c r="G1575" s="55"/>
      <c r="H1575" s="55"/>
      <c r="I1575" s="55"/>
      <c r="J1575" s="55"/>
      <c r="K1575" s="55"/>
      <c r="L1575" s="55"/>
      <c r="M1575" s="55"/>
      <c r="N1575" s="55"/>
      <c r="O1575" s="55"/>
      <c r="P1575" s="55"/>
      <c r="Q1575" s="55"/>
      <c r="R1575" s="55"/>
      <c r="S1575" s="55"/>
      <c r="T1575" s="55"/>
      <c r="U1575" s="55"/>
      <c r="V1575" s="55"/>
      <c r="W1575" s="55"/>
      <c r="X1575" s="55"/>
      <c r="Y1575" s="55"/>
    </row>
    <row r="1576" spans="1:25" ht="16.149999999999999" customHeight="1" x14ac:dyDescent="0.15">
      <c r="A1576" s="55"/>
      <c r="B1576" s="55"/>
      <c r="C1576" s="55"/>
      <c r="D1576" s="55"/>
      <c r="E1576" s="55"/>
      <c r="F1576" s="55"/>
      <c r="G1576" s="55"/>
      <c r="H1576" s="55"/>
      <c r="I1576" s="55"/>
      <c r="J1576" s="55"/>
      <c r="K1576" s="55"/>
      <c r="L1576" s="55"/>
      <c r="M1576" s="55"/>
      <c r="N1576" s="55"/>
      <c r="O1576" s="55"/>
      <c r="P1576" s="55"/>
      <c r="Q1576" s="55"/>
      <c r="R1576" s="55"/>
      <c r="S1576" s="55"/>
      <c r="T1576" s="55"/>
      <c r="U1576" s="55"/>
      <c r="V1576" s="55"/>
      <c r="W1576" s="55"/>
      <c r="X1576" s="55"/>
      <c r="Y1576" s="55"/>
    </row>
    <row r="1577" spans="1:25" ht="16.149999999999999" customHeight="1" x14ac:dyDescent="0.15">
      <c r="A1577" s="55"/>
      <c r="B1577" s="55"/>
      <c r="C1577" s="55"/>
      <c r="D1577" s="55"/>
      <c r="E1577" s="55"/>
      <c r="F1577" s="55"/>
      <c r="G1577" s="55"/>
      <c r="H1577" s="55"/>
      <c r="I1577" s="55"/>
      <c r="J1577" s="55"/>
      <c r="K1577" s="55"/>
      <c r="L1577" s="55"/>
      <c r="M1577" s="55"/>
      <c r="N1577" s="55"/>
      <c r="O1577" s="55"/>
      <c r="P1577" s="55"/>
      <c r="Q1577" s="55"/>
      <c r="R1577" s="55"/>
      <c r="S1577" s="55"/>
      <c r="T1577" s="55"/>
      <c r="U1577" s="55"/>
      <c r="V1577" s="55"/>
      <c r="W1577" s="55"/>
      <c r="X1577" s="55"/>
      <c r="Y1577" s="55"/>
    </row>
    <row r="1578" spans="1:25" ht="16.149999999999999" customHeight="1" x14ac:dyDescent="0.15">
      <c r="A1578" s="55"/>
      <c r="B1578" s="55"/>
      <c r="C1578" s="55"/>
      <c r="D1578" s="55"/>
      <c r="E1578" s="55"/>
      <c r="F1578" s="55"/>
      <c r="G1578" s="55"/>
      <c r="H1578" s="55"/>
      <c r="I1578" s="55"/>
      <c r="J1578" s="55"/>
      <c r="K1578" s="55"/>
      <c r="L1578" s="55"/>
      <c r="M1578" s="55"/>
      <c r="N1578" s="55"/>
      <c r="O1578" s="55"/>
      <c r="P1578" s="55"/>
      <c r="Q1578" s="55"/>
      <c r="R1578" s="55"/>
      <c r="S1578" s="55"/>
      <c r="T1578" s="55"/>
      <c r="U1578" s="55"/>
      <c r="V1578" s="55"/>
      <c r="W1578" s="55"/>
      <c r="X1578" s="55"/>
      <c r="Y1578" s="55"/>
    </row>
    <row r="1579" spans="1:25" ht="16.149999999999999" customHeight="1" x14ac:dyDescent="0.15">
      <c r="W1579"/>
    </row>
    <row r="1580" spans="1:25" ht="16.149999999999999" customHeight="1" x14ac:dyDescent="0.15">
      <c r="W1580"/>
    </row>
    <row r="1581" spans="1:25" ht="16.149999999999999" customHeight="1" x14ac:dyDescent="0.15">
      <c r="A1581" s="59"/>
      <c r="B1581" s="59"/>
      <c r="C1581" s="59"/>
      <c r="D1581" s="59"/>
      <c r="E1581" s="59"/>
      <c r="F1581" s="59"/>
      <c r="G1581" s="59"/>
      <c r="H1581" s="59"/>
      <c r="I1581" s="59"/>
      <c r="J1581" s="59"/>
      <c r="K1581" s="59"/>
      <c r="L1581" s="59"/>
      <c r="M1581" s="59"/>
      <c r="N1581" s="59"/>
      <c r="O1581" s="59"/>
      <c r="P1581" s="59"/>
      <c r="Q1581" s="59"/>
      <c r="R1581" s="59"/>
      <c r="S1581" s="59"/>
      <c r="T1581" s="59"/>
      <c r="U1581" s="59"/>
      <c r="V1581" s="59"/>
      <c r="W1581" s="59"/>
      <c r="X1581" s="59"/>
      <c r="Y1581" s="59"/>
    </row>
    <row r="1582" spans="1:25" ht="16.149999999999999" customHeight="1" x14ac:dyDescent="0.15">
      <c r="A1582" s="55"/>
      <c r="B1582" s="55"/>
      <c r="C1582" s="55"/>
      <c r="D1582" s="55"/>
      <c r="E1582" s="55"/>
      <c r="F1582" s="55"/>
      <c r="G1582" s="55"/>
      <c r="H1582" s="55"/>
      <c r="I1582" s="55"/>
      <c r="J1582" s="55"/>
      <c r="K1582" s="55"/>
      <c r="L1582" s="55"/>
      <c r="M1582" s="55"/>
      <c r="N1582" s="55"/>
      <c r="O1582" s="55"/>
      <c r="P1582" s="55"/>
      <c r="Q1582" s="55"/>
      <c r="R1582" s="55"/>
      <c r="S1582" s="55"/>
      <c r="T1582" s="55"/>
      <c r="U1582" s="55"/>
      <c r="V1582" s="55"/>
      <c r="W1582" s="55"/>
      <c r="X1582" s="55"/>
      <c r="Y1582" s="55"/>
    </row>
    <row r="1583" spans="1:25" ht="16.149999999999999" customHeight="1" x14ac:dyDescent="0.15">
      <c r="A1583" s="59"/>
      <c r="B1583" s="59"/>
      <c r="C1583" s="59"/>
      <c r="D1583" s="59"/>
      <c r="E1583" s="59"/>
      <c r="F1583" s="59"/>
      <c r="G1583" s="59"/>
      <c r="H1583" s="59"/>
      <c r="I1583" s="59"/>
      <c r="J1583" s="59"/>
      <c r="K1583" s="59"/>
      <c r="L1583" s="59"/>
      <c r="M1583" s="59"/>
      <c r="N1583" s="59"/>
      <c r="O1583" s="59"/>
      <c r="P1583" s="59"/>
      <c r="Q1583" s="59"/>
      <c r="R1583" s="59"/>
      <c r="S1583" s="59"/>
      <c r="T1583" s="59"/>
      <c r="U1583" s="59"/>
      <c r="V1583" s="59"/>
      <c r="W1583" s="59"/>
      <c r="X1583" s="59"/>
      <c r="Y1583" s="59"/>
    </row>
    <row r="1584" spans="1:25" ht="16.149999999999999" customHeight="1" x14ac:dyDescent="0.15">
      <c r="A1584" s="59"/>
      <c r="B1584" s="59"/>
      <c r="C1584" s="59"/>
      <c r="D1584" s="59"/>
      <c r="E1584" s="59"/>
      <c r="F1584" s="59"/>
      <c r="G1584" s="59"/>
      <c r="H1584" s="59"/>
      <c r="I1584" s="59"/>
      <c r="J1584" s="59"/>
      <c r="K1584" s="59"/>
      <c r="L1584" s="59"/>
      <c r="M1584" s="59"/>
      <c r="N1584" s="59"/>
      <c r="O1584" s="59"/>
      <c r="P1584" s="59"/>
      <c r="Q1584" s="59"/>
      <c r="R1584" s="59"/>
      <c r="S1584" s="59"/>
      <c r="T1584" s="59"/>
      <c r="U1584" s="59"/>
      <c r="V1584" s="59"/>
      <c r="W1584" s="59"/>
      <c r="X1584" s="59"/>
      <c r="Y1584" s="59"/>
    </row>
    <row r="1585" spans="1:25" ht="16.149999999999999" customHeight="1" x14ac:dyDescent="0.15">
      <c r="A1585" s="55"/>
      <c r="B1585" s="55"/>
      <c r="C1585" s="55"/>
      <c r="D1585" s="55"/>
      <c r="E1585" s="55"/>
      <c r="F1585" s="55"/>
      <c r="G1585" s="55"/>
      <c r="H1585" s="55"/>
      <c r="I1585" s="55"/>
      <c r="J1585" s="55"/>
      <c r="K1585" s="55"/>
      <c r="L1585" s="55"/>
      <c r="M1585" s="55"/>
      <c r="N1585" s="55"/>
      <c r="O1585" s="55"/>
      <c r="P1585" s="55"/>
      <c r="Q1585" s="55"/>
      <c r="R1585" s="55"/>
      <c r="S1585" s="55"/>
      <c r="T1585" s="55"/>
      <c r="U1585" s="55"/>
      <c r="V1585" s="55"/>
      <c r="W1585" s="55"/>
      <c r="X1585" s="55"/>
      <c r="Y1585" s="55"/>
    </row>
    <row r="1586" spans="1:25" ht="16.149999999999999" customHeight="1" x14ac:dyDescent="0.15">
      <c r="A1586" s="55"/>
      <c r="B1586" s="55"/>
      <c r="C1586" s="55"/>
      <c r="D1586" s="55"/>
      <c r="E1586" s="55"/>
      <c r="F1586" s="55"/>
      <c r="G1586" s="55"/>
      <c r="H1586" s="55"/>
      <c r="I1586" s="55"/>
      <c r="J1586" s="55"/>
      <c r="K1586" s="55"/>
      <c r="L1586" s="55"/>
      <c r="M1586" s="55"/>
      <c r="N1586" s="55"/>
      <c r="O1586" s="55"/>
      <c r="P1586" s="55"/>
      <c r="Q1586" s="55"/>
      <c r="R1586" s="55"/>
      <c r="S1586" s="55"/>
      <c r="T1586" s="55"/>
      <c r="U1586" s="55"/>
      <c r="V1586" s="55"/>
      <c r="W1586" s="55"/>
      <c r="X1586" s="55"/>
      <c r="Y1586" s="55"/>
    </row>
    <row r="1587" spans="1:25" ht="16.149999999999999" customHeight="1" x14ac:dyDescent="0.15">
      <c r="A1587" s="55"/>
      <c r="B1587" s="55"/>
      <c r="C1587" s="55"/>
      <c r="D1587" s="55"/>
      <c r="E1587" s="55"/>
      <c r="F1587" s="55"/>
      <c r="G1587" s="55"/>
      <c r="H1587" s="55"/>
      <c r="I1587" s="55"/>
      <c r="J1587" s="55"/>
      <c r="K1587" s="55"/>
      <c r="L1587" s="55"/>
      <c r="M1587" s="55"/>
      <c r="N1587" s="55"/>
      <c r="O1587" s="55"/>
      <c r="P1587" s="55"/>
      <c r="Q1587" s="55"/>
      <c r="R1587" s="55"/>
      <c r="S1587" s="55"/>
      <c r="T1587" s="55"/>
      <c r="U1587" s="55"/>
      <c r="V1587" s="55"/>
      <c r="W1587" s="55"/>
      <c r="X1587" s="55"/>
      <c r="Y1587" s="55"/>
    </row>
    <row r="1588" spans="1:25" ht="16.149999999999999" customHeight="1" x14ac:dyDescent="0.15">
      <c r="A1588" s="59"/>
      <c r="B1588" s="59"/>
      <c r="C1588" s="59"/>
      <c r="D1588" s="59"/>
      <c r="E1588" s="59"/>
      <c r="F1588" s="59"/>
      <c r="G1588" s="59"/>
      <c r="H1588" s="59"/>
      <c r="I1588" s="59"/>
      <c r="J1588" s="59"/>
      <c r="K1588" s="59"/>
      <c r="L1588" s="59"/>
      <c r="M1588" s="59"/>
      <c r="N1588" s="59"/>
      <c r="O1588" s="59"/>
      <c r="P1588" s="59"/>
      <c r="Q1588" s="59"/>
      <c r="R1588" s="59"/>
      <c r="S1588" s="59"/>
      <c r="T1588" s="59"/>
      <c r="U1588" s="59"/>
      <c r="V1588" s="59"/>
      <c r="W1588" s="59"/>
      <c r="X1588" s="59"/>
      <c r="Y1588" s="59"/>
    </row>
    <row r="1589" spans="1:25" ht="16.149999999999999" customHeight="1" x14ac:dyDescent="0.15">
      <c r="A1589" s="59"/>
      <c r="B1589" s="59"/>
      <c r="C1589" s="59"/>
      <c r="D1589" s="59"/>
      <c r="E1589" s="59"/>
      <c r="F1589" s="59"/>
      <c r="G1589" s="59"/>
      <c r="H1589" s="59"/>
      <c r="I1589" s="59"/>
      <c r="J1589" s="59"/>
      <c r="K1589" s="59"/>
      <c r="L1589" s="59"/>
      <c r="M1589" s="59"/>
      <c r="N1589" s="59"/>
      <c r="O1589" s="59"/>
      <c r="P1589" s="59"/>
      <c r="Q1589" s="59"/>
      <c r="R1589" s="59"/>
      <c r="S1589" s="59"/>
      <c r="T1589" s="59"/>
      <c r="U1589" s="59"/>
      <c r="V1589" s="59"/>
      <c r="W1589" s="59"/>
      <c r="X1589" s="59"/>
      <c r="Y1589" s="59"/>
    </row>
    <row r="1590" spans="1:25" ht="16.149999999999999" customHeight="1" x14ac:dyDescent="0.15">
      <c r="A1590" s="59"/>
      <c r="B1590" s="59"/>
      <c r="C1590" s="59"/>
      <c r="D1590" s="59"/>
      <c r="E1590" s="59"/>
      <c r="F1590" s="59"/>
      <c r="G1590" s="59"/>
      <c r="H1590" s="59"/>
      <c r="I1590" s="59"/>
      <c r="J1590" s="59"/>
      <c r="K1590" s="59"/>
      <c r="L1590" s="59"/>
      <c r="M1590" s="59"/>
      <c r="N1590" s="59"/>
      <c r="O1590" s="59"/>
      <c r="P1590" s="59"/>
      <c r="Q1590" s="59"/>
      <c r="R1590" s="59"/>
      <c r="S1590" s="59"/>
      <c r="T1590" s="59"/>
      <c r="U1590" s="59"/>
      <c r="V1590" s="59"/>
      <c r="W1590" s="59"/>
      <c r="X1590" s="59"/>
      <c r="Y1590" s="59"/>
    </row>
    <row r="1591" spans="1:25" ht="16.149999999999999" customHeight="1" x14ac:dyDescent="0.15">
      <c r="A1591" s="59"/>
      <c r="B1591" s="59"/>
      <c r="C1591" s="59"/>
      <c r="D1591" s="59"/>
      <c r="E1591" s="59"/>
      <c r="F1591" s="59"/>
      <c r="G1591" s="59"/>
      <c r="H1591" s="59"/>
      <c r="I1591" s="59"/>
      <c r="J1591" s="59"/>
      <c r="K1591" s="59"/>
      <c r="L1591" s="59"/>
      <c r="M1591" s="59"/>
      <c r="N1591" s="59"/>
      <c r="O1591" s="59"/>
      <c r="P1591" s="59"/>
      <c r="Q1591" s="59"/>
      <c r="R1591" s="59"/>
      <c r="S1591" s="59"/>
      <c r="T1591" s="59"/>
      <c r="U1591" s="59"/>
      <c r="V1591" s="59"/>
      <c r="W1591" s="59"/>
      <c r="X1591" s="59"/>
      <c r="Y1591" s="59"/>
    </row>
    <row r="1592" spans="1:25" ht="16.149999999999999" customHeight="1" x14ac:dyDescent="0.15">
      <c r="A1592" s="59"/>
      <c r="B1592" s="59"/>
      <c r="C1592" s="59"/>
      <c r="D1592" s="59"/>
      <c r="E1592" s="59"/>
      <c r="F1592" s="59"/>
      <c r="G1592" s="59"/>
      <c r="H1592" s="59"/>
      <c r="I1592" s="59"/>
      <c r="J1592" s="59"/>
      <c r="K1592" s="59"/>
      <c r="L1592" s="59"/>
      <c r="M1592" s="59"/>
      <c r="N1592" s="59"/>
      <c r="O1592" s="59"/>
      <c r="P1592" s="59"/>
      <c r="Q1592" s="59"/>
      <c r="R1592" s="59"/>
      <c r="S1592" s="59"/>
      <c r="T1592" s="59"/>
      <c r="U1592" s="59"/>
      <c r="V1592" s="59"/>
      <c r="W1592" s="59"/>
      <c r="X1592" s="59"/>
      <c r="Y1592" s="59"/>
    </row>
    <row r="1593" spans="1:25" ht="16.149999999999999" customHeight="1" x14ac:dyDescent="0.15">
      <c r="A1593" s="59"/>
      <c r="B1593" s="59"/>
      <c r="C1593" s="59"/>
      <c r="D1593" s="59"/>
      <c r="E1593" s="59"/>
      <c r="F1593" s="59"/>
      <c r="G1593" s="59"/>
      <c r="H1593" s="59"/>
      <c r="I1593" s="59"/>
      <c r="J1593" s="59"/>
      <c r="K1593" s="59"/>
      <c r="L1593" s="59"/>
      <c r="M1593" s="59"/>
      <c r="N1593" s="59"/>
      <c r="O1593" s="59"/>
      <c r="P1593" s="59"/>
      <c r="Q1593" s="59"/>
      <c r="R1593" s="59"/>
      <c r="S1593" s="59"/>
      <c r="T1593" s="59"/>
      <c r="U1593" s="59"/>
      <c r="V1593" s="59"/>
      <c r="W1593" s="59"/>
      <c r="X1593" s="59"/>
      <c r="Y1593" s="59"/>
    </row>
    <row r="1594" spans="1:25" ht="16.149999999999999" customHeight="1" x14ac:dyDescent="0.15">
      <c r="W1594"/>
    </row>
    <row r="1595" spans="1:25" ht="16.149999999999999" customHeight="1" x14ac:dyDescent="0.15">
      <c r="A1595" s="64"/>
      <c r="B1595" s="64"/>
      <c r="C1595" s="64"/>
      <c r="D1595" s="64"/>
      <c r="E1595" s="64"/>
      <c r="F1595" s="64"/>
      <c r="G1595" s="64"/>
      <c r="H1595" s="64"/>
      <c r="I1595" s="64"/>
      <c r="J1595" s="64"/>
      <c r="K1595" s="64"/>
      <c r="L1595" s="64"/>
      <c r="M1595" s="64"/>
      <c r="N1595" s="64"/>
      <c r="O1595" s="64"/>
      <c r="P1595" s="64"/>
      <c r="Q1595" s="64"/>
      <c r="R1595" s="64"/>
      <c r="S1595" s="64"/>
      <c r="T1595" s="64"/>
      <c r="U1595" s="64"/>
      <c r="V1595" s="64"/>
      <c r="W1595" s="64"/>
      <c r="X1595" s="64"/>
      <c r="Y1595" s="64"/>
    </row>
    <row r="1596" spans="1:25" ht="16.149999999999999" customHeight="1" x14ac:dyDescent="0.15">
      <c r="W1596"/>
    </row>
    <row r="1597" spans="1:25" ht="16.149999999999999" customHeight="1" x14ac:dyDescent="0.15">
      <c r="A1597" s="64"/>
      <c r="B1597" s="64"/>
      <c r="C1597" s="64"/>
      <c r="D1597" s="64"/>
      <c r="E1597" s="64"/>
      <c r="F1597" s="64"/>
      <c r="G1597" s="64"/>
      <c r="H1597" s="64"/>
      <c r="I1597" s="64"/>
      <c r="J1597" s="64"/>
      <c r="K1597" s="64"/>
      <c r="L1597" s="64"/>
      <c r="M1597" s="64"/>
      <c r="N1597" s="64"/>
      <c r="O1597" s="64"/>
      <c r="P1597" s="64"/>
      <c r="Q1597" s="64"/>
      <c r="R1597" s="64"/>
      <c r="S1597" s="64"/>
      <c r="T1597" s="64"/>
      <c r="U1597" s="64"/>
      <c r="V1597" s="64"/>
      <c r="W1597" s="64"/>
      <c r="X1597" s="64"/>
      <c r="Y1597" s="64"/>
    </row>
    <row r="1598" spans="1:25" ht="16.149999999999999" customHeight="1" x14ac:dyDescent="0.15">
      <c r="W1598"/>
    </row>
    <row r="1599" spans="1:25" ht="16.149999999999999" customHeight="1" x14ac:dyDescent="0.15">
      <c r="A1599" s="64"/>
      <c r="B1599" s="64"/>
      <c r="C1599" s="64"/>
      <c r="D1599" s="64"/>
      <c r="E1599" s="64"/>
      <c r="F1599" s="64"/>
      <c r="G1599" s="64"/>
      <c r="H1599" s="64"/>
      <c r="I1599" s="64"/>
      <c r="J1599" s="64"/>
      <c r="K1599" s="64"/>
      <c r="L1599" s="64"/>
      <c r="M1599" s="64"/>
      <c r="N1599" s="64"/>
      <c r="O1599" s="64"/>
      <c r="P1599" s="64"/>
      <c r="Q1599" s="64"/>
      <c r="R1599" s="64"/>
      <c r="S1599" s="64"/>
      <c r="T1599" s="64"/>
      <c r="U1599" s="64"/>
      <c r="V1599" s="64"/>
      <c r="W1599" s="64"/>
      <c r="X1599" s="64"/>
      <c r="Y1599" s="64"/>
    </row>
    <row r="1600" spans="1:25" ht="16.149999999999999" customHeight="1" x14ac:dyDescent="0.15">
      <c r="W1600"/>
    </row>
    <row r="1601" spans="23:23" ht="16.149999999999999" customHeight="1" x14ac:dyDescent="0.15">
      <c r="W1601"/>
    </row>
    <row r="1602" spans="23:23" ht="16.149999999999999" customHeight="1" x14ac:dyDescent="0.15">
      <c r="W1602"/>
    </row>
    <row r="1603" spans="23:23" ht="16.149999999999999" customHeight="1" x14ac:dyDescent="0.15">
      <c r="W1603"/>
    </row>
    <row r="1604" spans="23:23" ht="16.149999999999999" customHeight="1" x14ac:dyDescent="0.15">
      <c r="W1604"/>
    </row>
    <row r="1605" spans="23:23" ht="16.149999999999999" customHeight="1" x14ac:dyDescent="0.15">
      <c r="W1605"/>
    </row>
    <row r="1606" spans="23:23" ht="16.149999999999999" customHeight="1" x14ac:dyDescent="0.15">
      <c r="W1606"/>
    </row>
    <row r="1607" spans="23:23" ht="16.149999999999999" customHeight="1" x14ac:dyDescent="0.15">
      <c r="W1607"/>
    </row>
    <row r="1608" spans="23:23" ht="16.149999999999999" customHeight="1" x14ac:dyDescent="0.15">
      <c r="W1608"/>
    </row>
    <row r="1609" spans="23:23" ht="16.149999999999999" customHeight="1" x14ac:dyDescent="0.15">
      <c r="W1609"/>
    </row>
    <row r="1610" spans="23:23" ht="16.149999999999999" customHeight="1" x14ac:dyDescent="0.15">
      <c r="W1610"/>
    </row>
    <row r="1611" spans="23:23" ht="16.149999999999999" customHeight="1" x14ac:dyDescent="0.15">
      <c r="W1611"/>
    </row>
    <row r="1612" spans="23:23" ht="16.149999999999999" customHeight="1" x14ac:dyDescent="0.15">
      <c r="W1612"/>
    </row>
    <row r="1613" spans="23:23" ht="16.149999999999999" customHeight="1" x14ac:dyDescent="0.15">
      <c r="W1613"/>
    </row>
    <row r="1614" spans="23:23" ht="16.149999999999999" customHeight="1" x14ac:dyDescent="0.15">
      <c r="W1614"/>
    </row>
    <row r="1615" spans="23:23" ht="16.149999999999999" customHeight="1" x14ac:dyDescent="0.15">
      <c r="W1615"/>
    </row>
    <row r="1616" spans="23:23" ht="16.149999999999999" customHeight="1" x14ac:dyDescent="0.15">
      <c r="W1616"/>
    </row>
    <row r="1617" spans="1:25" ht="16.149999999999999" customHeight="1" x14ac:dyDescent="0.15">
      <c r="W1617"/>
    </row>
    <row r="1618" spans="1:25" ht="16.149999999999999" customHeight="1" x14ac:dyDescent="0.15">
      <c r="A1618" s="59"/>
      <c r="B1618" s="59"/>
      <c r="C1618" s="59"/>
      <c r="D1618" s="59"/>
      <c r="E1618" s="59"/>
      <c r="F1618" s="59"/>
      <c r="G1618" s="59"/>
      <c r="H1618" s="59"/>
      <c r="I1618" s="59"/>
      <c r="J1618" s="59"/>
      <c r="K1618" s="59"/>
      <c r="L1618" s="59"/>
      <c r="M1618" s="59"/>
      <c r="N1618" s="59"/>
      <c r="O1618" s="59"/>
      <c r="P1618" s="59"/>
      <c r="Q1618" s="59"/>
      <c r="R1618" s="59"/>
      <c r="S1618" s="59"/>
      <c r="T1618" s="59"/>
      <c r="U1618" s="59"/>
      <c r="V1618" s="59"/>
      <c r="W1618" s="59"/>
      <c r="X1618" s="59"/>
      <c r="Y1618" s="59"/>
    </row>
    <row r="1619" spans="1:25" ht="16.149999999999999" customHeight="1" x14ac:dyDescent="0.15">
      <c r="W1619"/>
    </row>
    <row r="1620" spans="1:25" ht="16.149999999999999" customHeight="1" x14ac:dyDescent="0.15">
      <c r="W1620"/>
    </row>
    <row r="1621" spans="1:25" ht="16.149999999999999" customHeight="1" x14ac:dyDescent="0.15">
      <c r="W1621"/>
    </row>
    <row r="1622" spans="1:25" ht="16.149999999999999" customHeight="1" x14ac:dyDescent="0.15">
      <c r="W1622"/>
    </row>
    <row r="1623" spans="1:25" ht="16.149999999999999" customHeight="1" x14ac:dyDescent="0.15">
      <c r="W1623"/>
    </row>
    <row r="1624" spans="1:25" ht="16.149999999999999" customHeight="1" x14ac:dyDescent="0.15">
      <c r="A1624" s="59"/>
      <c r="B1624" s="59"/>
      <c r="C1624" s="59"/>
      <c r="D1624" s="59"/>
      <c r="E1624" s="59"/>
      <c r="F1624" s="59"/>
      <c r="G1624" s="59"/>
      <c r="H1624" s="59"/>
      <c r="I1624" s="59"/>
      <c r="J1624" s="59"/>
      <c r="K1624" s="59"/>
      <c r="L1624" s="59"/>
      <c r="M1624" s="59"/>
      <c r="N1624" s="59"/>
      <c r="O1624" s="59"/>
      <c r="P1624" s="59"/>
      <c r="Q1624" s="59"/>
      <c r="R1624" s="59"/>
      <c r="S1624" s="59"/>
      <c r="T1624" s="59"/>
      <c r="U1624" s="59"/>
      <c r="V1624" s="59"/>
      <c r="W1624" s="59"/>
      <c r="X1624" s="59"/>
      <c r="Y1624" s="59"/>
    </row>
    <row r="1625" spans="1:25" ht="16.149999999999999" customHeight="1" x14ac:dyDescent="0.15">
      <c r="A1625" s="59"/>
      <c r="B1625" s="59"/>
      <c r="C1625" s="59"/>
      <c r="D1625" s="59"/>
      <c r="E1625" s="59"/>
      <c r="F1625" s="59"/>
      <c r="G1625" s="59"/>
      <c r="H1625" s="59"/>
      <c r="I1625" s="59"/>
      <c r="J1625" s="59"/>
      <c r="K1625" s="59"/>
      <c r="L1625" s="59"/>
      <c r="M1625" s="59"/>
      <c r="N1625" s="59"/>
      <c r="O1625" s="59"/>
      <c r="P1625" s="59"/>
      <c r="Q1625" s="59"/>
      <c r="R1625" s="59"/>
      <c r="S1625" s="59"/>
      <c r="T1625" s="59"/>
      <c r="U1625" s="59"/>
      <c r="V1625" s="59"/>
      <c r="W1625" s="59"/>
      <c r="X1625" s="59"/>
      <c r="Y1625" s="59"/>
    </row>
    <row r="1626" spans="1:25" ht="16.149999999999999" customHeight="1" x14ac:dyDescent="0.15">
      <c r="W1626"/>
    </row>
    <row r="1627" spans="1:25" ht="16.149999999999999" customHeight="1" x14ac:dyDescent="0.15">
      <c r="W1627"/>
    </row>
    <row r="1628" spans="1:25" ht="16.149999999999999" customHeight="1" x14ac:dyDescent="0.15">
      <c r="W1628"/>
    </row>
    <row r="1629" spans="1:25" ht="16.149999999999999" customHeight="1" x14ac:dyDescent="0.15">
      <c r="A1629" s="59"/>
      <c r="B1629" s="59"/>
      <c r="C1629" s="59"/>
      <c r="D1629" s="59"/>
      <c r="E1629" s="59"/>
      <c r="F1629" s="59"/>
      <c r="G1629" s="59"/>
      <c r="H1629" s="59"/>
      <c r="I1629" s="59"/>
      <c r="J1629" s="59"/>
      <c r="K1629" s="59"/>
      <c r="L1629" s="59"/>
      <c r="M1629" s="59"/>
      <c r="N1629" s="59"/>
      <c r="O1629" s="59"/>
      <c r="P1629" s="59"/>
      <c r="Q1629" s="59"/>
      <c r="R1629" s="59"/>
      <c r="S1629" s="59"/>
      <c r="T1629" s="59"/>
      <c r="U1629" s="59"/>
      <c r="V1629" s="59"/>
      <c r="W1629" s="59"/>
      <c r="X1629" s="59"/>
      <c r="Y1629" s="59"/>
    </row>
    <row r="1630" spans="1:25" ht="16.149999999999999" customHeight="1" x14ac:dyDescent="0.15">
      <c r="A1630" s="59"/>
      <c r="B1630" s="59"/>
      <c r="C1630" s="59"/>
      <c r="D1630" s="59"/>
      <c r="E1630" s="59"/>
      <c r="F1630" s="59"/>
      <c r="G1630" s="59"/>
      <c r="H1630" s="59"/>
      <c r="I1630" s="59"/>
      <c r="J1630" s="59"/>
      <c r="K1630" s="59"/>
      <c r="L1630" s="59"/>
      <c r="M1630" s="59"/>
      <c r="N1630" s="59"/>
      <c r="O1630" s="59"/>
      <c r="P1630" s="59"/>
      <c r="Q1630" s="59"/>
      <c r="R1630" s="59"/>
      <c r="S1630" s="59"/>
      <c r="T1630" s="59"/>
      <c r="U1630" s="59"/>
      <c r="V1630" s="59"/>
      <c r="W1630" s="59"/>
      <c r="X1630" s="59"/>
      <c r="Y1630" s="59"/>
    </row>
    <row r="1631" spans="1:25" ht="16.149999999999999" customHeight="1" x14ac:dyDescent="0.15">
      <c r="A1631" s="59"/>
      <c r="B1631" s="59"/>
      <c r="C1631" s="59"/>
      <c r="D1631" s="59"/>
      <c r="E1631" s="59"/>
      <c r="F1631" s="59"/>
      <c r="G1631" s="59"/>
      <c r="H1631" s="59"/>
      <c r="I1631" s="59"/>
      <c r="J1631" s="59"/>
      <c r="K1631" s="59"/>
      <c r="L1631" s="59"/>
      <c r="M1631" s="59"/>
      <c r="N1631" s="59"/>
      <c r="O1631" s="59"/>
      <c r="P1631" s="59"/>
      <c r="Q1631" s="59"/>
      <c r="R1631" s="59"/>
      <c r="S1631" s="59"/>
      <c r="T1631" s="59"/>
      <c r="U1631" s="59"/>
      <c r="V1631" s="59"/>
      <c r="W1631" s="59"/>
      <c r="X1631" s="59"/>
      <c r="Y1631" s="59"/>
    </row>
    <row r="1632" spans="1:25" ht="16.149999999999999" customHeight="1" x14ac:dyDescent="0.15">
      <c r="W1632"/>
    </row>
    <row r="1633" spans="1:25" ht="16.149999999999999" customHeight="1" x14ac:dyDescent="0.15">
      <c r="W1633"/>
    </row>
    <row r="1634" spans="1:25" ht="16.149999999999999" customHeight="1" x14ac:dyDescent="0.15">
      <c r="W1634"/>
    </row>
    <row r="1635" spans="1:25" ht="16.149999999999999" customHeight="1" x14ac:dyDescent="0.15">
      <c r="A1635" s="59"/>
      <c r="B1635" s="59"/>
      <c r="C1635" s="59"/>
      <c r="D1635" s="59"/>
      <c r="E1635" s="59"/>
      <c r="F1635" s="59"/>
      <c r="G1635" s="59"/>
      <c r="H1635" s="59"/>
      <c r="I1635" s="59"/>
      <c r="J1635" s="59"/>
      <c r="K1635" s="59"/>
      <c r="L1635" s="59"/>
      <c r="M1635" s="59"/>
      <c r="N1635" s="59"/>
      <c r="O1635" s="59"/>
      <c r="P1635" s="59"/>
      <c r="Q1635" s="59"/>
      <c r="R1635" s="59"/>
      <c r="S1635" s="59"/>
      <c r="T1635" s="59"/>
      <c r="U1635" s="59"/>
      <c r="V1635" s="59"/>
      <c r="W1635" s="59"/>
      <c r="X1635" s="59"/>
      <c r="Y1635" s="59"/>
    </row>
    <row r="1636" spans="1:25" ht="16.149999999999999" customHeight="1" x14ac:dyDescent="0.15">
      <c r="W1636"/>
    </row>
    <row r="1637" spans="1:25" ht="16.149999999999999" customHeight="1" x14ac:dyDescent="0.15">
      <c r="W1637"/>
    </row>
    <row r="1638" spans="1:25" ht="16.149999999999999" customHeight="1" x14ac:dyDescent="0.15">
      <c r="A1638" s="59"/>
      <c r="B1638" s="59"/>
      <c r="C1638" s="59"/>
      <c r="D1638" s="59"/>
      <c r="E1638" s="59"/>
      <c r="F1638" s="59"/>
      <c r="G1638" s="59"/>
      <c r="H1638" s="59"/>
      <c r="I1638" s="59"/>
      <c r="J1638" s="59"/>
      <c r="K1638" s="59"/>
      <c r="L1638" s="59"/>
      <c r="M1638" s="59"/>
      <c r="N1638" s="59"/>
      <c r="O1638" s="59"/>
      <c r="P1638" s="59"/>
      <c r="Q1638" s="59"/>
      <c r="R1638" s="59"/>
      <c r="S1638" s="59"/>
      <c r="T1638" s="59"/>
      <c r="U1638" s="59"/>
      <c r="V1638" s="59"/>
      <c r="W1638" s="59"/>
      <c r="X1638" s="59"/>
      <c r="Y1638" s="59"/>
    </row>
    <row r="1639" spans="1:25" ht="16.149999999999999" customHeight="1" x14ac:dyDescent="0.15">
      <c r="W1639"/>
    </row>
    <row r="1640" spans="1:25" ht="16.149999999999999" customHeight="1" x14ac:dyDescent="0.15">
      <c r="W1640"/>
    </row>
    <row r="1641" spans="1:25" ht="16.149999999999999" customHeight="1" x14ac:dyDescent="0.15">
      <c r="W1641"/>
    </row>
    <row r="1642" spans="1:25" ht="16.149999999999999" customHeight="1" x14ac:dyDescent="0.15">
      <c r="A1642" s="59"/>
      <c r="B1642" s="59"/>
      <c r="C1642" s="59"/>
      <c r="D1642" s="59"/>
      <c r="E1642" s="59"/>
      <c r="F1642" s="59"/>
      <c r="G1642" s="59"/>
      <c r="H1642" s="59"/>
      <c r="I1642" s="59"/>
      <c r="J1642" s="59"/>
      <c r="K1642" s="59"/>
      <c r="L1642" s="59"/>
      <c r="M1642" s="59"/>
      <c r="N1642" s="59"/>
      <c r="O1642" s="59"/>
      <c r="P1642" s="59"/>
      <c r="Q1642" s="59"/>
      <c r="R1642" s="59"/>
      <c r="S1642" s="59"/>
      <c r="T1642" s="59"/>
      <c r="U1642" s="59"/>
      <c r="V1642" s="59"/>
      <c r="W1642" s="59"/>
      <c r="X1642" s="59"/>
      <c r="Y1642" s="59"/>
    </row>
    <row r="1643" spans="1:25" ht="16.149999999999999" customHeight="1" x14ac:dyDescent="0.15">
      <c r="W1643"/>
    </row>
    <row r="1644" spans="1:25" ht="16.149999999999999" customHeight="1" x14ac:dyDescent="0.15">
      <c r="W1644"/>
    </row>
    <row r="1645" spans="1:25" ht="16.149999999999999" customHeight="1" x14ac:dyDescent="0.15">
      <c r="W1645"/>
    </row>
    <row r="1646" spans="1:25" ht="16.149999999999999" customHeight="1" x14ac:dyDescent="0.15">
      <c r="A1646" s="59"/>
      <c r="B1646" s="59"/>
      <c r="C1646" s="59"/>
      <c r="D1646" s="59"/>
      <c r="E1646" s="59"/>
      <c r="F1646" s="59"/>
      <c r="G1646" s="59"/>
      <c r="H1646" s="59"/>
      <c r="I1646" s="59"/>
      <c r="J1646" s="59"/>
      <c r="K1646" s="59"/>
      <c r="L1646" s="59"/>
      <c r="M1646" s="59"/>
      <c r="N1646" s="59"/>
      <c r="O1646" s="59"/>
      <c r="P1646" s="59"/>
      <c r="Q1646" s="59"/>
      <c r="R1646" s="59"/>
      <c r="S1646" s="59"/>
      <c r="T1646" s="59"/>
      <c r="U1646" s="59"/>
      <c r="V1646" s="59"/>
      <c r="W1646" s="59"/>
      <c r="X1646" s="59"/>
      <c r="Y1646" s="59"/>
    </row>
    <row r="1647" spans="1:25" ht="16.149999999999999" customHeight="1" x14ac:dyDescent="0.15">
      <c r="W1647"/>
    </row>
    <row r="1648" spans="1:25" ht="16.149999999999999" customHeight="1" x14ac:dyDescent="0.15">
      <c r="W1648"/>
    </row>
    <row r="1649" spans="1:25" ht="16.149999999999999" customHeight="1" x14ac:dyDescent="0.15">
      <c r="W1649"/>
    </row>
    <row r="1650" spans="1:25" ht="16.149999999999999" customHeight="1" x14ac:dyDescent="0.15">
      <c r="W1650"/>
    </row>
    <row r="1651" spans="1:25" ht="16.149999999999999" customHeight="1" x14ac:dyDescent="0.15">
      <c r="W1651"/>
    </row>
    <row r="1652" spans="1:25" ht="16.149999999999999" customHeight="1" x14ac:dyDescent="0.15">
      <c r="W1652"/>
    </row>
    <row r="1653" spans="1:25" ht="16.149999999999999" customHeight="1" x14ac:dyDescent="0.15">
      <c r="A1653" s="55"/>
      <c r="B1653" s="55"/>
      <c r="C1653" s="55"/>
      <c r="D1653" s="55"/>
      <c r="E1653" s="55"/>
      <c r="F1653" s="55"/>
      <c r="G1653" s="55"/>
      <c r="H1653" s="55"/>
      <c r="I1653" s="55"/>
      <c r="J1653" s="55"/>
      <c r="K1653" s="55"/>
      <c r="L1653" s="55"/>
      <c r="M1653" s="55"/>
      <c r="N1653" s="55"/>
      <c r="O1653" s="55"/>
      <c r="P1653" s="55"/>
      <c r="Q1653" s="55"/>
      <c r="R1653" s="55"/>
      <c r="S1653" s="55"/>
      <c r="T1653" s="55"/>
      <c r="U1653" s="55"/>
      <c r="V1653" s="55"/>
      <c r="W1653" s="55"/>
      <c r="X1653" s="55"/>
      <c r="Y1653" s="55"/>
    </row>
    <row r="1654" spans="1:25" ht="16.149999999999999" customHeight="1" x14ac:dyDescent="0.15">
      <c r="A1654" s="55"/>
      <c r="B1654" s="55"/>
      <c r="C1654" s="55"/>
      <c r="D1654" s="55"/>
      <c r="E1654" s="55"/>
      <c r="F1654" s="55"/>
      <c r="G1654" s="55"/>
      <c r="H1654" s="55"/>
      <c r="I1654" s="55"/>
      <c r="J1654" s="55"/>
      <c r="K1654" s="55"/>
      <c r="L1654" s="55"/>
      <c r="M1654" s="55"/>
      <c r="N1654" s="55"/>
      <c r="O1654" s="55"/>
      <c r="P1654" s="55"/>
      <c r="Q1654" s="55"/>
      <c r="R1654" s="55"/>
      <c r="S1654" s="55"/>
      <c r="T1654" s="55"/>
      <c r="U1654" s="55"/>
      <c r="V1654" s="55"/>
      <c r="W1654" s="55"/>
      <c r="X1654" s="55"/>
      <c r="Y1654" s="55"/>
    </row>
    <row r="1655" spans="1:25" ht="16.149999999999999" customHeight="1" x14ac:dyDescent="0.15">
      <c r="A1655" s="55"/>
      <c r="B1655" s="55"/>
      <c r="C1655" s="55"/>
      <c r="D1655" s="55"/>
      <c r="E1655" s="55"/>
      <c r="F1655" s="55"/>
      <c r="G1655" s="55"/>
      <c r="H1655" s="55"/>
      <c r="I1655" s="55"/>
      <c r="J1655" s="55"/>
      <c r="K1655" s="55"/>
      <c r="L1655" s="55"/>
      <c r="M1655" s="55"/>
      <c r="N1655" s="55"/>
      <c r="O1655" s="55"/>
      <c r="P1655" s="55"/>
      <c r="Q1655" s="55"/>
      <c r="R1655" s="55"/>
      <c r="S1655" s="55"/>
      <c r="T1655" s="55"/>
      <c r="U1655" s="55"/>
      <c r="V1655" s="55"/>
      <c r="W1655" s="55"/>
      <c r="X1655" s="55"/>
      <c r="Y1655" s="55"/>
    </row>
    <row r="1656" spans="1:25" ht="16.149999999999999" customHeight="1" x14ac:dyDescent="0.15">
      <c r="A1656" s="55"/>
      <c r="B1656" s="55"/>
      <c r="C1656" s="55"/>
      <c r="D1656" s="55"/>
      <c r="E1656" s="55"/>
      <c r="F1656" s="55"/>
      <c r="G1656" s="55"/>
      <c r="H1656" s="55"/>
      <c r="I1656" s="55"/>
      <c r="J1656" s="55"/>
      <c r="K1656" s="55"/>
      <c r="L1656" s="55"/>
      <c r="M1656" s="55"/>
      <c r="N1656" s="55"/>
      <c r="O1656" s="55"/>
      <c r="P1656" s="55"/>
      <c r="Q1656" s="55"/>
      <c r="R1656" s="55"/>
      <c r="S1656" s="55"/>
      <c r="T1656" s="55"/>
      <c r="U1656" s="55"/>
      <c r="V1656" s="55"/>
      <c r="W1656" s="55"/>
      <c r="X1656" s="55"/>
      <c r="Y1656" s="55"/>
    </row>
    <row r="1657" spans="1:25" ht="16.149999999999999" customHeight="1" x14ac:dyDescent="0.15">
      <c r="A1657" s="55"/>
      <c r="B1657" s="55"/>
      <c r="C1657" s="55"/>
      <c r="D1657" s="55"/>
      <c r="E1657" s="55"/>
      <c r="F1657" s="55"/>
      <c r="G1657" s="55"/>
      <c r="H1657" s="55"/>
      <c r="I1657" s="55"/>
      <c r="J1657" s="55"/>
      <c r="K1657" s="55"/>
      <c r="L1657" s="55"/>
      <c r="M1657" s="55"/>
      <c r="N1657" s="55"/>
      <c r="O1657" s="55"/>
      <c r="P1657" s="55"/>
      <c r="Q1657" s="55"/>
      <c r="R1657" s="55"/>
      <c r="S1657" s="55"/>
      <c r="T1657" s="55"/>
      <c r="U1657" s="55"/>
      <c r="V1657" s="55"/>
      <c r="W1657" s="55"/>
      <c r="X1657" s="55"/>
      <c r="Y1657" s="55"/>
    </row>
    <row r="1658" spans="1:25" ht="16.149999999999999" customHeight="1" x14ac:dyDescent="0.15">
      <c r="A1658" s="55"/>
      <c r="B1658" s="55"/>
      <c r="C1658" s="55"/>
      <c r="D1658" s="55"/>
      <c r="E1658" s="55"/>
      <c r="F1658" s="55"/>
      <c r="G1658" s="55"/>
      <c r="H1658" s="55"/>
      <c r="I1658" s="55"/>
      <c r="J1658" s="55"/>
      <c r="K1658" s="55"/>
      <c r="L1658" s="55"/>
      <c r="M1658" s="55"/>
      <c r="N1658" s="55"/>
      <c r="O1658" s="55"/>
      <c r="P1658" s="55"/>
      <c r="Q1658" s="55"/>
      <c r="R1658" s="55"/>
      <c r="S1658" s="55"/>
      <c r="T1658" s="55"/>
      <c r="U1658" s="55"/>
      <c r="V1658" s="55"/>
      <c r="W1658" s="55"/>
      <c r="X1658" s="55"/>
      <c r="Y1658" s="55"/>
    </row>
    <row r="1659" spans="1:25" ht="16.149999999999999" customHeight="1" x14ac:dyDescent="0.15">
      <c r="A1659" s="55"/>
      <c r="B1659" s="55"/>
      <c r="C1659" s="55"/>
      <c r="D1659" s="55"/>
      <c r="E1659" s="55"/>
      <c r="F1659" s="55"/>
      <c r="G1659" s="55"/>
      <c r="H1659" s="55"/>
      <c r="I1659" s="55"/>
      <c r="J1659" s="55"/>
      <c r="K1659" s="55"/>
      <c r="L1659" s="55"/>
      <c r="M1659" s="55"/>
      <c r="N1659" s="55"/>
      <c r="O1659" s="55"/>
      <c r="P1659" s="55"/>
      <c r="Q1659" s="55"/>
      <c r="R1659" s="55"/>
      <c r="S1659" s="55"/>
      <c r="T1659" s="55"/>
      <c r="U1659" s="55"/>
      <c r="V1659" s="55"/>
      <c r="W1659" s="55"/>
      <c r="X1659" s="55"/>
      <c r="Y1659" s="55"/>
    </row>
    <row r="1660" spans="1:25" ht="16.149999999999999" customHeight="1" x14ac:dyDescent="0.15">
      <c r="A1660" s="55"/>
      <c r="B1660" s="55"/>
      <c r="C1660" s="55"/>
      <c r="D1660" s="55"/>
      <c r="E1660" s="55"/>
      <c r="F1660" s="55"/>
      <c r="G1660" s="55"/>
      <c r="H1660" s="55"/>
      <c r="I1660" s="55"/>
      <c r="J1660" s="55"/>
      <c r="K1660" s="55"/>
      <c r="L1660" s="55"/>
      <c r="M1660" s="55"/>
      <c r="N1660" s="55"/>
      <c r="O1660" s="55"/>
      <c r="P1660" s="55"/>
      <c r="Q1660" s="55"/>
      <c r="R1660" s="55"/>
      <c r="S1660" s="55"/>
      <c r="T1660" s="55"/>
      <c r="U1660" s="55"/>
      <c r="V1660" s="55"/>
      <c r="W1660" s="55"/>
      <c r="X1660" s="55"/>
      <c r="Y1660" s="55"/>
    </row>
    <row r="1661" spans="1:25" ht="16.149999999999999" customHeight="1" x14ac:dyDescent="0.15">
      <c r="A1661" s="55"/>
      <c r="B1661" s="55"/>
      <c r="C1661" s="55"/>
      <c r="D1661" s="55"/>
      <c r="E1661" s="55"/>
      <c r="F1661" s="55"/>
      <c r="G1661" s="55"/>
      <c r="H1661" s="55"/>
      <c r="I1661" s="55"/>
      <c r="J1661" s="55"/>
      <c r="K1661" s="55"/>
      <c r="L1661" s="55"/>
      <c r="M1661" s="55"/>
      <c r="N1661" s="55"/>
      <c r="O1661" s="55"/>
      <c r="P1661" s="55"/>
      <c r="Q1661" s="55"/>
      <c r="R1661" s="55"/>
      <c r="S1661" s="55"/>
      <c r="T1661" s="55"/>
      <c r="U1661" s="55"/>
      <c r="V1661" s="55"/>
      <c r="W1661" s="55"/>
      <c r="X1661" s="55"/>
      <c r="Y1661" s="55"/>
    </row>
    <row r="1662" spans="1:25" ht="16.149999999999999" customHeight="1" x14ac:dyDescent="0.15">
      <c r="A1662" s="55"/>
      <c r="B1662" s="55"/>
      <c r="C1662" s="55"/>
      <c r="D1662" s="55"/>
      <c r="E1662" s="55"/>
      <c r="F1662" s="55"/>
      <c r="G1662" s="55"/>
      <c r="H1662" s="55"/>
      <c r="I1662" s="55"/>
      <c r="J1662" s="55"/>
      <c r="K1662" s="55"/>
      <c r="L1662" s="55"/>
      <c r="M1662" s="55"/>
      <c r="N1662" s="55"/>
      <c r="O1662" s="55"/>
      <c r="P1662" s="55"/>
      <c r="Q1662" s="55"/>
      <c r="R1662" s="55"/>
      <c r="S1662" s="55"/>
      <c r="T1662" s="55"/>
      <c r="U1662" s="55"/>
      <c r="V1662" s="55"/>
      <c r="W1662" s="55"/>
      <c r="X1662" s="55"/>
      <c r="Y1662" s="55"/>
    </row>
    <row r="1663" spans="1:25" ht="16.149999999999999" customHeight="1" x14ac:dyDescent="0.15">
      <c r="A1663" s="55"/>
      <c r="B1663" s="55"/>
      <c r="C1663" s="55"/>
      <c r="D1663" s="55"/>
      <c r="E1663" s="55"/>
      <c r="F1663" s="55"/>
      <c r="G1663" s="55"/>
      <c r="H1663" s="55"/>
      <c r="I1663" s="55"/>
      <c r="J1663" s="55"/>
      <c r="K1663" s="55"/>
      <c r="L1663" s="55"/>
      <c r="M1663" s="55"/>
      <c r="N1663" s="55"/>
      <c r="O1663" s="55"/>
      <c r="P1663" s="55"/>
      <c r="Q1663" s="55"/>
      <c r="R1663" s="55"/>
      <c r="S1663" s="55"/>
      <c r="T1663" s="55"/>
      <c r="U1663" s="55"/>
      <c r="V1663" s="55"/>
      <c r="W1663" s="55"/>
      <c r="X1663" s="55"/>
      <c r="Y1663" s="55"/>
    </row>
    <row r="1664" spans="1:25" ht="16.149999999999999" customHeight="1" x14ac:dyDescent="0.15">
      <c r="W1664"/>
    </row>
    <row r="1665" spans="23:23" ht="16.149999999999999" customHeight="1" x14ac:dyDescent="0.15">
      <c r="W1665"/>
    </row>
    <row r="1666" spans="23:23" ht="16.149999999999999" customHeight="1" x14ac:dyDescent="0.15">
      <c r="W1666"/>
    </row>
    <row r="1667" spans="23:23" ht="16.149999999999999" customHeight="1" x14ac:dyDescent="0.15">
      <c r="W1667"/>
    </row>
    <row r="1668" spans="23:23" ht="16.149999999999999" customHeight="1" x14ac:dyDescent="0.15">
      <c r="W1668"/>
    </row>
    <row r="1669" spans="23:23" ht="16.149999999999999" customHeight="1" x14ac:dyDescent="0.15">
      <c r="W1669"/>
    </row>
    <row r="1670" spans="23:23" ht="16.149999999999999" customHeight="1" x14ac:dyDescent="0.15">
      <c r="W1670"/>
    </row>
    <row r="1671" spans="23:23" ht="16.149999999999999" customHeight="1" x14ac:dyDescent="0.15">
      <c r="W1671"/>
    </row>
    <row r="1672" spans="23:23" ht="16.149999999999999" customHeight="1" x14ac:dyDescent="0.15">
      <c r="W1672"/>
    </row>
    <row r="1673" spans="23:23" ht="16.149999999999999" customHeight="1" x14ac:dyDescent="0.15">
      <c r="W1673"/>
    </row>
    <row r="1674" spans="23:23" ht="16.149999999999999" customHeight="1" x14ac:dyDescent="0.15">
      <c r="W1674"/>
    </row>
    <row r="1675" spans="23:23" ht="16.149999999999999" customHeight="1" x14ac:dyDescent="0.15">
      <c r="W1675"/>
    </row>
    <row r="1676" spans="23:23" ht="16.149999999999999" customHeight="1" x14ac:dyDescent="0.15">
      <c r="W1676"/>
    </row>
    <row r="1677" spans="23:23" ht="16.149999999999999" customHeight="1" x14ac:dyDescent="0.15">
      <c r="W1677"/>
    </row>
    <row r="1678" spans="23:23" ht="16.149999999999999" customHeight="1" x14ac:dyDescent="0.15">
      <c r="W1678"/>
    </row>
    <row r="1679" spans="23:23" ht="16.149999999999999" customHeight="1" x14ac:dyDescent="0.15">
      <c r="W1679"/>
    </row>
    <row r="1680" spans="23:23" ht="16.149999999999999" customHeight="1" x14ac:dyDescent="0.15">
      <c r="W1680"/>
    </row>
    <row r="1681" spans="1:25" ht="16.149999999999999" customHeight="1" x14ac:dyDescent="0.15">
      <c r="W1681"/>
    </row>
    <row r="1682" spans="1:25" ht="16.149999999999999" customHeight="1" x14ac:dyDescent="0.15">
      <c r="W1682"/>
    </row>
    <row r="1683" spans="1:25" ht="16.149999999999999" customHeight="1" x14ac:dyDescent="0.15">
      <c r="W1683"/>
    </row>
    <row r="1684" spans="1:25" ht="16.149999999999999" customHeight="1" x14ac:dyDescent="0.15">
      <c r="W1684"/>
    </row>
    <row r="1685" spans="1:25" ht="16.149999999999999" customHeight="1" x14ac:dyDescent="0.15">
      <c r="W1685"/>
    </row>
    <row r="1686" spans="1:25" ht="16.149999999999999" customHeight="1" x14ac:dyDescent="0.15">
      <c r="W1686"/>
    </row>
    <row r="1687" spans="1:25" ht="16.149999999999999" customHeight="1" x14ac:dyDescent="0.15">
      <c r="W1687"/>
    </row>
    <row r="1688" spans="1:25" ht="16.149999999999999" customHeight="1" x14ac:dyDescent="0.15">
      <c r="W1688"/>
    </row>
    <row r="1689" spans="1:25" ht="16.149999999999999" customHeight="1" x14ac:dyDescent="0.15">
      <c r="W1689"/>
    </row>
    <row r="1690" spans="1:25" ht="16.149999999999999" customHeight="1" x14ac:dyDescent="0.15">
      <c r="W1690"/>
    </row>
    <row r="1691" spans="1:25" ht="16.149999999999999" customHeight="1" x14ac:dyDescent="0.15">
      <c r="W1691"/>
    </row>
    <row r="1692" spans="1:25" ht="16.149999999999999" customHeight="1" x14ac:dyDescent="0.15">
      <c r="W1692"/>
    </row>
    <row r="1693" spans="1:25" ht="16.149999999999999" customHeight="1" x14ac:dyDescent="0.15">
      <c r="W1693"/>
    </row>
    <row r="1694" spans="1:25" ht="16.149999999999999" customHeight="1" x14ac:dyDescent="0.15">
      <c r="W1694"/>
    </row>
    <row r="1695" spans="1:25" ht="16.149999999999999" customHeight="1" x14ac:dyDescent="0.15">
      <c r="A1695" s="59"/>
      <c r="B1695" s="59"/>
      <c r="C1695" s="59"/>
      <c r="D1695" s="59"/>
      <c r="E1695" s="59"/>
      <c r="F1695" s="59"/>
      <c r="G1695" s="59"/>
      <c r="H1695" s="59"/>
      <c r="I1695" s="59"/>
      <c r="J1695" s="59"/>
      <c r="K1695" s="59"/>
      <c r="L1695" s="59"/>
      <c r="M1695" s="59"/>
      <c r="N1695" s="59"/>
      <c r="O1695" s="59"/>
      <c r="P1695" s="59"/>
      <c r="Q1695" s="59"/>
      <c r="R1695" s="59"/>
      <c r="S1695" s="59"/>
      <c r="T1695" s="59"/>
      <c r="U1695" s="59"/>
      <c r="V1695" s="59"/>
      <c r="W1695" s="59"/>
      <c r="X1695" s="59"/>
      <c r="Y1695" s="59"/>
    </row>
    <row r="1696" spans="1:25" ht="16.149999999999999" customHeight="1" x14ac:dyDescent="0.15">
      <c r="A1696" s="59"/>
      <c r="B1696" s="59"/>
      <c r="C1696" s="59"/>
      <c r="D1696" s="59"/>
      <c r="E1696" s="59"/>
      <c r="F1696" s="59"/>
      <c r="G1696" s="59"/>
      <c r="H1696" s="59"/>
      <c r="I1696" s="59"/>
      <c r="J1696" s="59"/>
      <c r="K1696" s="59"/>
      <c r="L1696" s="59"/>
      <c r="M1696" s="59"/>
      <c r="N1696" s="59"/>
      <c r="O1696" s="59"/>
      <c r="P1696" s="59"/>
      <c r="Q1696" s="59"/>
      <c r="R1696" s="59"/>
      <c r="S1696" s="59"/>
      <c r="T1696" s="59"/>
      <c r="U1696" s="59"/>
      <c r="V1696" s="59"/>
      <c r="W1696" s="59"/>
      <c r="X1696" s="59"/>
      <c r="Y1696" s="59"/>
    </row>
    <row r="1697" spans="1:25" ht="16.149999999999999" customHeight="1" x14ac:dyDescent="0.15">
      <c r="A1697" s="59"/>
      <c r="B1697" s="59"/>
      <c r="C1697" s="59"/>
      <c r="D1697" s="59"/>
      <c r="E1697" s="59"/>
      <c r="F1697" s="59"/>
      <c r="G1697" s="59"/>
      <c r="H1697" s="59"/>
      <c r="I1697" s="59"/>
      <c r="J1697" s="59"/>
      <c r="K1697" s="59"/>
      <c r="L1697" s="59"/>
      <c r="M1697" s="59"/>
      <c r="N1697" s="59"/>
      <c r="O1697" s="59"/>
      <c r="P1697" s="59"/>
      <c r="Q1697" s="59"/>
      <c r="R1697" s="59"/>
      <c r="S1697" s="59"/>
      <c r="T1697" s="59"/>
      <c r="U1697" s="59"/>
      <c r="V1697" s="59"/>
      <c r="W1697" s="59"/>
      <c r="X1697" s="59"/>
      <c r="Y1697" s="59"/>
    </row>
    <row r="1698" spans="1:25" ht="16.149999999999999" customHeight="1" x14ac:dyDescent="0.15">
      <c r="W1698"/>
    </row>
    <row r="1699" spans="1:25" ht="16.149999999999999" customHeight="1" x14ac:dyDescent="0.15">
      <c r="A1699" s="59"/>
      <c r="B1699" s="59"/>
      <c r="C1699" s="59"/>
      <c r="D1699" s="59"/>
      <c r="E1699" s="59"/>
      <c r="F1699" s="59"/>
      <c r="G1699" s="59"/>
      <c r="H1699" s="59"/>
      <c r="I1699" s="59"/>
      <c r="J1699" s="59"/>
      <c r="K1699" s="59"/>
      <c r="L1699" s="59"/>
      <c r="M1699" s="59"/>
      <c r="N1699" s="59"/>
      <c r="O1699" s="59"/>
      <c r="P1699" s="59"/>
      <c r="Q1699" s="59"/>
      <c r="R1699" s="59"/>
      <c r="S1699" s="59"/>
      <c r="T1699" s="59"/>
      <c r="U1699" s="59"/>
      <c r="V1699" s="59"/>
      <c r="W1699" s="59"/>
      <c r="X1699" s="59"/>
      <c r="Y1699" s="59"/>
    </row>
    <row r="1700" spans="1:25" ht="16.149999999999999" customHeight="1" x14ac:dyDescent="0.15">
      <c r="W1700"/>
    </row>
    <row r="1701" spans="1:25" ht="16.149999999999999" customHeight="1" x14ac:dyDescent="0.15">
      <c r="W1701"/>
    </row>
    <row r="1702" spans="1:25" ht="16.149999999999999" customHeight="1" x14ac:dyDescent="0.15">
      <c r="W1702"/>
    </row>
    <row r="1703" spans="1:25" ht="16.149999999999999" customHeight="1" x14ac:dyDescent="0.15">
      <c r="A1703" s="59"/>
      <c r="B1703" s="59"/>
      <c r="C1703" s="59"/>
      <c r="D1703" s="59"/>
      <c r="E1703" s="59"/>
      <c r="F1703" s="59"/>
      <c r="G1703" s="59"/>
      <c r="H1703" s="59"/>
      <c r="I1703" s="59"/>
      <c r="J1703" s="59"/>
      <c r="K1703" s="59"/>
      <c r="L1703" s="59"/>
      <c r="M1703" s="59"/>
      <c r="N1703" s="59"/>
      <c r="O1703" s="59"/>
      <c r="P1703" s="59"/>
      <c r="Q1703" s="59"/>
      <c r="R1703" s="59"/>
      <c r="S1703" s="59"/>
      <c r="T1703" s="59"/>
      <c r="U1703" s="59"/>
      <c r="V1703" s="59"/>
      <c r="W1703" s="59"/>
      <c r="X1703" s="59"/>
      <c r="Y1703" s="59"/>
    </row>
    <row r="1704" spans="1:25" ht="16.149999999999999" customHeight="1" x14ac:dyDescent="0.15">
      <c r="A1704" s="59"/>
      <c r="B1704" s="59"/>
      <c r="C1704" s="59"/>
      <c r="D1704" s="59"/>
      <c r="E1704" s="59"/>
      <c r="F1704" s="59"/>
      <c r="G1704" s="59"/>
      <c r="H1704" s="59"/>
      <c r="I1704" s="59"/>
      <c r="J1704" s="59"/>
      <c r="K1704" s="59"/>
      <c r="L1704" s="59"/>
      <c r="M1704" s="59"/>
      <c r="N1704" s="59"/>
      <c r="O1704" s="59"/>
      <c r="P1704" s="59"/>
      <c r="Q1704" s="59"/>
      <c r="R1704" s="59"/>
      <c r="S1704" s="59"/>
      <c r="T1704" s="59"/>
      <c r="U1704" s="59"/>
      <c r="V1704" s="59"/>
      <c r="W1704" s="59"/>
      <c r="X1704" s="59"/>
      <c r="Y1704" s="59"/>
    </row>
    <row r="1705" spans="1:25" ht="16.149999999999999" customHeight="1" x14ac:dyDescent="0.15">
      <c r="W1705"/>
    </row>
    <row r="1706" spans="1:25" ht="16.149999999999999" customHeight="1" x14ac:dyDescent="0.15">
      <c r="A1706" s="59"/>
      <c r="B1706" s="59"/>
      <c r="C1706" s="59"/>
      <c r="D1706" s="59"/>
      <c r="E1706" s="59"/>
      <c r="F1706" s="59"/>
      <c r="G1706" s="59"/>
      <c r="H1706" s="59"/>
      <c r="I1706" s="59"/>
      <c r="J1706" s="59"/>
      <c r="K1706" s="59"/>
      <c r="L1706" s="59"/>
      <c r="M1706" s="59"/>
      <c r="N1706" s="59"/>
      <c r="O1706" s="59"/>
      <c r="P1706" s="59"/>
      <c r="Q1706" s="59"/>
      <c r="R1706" s="59"/>
      <c r="S1706" s="59"/>
      <c r="T1706" s="59"/>
      <c r="U1706" s="59"/>
      <c r="V1706" s="59"/>
      <c r="W1706" s="59"/>
      <c r="X1706" s="59"/>
      <c r="Y1706" s="59"/>
    </row>
    <row r="1707" spans="1:25" ht="16.149999999999999" customHeight="1" x14ac:dyDescent="0.15">
      <c r="W1707"/>
    </row>
    <row r="1708" spans="1:25" ht="16.149999999999999" customHeight="1" x14ac:dyDescent="0.15">
      <c r="W1708"/>
    </row>
    <row r="1709" spans="1:25" ht="16.149999999999999" customHeight="1" x14ac:dyDescent="0.15">
      <c r="A1709" s="59"/>
      <c r="B1709" s="59"/>
      <c r="C1709" s="59"/>
      <c r="D1709" s="59"/>
      <c r="E1709" s="59"/>
      <c r="F1709" s="59"/>
      <c r="G1709" s="59"/>
      <c r="H1709" s="59"/>
      <c r="I1709" s="59"/>
      <c r="J1709" s="59"/>
      <c r="K1709" s="59"/>
      <c r="L1709" s="59"/>
      <c r="M1709" s="59"/>
      <c r="N1709" s="59"/>
      <c r="O1709" s="59"/>
      <c r="P1709" s="59"/>
      <c r="Q1709" s="59"/>
      <c r="R1709" s="59"/>
      <c r="S1709" s="59"/>
      <c r="T1709" s="59"/>
      <c r="U1709" s="59"/>
      <c r="V1709" s="59"/>
      <c r="W1709" s="59"/>
      <c r="X1709" s="59"/>
      <c r="Y1709" s="59"/>
    </row>
    <row r="1710" spans="1:25" ht="16.149999999999999" customHeight="1" x14ac:dyDescent="0.15">
      <c r="A1710" s="59"/>
      <c r="B1710" s="59"/>
      <c r="C1710" s="59"/>
      <c r="D1710" s="59"/>
      <c r="E1710" s="59"/>
      <c r="F1710" s="59"/>
      <c r="G1710" s="59"/>
      <c r="H1710" s="59"/>
      <c r="I1710" s="59"/>
      <c r="J1710" s="59"/>
      <c r="K1710" s="59"/>
      <c r="L1710" s="59"/>
      <c r="M1710" s="59"/>
      <c r="N1710" s="59"/>
      <c r="O1710" s="59"/>
      <c r="P1710" s="59"/>
      <c r="Q1710" s="59"/>
      <c r="R1710" s="59"/>
      <c r="S1710" s="59"/>
      <c r="T1710" s="59"/>
      <c r="U1710" s="59"/>
      <c r="V1710" s="59"/>
      <c r="W1710" s="59"/>
      <c r="X1710" s="59"/>
      <c r="Y1710" s="59"/>
    </row>
    <row r="1711" spans="1:25" ht="16.149999999999999" customHeight="1" x14ac:dyDescent="0.15">
      <c r="W1711"/>
    </row>
    <row r="1712" spans="1:25" ht="16.149999999999999" customHeight="1" x14ac:dyDescent="0.15">
      <c r="W1712"/>
    </row>
    <row r="1713" spans="23:23" ht="16.149999999999999" customHeight="1" x14ac:dyDescent="0.15">
      <c r="W1713"/>
    </row>
    <row r="1714" spans="23:23" ht="16.149999999999999" customHeight="1" x14ac:dyDescent="0.15">
      <c r="W1714"/>
    </row>
    <row r="1715" spans="23:23" ht="16.149999999999999" customHeight="1" x14ac:dyDescent="0.15">
      <c r="W1715"/>
    </row>
    <row r="1716" spans="23:23" ht="16.149999999999999" customHeight="1" x14ac:dyDescent="0.15">
      <c r="W1716"/>
    </row>
    <row r="1717" spans="23:23" ht="16.149999999999999" customHeight="1" x14ac:dyDescent="0.15">
      <c r="W1717"/>
    </row>
    <row r="1718" spans="23:23" ht="16.149999999999999" customHeight="1" x14ac:dyDescent="0.15">
      <c r="W1718"/>
    </row>
    <row r="1719" spans="23:23" ht="16.149999999999999" customHeight="1" x14ac:dyDescent="0.15">
      <c r="W1719"/>
    </row>
    <row r="1720" spans="23:23" ht="16.149999999999999" customHeight="1" x14ac:dyDescent="0.15">
      <c r="W1720"/>
    </row>
    <row r="1721" spans="23:23" ht="16.149999999999999" customHeight="1" x14ac:dyDescent="0.15">
      <c r="W1721"/>
    </row>
    <row r="1722" spans="23:23" ht="16.149999999999999" customHeight="1" x14ac:dyDescent="0.15">
      <c r="W1722"/>
    </row>
    <row r="1723" spans="23:23" ht="16.149999999999999" customHeight="1" x14ac:dyDescent="0.15">
      <c r="W1723"/>
    </row>
    <row r="1724" spans="23:23" ht="16.149999999999999" customHeight="1" x14ac:dyDescent="0.15">
      <c r="W1724"/>
    </row>
    <row r="1725" spans="23:23" ht="16.149999999999999" customHeight="1" x14ac:dyDescent="0.15">
      <c r="W1725"/>
    </row>
    <row r="1726" spans="23:23" ht="16.149999999999999" customHeight="1" x14ac:dyDescent="0.15">
      <c r="W1726"/>
    </row>
    <row r="1727" spans="23:23" ht="16.149999999999999" customHeight="1" x14ac:dyDescent="0.15">
      <c r="W1727"/>
    </row>
    <row r="1728" spans="23:23" ht="16.149999999999999" customHeight="1" x14ac:dyDescent="0.15">
      <c r="W1728"/>
    </row>
    <row r="1729" spans="1:25" ht="16.149999999999999" customHeight="1" x14ac:dyDescent="0.15">
      <c r="W1729"/>
    </row>
    <row r="1730" spans="1:25" ht="16.149999999999999" customHeight="1" x14ac:dyDescent="0.15">
      <c r="W1730"/>
    </row>
    <row r="1731" spans="1:25" ht="16.149999999999999" customHeight="1" x14ac:dyDescent="0.15">
      <c r="W1731"/>
    </row>
    <row r="1732" spans="1:25" ht="16.149999999999999" customHeight="1" x14ac:dyDescent="0.15">
      <c r="W1732"/>
    </row>
    <row r="1733" spans="1:25" ht="16.149999999999999" customHeight="1" x14ac:dyDescent="0.15">
      <c r="W1733"/>
    </row>
    <row r="1734" spans="1:25" ht="16.149999999999999" customHeight="1" x14ac:dyDescent="0.15">
      <c r="W1734"/>
    </row>
    <row r="1735" spans="1:25" ht="16.149999999999999" customHeight="1" x14ac:dyDescent="0.15">
      <c r="W1735"/>
    </row>
    <row r="1736" spans="1:25" ht="16.149999999999999" customHeight="1" x14ac:dyDescent="0.15">
      <c r="W1736"/>
    </row>
    <row r="1737" spans="1:25" ht="16.149999999999999" customHeight="1" x14ac:dyDescent="0.15">
      <c r="W1737"/>
    </row>
    <row r="1738" spans="1:25" ht="16.149999999999999" customHeight="1" x14ac:dyDescent="0.15">
      <c r="W1738"/>
    </row>
    <row r="1739" spans="1:25" ht="16.149999999999999" customHeight="1" x14ac:dyDescent="0.15">
      <c r="A1739" s="55"/>
      <c r="B1739" s="55"/>
      <c r="C1739" s="55"/>
      <c r="D1739" s="55"/>
      <c r="E1739" s="55"/>
      <c r="F1739" s="55"/>
      <c r="G1739" s="55"/>
      <c r="H1739" s="55"/>
      <c r="I1739" s="55"/>
      <c r="J1739" s="55"/>
      <c r="K1739" s="55"/>
      <c r="L1739" s="55"/>
      <c r="M1739" s="55"/>
      <c r="N1739" s="55"/>
      <c r="O1739" s="55"/>
      <c r="P1739" s="55"/>
      <c r="Q1739" s="55"/>
      <c r="R1739" s="55"/>
      <c r="S1739" s="55"/>
      <c r="T1739" s="55"/>
      <c r="U1739" s="55"/>
      <c r="V1739" s="55"/>
      <c r="W1739" s="55"/>
      <c r="X1739" s="55"/>
      <c r="Y1739" s="55"/>
    </row>
    <row r="1740" spans="1:25" ht="16.149999999999999" customHeight="1" x14ac:dyDescent="0.15">
      <c r="W1740"/>
    </row>
    <row r="1741" spans="1:25" ht="16.149999999999999" customHeight="1" x14ac:dyDescent="0.15">
      <c r="W1741"/>
    </row>
    <row r="1742" spans="1:25" ht="16.149999999999999" customHeight="1" x14ac:dyDescent="0.15">
      <c r="W1742"/>
    </row>
    <row r="1743" spans="1:25" ht="16.149999999999999" customHeight="1" x14ac:dyDescent="0.15">
      <c r="W1743"/>
    </row>
    <row r="1744" spans="1:25" ht="16.149999999999999" customHeight="1" x14ac:dyDescent="0.15">
      <c r="W1744"/>
    </row>
    <row r="1745" spans="1:25" ht="16.149999999999999" customHeight="1" x14ac:dyDescent="0.15">
      <c r="W1745"/>
    </row>
    <row r="1746" spans="1:25" ht="16.149999999999999" customHeight="1" x14ac:dyDescent="0.15">
      <c r="W1746"/>
    </row>
    <row r="1747" spans="1:25" ht="16.149999999999999" customHeight="1" x14ac:dyDescent="0.15">
      <c r="W1747"/>
    </row>
    <row r="1748" spans="1:25" ht="16.149999999999999" customHeight="1" x14ac:dyDescent="0.15">
      <c r="A1748" s="59"/>
      <c r="B1748" s="59"/>
      <c r="C1748" s="59"/>
      <c r="D1748" s="59"/>
      <c r="E1748" s="59"/>
      <c r="F1748" s="59"/>
      <c r="G1748" s="59"/>
      <c r="H1748" s="59"/>
      <c r="I1748" s="59"/>
      <c r="J1748" s="59"/>
      <c r="K1748" s="59"/>
      <c r="L1748" s="59"/>
      <c r="M1748" s="59"/>
      <c r="N1748" s="59"/>
      <c r="O1748" s="59"/>
      <c r="P1748" s="59"/>
      <c r="Q1748" s="59"/>
      <c r="R1748" s="59"/>
      <c r="S1748" s="59"/>
      <c r="T1748" s="59"/>
      <c r="U1748" s="59"/>
      <c r="V1748" s="59"/>
      <c r="W1748" s="59"/>
      <c r="X1748" s="59"/>
      <c r="Y1748" s="59"/>
    </row>
    <row r="1749" spans="1:25" ht="16.149999999999999" customHeight="1" x14ac:dyDescent="0.15">
      <c r="W1749"/>
    </row>
    <row r="1750" spans="1:25" ht="16.149999999999999" customHeight="1" x14ac:dyDescent="0.15">
      <c r="W1750"/>
    </row>
    <row r="1751" spans="1:25" ht="16.149999999999999" customHeight="1" x14ac:dyDescent="0.15">
      <c r="W1751"/>
    </row>
    <row r="1752" spans="1:25" ht="16.149999999999999" customHeight="1" x14ac:dyDescent="0.15">
      <c r="A1752" s="55"/>
      <c r="B1752" s="55"/>
      <c r="C1752" s="55"/>
      <c r="D1752" s="55"/>
      <c r="E1752" s="55"/>
      <c r="F1752" s="55"/>
      <c r="G1752" s="55"/>
      <c r="H1752" s="55"/>
      <c r="I1752" s="55"/>
      <c r="J1752" s="55"/>
      <c r="K1752" s="55"/>
      <c r="L1752" s="55"/>
      <c r="M1752" s="55"/>
      <c r="N1752" s="55"/>
      <c r="O1752" s="55"/>
      <c r="P1752" s="55"/>
      <c r="Q1752" s="55"/>
      <c r="R1752" s="55"/>
      <c r="S1752" s="55"/>
      <c r="T1752" s="55"/>
      <c r="U1752" s="55"/>
      <c r="V1752" s="55"/>
      <c r="W1752" s="55"/>
      <c r="X1752" s="55"/>
      <c r="Y1752" s="55"/>
    </row>
    <row r="1753" spans="1:25" ht="16.149999999999999" customHeight="1" x14ac:dyDescent="0.15">
      <c r="A1753" s="55"/>
      <c r="B1753" s="55"/>
      <c r="C1753" s="55"/>
      <c r="D1753" s="55"/>
      <c r="E1753" s="55"/>
      <c r="F1753" s="55"/>
      <c r="G1753" s="55"/>
      <c r="H1753" s="55"/>
      <c r="I1753" s="55"/>
      <c r="J1753" s="55"/>
      <c r="K1753" s="55"/>
      <c r="L1753" s="55"/>
      <c r="M1753" s="55"/>
      <c r="N1753" s="55"/>
      <c r="O1753" s="55"/>
      <c r="P1753" s="55"/>
      <c r="Q1753" s="55"/>
      <c r="R1753" s="55"/>
      <c r="S1753" s="55"/>
      <c r="T1753" s="55"/>
      <c r="U1753" s="55"/>
      <c r="V1753" s="55"/>
      <c r="W1753" s="55"/>
      <c r="X1753" s="55"/>
      <c r="Y1753" s="55"/>
    </row>
    <row r="1754" spans="1:25" ht="16.149999999999999" customHeight="1" x14ac:dyDescent="0.15">
      <c r="A1754" s="55"/>
      <c r="B1754" s="55"/>
      <c r="C1754" s="55"/>
      <c r="D1754" s="55"/>
      <c r="E1754" s="55"/>
      <c r="F1754" s="55"/>
      <c r="G1754" s="55"/>
      <c r="H1754" s="55"/>
      <c r="I1754" s="55"/>
      <c r="J1754" s="55"/>
      <c r="K1754" s="55"/>
      <c r="L1754" s="55"/>
      <c r="M1754" s="55"/>
      <c r="N1754" s="55"/>
      <c r="O1754" s="55"/>
      <c r="P1754" s="55"/>
      <c r="Q1754" s="55"/>
      <c r="R1754" s="55"/>
      <c r="S1754" s="55"/>
      <c r="T1754" s="55"/>
      <c r="U1754" s="55"/>
      <c r="V1754" s="55"/>
      <c r="W1754" s="55"/>
      <c r="X1754" s="55"/>
      <c r="Y1754" s="55"/>
    </row>
    <row r="1755" spans="1:25" ht="16.149999999999999" customHeight="1" x14ac:dyDescent="0.15">
      <c r="A1755" s="55"/>
      <c r="B1755" s="55"/>
      <c r="C1755" s="55"/>
      <c r="D1755" s="55"/>
      <c r="E1755" s="55"/>
      <c r="F1755" s="55"/>
      <c r="G1755" s="55"/>
      <c r="H1755" s="55"/>
      <c r="I1755" s="55"/>
      <c r="J1755" s="55"/>
      <c r="K1755" s="55"/>
      <c r="L1755" s="55"/>
      <c r="M1755" s="55"/>
      <c r="N1755" s="55"/>
      <c r="O1755" s="55"/>
      <c r="P1755" s="55"/>
      <c r="Q1755" s="55"/>
      <c r="R1755" s="55"/>
      <c r="S1755" s="55"/>
      <c r="T1755" s="55"/>
      <c r="U1755" s="55"/>
      <c r="V1755" s="55"/>
      <c r="W1755" s="55"/>
      <c r="X1755" s="55"/>
      <c r="Y1755" s="55"/>
    </row>
    <row r="1756" spans="1:25" ht="16.149999999999999" customHeight="1" x14ac:dyDescent="0.15">
      <c r="W1756"/>
    </row>
    <row r="1757" spans="1:25" ht="16.149999999999999" customHeight="1" x14ac:dyDescent="0.15">
      <c r="W1757"/>
    </row>
    <row r="1758" spans="1:25" ht="16.149999999999999" customHeight="1" x14ac:dyDescent="0.15">
      <c r="A1758" s="59"/>
      <c r="B1758" s="59"/>
      <c r="C1758" s="59"/>
      <c r="D1758" s="59"/>
      <c r="E1758" s="59"/>
      <c r="F1758" s="59"/>
      <c r="G1758" s="59"/>
      <c r="H1758" s="59"/>
      <c r="I1758" s="59"/>
      <c r="J1758" s="59"/>
      <c r="K1758" s="59"/>
      <c r="L1758" s="59"/>
      <c r="M1758" s="59"/>
      <c r="N1758" s="59"/>
      <c r="O1758" s="59"/>
      <c r="P1758" s="59"/>
      <c r="Q1758" s="59"/>
      <c r="R1758" s="59"/>
      <c r="S1758" s="59"/>
      <c r="T1758" s="59"/>
      <c r="U1758" s="59"/>
      <c r="V1758" s="59"/>
      <c r="W1758" s="59"/>
      <c r="X1758" s="59"/>
      <c r="Y1758" s="59"/>
    </row>
    <row r="1759" spans="1:25" ht="16.149999999999999" customHeight="1" x14ac:dyDescent="0.15">
      <c r="A1759" s="55"/>
      <c r="B1759" s="55"/>
      <c r="C1759" s="55"/>
      <c r="D1759" s="55"/>
      <c r="E1759" s="55"/>
      <c r="F1759" s="55"/>
      <c r="G1759" s="55"/>
      <c r="H1759" s="55"/>
      <c r="I1759" s="55"/>
      <c r="J1759" s="55"/>
      <c r="K1759" s="55"/>
      <c r="L1759" s="55"/>
      <c r="M1759" s="55"/>
      <c r="N1759" s="55"/>
      <c r="O1759" s="55"/>
      <c r="P1759" s="55"/>
      <c r="Q1759" s="55"/>
      <c r="R1759" s="55"/>
      <c r="S1759" s="55"/>
      <c r="T1759" s="55"/>
      <c r="U1759" s="55"/>
      <c r="V1759" s="55"/>
      <c r="W1759" s="55"/>
      <c r="X1759" s="55"/>
      <c r="Y1759" s="55"/>
    </row>
    <row r="1760" spans="1:25" ht="16.149999999999999" customHeight="1" x14ac:dyDescent="0.15">
      <c r="A1760" s="59"/>
      <c r="B1760" s="59"/>
      <c r="C1760" s="59"/>
      <c r="D1760" s="59"/>
      <c r="E1760" s="59"/>
      <c r="F1760" s="59"/>
      <c r="G1760" s="59"/>
      <c r="H1760" s="59"/>
      <c r="I1760" s="59"/>
      <c r="J1760" s="59"/>
      <c r="K1760" s="59"/>
      <c r="L1760" s="59"/>
      <c r="M1760" s="59"/>
      <c r="N1760" s="59"/>
      <c r="O1760" s="59"/>
      <c r="P1760" s="59"/>
      <c r="Q1760" s="59"/>
      <c r="R1760" s="59"/>
      <c r="S1760" s="59"/>
      <c r="T1760" s="59"/>
      <c r="U1760" s="59"/>
      <c r="V1760" s="59"/>
      <c r="W1760" s="59"/>
      <c r="X1760" s="59"/>
      <c r="Y1760" s="59"/>
    </row>
    <row r="1761" spans="1:25" ht="16.149999999999999" customHeight="1" x14ac:dyDescent="0.15">
      <c r="A1761" s="59"/>
      <c r="B1761" s="59"/>
      <c r="C1761" s="59"/>
      <c r="D1761" s="59"/>
      <c r="E1761" s="59"/>
      <c r="F1761" s="59"/>
      <c r="G1761" s="59"/>
      <c r="H1761" s="59"/>
      <c r="I1761" s="59"/>
      <c r="J1761" s="59"/>
      <c r="K1761" s="59"/>
      <c r="L1761" s="59"/>
      <c r="M1761" s="59"/>
      <c r="N1761" s="59"/>
      <c r="O1761" s="59"/>
      <c r="P1761" s="59"/>
      <c r="Q1761" s="59"/>
      <c r="R1761" s="59"/>
      <c r="S1761" s="59"/>
      <c r="T1761" s="59"/>
      <c r="U1761" s="59"/>
      <c r="V1761" s="59"/>
      <c r="W1761" s="59"/>
      <c r="X1761" s="59"/>
      <c r="Y1761" s="59"/>
    </row>
    <row r="1762" spans="1:25" ht="16.149999999999999" customHeight="1" x14ac:dyDescent="0.15">
      <c r="A1762" s="55"/>
      <c r="B1762" s="55"/>
      <c r="C1762" s="55"/>
      <c r="D1762" s="55"/>
      <c r="E1762" s="55"/>
      <c r="F1762" s="55"/>
      <c r="G1762" s="55"/>
      <c r="H1762" s="55"/>
      <c r="I1762" s="55"/>
      <c r="J1762" s="55"/>
      <c r="K1762" s="55"/>
      <c r="L1762" s="55"/>
      <c r="M1762" s="55"/>
      <c r="N1762" s="55"/>
      <c r="O1762" s="55"/>
      <c r="P1762" s="55"/>
      <c r="Q1762" s="55"/>
      <c r="R1762" s="55"/>
      <c r="S1762" s="55"/>
      <c r="T1762" s="55"/>
      <c r="U1762" s="55"/>
      <c r="V1762" s="55"/>
      <c r="W1762" s="55"/>
      <c r="X1762" s="55"/>
      <c r="Y1762" s="55"/>
    </row>
    <row r="1763" spans="1:25" ht="16.149999999999999" customHeight="1" x14ac:dyDescent="0.15">
      <c r="A1763" s="55"/>
      <c r="B1763" s="55"/>
      <c r="C1763" s="55"/>
      <c r="D1763" s="55"/>
      <c r="E1763" s="55"/>
      <c r="F1763" s="55"/>
      <c r="G1763" s="55"/>
      <c r="H1763" s="55"/>
      <c r="I1763" s="55"/>
      <c r="J1763" s="55"/>
      <c r="K1763" s="55"/>
      <c r="L1763" s="55"/>
      <c r="M1763" s="55"/>
      <c r="N1763" s="55"/>
      <c r="O1763" s="55"/>
      <c r="P1763" s="55"/>
      <c r="Q1763" s="55"/>
      <c r="R1763" s="55"/>
      <c r="S1763" s="55"/>
      <c r="T1763" s="55"/>
      <c r="U1763" s="55"/>
      <c r="V1763" s="55"/>
      <c r="W1763" s="55"/>
      <c r="X1763" s="55"/>
      <c r="Y1763" s="55"/>
    </row>
    <row r="1764" spans="1:25" ht="16.149999999999999" customHeight="1" x14ac:dyDescent="0.15">
      <c r="A1764" s="55"/>
      <c r="B1764" s="55"/>
      <c r="C1764" s="55"/>
      <c r="D1764" s="55"/>
      <c r="E1764" s="55"/>
      <c r="F1764" s="55"/>
      <c r="G1764" s="55"/>
      <c r="H1764" s="55"/>
      <c r="I1764" s="55"/>
      <c r="J1764" s="55"/>
      <c r="K1764" s="55"/>
      <c r="L1764" s="55"/>
      <c r="M1764" s="55"/>
      <c r="N1764" s="55"/>
      <c r="O1764" s="55"/>
      <c r="P1764" s="55"/>
      <c r="Q1764" s="55"/>
      <c r="R1764" s="55"/>
      <c r="S1764" s="55"/>
      <c r="T1764" s="55"/>
      <c r="U1764" s="55"/>
      <c r="V1764" s="55"/>
      <c r="W1764" s="55"/>
      <c r="X1764" s="55"/>
      <c r="Y1764" s="55"/>
    </row>
    <row r="1765" spans="1:25" ht="16.149999999999999" customHeight="1" x14ac:dyDescent="0.15">
      <c r="A1765" s="59"/>
      <c r="B1765" s="59"/>
      <c r="C1765" s="59"/>
      <c r="D1765" s="59"/>
      <c r="E1765" s="59"/>
      <c r="F1765" s="59"/>
      <c r="G1765" s="59"/>
      <c r="H1765" s="59"/>
      <c r="I1765" s="59"/>
      <c r="J1765" s="59"/>
      <c r="K1765" s="59"/>
      <c r="L1765" s="59"/>
      <c r="M1765" s="59"/>
      <c r="N1765" s="59"/>
      <c r="O1765" s="59"/>
      <c r="P1765" s="59"/>
      <c r="Q1765" s="59"/>
      <c r="R1765" s="59"/>
      <c r="S1765" s="59"/>
      <c r="T1765" s="59"/>
      <c r="U1765" s="59"/>
      <c r="V1765" s="59"/>
      <c r="W1765" s="59"/>
      <c r="X1765" s="59"/>
      <c r="Y1765" s="59"/>
    </row>
    <row r="1766" spans="1:25" ht="16.149999999999999" customHeight="1" x14ac:dyDescent="0.15">
      <c r="A1766" s="59"/>
      <c r="B1766" s="59"/>
      <c r="C1766" s="59"/>
      <c r="D1766" s="59"/>
      <c r="E1766" s="59"/>
      <c r="F1766" s="59"/>
      <c r="G1766" s="59"/>
      <c r="H1766" s="59"/>
      <c r="I1766" s="59"/>
      <c r="J1766" s="59"/>
      <c r="K1766" s="59"/>
      <c r="L1766" s="59"/>
      <c r="M1766" s="59"/>
      <c r="N1766" s="59"/>
      <c r="O1766" s="59"/>
      <c r="P1766" s="59"/>
      <c r="Q1766" s="59"/>
      <c r="R1766" s="59"/>
      <c r="S1766" s="59"/>
      <c r="T1766" s="59"/>
      <c r="U1766" s="59"/>
      <c r="V1766" s="59"/>
      <c r="W1766" s="59"/>
      <c r="X1766" s="59"/>
      <c r="Y1766" s="59"/>
    </row>
    <row r="1767" spans="1:25" ht="16.149999999999999" customHeight="1" x14ac:dyDescent="0.15">
      <c r="A1767" s="59"/>
      <c r="B1767" s="59"/>
      <c r="C1767" s="59"/>
      <c r="D1767" s="59"/>
      <c r="E1767" s="59"/>
      <c r="F1767" s="59"/>
      <c r="G1767" s="59"/>
      <c r="H1767" s="59"/>
      <c r="I1767" s="59"/>
      <c r="J1767" s="59"/>
      <c r="K1767" s="59"/>
      <c r="L1767" s="59"/>
      <c r="M1767" s="59"/>
      <c r="N1767" s="59"/>
      <c r="O1767" s="59"/>
      <c r="P1767" s="59"/>
      <c r="Q1767" s="59"/>
      <c r="R1767" s="59"/>
      <c r="S1767" s="59"/>
      <c r="T1767" s="59"/>
      <c r="U1767" s="59"/>
      <c r="V1767" s="59"/>
      <c r="W1767" s="59"/>
      <c r="X1767" s="59"/>
      <c r="Y1767" s="59"/>
    </row>
    <row r="1768" spans="1:25" ht="16.149999999999999" customHeight="1" x14ac:dyDescent="0.15">
      <c r="A1768" s="59"/>
      <c r="B1768" s="59"/>
      <c r="C1768" s="59"/>
      <c r="D1768" s="59"/>
      <c r="E1768" s="59"/>
      <c r="F1768" s="59"/>
      <c r="G1768" s="59"/>
      <c r="H1768" s="59"/>
      <c r="I1768" s="59"/>
      <c r="J1768" s="59"/>
      <c r="K1768" s="59"/>
      <c r="L1768" s="59"/>
      <c r="M1768" s="59"/>
      <c r="N1768" s="59"/>
      <c r="O1768" s="59"/>
      <c r="P1768" s="59"/>
      <c r="Q1768" s="59"/>
      <c r="R1768" s="59"/>
      <c r="S1768" s="59"/>
      <c r="T1768" s="59"/>
      <c r="U1768" s="59"/>
      <c r="V1768" s="59"/>
      <c r="W1768" s="59"/>
      <c r="X1768" s="59"/>
      <c r="Y1768" s="59"/>
    </row>
    <row r="1769" spans="1:25" ht="16.149999999999999" customHeight="1" x14ac:dyDescent="0.15">
      <c r="A1769" s="59"/>
      <c r="B1769" s="59"/>
      <c r="C1769" s="59"/>
      <c r="D1769" s="59"/>
      <c r="E1769" s="59"/>
      <c r="F1769" s="59"/>
      <c r="G1769" s="59"/>
      <c r="H1769" s="59"/>
      <c r="I1769" s="59"/>
      <c r="J1769" s="59"/>
      <c r="K1769" s="59"/>
      <c r="L1769" s="59"/>
      <c r="M1769" s="59"/>
      <c r="N1769" s="59"/>
      <c r="O1769" s="59"/>
      <c r="P1769" s="59"/>
      <c r="Q1769" s="59"/>
      <c r="R1769" s="59"/>
      <c r="S1769" s="59"/>
      <c r="T1769" s="59"/>
      <c r="U1769" s="59"/>
      <c r="V1769" s="59"/>
      <c r="W1769" s="59"/>
      <c r="X1769" s="59"/>
      <c r="Y1769" s="59"/>
    </row>
    <row r="1770" spans="1:25" ht="16.149999999999999" customHeight="1" x14ac:dyDescent="0.15">
      <c r="A1770" s="59"/>
      <c r="B1770" s="59"/>
      <c r="C1770" s="59"/>
      <c r="D1770" s="59"/>
      <c r="E1770" s="59"/>
      <c r="F1770" s="59"/>
      <c r="G1770" s="59"/>
      <c r="H1770" s="59"/>
      <c r="I1770" s="59"/>
      <c r="J1770" s="59"/>
      <c r="K1770" s="59"/>
      <c r="L1770" s="59"/>
      <c r="M1770" s="59"/>
      <c r="N1770" s="59"/>
      <c r="O1770" s="59"/>
      <c r="P1770" s="59"/>
      <c r="Q1770" s="59"/>
      <c r="R1770" s="59"/>
      <c r="S1770" s="59"/>
      <c r="T1770" s="59"/>
      <c r="U1770" s="59"/>
      <c r="V1770" s="59"/>
      <c r="W1770" s="59"/>
      <c r="X1770" s="59"/>
      <c r="Y1770" s="59"/>
    </row>
    <row r="1771" spans="1:25" ht="16.149999999999999" customHeight="1" x14ac:dyDescent="0.15">
      <c r="W1771"/>
    </row>
    <row r="1772" spans="1:25" ht="16.149999999999999" customHeight="1" x14ac:dyDescent="0.15">
      <c r="A1772" s="64"/>
      <c r="B1772" s="64"/>
      <c r="C1772" s="64"/>
      <c r="D1772" s="64"/>
      <c r="E1772" s="64"/>
      <c r="F1772" s="64"/>
      <c r="G1772" s="64"/>
      <c r="H1772" s="64"/>
      <c r="I1772" s="64"/>
      <c r="J1772" s="64"/>
      <c r="K1772" s="64"/>
      <c r="L1772" s="64"/>
      <c r="M1772" s="64"/>
      <c r="N1772" s="64"/>
      <c r="O1772" s="64"/>
      <c r="P1772" s="64"/>
      <c r="Q1772" s="64"/>
      <c r="R1772" s="64"/>
      <c r="S1772" s="64"/>
      <c r="T1772" s="64"/>
      <c r="U1772" s="64"/>
      <c r="V1772" s="64"/>
      <c r="W1772" s="64"/>
      <c r="X1772" s="64"/>
      <c r="Y1772" s="64"/>
    </row>
    <row r="1773" spans="1:25" ht="16.149999999999999" customHeight="1" x14ac:dyDescent="0.15">
      <c r="W1773"/>
    </row>
    <row r="1774" spans="1:25" ht="16.149999999999999" customHeight="1" x14ac:dyDescent="0.15">
      <c r="A1774" s="64"/>
      <c r="B1774" s="64"/>
      <c r="C1774" s="64"/>
      <c r="D1774" s="64"/>
      <c r="E1774" s="64"/>
      <c r="F1774" s="64"/>
      <c r="G1774" s="64"/>
      <c r="H1774" s="64"/>
      <c r="I1774" s="64"/>
      <c r="J1774" s="64"/>
      <c r="K1774" s="64"/>
      <c r="L1774" s="64"/>
      <c r="M1774" s="64"/>
      <c r="N1774" s="64"/>
      <c r="O1774" s="64"/>
      <c r="P1774" s="64"/>
      <c r="Q1774" s="64"/>
      <c r="R1774" s="64"/>
      <c r="S1774" s="64"/>
      <c r="T1774" s="64"/>
      <c r="U1774" s="64"/>
      <c r="V1774" s="64"/>
      <c r="W1774" s="64"/>
      <c r="X1774" s="64"/>
      <c r="Y1774" s="64"/>
    </row>
    <row r="1775" spans="1:25" ht="16.149999999999999" customHeight="1" x14ac:dyDescent="0.15">
      <c r="W1775"/>
    </row>
    <row r="1776" spans="1:25" ht="16.149999999999999" customHeight="1" x14ac:dyDescent="0.15">
      <c r="A1776" s="64"/>
      <c r="B1776" s="64"/>
      <c r="C1776" s="64"/>
      <c r="D1776" s="64"/>
      <c r="E1776" s="64"/>
      <c r="F1776" s="64"/>
      <c r="G1776" s="64"/>
      <c r="H1776" s="64"/>
      <c r="I1776" s="64"/>
      <c r="J1776" s="64"/>
      <c r="K1776" s="64"/>
      <c r="L1776" s="64"/>
      <c r="M1776" s="64"/>
      <c r="N1776" s="64"/>
      <c r="O1776" s="64"/>
      <c r="P1776" s="64"/>
      <c r="Q1776" s="64"/>
      <c r="R1776" s="64"/>
      <c r="S1776" s="64"/>
      <c r="T1776" s="64"/>
      <c r="U1776" s="64"/>
      <c r="V1776" s="64"/>
      <c r="W1776" s="64"/>
      <c r="X1776" s="64"/>
      <c r="Y1776" s="64"/>
    </row>
    <row r="1777" spans="23:23" ht="16.149999999999999" customHeight="1" x14ac:dyDescent="0.15">
      <c r="W1777"/>
    </row>
    <row r="1778" spans="23:23" ht="16.149999999999999" customHeight="1" x14ac:dyDescent="0.15">
      <c r="W1778"/>
    </row>
    <row r="1779" spans="23:23" ht="16.149999999999999" customHeight="1" x14ac:dyDescent="0.15">
      <c r="W1779"/>
    </row>
    <row r="1780" spans="23:23" ht="16.149999999999999" customHeight="1" x14ac:dyDescent="0.15">
      <c r="W1780"/>
    </row>
    <row r="1781" spans="23:23" ht="16.149999999999999" customHeight="1" x14ac:dyDescent="0.15">
      <c r="W1781"/>
    </row>
    <row r="1782" spans="23:23" ht="16.149999999999999" customHeight="1" x14ac:dyDescent="0.15">
      <c r="W1782"/>
    </row>
    <row r="1783" spans="23:23" ht="16.149999999999999" customHeight="1" x14ac:dyDescent="0.15">
      <c r="W1783"/>
    </row>
    <row r="1784" spans="23:23" ht="16.149999999999999" customHeight="1" x14ac:dyDescent="0.15">
      <c r="W1784"/>
    </row>
    <row r="1785" spans="23:23" ht="16.149999999999999" customHeight="1" x14ac:dyDescent="0.15">
      <c r="W1785"/>
    </row>
    <row r="1786" spans="23:23" ht="16.149999999999999" customHeight="1" x14ac:dyDescent="0.15">
      <c r="W1786"/>
    </row>
    <row r="1787" spans="23:23" ht="16.149999999999999" customHeight="1" x14ac:dyDescent="0.15">
      <c r="W1787"/>
    </row>
    <row r="1788" spans="23:23" ht="16.149999999999999" customHeight="1" x14ac:dyDescent="0.15">
      <c r="W1788"/>
    </row>
    <row r="1789" spans="23:23" ht="16.149999999999999" customHeight="1" x14ac:dyDescent="0.15">
      <c r="W1789"/>
    </row>
    <row r="1790" spans="23:23" ht="16.149999999999999" customHeight="1" x14ac:dyDescent="0.15">
      <c r="W1790"/>
    </row>
    <row r="1791" spans="23:23" ht="16.149999999999999" customHeight="1" x14ac:dyDescent="0.15">
      <c r="W1791"/>
    </row>
    <row r="1792" spans="23:23" ht="16.149999999999999" customHeight="1" x14ac:dyDescent="0.15">
      <c r="W1792"/>
    </row>
    <row r="1793" spans="1:25" ht="16.149999999999999" customHeight="1" x14ac:dyDescent="0.15">
      <c r="W1793"/>
    </row>
    <row r="1794" spans="1:25" ht="16.149999999999999" customHeight="1" x14ac:dyDescent="0.15">
      <c r="W1794"/>
    </row>
    <row r="1795" spans="1:25" ht="16.149999999999999" customHeight="1" x14ac:dyDescent="0.15">
      <c r="A1795" s="59"/>
      <c r="B1795" s="59"/>
      <c r="C1795" s="59"/>
      <c r="D1795" s="59"/>
      <c r="E1795" s="59"/>
      <c r="F1795" s="59"/>
      <c r="G1795" s="59"/>
      <c r="H1795" s="59"/>
      <c r="I1795" s="59"/>
      <c r="J1795" s="59"/>
      <c r="K1795" s="59"/>
      <c r="L1795" s="59"/>
      <c r="M1795" s="59"/>
      <c r="N1795" s="59"/>
      <c r="O1795" s="59"/>
      <c r="P1795" s="59"/>
      <c r="Q1795" s="59"/>
      <c r="R1795" s="59"/>
      <c r="S1795" s="59"/>
      <c r="T1795" s="59"/>
      <c r="U1795" s="59"/>
      <c r="V1795" s="59"/>
      <c r="W1795" s="59"/>
      <c r="X1795" s="59"/>
      <c r="Y1795" s="59"/>
    </row>
    <row r="1796" spans="1:25" ht="16.149999999999999" customHeight="1" x14ac:dyDescent="0.15">
      <c r="W1796"/>
    </row>
    <row r="1797" spans="1:25" ht="16.149999999999999" customHeight="1" x14ac:dyDescent="0.15">
      <c r="W1797"/>
    </row>
    <row r="1798" spans="1:25" ht="16.149999999999999" customHeight="1" x14ac:dyDescent="0.15">
      <c r="W1798"/>
    </row>
    <row r="1799" spans="1:25" ht="16.149999999999999" customHeight="1" x14ac:dyDescent="0.15">
      <c r="W1799"/>
    </row>
    <row r="1800" spans="1:25" ht="16.149999999999999" customHeight="1" x14ac:dyDescent="0.15">
      <c r="W1800"/>
    </row>
    <row r="1801" spans="1:25" ht="16.149999999999999" customHeight="1" x14ac:dyDescent="0.15">
      <c r="A1801" s="59"/>
      <c r="B1801" s="59"/>
      <c r="C1801" s="59"/>
      <c r="D1801" s="59"/>
      <c r="E1801" s="59"/>
      <c r="F1801" s="59"/>
      <c r="G1801" s="59"/>
      <c r="H1801" s="59"/>
      <c r="I1801" s="59"/>
      <c r="J1801" s="59"/>
      <c r="K1801" s="59"/>
      <c r="L1801" s="59"/>
      <c r="M1801" s="59"/>
      <c r="N1801" s="59"/>
      <c r="O1801" s="59"/>
      <c r="P1801" s="59"/>
      <c r="Q1801" s="59"/>
      <c r="R1801" s="59"/>
      <c r="S1801" s="59"/>
      <c r="T1801" s="59"/>
      <c r="U1801" s="59"/>
      <c r="V1801" s="59"/>
      <c r="W1801" s="59"/>
      <c r="X1801" s="59"/>
      <c r="Y1801" s="59"/>
    </row>
    <row r="1802" spans="1:25" ht="16.149999999999999" customHeight="1" x14ac:dyDescent="0.15">
      <c r="A1802" s="59"/>
      <c r="B1802" s="59"/>
      <c r="C1802" s="59"/>
      <c r="D1802" s="59"/>
      <c r="E1802" s="59"/>
      <c r="F1802" s="59"/>
      <c r="G1802" s="59"/>
      <c r="H1802" s="59"/>
      <c r="I1802" s="59"/>
      <c r="J1802" s="59"/>
      <c r="K1802" s="59"/>
      <c r="L1802" s="59"/>
      <c r="M1802" s="59"/>
      <c r="N1802" s="59"/>
      <c r="O1802" s="59"/>
      <c r="P1802" s="59"/>
      <c r="Q1802" s="59"/>
      <c r="R1802" s="59"/>
      <c r="S1802" s="59"/>
      <c r="T1802" s="59"/>
      <c r="U1802" s="59"/>
      <c r="V1802" s="59"/>
      <c r="W1802" s="59"/>
      <c r="X1802" s="59"/>
      <c r="Y1802" s="59"/>
    </row>
    <row r="1803" spans="1:25" ht="16.149999999999999" customHeight="1" x14ac:dyDescent="0.15">
      <c r="W1803"/>
    </row>
    <row r="1804" spans="1:25" ht="16.149999999999999" customHeight="1" x14ac:dyDescent="0.15">
      <c r="W1804"/>
    </row>
    <row r="1805" spans="1:25" ht="16.149999999999999" customHeight="1" x14ac:dyDescent="0.15">
      <c r="W1805"/>
    </row>
    <row r="1806" spans="1:25" ht="16.149999999999999" customHeight="1" x14ac:dyDescent="0.15">
      <c r="A1806" s="59"/>
      <c r="B1806" s="59"/>
      <c r="C1806" s="59"/>
      <c r="D1806" s="59"/>
      <c r="E1806" s="59"/>
      <c r="F1806" s="59"/>
      <c r="G1806" s="59"/>
      <c r="H1806" s="59"/>
      <c r="I1806" s="59"/>
      <c r="J1806" s="59"/>
      <c r="K1806" s="59"/>
      <c r="L1806" s="59"/>
      <c r="M1806" s="59"/>
      <c r="N1806" s="59"/>
      <c r="O1806" s="59"/>
      <c r="P1806" s="59"/>
      <c r="Q1806" s="59"/>
      <c r="R1806" s="59"/>
      <c r="S1806" s="59"/>
      <c r="T1806" s="59"/>
      <c r="U1806" s="59"/>
      <c r="V1806" s="59"/>
      <c r="W1806" s="59"/>
      <c r="X1806" s="59"/>
      <c r="Y1806" s="59"/>
    </row>
    <row r="1807" spans="1:25" ht="16.149999999999999" customHeight="1" x14ac:dyDescent="0.15">
      <c r="A1807" s="59"/>
      <c r="B1807" s="59"/>
      <c r="C1807" s="59"/>
      <c r="D1807" s="59"/>
      <c r="E1807" s="59"/>
      <c r="F1807" s="59"/>
      <c r="G1807" s="59"/>
      <c r="H1807" s="59"/>
      <c r="I1807" s="59"/>
      <c r="J1807" s="59"/>
      <c r="K1807" s="59"/>
      <c r="L1807" s="59"/>
      <c r="M1807" s="59"/>
      <c r="N1807" s="59"/>
      <c r="O1807" s="59"/>
      <c r="P1807" s="59"/>
      <c r="Q1807" s="59"/>
      <c r="R1807" s="59"/>
      <c r="S1807" s="59"/>
      <c r="T1807" s="59"/>
      <c r="U1807" s="59"/>
      <c r="V1807" s="59"/>
      <c r="W1807" s="59"/>
      <c r="X1807" s="59"/>
      <c r="Y1807" s="59"/>
    </row>
    <row r="1808" spans="1:25" ht="16.149999999999999" customHeight="1" x14ac:dyDescent="0.15">
      <c r="A1808" s="59"/>
      <c r="B1808" s="59"/>
      <c r="C1808" s="59"/>
      <c r="D1808" s="59"/>
      <c r="E1808" s="59"/>
      <c r="F1808" s="59"/>
      <c r="G1808" s="59"/>
      <c r="H1808" s="59"/>
      <c r="I1808" s="59"/>
      <c r="J1808" s="59"/>
      <c r="K1808" s="59"/>
      <c r="L1808" s="59"/>
      <c r="M1808" s="59"/>
      <c r="N1808" s="59"/>
      <c r="O1808" s="59"/>
      <c r="P1808" s="59"/>
      <c r="Q1808" s="59"/>
      <c r="R1808" s="59"/>
      <c r="S1808" s="59"/>
      <c r="T1808" s="59"/>
      <c r="U1808" s="59"/>
      <c r="V1808" s="59"/>
      <c r="W1808" s="59"/>
      <c r="X1808" s="59"/>
      <c r="Y1808" s="59"/>
    </row>
    <row r="1809" spans="1:25" ht="16.149999999999999" customHeight="1" x14ac:dyDescent="0.15">
      <c r="W1809"/>
    </row>
    <row r="1810" spans="1:25" ht="16.149999999999999" customHeight="1" x14ac:dyDescent="0.15">
      <c r="W1810"/>
    </row>
    <row r="1811" spans="1:25" ht="16.149999999999999" customHeight="1" x14ac:dyDescent="0.15">
      <c r="W1811"/>
    </row>
    <row r="1812" spans="1:25" ht="16.149999999999999" customHeight="1" x14ac:dyDescent="0.15">
      <c r="A1812" s="59"/>
      <c r="B1812" s="59"/>
      <c r="C1812" s="59"/>
      <c r="D1812" s="59"/>
      <c r="E1812" s="59"/>
      <c r="F1812" s="59"/>
      <c r="G1812" s="59"/>
      <c r="H1812" s="59"/>
      <c r="I1812" s="59"/>
      <c r="J1812" s="59"/>
      <c r="K1812" s="59"/>
      <c r="L1812" s="59"/>
      <c r="M1812" s="59"/>
      <c r="N1812" s="59"/>
      <c r="O1812" s="59"/>
      <c r="P1812" s="59"/>
      <c r="Q1812" s="59"/>
      <c r="R1812" s="59"/>
      <c r="S1812" s="59"/>
      <c r="T1812" s="59"/>
      <c r="U1812" s="59"/>
      <c r="V1812" s="59"/>
      <c r="W1812" s="59"/>
      <c r="X1812" s="59"/>
      <c r="Y1812" s="59"/>
    </row>
    <row r="1813" spans="1:25" ht="16.149999999999999" customHeight="1" x14ac:dyDescent="0.15">
      <c r="W1813"/>
    </row>
    <row r="1814" spans="1:25" ht="16.149999999999999" customHeight="1" x14ac:dyDescent="0.15">
      <c r="W1814"/>
    </row>
    <row r="1815" spans="1:25" ht="16.149999999999999" customHeight="1" x14ac:dyDescent="0.15">
      <c r="A1815" s="59"/>
      <c r="B1815" s="59"/>
      <c r="C1815" s="59"/>
      <c r="D1815" s="59"/>
      <c r="E1815" s="59"/>
      <c r="F1815" s="59"/>
      <c r="G1815" s="59"/>
      <c r="H1815" s="59"/>
      <c r="I1815" s="59"/>
      <c r="J1815" s="59"/>
      <c r="K1815" s="59"/>
      <c r="L1815" s="59"/>
      <c r="M1815" s="59"/>
      <c r="N1815" s="59"/>
      <c r="O1815" s="59"/>
      <c r="P1815" s="59"/>
      <c r="Q1815" s="59"/>
      <c r="R1815" s="59"/>
      <c r="S1815" s="59"/>
      <c r="T1815" s="59"/>
      <c r="U1815" s="59"/>
      <c r="V1815" s="59"/>
      <c r="W1815" s="59"/>
      <c r="X1815" s="59"/>
      <c r="Y1815" s="59"/>
    </row>
    <row r="1816" spans="1:25" ht="16.149999999999999" customHeight="1" x14ac:dyDescent="0.15">
      <c r="W1816"/>
    </row>
    <row r="1817" spans="1:25" ht="16.149999999999999" customHeight="1" x14ac:dyDescent="0.15">
      <c r="W1817"/>
    </row>
    <row r="1818" spans="1:25" ht="16.149999999999999" customHeight="1" x14ac:dyDescent="0.15">
      <c r="W1818"/>
    </row>
    <row r="1819" spans="1:25" ht="16.149999999999999" customHeight="1" x14ac:dyDescent="0.15">
      <c r="A1819" s="59"/>
      <c r="B1819" s="59"/>
      <c r="C1819" s="59"/>
      <c r="D1819" s="59"/>
      <c r="E1819" s="59"/>
      <c r="F1819" s="59"/>
      <c r="G1819" s="59"/>
      <c r="H1819" s="59"/>
      <c r="I1819" s="59"/>
      <c r="J1819" s="59"/>
      <c r="K1819" s="59"/>
      <c r="L1819" s="59"/>
      <c r="M1819" s="59"/>
      <c r="N1819" s="59"/>
      <c r="O1819" s="59"/>
      <c r="P1819" s="59"/>
      <c r="Q1819" s="59"/>
      <c r="R1819" s="59"/>
      <c r="S1819" s="59"/>
      <c r="T1819" s="59"/>
      <c r="U1819" s="59"/>
      <c r="V1819" s="59"/>
      <c r="W1819" s="59"/>
      <c r="X1819" s="59"/>
      <c r="Y1819" s="59"/>
    </row>
    <row r="1820" spans="1:25" ht="16.149999999999999" customHeight="1" x14ac:dyDescent="0.15">
      <c r="W1820"/>
    </row>
    <row r="1821" spans="1:25" ht="16.149999999999999" customHeight="1" x14ac:dyDescent="0.15">
      <c r="W1821"/>
    </row>
    <row r="1822" spans="1:25" ht="16.149999999999999" customHeight="1" x14ac:dyDescent="0.15">
      <c r="W1822"/>
    </row>
    <row r="1823" spans="1:25" ht="16.149999999999999" customHeight="1" x14ac:dyDescent="0.15">
      <c r="A1823" s="59"/>
      <c r="B1823" s="59"/>
      <c r="C1823" s="59"/>
      <c r="D1823" s="59"/>
      <c r="E1823" s="59"/>
      <c r="F1823" s="59"/>
      <c r="G1823" s="59"/>
      <c r="H1823" s="59"/>
      <c r="I1823" s="59"/>
      <c r="J1823" s="59"/>
      <c r="K1823" s="59"/>
      <c r="L1823" s="59"/>
      <c r="M1823" s="59"/>
      <c r="N1823" s="59"/>
      <c r="O1823" s="59"/>
      <c r="P1823" s="59"/>
      <c r="Q1823" s="59"/>
      <c r="R1823" s="59"/>
      <c r="S1823" s="59"/>
      <c r="T1823" s="59"/>
      <c r="U1823" s="59"/>
      <c r="V1823" s="59"/>
      <c r="W1823" s="59"/>
      <c r="X1823" s="59"/>
      <c r="Y1823" s="59"/>
    </row>
    <row r="1824" spans="1:25" ht="16.149999999999999" customHeight="1" x14ac:dyDescent="0.15">
      <c r="W1824"/>
    </row>
    <row r="1825" spans="1:25" ht="16.149999999999999" customHeight="1" x14ac:dyDescent="0.15">
      <c r="W1825"/>
    </row>
    <row r="1826" spans="1:25" ht="16.149999999999999" customHeight="1" x14ac:dyDescent="0.15">
      <c r="W1826"/>
    </row>
    <row r="1827" spans="1:25" ht="16.149999999999999" customHeight="1" x14ac:dyDescent="0.15">
      <c r="W1827"/>
    </row>
    <row r="1828" spans="1:25" ht="16.149999999999999" customHeight="1" x14ac:dyDescent="0.15">
      <c r="W1828"/>
    </row>
    <row r="1829" spans="1:25" ht="16.149999999999999" customHeight="1" x14ac:dyDescent="0.15">
      <c r="W1829"/>
    </row>
    <row r="1830" spans="1:25" ht="16.149999999999999" customHeight="1" x14ac:dyDescent="0.15">
      <c r="A1830" s="55"/>
      <c r="B1830" s="55"/>
      <c r="C1830" s="55"/>
      <c r="D1830" s="55"/>
      <c r="E1830" s="55"/>
      <c r="F1830" s="55"/>
      <c r="G1830" s="55"/>
      <c r="H1830" s="55"/>
      <c r="I1830" s="55"/>
      <c r="J1830" s="55"/>
      <c r="K1830" s="55"/>
      <c r="L1830" s="55"/>
      <c r="M1830" s="55"/>
      <c r="N1830" s="55"/>
      <c r="O1830" s="55"/>
      <c r="P1830" s="55"/>
      <c r="Q1830" s="55"/>
      <c r="R1830" s="55"/>
      <c r="S1830" s="55"/>
      <c r="T1830" s="55"/>
      <c r="U1830" s="55"/>
      <c r="V1830" s="55"/>
      <c r="W1830" s="55"/>
      <c r="X1830" s="55"/>
      <c r="Y1830" s="55"/>
    </row>
    <row r="1831" spans="1:25" ht="16.149999999999999" customHeight="1" x14ac:dyDescent="0.15">
      <c r="A1831" s="55"/>
      <c r="B1831" s="55"/>
      <c r="C1831" s="55"/>
      <c r="D1831" s="55"/>
      <c r="E1831" s="55"/>
      <c r="F1831" s="55"/>
      <c r="G1831" s="55"/>
      <c r="H1831" s="55"/>
      <c r="I1831" s="55"/>
      <c r="J1831" s="55"/>
      <c r="K1831" s="55"/>
      <c r="L1831" s="55"/>
      <c r="M1831" s="55"/>
      <c r="N1831" s="55"/>
      <c r="O1831" s="55"/>
      <c r="P1831" s="55"/>
      <c r="Q1831" s="55"/>
      <c r="R1831" s="55"/>
      <c r="S1831" s="55"/>
      <c r="T1831" s="55"/>
      <c r="U1831" s="55"/>
      <c r="V1831" s="55"/>
      <c r="W1831" s="55"/>
      <c r="X1831" s="55"/>
      <c r="Y1831" s="55"/>
    </row>
    <row r="1832" spans="1:25" ht="16.149999999999999" customHeight="1" x14ac:dyDescent="0.15">
      <c r="A1832" s="55"/>
      <c r="B1832" s="55"/>
      <c r="C1832" s="55"/>
      <c r="D1832" s="55"/>
      <c r="E1832" s="55"/>
      <c r="F1832" s="55"/>
      <c r="G1832" s="55"/>
      <c r="H1832" s="55"/>
      <c r="I1832" s="55"/>
      <c r="J1832" s="55"/>
      <c r="K1832" s="55"/>
      <c r="L1832" s="55"/>
      <c r="M1832" s="55"/>
      <c r="N1832" s="55"/>
      <c r="O1832" s="55"/>
      <c r="P1832" s="55"/>
      <c r="Q1832" s="55"/>
      <c r="R1832" s="55"/>
      <c r="S1832" s="55"/>
      <c r="T1832" s="55"/>
      <c r="U1832" s="55"/>
      <c r="V1832" s="55"/>
      <c r="W1832" s="55"/>
      <c r="X1832" s="55"/>
      <c r="Y1832" s="55"/>
    </row>
    <row r="1833" spans="1:25" ht="16.149999999999999" customHeight="1" x14ac:dyDescent="0.15">
      <c r="A1833" s="55"/>
      <c r="B1833" s="55"/>
      <c r="C1833" s="55"/>
      <c r="D1833" s="55"/>
      <c r="E1833" s="55"/>
      <c r="F1833" s="55"/>
      <c r="G1833" s="55"/>
      <c r="H1833" s="55"/>
      <c r="I1833" s="55"/>
      <c r="J1833" s="55"/>
      <c r="K1833" s="55"/>
      <c r="L1833" s="55"/>
      <c r="M1833" s="55"/>
      <c r="N1833" s="55"/>
      <c r="O1833" s="55"/>
      <c r="P1833" s="55"/>
      <c r="Q1833" s="55"/>
      <c r="R1833" s="55"/>
      <c r="S1833" s="55"/>
      <c r="T1833" s="55"/>
      <c r="U1833" s="55"/>
      <c r="V1833" s="55"/>
      <c r="W1833" s="55"/>
      <c r="X1833" s="55"/>
      <c r="Y1833" s="55"/>
    </row>
    <row r="1834" spans="1:25" ht="16.149999999999999" customHeight="1" x14ac:dyDescent="0.15">
      <c r="A1834" s="55"/>
      <c r="B1834" s="55"/>
      <c r="C1834" s="55"/>
      <c r="D1834" s="55"/>
      <c r="E1834" s="55"/>
      <c r="F1834" s="55"/>
      <c r="G1834" s="55"/>
      <c r="H1834" s="55"/>
      <c r="I1834" s="55"/>
      <c r="J1834" s="55"/>
      <c r="K1834" s="55"/>
      <c r="L1834" s="55"/>
      <c r="M1834" s="55"/>
      <c r="N1834" s="55"/>
      <c r="O1834" s="55"/>
      <c r="P1834" s="55"/>
      <c r="Q1834" s="55"/>
      <c r="R1834" s="55"/>
      <c r="S1834" s="55"/>
      <c r="T1834" s="55"/>
      <c r="U1834" s="55"/>
      <c r="V1834" s="55"/>
      <c r="W1834" s="55"/>
      <c r="X1834" s="55"/>
      <c r="Y1834" s="55"/>
    </row>
    <row r="1835" spans="1:25" ht="16.149999999999999" customHeight="1" x14ac:dyDescent="0.15">
      <c r="A1835" s="55"/>
      <c r="B1835" s="55"/>
      <c r="C1835" s="55"/>
      <c r="D1835" s="55"/>
      <c r="E1835" s="55"/>
      <c r="F1835" s="55"/>
      <c r="G1835" s="55"/>
      <c r="H1835" s="55"/>
      <c r="I1835" s="55"/>
      <c r="J1835" s="55"/>
      <c r="K1835" s="55"/>
      <c r="L1835" s="55"/>
      <c r="M1835" s="55"/>
      <c r="N1835" s="55"/>
      <c r="O1835" s="55"/>
      <c r="P1835" s="55"/>
      <c r="Q1835" s="55"/>
      <c r="R1835" s="55"/>
      <c r="S1835" s="55"/>
      <c r="T1835" s="55"/>
      <c r="U1835" s="55"/>
      <c r="V1835" s="55"/>
      <c r="W1835" s="55"/>
      <c r="X1835" s="55"/>
      <c r="Y1835" s="55"/>
    </row>
    <row r="1836" spans="1:25" ht="16.149999999999999" customHeight="1" x14ac:dyDescent="0.15">
      <c r="A1836" s="55"/>
      <c r="B1836" s="55"/>
      <c r="C1836" s="55"/>
      <c r="D1836" s="55"/>
      <c r="E1836" s="55"/>
      <c r="F1836" s="55"/>
      <c r="G1836" s="55"/>
      <c r="H1836" s="55"/>
      <c r="I1836" s="55"/>
      <c r="J1836" s="55"/>
      <c r="K1836" s="55"/>
      <c r="L1836" s="55"/>
      <c r="M1836" s="55"/>
      <c r="N1836" s="55"/>
      <c r="O1836" s="55"/>
      <c r="P1836" s="55"/>
      <c r="Q1836" s="55"/>
      <c r="R1836" s="55"/>
      <c r="S1836" s="55"/>
      <c r="T1836" s="55"/>
      <c r="U1836" s="55"/>
      <c r="V1836" s="55"/>
      <c r="W1836" s="55"/>
      <c r="X1836" s="55"/>
      <c r="Y1836" s="55"/>
    </row>
    <row r="1837" spans="1:25" ht="16.149999999999999" customHeight="1" x14ac:dyDescent="0.15">
      <c r="A1837" s="55"/>
      <c r="B1837" s="55"/>
      <c r="C1837" s="55"/>
      <c r="D1837" s="55"/>
      <c r="E1837" s="55"/>
      <c r="F1837" s="55"/>
      <c r="G1837" s="55"/>
      <c r="H1837" s="55"/>
      <c r="I1837" s="55"/>
      <c r="J1837" s="55"/>
      <c r="K1837" s="55"/>
      <c r="L1837" s="55"/>
      <c r="M1837" s="55"/>
      <c r="N1837" s="55"/>
      <c r="O1837" s="55"/>
      <c r="P1837" s="55"/>
      <c r="Q1837" s="55"/>
      <c r="R1837" s="55"/>
      <c r="S1837" s="55"/>
      <c r="T1837" s="55"/>
      <c r="U1837" s="55"/>
      <c r="V1837" s="55"/>
      <c r="W1837" s="55"/>
      <c r="X1837" s="55"/>
      <c r="Y1837" s="55"/>
    </row>
    <row r="1838" spans="1:25" ht="16.149999999999999" customHeight="1" x14ac:dyDescent="0.15">
      <c r="A1838" s="55"/>
      <c r="B1838" s="55"/>
      <c r="C1838" s="55"/>
      <c r="D1838" s="55"/>
      <c r="E1838" s="55"/>
      <c r="F1838" s="55"/>
      <c r="G1838" s="55"/>
      <c r="H1838" s="55"/>
      <c r="I1838" s="55"/>
      <c r="J1838" s="55"/>
      <c r="K1838" s="55"/>
      <c r="L1838" s="55"/>
      <c r="M1838" s="55"/>
      <c r="N1838" s="55"/>
      <c r="O1838" s="55"/>
      <c r="P1838" s="55"/>
      <c r="Q1838" s="55"/>
      <c r="R1838" s="55"/>
      <c r="S1838" s="55"/>
      <c r="T1838" s="55"/>
      <c r="U1838" s="55"/>
      <c r="V1838" s="55"/>
      <c r="W1838" s="55"/>
      <c r="X1838" s="55"/>
      <c r="Y1838" s="55"/>
    </row>
    <row r="1839" spans="1:25" ht="16.149999999999999" customHeight="1" x14ac:dyDescent="0.15">
      <c r="A1839" s="55"/>
      <c r="B1839" s="55"/>
      <c r="C1839" s="55"/>
      <c r="D1839" s="55"/>
      <c r="E1839" s="55"/>
      <c r="F1839" s="55"/>
      <c r="G1839" s="55"/>
      <c r="H1839" s="55"/>
      <c r="I1839" s="55"/>
      <c r="J1839" s="55"/>
      <c r="K1839" s="55"/>
      <c r="L1839" s="55"/>
      <c r="M1839" s="55"/>
      <c r="N1839" s="55"/>
      <c r="O1839" s="55"/>
      <c r="P1839" s="55"/>
      <c r="Q1839" s="55"/>
      <c r="R1839" s="55"/>
      <c r="S1839" s="55"/>
      <c r="T1839" s="55"/>
      <c r="U1839" s="55"/>
      <c r="V1839" s="55"/>
      <c r="W1839" s="55"/>
      <c r="X1839" s="55"/>
      <c r="Y1839" s="55"/>
    </row>
    <row r="1840" spans="1:25" ht="16.149999999999999" customHeight="1" x14ac:dyDescent="0.15">
      <c r="A1840" s="55"/>
      <c r="B1840" s="55"/>
      <c r="C1840" s="55"/>
      <c r="D1840" s="55"/>
      <c r="E1840" s="55"/>
      <c r="F1840" s="55"/>
      <c r="G1840" s="55"/>
      <c r="H1840" s="55"/>
      <c r="I1840" s="55"/>
      <c r="J1840" s="55"/>
      <c r="K1840" s="55"/>
      <c r="L1840" s="55"/>
      <c r="M1840" s="55"/>
      <c r="N1840" s="55"/>
      <c r="O1840" s="55"/>
      <c r="P1840" s="55"/>
      <c r="Q1840" s="55"/>
      <c r="R1840" s="55"/>
      <c r="S1840" s="55"/>
      <c r="T1840" s="55"/>
      <c r="U1840" s="55"/>
      <c r="V1840" s="55"/>
      <c r="W1840" s="55"/>
      <c r="X1840" s="55"/>
      <c r="Y1840" s="55"/>
    </row>
    <row r="1841" spans="1:25" ht="16.149999999999999" customHeight="1" x14ac:dyDescent="0.15">
      <c r="A1841" s="55"/>
      <c r="B1841" s="55"/>
      <c r="C1841" s="55"/>
      <c r="D1841" s="55"/>
      <c r="E1841" s="55"/>
      <c r="F1841" s="55"/>
      <c r="G1841" s="55"/>
      <c r="H1841" s="55"/>
      <c r="I1841" s="55"/>
      <c r="J1841" s="55"/>
      <c r="K1841" s="55"/>
      <c r="L1841" s="55"/>
      <c r="M1841" s="55"/>
      <c r="N1841" s="55"/>
      <c r="O1841" s="55"/>
      <c r="P1841" s="55"/>
      <c r="Q1841" s="55"/>
      <c r="R1841" s="55"/>
      <c r="S1841" s="55"/>
      <c r="T1841" s="55"/>
      <c r="U1841" s="55"/>
      <c r="V1841" s="55"/>
      <c r="W1841" s="55"/>
      <c r="X1841" s="55"/>
      <c r="Y1841" s="55"/>
    </row>
    <row r="1842" spans="1:25" ht="16.149999999999999" customHeight="1" x14ac:dyDescent="0.15">
      <c r="A1842" s="55"/>
      <c r="B1842" s="55"/>
      <c r="C1842" s="55"/>
      <c r="D1842" s="55"/>
      <c r="E1842" s="55"/>
      <c r="F1842" s="55"/>
      <c r="G1842" s="55"/>
      <c r="H1842" s="55"/>
      <c r="I1842" s="55"/>
      <c r="J1842" s="55"/>
      <c r="K1842" s="55"/>
      <c r="L1842" s="55"/>
      <c r="M1842" s="55"/>
      <c r="N1842" s="55"/>
      <c r="O1842" s="55"/>
      <c r="P1842" s="55"/>
      <c r="Q1842" s="55"/>
      <c r="R1842" s="55"/>
      <c r="S1842" s="55"/>
      <c r="T1842" s="55"/>
      <c r="U1842" s="55"/>
      <c r="V1842" s="55"/>
      <c r="W1842" s="55"/>
      <c r="X1842" s="55"/>
      <c r="Y1842" s="55"/>
    </row>
    <row r="1843" spans="1:25" ht="16.149999999999999" customHeight="1" x14ac:dyDescent="0.15">
      <c r="A1843" s="55"/>
      <c r="B1843" s="55"/>
      <c r="C1843" s="55"/>
      <c r="D1843" s="55"/>
      <c r="E1843" s="55"/>
      <c r="F1843" s="55"/>
      <c r="G1843" s="55"/>
      <c r="H1843" s="55"/>
      <c r="I1843" s="55"/>
      <c r="J1843" s="55"/>
      <c r="K1843" s="55"/>
      <c r="L1843" s="55"/>
      <c r="M1843" s="55"/>
      <c r="N1843" s="55"/>
      <c r="O1843" s="55"/>
      <c r="P1843" s="55"/>
      <c r="Q1843" s="55"/>
      <c r="R1843" s="55"/>
      <c r="S1843" s="55"/>
      <c r="T1843" s="55"/>
      <c r="U1843" s="55"/>
      <c r="V1843" s="55"/>
      <c r="W1843" s="55"/>
      <c r="X1843" s="55"/>
      <c r="Y1843" s="55"/>
    </row>
    <row r="1844" spans="1:25" ht="16.149999999999999" customHeight="1" x14ac:dyDescent="0.15">
      <c r="A1844" s="55"/>
      <c r="B1844" s="55"/>
      <c r="C1844" s="55"/>
      <c r="D1844" s="55"/>
      <c r="E1844" s="55"/>
      <c r="F1844" s="55"/>
      <c r="G1844" s="55"/>
      <c r="H1844" s="55"/>
      <c r="I1844" s="55"/>
      <c r="J1844" s="55"/>
      <c r="K1844" s="55"/>
      <c r="L1844" s="55"/>
      <c r="M1844" s="55"/>
      <c r="N1844" s="55"/>
      <c r="O1844" s="55"/>
      <c r="P1844" s="55"/>
      <c r="Q1844" s="55"/>
      <c r="R1844" s="55"/>
      <c r="S1844" s="55"/>
      <c r="T1844" s="55"/>
      <c r="U1844" s="55"/>
      <c r="V1844" s="55"/>
      <c r="W1844" s="55"/>
      <c r="X1844" s="55"/>
      <c r="Y1844" s="55"/>
    </row>
    <row r="1845" spans="1:25" ht="16.149999999999999" customHeight="1" x14ac:dyDescent="0.15">
      <c r="A1845" s="55"/>
      <c r="B1845" s="55"/>
      <c r="C1845" s="55"/>
      <c r="D1845" s="55"/>
      <c r="E1845" s="55"/>
      <c r="F1845" s="55"/>
      <c r="G1845" s="55"/>
      <c r="H1845" s="55"/>
      <c r="I1845" s="55"/>
      <c r="J1845" s="55"/>
      <c r="K1845" s="55"/>
      <c r="L1845" s="55"/>
      <c r="M1845" s="55"/>
      <c r="N1845" s="55"/>
      <c r="O1845" s="55"/>
      <c r="P1845" s="55"/>
      <c r="Q1845" s="55"/>
      <c r="R1845" s="55"/>
      <c r="S1845" s="55"/>
      <c r="T1845" s="55"/>
      <c r="U1845" s="55"/>
      <c r="V1845" s="55"/>
      <c r="W1845" s="55"/>
      <c r="X1845" s="55"/>
      <c r="Y1845" s="55"/>
    </row>
    <row r="1846" spans="1:25" ht="16.149999999999999" customHeight="1" x14ac:dyDescent="0.15">
      <c r="A1846" s="55"/>
      <c r="B1846" s="55"/>
      <c r="C1846" s="55"/>
      <c r="D1846" s="55"/>
      <c r="E1846" s="55"/>
      <c r="F1846" s="55"/>
      <c r="G1846" s="55"/>
      <c r="H1846" s="55"/>
      <c r="I1846" s="55"/>
      <c r="J1846" s="55"/>
      <c r="K1846" s="55"/>
      <c r="L1846" s="55"/>
      <c r="M1846" s="55"/>
      <c r="N1846" s="55"/>
      <c r="O1846" s="55"/>
      <c r="P1846" s="55"/>
      <c r="Q1846" s="55"/>
      <c r="R1846" s="55"/>
      <c r="S1846" s="55"/>
      <c r="T1846" s="55"/>
      <c r="U1846" s="55"/>
      <c r="V1846" s="55"/>
      <c r="W1846" s="55"/>
      <c r="X1846" s="55"/>
      <c r="Y1846" s="55"/>
    </row>
    <row r="1847" spans="1:25" ht="16.149999999999999" customHeight="1" x14ac:dyDescent="0.15">
      <c r="A1847" s="55"/>
      <c r="B1847" s="55"/>
      <c r="C1847" s="55"/>
      <c r="D1847" s="55"/>
      <c r="E1847" s="55"/>
      <c r="F1847" s="55"/>
      <c r="G1847" s="55"/>
      <c r="H1847" s="55"/>
      <c r="I1847" s="55"/>
      <c r="J1847" s="55"/>
      <c r="K1847" s="55"/>
      <c r="L1847" s="55"/>
      <c r="M1847" s="55"/>
      <c r="N1847" s="55"/>
      <c r="O1847" s="55"/>
      <c r="P1847" s="55"/>
      <c r="Q1847" s="55"/>
      <c r="R1847" s="55"/>
      <c r="S1847" s="55"/>
      <c r="T1847" s="55"/>
      <c r="U1847" s="55"/>
      <c r="V1847" s="55"/>
      <c r="W1847" s="55"/>
      <c r="X1847" s="55"/>
      <c r="Y1847" s="55"/>
    </row>
    <row r="1848" spans="1:25" ht="16.149999999999999" customHeight="1" x14ac:dyDescent="0.15">
      <c r="A1848" s="55"/>
      <c r="B1848" s="55"/>
      <c r="C1848" s="55"/>
      <c r="D1848" s="55"/>
      <c r="E1848" s="55"/>
      <c r="F1848" s="55"/>
      <c r="G1848" s="55"/>
      <c r="H1848" s="55"/>
      <c r="I1848" s="55"/>
      <c r="J1848" s="55"/>
      <c r="K1848" s="55"/>
      <c r="L1848" s="55"/>
      <c r="M1848" s="55"/>
      <c r="N1848" s="55"/>
      <c r="O1848" s="55"/>
      <c r="P1848" s="55"/>
      <c r="Q1848" s="55"/>
      <c r="R1848" s="55"/>
      <c r="S1848" s="55"/>
      <c r="T1848" s="55"/>
      <c r="U1848" s="55"/>
      <c r="V1848" s="55"/>
      <c r="W1848" s="55"/>
      <c r="X1848" s="55"/>
      <c r="Y1848" s="55"/>
    </row>
    <row r="1849" spans="1:25" ht="16.149999999999999" customHeight="1" x14ac:dyDescent="0.15">
      <c r="A1849" s="55"/>
      <c r="B1849" s="55"/>
      <c r="C1849" s="55"/>
      <c r="D1849" s="55"/>
      <c r="E1849" s="55"/>
      <c r="F1849" s="55"/>
      <c r="G1849" s="55"/>
      <c r="H1849" s="55"/>
      <c r="I1849" s="55"/>
      <c r="J1849" s="55"/>
      <c r="K1849" s="55"/>
      <c r="L1849" s="55"/>
      <c r="M1849" s="55"/>
      <c r="N1849" s="55"/>
      <c r="O1849" s="55"/>
      <c r="P1849" s="55"/>
      <c r="Q1849" s="55"/>
      <c r="R1849" s="55"/>
      <c r="S1849" s="55"/>
      <c r="T1849" s="55"/>
      <c r="U1849" s="55"/>
      <c r="V1849" s="55"/>
      <c r="W1849" s="55"/>
      <c r="X1849" s="55"/>
      <c r="Y1849" s="55"/>
    </row>
    <row r="1850" spans="1:25" ht="16.149999999999999" customHeight="1" x14ac:dyDescent="0.15">
      <c r="A1850" s="55"/>
      <c r="B1850" s="55"/>
      <c r="C1850" s="55"/>
      <c r="D1850" s="55"/>
      <c r="E1850" s="55"/>
      <c r="F1850" s="55"/>
      <c r="G1850" s="55"/>
      <c r="H1850" s="55"/>
      <c r="I1850" s="55"/>
      <c r="J1850" s="55"/>
      <c r="K1850" s="55"/>
      <c r="L1850" s="55"/>
      <c r="M1850" s="55"/>
      <c r="N1850" s="55"/>
      <c r="O1850" s="55"/>
      <c r="P1850" s="55"/>
      <c r="Q1850" s="55"/>
      <c r="R1850" s="55"/>
      <c r="S1850" s="55"/>
      <c r="T1850" s="55"/>
      <c r="U1850" s="55"/>
      <c r="V1850" s="55"/>
      <c r="W1850" s="55"/>
      <c r="X1850" s="55"/>
      <c r="Y1850" s="55"/>
    </row>
    <row r="1851" spans="1:25" ht="16.149999999999999" customHeight="1" x14ac:dyDescent="0.15">
      <c r="W1851"/>
    </row>
    <row r="1852" spans="1:25" ht="16.149999999999999" customHeight="1" x14ac:dyDescent="0.15">
      <c r="W1852"/>
    </row>
    <row r="1853" spans="1:25" ht="16.149999999999999" customHeight="1" x14ac:dyDescent="0.15">
      <c r="W1853"/>
    </row>
    <row r="1854" spans="1:25" ht="16.149999999999999" customHeight="1" x14ac:dyDescent="0.15">
      <c r="W1854"/>
    </row>
    <row r="1855" spans="1:25" ht="16.149999999999999" customHeight="1" x14ac:dyDescent="0.15">
      <c r="W1855"/>
    </row>
    <row r="1856" spans="1:25" ht="16.149999999999999" customHeight="1" x14ac:dyDescent="0.15">
      <c r="W1856"/>
    </row>
    <row r="1857" spans="1:25" ht="16.149999999999999" customHeight="1" x14ac:dyDescent="0.15">
      <c r="W1857"/>
    </row>
    <row r="1858" spans="1:25" ht="16.149999999999999" customHeight="1" x14ac:dyDescent="0.15">
      <c r="W1858"/>
    </row>
    <row r="1859" spans="1:25" ht="16.149999999999999" customHeight="1" x14ac:dyDescent="0.15">
      <c r="W1859"/>
    </row>
    <row r="1860" spans="1:25" ht="16.149999999999999" customHeight="1" x14ac:dyDescent="0.15">
      <c r="W1860"/>
    </row>
    <row r="1861" spans="1:25" ht="16.149999999999999" customHeight="1" x14ac:dyDescent="0.15">
      <c r="W1861"/>
    </row>
    <row r="1862" spans="1:25" ht="16.149999999999999" customHeight="1" x14ac:dyDescent="0.15">
      <c r="W1862"/>
    </row>
    <row r="1863" spans="1:25" ht="16.149999999999999" customHeight="1" x14ac:dyDescent="0.15">
      <c r="W1863"/>
    </row>
    <row r="1864" spans="1:25" ht="16.149999999999999" customHeight="1" x14ac:dyDescent="0.15">
      <c r="W1864"/>
    </row>
    <row r="1865" spans="1:25" ht="16.149999999999999" customHeight="1" x14ac:dyDescent="0.15">
      <c r="W1865"/>
    </row>
    <row r="1866" spans="1:25" ht="16.149999999999999" customHeight="1" x14ac:dyDescent="0.15">
      <c r="A1866" s="55"/>
      <c r="B1866" s="55"/>
      <c r="C1866" s="55"/>
      <c r="D1866" s="55"/>
      <c r="E1866" s="55"/>
      <c r="F1866" s="55"/>
      <c r="G1866" s="55"/>
      <c r="H1866" s="55"/>
      <c r="I1866" s="55"/>
      <c r="J1866" s="55"/>
      <c r="K1866" s="55"/>
      <c r="L1866" s="55"/>
      <c r="M1866" s="55"/>
      <c r="N1866" s="55"/>
      <c r="O1866" s="55"/>
      <c r="P1866" s="55"/>
      <c r="Q1866" s="55"/>
      <c r="R1866" s="55"/>
      <c r="S1866" s="55"/>
      <c r="T1866" s="55"/>
      <c r="U1866" s="55"/>
      <c r="V1866" s="55"/>
      <c r="W1866" s="55"/>
      <c r="X1866" s="55"/>
      <c r="Y1866" s="55"/>
    </row>
    <row r="1867" spans="1:25" ht="16.149999999999999" customHeight="1" x14ac:dyDescent="0.15">
      <c r="A1867" s="55"/>
      <c r="B1867" s="55"/>
      <c r="C1867" s="55"/>
      <c r="D1867" s="55"/>
      <c r="E1867" s="55"/>
      <c r="F1867" s="55"/>
      <c r="G1867" s="55"/>
      <c r="H1867" s="55"/>
      <c r="I1867" s="55"/>
      <c r="J1867" s="55"/>
      <c r="K1867" s="55"/>
      <c r="L1867" s="55"/>
      <c r="M1867" s="55"/>
      <c r="N1867" s="55"/>
      <c r="O1867" s="55"/>
      <c r="P1867" s="55"/>
      <c r="Q1867" s="55"/>
      <c r="R1867" s="55"/>
      <c r="S1867" s="55"/>
      <c r="T1867" s="55"/>
      <c r="U1867" s="55"/>
      <c r="V1867" s="55"/>
      <c r="W1867" s="55"/>
      <c r="X1867" s="55"/>
      <c r="Y1867" s="55"/>
    </row>
    <row r="1868" spans="1:25" ht="16.149999999999999" customHeight="1" x14ac:dyDescent="0.15">
      <c r="A1868" s="55"/>
      <c r="B1868" s="55"/>
      <c r="C1868" s="55"/>
      <c r="D1868" s="55"/>
      <c r="E1868" s="55"/>
      <c r="F1868" s="55"/>
      <c r="G1868" s="55"/>
      <c r="H1868" s="55"/>
      <c r="I1868" s="55"/>
      <c r="J1868" s="55"/>
      <c r="K1868" s="55"/>
      <c r="L1868" s="55"/>
      <c r="M1868" s="55"/>
      <c r="N1868" s="55"/>
      <c r="O1868" s="55"/>
      <c r="P1868" s="55"/>
      <c r="Q1868" s="55"/>
      <c r="R1868" s="55"/>
      <c r="S1868" s="55"/>
      <c r="T1868" s="55"/>
      <c r="U1868" s="55"/>
      <c r="V1868" s="55"/>
      <c r="W1868" s="55"/>
      <c r="X1868" s="55"/>
      <c r="Y1868" s="55"/>
    </row>
    <row r="1869" spans="1:25" ht="16.149999999999999" customHeight="1" x14ac:dyDescent="0.15">
      <c r="A1869" s="55"/>
      <c r="B1869" s="55"/>
      <c r="C1869" s="55"/>
      <c r="D1869" s="55"/>
      <c r="E1869" s="55"/>
      <c r="F1869" s="55"/>
      <c r="G1869" s="55"/>
      <c r="H1869" s="55"/>
      <c r="I1869" s="55"/>
      <c r="J1869" s="55"/>
      <c r="K1869" s="55"/>
      <c r="L1869" s="55"/>
      <c r="M1869" s="55"/>
      <c r="N1869" s="55"/>
      <c r="O1869" s="55"/>
      <c r="P1869" s="55"/>
      <c r="Q1869" s="55"/>
      <c r="R1869" s="55"/>
      <c r="S1869" s="55"/>
      <c r="T1869" s="55"/>
      <c r="U1869" s="55"/>
      <c r="V1869" s="55"/>
      <c r="W1869" s="55"/>
      <c r="X1869" s="55"/>
      <c r="Y1869" s="55"/>
    </row>
    <row r="1870" spans="1:25" ht="16.149999999999999" customHeight="1" x14ac:dyDescent="0.15">
      <c r="A1870" s="55"/>
      <c r="B1870" s="55"/>
      <c r="C1870" s="55"/>
      <c r="D1870" s="55"/>
      <c r="E1870" s="55"/>
      <c r="F1870" s="55"/>
      <c r="G1870" s="55"/>
      <c r="H1870" s="55"/>
      <c r="I1870" s="55"/>
      <c r="J1870" s="55"/>
      <c r="K1870" s="55"/>
      <c r="L1870" s="55"/>
      <c r="M1870" s="55"/>
      <c r="N1870" s="55"/>
      <c r="O1870" s="55"/>
      <c r="P1870" s="55"/>
      <c r="Q1870" s="55"/>
      <c r="R1870" s="55"/>
      <c r="S1870" s="55"/>
      <c r="T1870" s="55"/>
      <c r="U1870" s="55"/>
      <c r="V1870" s="55"/>
      <c r="W1870" s="55"/>
      <c r="X1870" s="55"/>
      <c r="Y1870" s="55"/>
    </row>
    <row r="1871" spans="1:25" ht="16.149999999999999" customHeight="1" x14ac:dyDescent="0.15">
      <c r="A1871" s="55"/>
      <c r="B1871" s="55"/>
      <c r="C1871" s="55"/>
      <c r="D1871" s="55"/>
      <c r="E1871" s="55"/>
      <c r="F1871" s="55"/>
      <c r="G1871" s="55"/>
      <c r="H1871" s="55"/>
      <c r="I1871" s="55"/>
      <c r="J1871" s="55"/>
      <c r="K1871" s="55"/>
      <c r="L1871" s="55"/>
      <c r="M1871" s="55"/>
      <c r="N1871" s="55"/>
      <c r="O1871" s="55"/>
      <c r="P1871" s="55"/>
      <c r="Q1871" s="55"/>
      <c r="R1871" s="55"/>
      <c r="S1871" s="55"/>
      <c r="T1871" s="55"/>
      <c r="U1871" s="55"/>
      <c r="V1871" s="55"/>
      <c r="W1871" s="55"/>
      <c r="X1871" s="55"/>
      <c r="Y1871" s="55"/>
    </row>
    <row r="1872" spans="1:25" ht="16.149999999999999" customHeight="1" x14ac:dyDescent="0.15">
      <c r="A1872" s="55"/>
      <c r="B1872" s="55"/>
      <c r="C1872" s="55"/>
      <c r="D1872" s="55"/>
      <c r="E1872" s="55"/>
      <c r="F1872" s="55"/>
      <c r="G1872" s="55"/>
      <c r="H1872" s="55"/>
      <c r="I1872" s="55"/>
      <c r="J1872" s="55"/>
      <c r="K1872" s="55"/>
      <c r="L1872" s="55"/>
      <c r="M1872" s="55"/>
      <c r="N1872" s="55"/>
      <c r="O1872" s="55"/>
      <c r="P1872" s="55"/>
      <c r="Q1872" s="55"/>
      <c r="R1872" s="55"/>
      <c r="S1872" s="55"/>
      <c r="T1872" s="55"/>
      <c r="U1872" s="55"/>
      <c r="V1872" s="55"/>
      <c r="W1872" s="55"/>
      <c r="X1872" s="55"/>
      <c r="Y1872" s="55"/>
    </row>
    <row r="1873" spans="1:25" ht="16.149999999999999" customHeight="1" x14ac:dyDescent="0.15">
      <c r="A1873" s="55"/>
      <c r="B1873" s="55"/>
      <c r="C1873" s="55"/>
      <c r="D1873" s="55"/>
      <c r="E1873" s="55"/>
      <c r="F1873" s="55"/>
      <c r="G1873" s="55"/>
      <c r="H1873" s="55"/>
      <c r="I1873" s="55"/>
      <c r="J1873" s="55"/>
      <c r="K1873" s="55"/>
      <c r="L1873" s="55"/>
      <c r="M1873" s="55"/>
      <c r="N1873" s="55"/>
      <c r="O1873" s="55"/>
      <c r="P1873" s="55"/>
      <c r="Q1873" s="55"/>
      <c r="R1873" s="55"/>
      <c r="S1873" s="55"/>
      <c r="T1873" s="55"/>
      <c r="U1873" s="55"/>
      <c r="V1873" s="55"/>
      <c r="W1873" s="55"/>
      <c r="X1873" s="55"/>
      <c r="Y1873" s="55"/>
    </row>
    <row r="1874" spans="1:25" ht="16.149999999999999" customHeight="1" x14ac:dyDescent="0.15">
      <c r="A1874" s="55"/>
      <c r="B1874" s="55"/>
      <c r="C1874" s="55"/>
      <c r="D1874" s="55"/>
      <c r="E1874" s="55"/>
      <c r="F1874" s="55"/>
      <c r="G1874" s="55"/>
      <c r="H1874" s="55"/>
      <c r="I1874" s="55"/>
      <c r="J1874" s="55"/>
      <c r="K1874" s="55"/>
      <c r="L1874" s="55"/>
      <c r="M1874" s="55"/>
      <c r="N1874" s="55"/>
      <c r="O1874" s="55"/>
      <c r="P1874" s="55"/>
      <c r="Q1874" s="55"/>
      <c r="R1874" s="55"/>
      <c r="S1874" s="55"/>
      <c r="T1874" s="55"/>
      <c r="U1874" s="55"/>
      <c r="V1874" s="55"/>
      <c r="W1874" s="55"/>
      <c r="X1874" s="55"/>
      <c r="Y1874" s="55"/>
    </row>
    <row r="1875" spans="1:25" ht="16.149999999999999" customHeight="1" x14ac:dyDescent="0.15">
      <c r="A1875" s="55"/>
      <c r="B1875" s="55"/>
      <c r="C1875" s="55"/>
      <c r="D1875" s="55"/>
      <c r="E1875" s="55"/>
      <c r="F1875" s="55"/>
      <c r="G1875" s="55"/>
      <c r="H1875" s="55"/>
      <c r="I1875" s="55"/>
      <c r="J1875" s="55"/>
      <c r="K1875" s="55"/>
      <c r="L1875" s="55"/>
      <c r="M1875" s="55"/>
      <c r="N1875" s="55"/>
      <c r="O1875" s="55"/>
      <c r="P1875" s="55"/>
      <c r="Q1875" s="55"/>
      <c r="R1875" s="55"/>
      <c r="S1875" s="55"/>
      <c r="T1875" s="55"/>
      <c r="U1875" s="55"/>
      <c r="V1875" s="55"/>
      <c r="W1875" s="55"/>
      <c r="X1875" s="55"/>
      <c r="Y1875" s="55"/>
    </row>
    <row r="1876" spans="1:25" ht="16.149999999999999" customHeight="1" x14ac:dyDescent="0.15">
      <c r="W1876"/>
    </row>
    <row r="1877" spans="1:25" ht="16.149999999999999" customHeight="1" x14ac:dyDescent="0.15">
      <c r="W1877"/>
    </row>
    <row r="1878" spans="1:25" ht="16.149999999999999" customHeight="1" x14ac:dyDescent="0.15">
      <c r="W1878"/>
    </row>
    <row r="1879" spans="1:25" ht="16.149999999999999" customHeight="1" x14ac:dyDescent="0.15">
      <c r="W1879"/>
    </row>
    <row r="1880" spans="1:25" ht="16.149999999999999" customHeight="1" x14ac:dyDescent="0.15">
      <c r="W1880"/>
    </row>
    <row r="1881" spans="1:25" ht="16.149999999999999" customHeight="1" x14ac:dyDescent="0.15">
      <c r="W1881"/>
    </row>
    <row r="1882" spans="1:25" ht="16.149999999999999" customHeight="1" x14ac:dyDescent="0.15">
      <c r="W1882"/>
    </row>
    <row r="1883" spans="1:25" ht="16.149999999999999" customHeight="1" x14ac:dyDescent="0.15">
      <c r="W1883"/>
    </row>
    <row r="1884" spans="1:25" ht="16.149999999999999" customHeight="1" x14ac:dyDescent="0.15">
      <c r="W1884"/>
    </row>
    <row r="1885" spans="1:25" ht="16.149999999999999" customHeight="1" x14ac:dyDescent="0.15">
      <c r="W1885"/>
    </row>
    <row r="1886" spans="1:25" ht="16.149999999999999" customHeight="1" x14ac:dyDescent="0.15">
      <c r="W1886"/>
    </row>
    <row r="1887" spans="1:25" ht="16.149999999999999" customHeight="1" x14ac:dyDescent="0.15">
      <c r="W1887"/>
    </row>
    <row r="1888" spans="1:25" ht="16.149999999999999" customHeight="1" x14ac:dyDescent="0.15">
      <c r="W1888"/>
    </row>
    <row r="1889" spans="23:23" ht="16.149999999999999" customHeight="1" x14ac:dyDescent="0.15">
      <c r="W1889"/>
    </row>
    <row r="1890" spans="23:23" ht="16.149999999999999" customHeight="1" x14ac:dyDescent="0.15">
      <c r="W1890"/>
    </row>
    <row r="1891" spans="23:23" ht="16.149999999999999" customHeight="1" x14ac:dyDescent="0.15">
      <c r="W1891"/>
    </row>
    <row r="1892" spans="23:23" ht="16.149999999999999" customHeight="1" x14ac:dyDescent="0.15">
      <c r="W1892"/>
    </row>
    <row r="1893" spans="23:23" ht="16.149999999999999" customHeight="1" x14ac:dyDescent="0.15">
      <c r="W1893"/>
    </row>
    <row r="1894" spans="23:23" ht="16.149999999999999" customHeight="1" x14ac:dyDescent="0.15">
      <c r="W1894"/>
    </row>
    <row r="1895" spans="23:23" ht="16.149999999999999" customHeight="1" x14ac:dyDescent="0.15">
      <c r="W1895"/>
    </row>
    <row r="1896" spans="23:23" ht="16.149999999999999" customHeight="1" x14ac:dyDescent="0.15">
      <c r="W1896"/>
    </row>
    <row r="1897" spans="23:23" ht="16.149999999999999" customHeight="1" x14ac:dyDescent="0.15">
      <c r="W1897"/>
    </row>
    <row r="1898" spans="23:23" ht="16.149999999999999" customHeight="1" x14ac:dyDescent="0.15">
      <c r="W1898"/>
    </row>
    <row r="1899" spans="23:23" ht="16.149999999999999" customHeight="1" x14ac:dyDescent="0.15">
      <c r="W1899"/>
    </row>
    <row r="1900" spans="23:23" ht="16.149999999999999" customHeight="1" x14ac:dyDescent="0.15">
      <c r="W1900"/>
    </row>
    <row r="1901" spans="23:23" ht="16.149999999999999" customHeight="1" x14ac:dyDescent="0.15">
      <c r="W1901"/>
    </row>
    <row r="1902" spans="23:23" ht="16.149999999999999" customHeight="1" x14ac:dyDescent="0.15">
      <c r="W1902"/>
    </row>
    <row r="1903" spans="23:23" ht="16.149999999999999" customHeight="1" x14ac:dyDescent="0.15">
      <c r="W1903"/>
    </row>
    <row r="1904" spans="23:23" ht="16.149999999999999" customHeight="1" x14ac:dyDescent="0.15">
      <c r="W1904"/>
    </row>
    <row r="1905" spans="23:23" ht="16.149999999999999" customHeight="1" x14ac:dyDescent="0.15">
      <c r="W1905"/>
    </row>
    <row r="1906" spans="23:23" ht="16.149999999999999" customHeight="1" x14ac:dyDescent="0.15">
      <c r="W1906"/>
    </row>
    <row r="1907" spans="23:23" ht="16.149999999999999" customHeight="1" x14ac:dyDescent="0.15">
      <c r="W1907"/>
    </row>
    <row r="1908" spans="23:23" ht="16.149999999999999" customHeight="1" x14ac:dyDescent="0.15">
      <c r="W1908"/>
    </row>
    <row r="1909" spans="23:23" ht="16.149999999999999" customHeight="1" x14ac:dyDescent="0.15">
      <c r="W1909"/>
    </row>
    <row r="1910" spans="23:23" ht="16.149999999999999" customHeight="1" x14ac:dyDescent="0.15">
      <c r="W1910"/>
    </row>
    <row r="1911" spans="23:23" ht="16.149999999999999" customHeight="1" x14ac:dyDescent="0.15">
      <c r="W1911"/>
    </row>
    <row r="1912" spans="23:23" ht="16.149999999999999" customHeight="1" x14ac:dyDescent="0.15">
      <c r="W1912"/>
    </row>
    <row r="1913" spans="23:23" ht="16.149999999999999" customHeight="1" x14ac:dyDescent="0.15">
      <c r="W1913"/>
    </row>
    <row r="1914" spans="23:23" ht="16.149999999999999" customHeight="1" x14ac:dyDescent="0.15">
      <c r="W1914"/>
    </row>
    <row r="1915" spans="23:23" ht="16.149999999999999" customHeight="1" x14ac:dyDescent="0.15">
      <c r="W1915"/>
    </row>
    <row r="1916" spans="23:23" ht="16.149999999999999" customHeight="1" x14ac:dyDescent="0.15">
      <c r="W1916"/>
    </row>
    <row r="1917" spans="23:23" ht="16.149999999999999" customHeight="1" x14ac:dyDescent="0.15">
      <c r="W1917"/>
    </row>
    <row r="1918" spans="23:23" ht="16.149999999999999" customHeight="1" x14ac:dyDescent="0.15">
      <c r="W1918"/>
    </row>
    <row r="1919" spans="23:23" ht="16.149999999999999" customHeight="1" x14ac:dyDescent="0.15">
      <c r="W1919"/>
    </row>
    <row r="1920" spans="23:23" ht="16.149999999999999" customHeight="1" x14ac:dyDescent="0.15">
      <c r="W1920"/>
    </row>
    <row r="1921" spans="23:23" ht="16.149999999999999" customHeight="1" x14ac:dyDescent="0.15">
      <c r="W1921"/>
    </row>
    <row r="1922" spans="23:23" ht="16.149999999999999" customHeight="1" x14ac:dyDescent="0.15">
      <c r="W1922"/>
    </row>
    <row r="1923" spans="23:23" ht="16.149999999999999" customHeight="1" x14ac:dyDescent="0.15">
      <c r="W1923"/>
    </row>
    <row r="1924" spans="23:23" ht="16.149999999999999" customHeight="1" x14ac:dyDescent="0.15">
      <c r="W1924"/>
    </row>
    <row r="1925" spans="23:23" ht="16.149999999999999" customHeight="1" x14ac:dyDescent="0.15">
      <c r="W1925"/>
    </row>
    <row r="1926" spans="23:23" ht="16.149999999999999" customHeight="1" x14ac:dyDescent="0.15">
      <c r="W1926"/>
    </row>
    <row r="1927" spans="23:23" ht="16.149999999999999" customHeight="1" x14ac:dyDescent="0.15">
      <c r="W1927"/>
    </row>
    <row r="1928" spans="23:23" ht="16.149999999999999" customHeight="1" x14ac:dyDescent="0.15">
      <c r="W1928"/>
    </row>
    <row r="1929" spans="23:23" ht="16.149999999999999" customHeight="1" x14ac:dyDescent="0.15">
      <c r="W1929"/>
    </row>
    <row r="1930" spans="23:23" ht="16.149999999999999" customHeight="1" x14ac:dyDescent="0.15">
      <c r="W1930"/>
    </row>
    <row r="1931" spans="23:23" ht="16.149999999999999" customHeight="1" x14ac:dyDescent="0.15">
      <c r="W1931"/>
    </row>
    <row r="1932" spans="23:23" ht="16.149999999999999" customHeight="1" x14ac:dyDescent="0.15">
      <c r="W1932"/>
    </row>
    <row r="1933" spans="23:23" ht="16.149999999999999" customHeight="1" x14ac:dyDescent="0.15">
      <c r="W1933"/>
    </row>
    <row r="1934" spans="23:23" ht="16.149999999999999" customHeight="1" x14ac:dyDescent="0.15">
      <c r="W1934"/>
    </row>
    <row r="1935" spans="23:23" ht="16.149999999999999" customHeight="1" x14ac:dyDescent="0.15">
      <c r="W1935"/>
    </row>
    <row r="1936" spans="23:23" ht="16.149999999999999" customHeight="1" x14ac:dyDescent="0.15">
      <c r="W1936"/>
    </row>
    <row r="1937" spans="1:25" ht="16.149999999999999" customHeight="1" x14ac:dyDescent="0.15">
      <c r="W1937"/>
    </row>
    <row r="1938" spans="1:25" ht="16.149999999999999" customHeight="1" x14ac:dyDescent="0.15">
      <c r="W1938"/>
    </row>
    <row r="1939" spans="1:25" ht="16.149999999999999" customHeight="1" x14ac:dyDescent="0.15">
      <c r="W1939"/>
    </row>
    <row r="1940" spans="1:25" ht="16.149999999999999" customHeight="1" x14ac:dyDescent="0.15">
      <c r="W1940"/>
    </row>
    <row r="1941" spans="1:25" ht="16.149999999999999" customHeight="1" x14ac:dyDescent="0.15">
      <c r="W1941"/>
    </row>
    <row r="1942" spans="1:25" ht="16.149999999999999" customHeight="1" x14ac:dyDescent="0.15">
      <c r="W1942"/>
    </row>
    <row r="1943" spans="1:25" ht="16.149999999999999" customHeight="1" x14ac:dyDescent="0.15">
      <c r="W1943"/>
    </row>
    <row r="1944" spans="1:25" ht="16.149999999999999" customHeight="1" x14ac:dyDescent="0.15">
      <c r="W1944"/>
    </row>
    <row r="1945" spans="1:25" ht="16.149999999999999" customHeight="1" x14ac:dyDescent="0.15">
      <c r="W1945"/>
    </row>
    <row r="1946" spans="1:25" ht="16.149999999999999" customHeight="1" x14ac:dyDescent="0.15">
      <c r="W1946"/>
    </row>
    <row r="1947" spans="1:25" ht="16.149999999999999" customHeight="1" x14ac:dyDescent="0.15">
      <c r="W1947"/>
    </row>
    <row r="1948" spans="1:25" ht="16.149999999999999" customHeight="1" x14ac:dyDescent="0.15">
      <c r="W1948"/>
    </row>
    <row r="1949" spans="1:25" ht="16.149999999999999" customHeight="1" x14ac:dyDescent="0.15">
      <c r="W1949"/>
    </row>
    <row r="1950" spans="1:25" ht="16.149999999999999" customHeight="1" x14ac:dyDescent="0.15">
      <c r="A1950" s="63"/>
      <c r="B1950" s="63"/>
      <c r="C1950" s="63"/>
      <c r="D1950" s="63"/>
      <c r="E1950" s="63"/>
      <c r="F1950" s="63"/>
      <c r="G1950" s="63"/>
      <c r="H1950" s="63"/>
      <c r="I1950" s="63"/>
      <c r="J1950" s="63"/>
      <c r="K1950" s="63"/>
      <c r="L1950" s="63"/>
      <c r="M1950" s="63"/>
      <c r="N1950" s="63"/>
      <c r="O1950" s="63"/>
      <c r="P1950" s="63"/>
      <c r="Q1950" s="63"/>
      <c r="R1950" s="63"/>
      <c r="S1950" s="63"/>
      <c r="T1950" s="63"/>
      <c r="U1950" s="63"/>
      <c r="V1950" s="63"/>
      <c r="W1950" s="63"/>
      <c r="X1950" s="63"/>
      <c r="Y1950" s="63"/>
    </row>
    <row r="1951" spans="1:25" ht="16.149999999999999" customHeight="1" x14ac:dyDescent="0.15">
      <c r="W1951"/>
    </row>
    <row r="1952" spans="1:25" ht="16.149999999999999" customHeight="1" x14ac:dyDescent="0.15">
      <c r="W1952"/>
    </row>
    <row r="1953" spans="1:25" ht="16.149999999999999" customHeight="1" x14ac:dyDescent="0.15">
      <c r="W1953"/>
    </row>
    <row r="1954" spans="1:25" ht="16.149999999999999" customHeight="1" x14ac:dyDescent="0.15">
      <c r="W1954"/>
    </row>
    <row r="1955" spans="1:25" ht="16.149999999999999" customHeight="1" x14ac:dyDescent="0.15">
      <c r="W1955"/>
    </row>
    <row r="1956" spans="1:25" ht="16.149999999999999" customHeight="1" x14ac:dyDescent="0.15">
      <c r="W1956"/>
    </row>
    <row r="1957" spans="1:25" ht="16.149999999999999" customHeight="1" x14ac:dyDescent="0.15">
      <c r="W1957"/>
    </row>
    <row r="1958" spans="1:25" ht="16.149999999999999" customHeight="1" x14ac:dyDescent="0.15">
      <c r="A1958" s="63"/>
      <c r="B1958" s="63"/>
      <c r="C1958" s="63"/>
      <c r="D1958" s="63"/>
      <c r="E1958" s="63"/>
      <c r="F1958" s="63"/>
      <c r="G1958" s="63"/>
      <c r="H1958" s="63"/>
      <c r="I1958" s="63"/>
      <c r="J1958" s="63"/>
      <c r="K1958" s="63"/>
      <c r="L1958" s="63"/>
      <c r="M1958" s="63"/>
      <c r="N1958" s="63"/>
      <c r="O1958" s="63"/>
      <c r="P1958" s="63"/>
      <c r="Q1958" s="63"/>
      <c r="R1958" s="63"/>
      <c r="S1958" s="63"/>
      <c r="T1958" s="63"/>
      <c r="U1958" s="63"/>
      <c r="V1958" s="63"/>
      <c r="W1958" s="63"/>
      <c r="X1958" s="63"/>
      <c r="Y1958" s="63"/>
    </row>
    <row r="1959" spans="1:25" ht="16.149999999999999" customHeight="1" x14ac:dyDescent="0.15">
      <c r="W1959"/>
    </row>
    <row r="1960" spans="1:25" ht="16.149999999999999" customHeight="1" x14ac:dyDescent="0.15">
      <c r="W1960"/>
    </row>
    <row r="1961" spans="1:25" ht="16.149999999999999" customHeight="1" x14ac:dyDescent="0.15">
      <c r="W1961"/>
    </row>
    <row r="1962" spans="1:25" ht="16.149999999999999" customHeight="1" x14ac:dyDescent="0.15">
      <c r="W1962"/>
    </row>
    <row r="1963" spans="1:25" ht="16.149999999999999" customHeight="1" x14ac:dyDescent="0.15">
      <c r="W1963"/>
    </row>
    <row r="1964" spans="1:25" ht="16.149999999999999" customHeight="1" x14ac:dyDescent="0.15">
      <c r="W1964"/>
    </row>
    <row r="1965" spans="1:25" ht="16.149999999999999" customHeight="1" x14ac:dyDescent="0.15">
      <c r="W1965"/>
    </row>
    <row r="1966" spans="1:25" ht="16.149999999999999" customHeight="1" x14ac:dyDescent="0.15">
      <c r="A1966" s="63"/>
      <c r="B1966" s="63"/>
      <c r="C1966" s="63"/>
      <c r="D1966" s="63"/>
      <c r="E1966" s="63"/>
      <c r="F1966" s="63"/>
      <c r="G1966" s="63"/>
      <c r="H1966" s="63"/>
      <c r="I1966" s="63"/>
      <c r="J1966" s="63"/>
      <c r="K1966" s="63"/>
      <c r="L1966" s="63"/>
      <c r="M1966" s="63"/>
      <c r="N1966" s="63"/>
      <c r="O1966" s="63"/>
      <c r="P1966" s="63"/>
      <c r="Q1966" s="63"/>
      <c r="R1966" s="63"/>
      <c r="S1966" s="63"/>
      <c r="T1966" s="63"/>
      <c r="U1966" s="63"/>
      <c r="V1966" s="63"/>
      <c r="W1966" s="63"/>
      <c r="X1966" s="63"/>
      <c r="Y1966" s="63"/>
    </row>
    <row r="1967" spans="1:25" ht="16.149999999999999" customHeight="1" x14ac:dyDescent="0.15">
      <c r="W1967"/>
    </row>
    <row r="1968" spans="1:25" ht="16.149999999999999" customHeight="1" x14ac:dyDescent="0.15">
      <c r="W1968"/>
    </row>
    <row r="1969" spans="1:25" ht="16.149999999999999" customHeight="1" x14ac:dyDescent="0.15">
      <c r="W1969"/>
    </row>
    <row r="1970" spans="1:25" ht="16.149999999999999" customHeight="1" x14ac:dyDescent="0.15">
      <c r="W1970"/>
    </row>
    <row r="1971" spans="1:25" ht="16.149999999999999" customHeight="1" x14ac:dyDescent="0.15">
      <c r="W1971"/>
    </row>
    <row r="1972" spans="1:25" ht="16.149999999999999" customHeight="1" x14ac:dyDescent="0.15">
      <c r="W1972"/>
    </row>
    <row r="1973" spans="1:25" ht="16.149999999999999" customHeight="1" x14ac:dyDescent="0.15">
      <c r="W1973"/>
    </row>
    <row r="1974" spans="1:25" ht="16.149999999999999" customHeight="1" x14ac:dyDescent="0.15">
      <c r="A1974" s="63"/>
      <c r="B1974" s="63"/>
      <c r="C1974" s="63"/>
      <c r="D1974" s="63"/>
      <c r="E1974" s="63"/>
      <c r="F1974" s="63"/>
      <c r="G1974" s="63"/>
      <c r="H1974" s="63"/>
      <c r="I1974" s="63"/>
      <c r="J1974" s="63"/>
      <c r="K1974" s="63"/>
      <c r="L1974" s="63"/>
      <c r="M1974" s="63"/>
      <c r="N1974" s="63"/>
      <c r="O1974" s="63"/>
      <c r="P1974" s="63"/>
      <c r="Q1974" s="63"/>
      <c r="R1974" s="63"/>
      <c r="S1974" s="63"/>
      <c r="T1974" s="63"/>
      <c r="U1974" s="63"/>
      <c r="V1974" s="63"/>
      <c r="W1974" s="63"/>
      <c r="X1974" s="63"/>
      <c r="Y1974" s="63"/>
    </row>
    <row r="1975" spans="1:25" ht="16.149999999999999" customHeight="1" x14ac:dyDescent="0.15">
      <c r="W1975"/>
    </row>
    <row r="1976" spans="1:25" ht="16.149999999999999" customHeight="1" x14ac:dyDescent="0.15">
      <c r="W1976"/>
    </row>
    <row r="1977" spans="1:25" ht="16.149999999999999" customHeight="1" x14ac:dyDescent="0.15">
      <c r="W1977"/>
    </row>
    <row r="1978" spans="1:25" ht="16.149999999999999" customHeight="1" x14ac:dyDescent="0.15">
      <c r="W1978"/>
    </row>
    <row r="1979" spans="1:25" ht="16.149999999999999" customHeight="1" x14ac:dyDescent="0.15">
      <c r="W1979"/>
    </row>
    <row r="1980" spans="1:25" ht="16.149999999999999" customHeight="1" x14ac:dyDescent="0.15">
      <c r="W1980"/>
    </row>
    <row r="1981" spans="1:25" ht="16.149999999999999" customHeight="1" x14ac:dyDescent="0.15">
      <c r="W1981"/>
    </row>
    <row r="1982" spans="1:25" ht="16.149999999999999" customHeight="1" x14ac:dyDescent="0.15">
      <c r="W1982"/>
    </row>
    <row r="1983" spans="1:25" ht="16.149999999999999" customHeight="1" x14ac:dyDescent="0.15">
      <c r="W1983"/>
    </row>
    <row r="1984" spans="1:25" ht="16.149999999999999" customHeight="1" x14ac:dyDescent="0.15">
      <c r="W1984"/>
    </row>
    <row r="1985" spans="23:23" ht="16.149999999999999" customHeight="1" x14ac:dyDescent="0.15">
      <c r="W1985"/>
    </row>
    <row r="1986" spans="23:23" ht="16.149999999999999" customHeight="1" x14ac:dyDescent="0.15">
      <c r="W1986"/>
    </row>
    <row r="1987" spans="23:23" ht="16.149999999999999" customHeight="1" x14ac:dyDescent="0.15">
      <c r="W1987"/>
    </row>
    <row r="1988" spans="23:23" ht="16.149999999999999" customHeight="1" x14ac:dyDescent="0.15">
      <c r="W1988"/>
    </row>
    <row r="1989" spans="23:23" ht="16.149999999999999" customHeight="1" x14ac:dyDescent="0.15">
      <c r="W1989"/>
    </row>
    <row r="1990" spans="23:23" ht="16.149999999999999" customHeight="1" x14ac:dyDescent="0.15">
      <c r="W1990"/>
    </row>
    <row r="1991" spans="23:23" ht="16.149999999999999" customHeight="1" x14ac:dyDescent="0.15">
      <c r="W1991"/>
    </row>
    <row r="1992" spans="23:23" ht="16.149999999999999" customHeight="1" x14ac:dyDescent="0.15">
      <c r="W1992"/>
    </row>
    <row r="1993" spans="23:23" ht="16.149999999999999" customHeight="1" x14ac:dyDescent="0.15">
      <c r="W1993"/>
    </row>
    <row r="1994" spans="23:23" ht="16.149999999999999" customHeight="1" x14ac:dyDescent="0.15">
      <c r="W1994"/>
    </row>
    <row r="1995" spans="23:23" ht="16.149999999999999" customHeight="1" x14ac:dyDescent="0.15">
      <c r="W1995"/>
    </row>
    <row r="1996" spans="23:23" ht="16.149999999999999" customHeight="1" x14ac:dyDescent="0.15">
      <c r="W1996"/>
    </row>
    <row r="1997" spans="23:23" ht="16.149999999999999" customHeight="1" x14ac:dyDescent="0.15">
      <c r="W1997"/>
    </row>
    <row r="1998" spans="23:23" ht="16.149999999999999" customHeight="1" x14ac:dyDescent="0.15">
      <c r="W1998"/>
    </row>
    <row r="1999" spans="23:23" ht="16.149999999999999" customHeight="1" x14ac:dyDescent="0.15">
      <c r="W1999"/>
    </row>
    <row r="2000" spans="23:23" ht="16.149999999999999" customHeight="1" x14ac:dyDescent="0.15">
      <c r="W2000"/>
    </row>
    <row r="2001" spans="1:25" ht="16.149999999999999" customHeight="1" x14ac:dyDescent="0.15">
      <c r="W2001"/>
    </row>
    <row r="2002" spans="1:25" ht="16.149999999999999" customHeight="1" x14ac:dyDescent="0.15">
      <c r="W2002"/>
    </row>
    <row r="2003" spans="1:25" ht="16.149999999999999" customHeight="1" x14ac:dyDescent="0.15">
      <c r="W2003"/>
    </row>
    <row r="2004" spans="1:25" ht="16.149999999999999" customHeight="1" x14ac:dyDescent="0.15">
      <c r="W2004"/>
    </row>
    <row r="2005" spans="1:25" ht="16.149999999999999" customHeight="1" x14ac:dyDescent="0.15">
      <c r="W2005"/>
    </row>
    <row r="2006" spans="1:25" ht="16.149999999999999" customHeight="1" x14ac:dyDescent="0.15">
      <c r="W2006"/>
    </row>
    <row r="2007" spans="1:25" ht="16.149999999999999" customHeight="1" x14ac:dyDescent="0.15">
      <c r="W2007"/>
    </row>
    <row r="2008" spans="1:25" ht="16.149999999999999" customHeight="1" x14ac:dyDescent="0.15">
      <c r="A2008" s="20"/>
      <c r="B2008" s="20"/>
      <c r="C2008" s="9"/>
      <c r="D2008" s="2"/>
      <c r="W2008"/>
    </row>
    <row r="2009" spans="1:25" ht="16.149999999999999" customHeight="1" x14ac:dyDescent="0.15">
      <c r="A2009" s="20"/>
      <c r="B2009" s="20"/>
      <c r="C2009" s="9"/>
      <c r="D2009" s="2"/>
      <c r="W2009"/>
    </row>
    <row r="2010" spans="1:25" ht="16.149999999999999" customHeight="1" x14ac:dyDescent="0.15">
      <c r="A2010" s="20"/>
      <c r="B2010" s="20"/>
      <c r="C2010" s="9"/>
      <c r="D2010" s="2"/>
      <c r="W2010"/>
    </row>
    <row r="2011" spans="1:25" ht="16.149999999999999" customHeight="1" x14ac:dyDescent="0.15">
      <c r="A2011" s="20"/>
      <c r="B2011" s="20"/>
      <c r="C2011" s="9"/>
      <c r="D2011" s="2"/>
      <c r="W2011"/>
    </row>
    <row r="2012" spans="1:25" ht="16.149999999999999" customHeight="1" x14ac:dyDescent="0.15">
      <c r="A2012" s="62"/>
      <c r="B2012" s="62"/>
      <c r="C2012" s="61"/>
      <c r="D2012" s="60"/>
      <c r="E2012" s="59"/>
      <c r="F2012" s="59"/>
      <c r="G2012" s="59"/>
      <c r="H2012" s="59"/>
      <c r="I2012" s="59"/>
      <c r="J2012" s="59"/>
      <c r="K2012" s="59"/>
      <c r="L2012" s="59"/>
      <c r="M2012" s="59"/>
      <c r="N2012" s="59"/>
      <c r="O2012" s="59"/>
      <c r="P2012" s="59"/>
      <c r="Q2012" s="59"/>
      <c r="R2012" s="59"/>
      <c r="S2012" s="59"/>
      <c r="T2012" s="59"/>
      <c r="U2012" s="59"/>
      <c r="V2012" s="59"/>
      <c r="W2012" s="59"/>
      <c r="X2012" s="59"/>
      <c r="Y2012" s="59"/>
    </row>
    <row r="2013" spans="1:25" ht="16.149999999999999" customHeight="1" x14ac:dyDescent="0.15">
      <c r="A2013" s="62"/>
      <c r="B2013" s="62"/>
      <c r="C2013" s="61"/>
      <c r="D2013" s="60"/>
      <c r="E2013" s="59"/>
      <c r="F2013" s="59"/>
      <c r="G2013" s="59"/>
      <c r="H2013" s="59"/>
      <c r="I2013" s="59"/>
      <c r="J2013" s="59"/>
      <c r="K2013" s="59"/>
      <c r="L2013" s="59"/>
      <c r="M2013" s="59"/>
      <c r="N2013" s="59"/>
      <c r="O2013" s="59"/>
      <c r="P2013" s="59"/>
      <c r="Q2013" s="59"/>
      <c r="R2013" s="59"/>
      <c r="S2013" s="59"/>
      <c r="T2013" s="59"/>
      <c r="U2013" s="59"/>
      <c r="V2013" s="59"/>
      <c r="W2013" s="59"/>
      <c r="X2013" s="59"/>
      <c r="Y2013" s="59"/>
    </row>
    <row r="2014" spans="1:25" ht="16.149999999999999" customHeight="1" x14ac:dyDescent="0.15">
      <c r="A2014" s="58"/>
      <c r="B2014" s="58"/>
      <c r="C2014" s="57"/>
      <c r="D2014" s="56"/>
      <c r="E2014" s="55"/>
      <c r="F2014" s="55"/>
      <c r="G2014" s="55"/>
      <c r="H2014" s="55"/>
      <c r="I2014" s="55"/>
      <c r="J2014" s="55"/>
      <c r="K2014" s="55"/>
      <c r="L2014" s="55"/>
      <c r="M2014" s="55"/>
      <c r="N2014" s="55"/>
      <c r="O2014" s="55"/>
      <c r="P2014" s="55"/>
      <c r="Q2014" s="55"/>
      <c r="R2014" s="55"/>
      <c r="S2014" s="55"/>
      <c r="T2014" s="55"/>
      <c r="U2014" s="55"/>
      <c r="V2014" s="55"/>
      <c r="W2014" s="55"/>
      <c r="X2014" s="55"/>
      <c r="Y2014" s="55"/>
    </row>
    <row r="2015" spans="1:25" ht="16.149999999999999" customHeight="1" x14ac:dyDescent="0.15">
      <c r="A2015" s="20"/>
      <c r="B2015" s="20"/>
      <c r="C2015" s="9"/>
      <c r="D2015" s="2"/>
      <c r="W2015"/>
    </row>
    <row r="2016" spans="1:25" ht="16.149999999999999" customHeight="1" x14ac:dyDescent="0.15">
      <c r="A2016" s="20"/>
      <c r="B2016" s="20"/>
      <c r="C2016" s="9"/>
      <c r="D2016" s="2"/>
      <c r="W2016"/>
    </row>
    <row r="2017" spans="1:25" ht="16.149999999999999" customHeight="1" x14ac:dyDescent="0.15">
      <c r="A2017" s="20"/>
      <c r="B2017" s="20"/>
      <c r="C2017" s="9"/>
      <c r="D2017" s="2"/>
      <c r="W2017"/>
    </row>
    <row r="2018" spans="1:25" ht="16.149999999999999" customHeight="1" x14ac:dyDescent="0.15">
      <c r="A2018" s="20"/>
      <c r="B2018" s="20"/>
      <c r="C2018" s="9"/>
      <c r="D2018" s="2"/>
      <c r="W2018"/>
    </row>
    <row r="2019" spans="1:25" ht="16.149999999999999" customHeight="1" x14ac:dyDescent="0.15">
      <c r="A2019" s="20"/>
      <c r="B2019" s="20"/>
      <c r="C2019" s="9"/>
      <c r="D2019" s="2"/>
      <c r="W2019"/>
    </row>
    <row r="2020" spans="1:25" ht="16.149999999999999" customHeight="1" x14ac:dyDescent="0.15">
      <c r="A2020" s="20"/>
      <c r="B2020" s="20"/>
      <c r="C2020" s="9"/>
      <c r="D2020" s="2"/>
      <c r="W2020"/>
    </row>
    <row r="2021" spans="1:25" ht="16.149999999999999" customHeight="1" x14ac:dyDescent="0.15">
      <c r="A2021" s="20"/>
      <c r="B2021" s="20"/>
      <c r="C2021" s="9"/>
      <c r="D2021" s="2"/>
      <c r="W2021"/>
    </row>
    <row r="2022" spans="1:25" ht="16.149999999999999" customHeight="1" x14ac:dyDescent="0.15">
      <c r="A2022" s="20"/>
      <c r="B2022" s="20"/>
      <c r="C2022" s="9"/>
      <c r="D2022" s="2"/>
      <c r="W2022"/>
    </row>
    <row r="2023" spans="1:25" ht="16.149999999999999" customHeight="1" x14ac:dyDescent="0.15">
      <c r="A2023" s="20"/>
      <c r="B2023" s="20"/>
      <c r="C2023" s="9"/>
      <c r="D2023" s="2"/>
      <c r="W2023"/>
    </row>
    <row r="2024" spans="1:25" ht="16.149999999999999" customHeight="1" x14ac:dyDescent="0.15">
      <c r="A2024" s="20"/>
      <c r="B2024" s="20"/>
      <c r="C2024" s="9"/>
      <c r="D2024" s="2"/>
      <c r="W2024"/>
    </row>
    <row r="2025" spans="1:25" ht="16.149999999999999" customHeight="1" x14ac:dyDescent="0.15">
      <c r="A2025" s="20"/>
      <c r="B2025" s="20"/>
      <c r="C2025" s="9"/>
      <c r="D2025" s="2"/>
      <c r="W2025"/>
    </row>
    <row r="2026" spans="1:25" ht="16.149999999999999" customHeight="1" x14ac:dyDescent="0.15">
      <c r="A2026" s="20"/>
      <c r="B2026" s="20"/>
      <c r="C2026" s="9"/>
      <c r="D2026" s="2"/>
      <c r="W2026"/>
    </row>
    <row r="2027" spans="1:25" ht="16.149999999999999" customHeight="1" x14ac:dyDescent="0.15">
      <c r="A2027" s="62"/>
      <c r="B2027" s="62"/>
      <c r="C2027" s="61"/>
      <c r="D2027" s="60"/>
      <c r="E2027" s="59"/>
      <c r="F2027" s="59"/>
      <c r="G2027" s="59"/>
      <c r="H2027" s="59"/>
      <c r="I2027" s="59"/>
      <c r="J2027" s="59"/>
      <c r="K2027" s="59"/>
      <c r="L2027" s="59"/>
      <c r="M2027" s="59"/>
      <c r="N2027" s="59"/>
      <c r="O2027" s="59"/>
      <c r="P2027" s="59"/>
      <c r="Q2027" s="59"/>
      <c r="R2027" s="59"/>
      <c r="S2027" s="59"/>
      <c r="T2027" s="59"/>
      <c r="U2027" s="59"/>
      <c r="V2027" s="59"/>
      <c r="W2027" s="59"/>
      <c r="X2027" s="59"/>
      <c r="Y2027" s="59"/>
    </row>
    <row r="2028" spans="1:25" ht="16.149999999999999" customHeight="1" x14ac:dyDescent="0.15">
      <c r="A2028" s="62"/>
      <c r="B2028" s="62"/>
      <c r="C2028" s="61"/>
      <c r="D2028" s="60"/>
      <c r="E2028" s="59"/>
      <c r="F2028" s="59"/>
      <c r="G2028" s="59"/>
      <c r="H2028" s="59"/>
      <c r="I2028" s="59"/>
      <c r="J2028" s="59"/>
      <c r="K2028" s="59"/>
      <c r="L2028" s="59"/>
      <c r="M2028" s="59"/>
      <c r="N2028" s="59"/>
      <c r="O2028" s="59"/>
      <c r="P2028" s="59"/>
      <c r="Q2028" s="59"/>
      <c r="R2028" s="59"/>
      <c r="S2028" s="59"/>
      <c r="T2028" s="59"/>
      <c r="U2028" s="59"/>
      <c r="V2028" s="59"/>
      <c r="W2028" s="59"/>
      <c r="X2028" s="59"/>
      <c r="Y2028" s="59"/>
    </row>
    <row r="2029" spans="1:25" ht="16.149999999999999" customHeight="1" x14ac:dyDescent="0.15">
      <c r="A2029" s="20"/>
      <c r="B2029" s="20"/>
      <c r="C2029" s="9"/>
      <c r="D2029" s="2"/>
      <c r="W2029"/>
    </row>
    <row r="2030" spans="1:25" ht="16.149999999999999" customHeight="1" x14ac:dyDescent="0.15">
      <c r="A2030" s="62"/>
      <c r="B2030" s="62"/>
      <c r="C2030" s="61"/>
      <c r="D2030" s="60"/>
      <c r="E2030" s="59"/>
      <c r="F2030" s="59"/>
      <c r="G2030" s="59"/>
      <c r="H2030" s="59"/>
      <c r="I2030" s="59"/>
      <c r="J2030" s="59"/>
      <c r="K2030" s="59"/>
      <c r="L2030" s="59"/>
      <c r="M2030" s="59"/>
      <c r="N2030" s="59"/>
      <c r="O2030" s="59"/>
      <c r="P2030" s="59"/>
      <c r="Q2030" s="59"/>
      <c r="R2030" s="59"/>
      <c r="S2030" s="59"/>
      <c r="T2030" s="59"/>
      <c r="U2030" s="59"/>
      <c r="V2030" s="59"/>
      <c r="W2030" s="59"/>
      <c r="X2030" s="59"/>
      <c r="Y2030" s="59"/>
    </row>
    <row r="2031" spans="1:25" ht="16.149999999999999" customHeight="1" x14ac:dyDescent="0.15">
      <c r="A2031" s="20"/>
      <c r="B2031" s="20"/>
      <c r="C2031" s="9"/>
      <c r="D2031" s="2"/>
      <c r="W2031"/>
    </row>
    <row r="2032" spans="1:25" ht="16.149999999999999" customHeight="1" x14ac:dyDescent="0.15">
      <c r="A2032" s="20"/>
      <c r="B2032" s="20"/>
      <c r="C2032" s="9"/>
      <c r="D2032" s="2"/>
      <c r="W2032"/>
    </row>
    <row r="2033" spans="1:25" ht="16.149999999999999" customHeight="1" x14ac:dyDescent="0.15">
      <c r="A2033" s="20"/>
      <c r="B2033" s="20"/>
      <c r="C2033" s="9"/>
      <c r="D2033" s="2"/>
      <c r="W2033"/>
    </row>
    <row r="2034" spans="1:25" ht="16.149999999999999" customHeight="1" x14ac:dyDescent="0.15">
      <c r="A2034" s="20"/>
      <c r="B2034" s="20"/>
      <c r="C2034" s="9"/>
      <c r="D2034" s="2"/>
      <c r="W2034"/>
    </row>
    <row r="2035" spans="1:25" ht="16.149999999999999" customHeight="1" x14ac:dyDescent="0.15">
      <c r="A2035" s="20"/>
      <c r="B2035" s="20"/>
      <c r="C2035" s="9"/>
      <c r="D2035" s="2"/>
      <c r="W2035"/>
    </row>
    <row r="2036" spans="1:25" ht="16.149999999999999" customHeight="1" x14ac:dyDescent="0.15">
      <c r="A2036" s="20"/>
      <c r="B2036" s="20"/>
      <c r="C2036" s="9"/>
      <c r="D2036" s="2"/>
      <c r="W2036"/>
    </row>
    <row r="2037" spans="1:25" ht="16.149999999999999" customHeight="1" x14ac:dyDescent="0.15">
      <c r="A2037" s="20"/>
      <c r="B2037" s="20"/>
      <c r="C2037" s="9"/>
      <c r="D2037" s="2"/>
      <c r="W2037"/>
    </row>
    <row r="2038" spans="1:25" ht="16.149999999999999" customHeight="1" x14ac:dyDescent="0.15">
      <c r="A2038" s="20"/>
      <c r="B2038" s="20"/>
      <c r="C2038" s="9"/>
      <c r="D2038" s="2"/>
      <c r="W2038"/>
    </row>
    <row r="2039" spans="1:25" ht="16.149999999999999" customHeight="1" x14ac:dyDescent="0.15">
      <c r="A2039" s="22"/>
      <c r="B2039" s="20"/>
      <c r="C2039" s="9"/>
      <c r="D2039" s="2"/>
      <c r="W2039"/>
    </row>
    <row r="2040" spans="1:25" ht="16.149999999999999" customHeight="1" x14ac:dyDescent="0.15">
      <c r="A2040" s="9"/>
      <c r="B2040" s="20"/>
      <c r="C2040" s="9"/>
      <c r="D2040" s="2"/>
      <c r="W2040"/>
    </row>
    <row r="2041" spans="1:25" ht="16.149999999999999" customHeight="1" x14ac:dyDescent="0.15">
      <c r="A2041" s="9"/>
      <c r="B2041" s="20"/>
      <c r="C2041" s="9"/>
      <c r="D2041" s="2"/>
      <c r="W2041"/>
    </row>
    <row r="2042" spans="1:25" ht="16.149999999999999" customHeight="1" x14ac:dyDescent="0.15">
      <c r="A2042" s="57"/>
      <c r="B2042" s="58"/>
      <c r="C2042" s="57"/>
      <c r="D2042" s="56"/>
      <c r="E2042" s="55"/>
      <c r="F2042" s="55"/>
      <c r="G2042" s="55"/>
      <c r="H2042" s="55"/>
      <c r="I2042" s="55"/>
      <c r="J2042" s="55"/>
      <c r="K2042" s="55"/>
      <c r="L2042" s="55"/>
      <c r="M2042" s="55"/>
      <c r="N2042" s="55"/>
      <c r="O2042" s="55"/>
      <c r="P2042" s="55"/>
      <c r="Q2042" s="55"/>
      <c r="R2042" s="55"/>
      <c r="S2042" s="55"/>
      <c r="T2042" s="55"/>
      <c r="U2042" s="55"/>
      <c r="V2042" s="55"/>
      <c r="W2042" s="55"/>
      <c r="X2042" s="55"/>
      <c r="Y2042" s="55"/>
    </row>
    <row r="2043" spans="1:25" ht="16.149999999999999" customHeight="1" x14ac:dyDescent="0.15">
      <c r="A2043" s="9"/>
      <c r="B2043" s="20"/>
      <c r="C2043" s="9"/>
      <c r="D2043" s="2"/>
      <c r="W2043"/>
    </row>
    <row r="2044" spans="1:25" ht="16.149999999999999" customHeight="1" x14ac:dyDescent="0.15">
      <c r="A2044" s="9"/>
      <c r="B2044" s="20"/>
      <c r="C2044" s="9"/>
      <c r="D2044" s="2"/>
      <c r="W2044"/>
    </row>
    <row r="2045" spans="1:25" ht="16.149999999999999" customHeight="1" x14ac:dyDescent="0.15">
      <c r="A2045" s="9"/>
      <c r="B2045" s="20"/>
      <c r="C2045" s="9"/>
      <c r="D2045" s="2"/>
      <c r="W2045"/>
    </row>
    <row r="2046" spans="1:25" ht="16.149999999999999" customHeight="1" x14ac:dyDescent="0.15">
      <c r="A2046" s="9"/>
      <c r="B2046" s="20"/>
      <c r="C2046" s="9"/>
      <c r="D2046" s="2"/>
      <c r="W2046"/>
    </row>
    <row r="2047" spans="1:25" ht="16.149999999999999" customHeight="1" x14ac:dyDescent="0.15">
      <c r="A2047" s="9"/>
      <c r="B2047" s="20"/>
      <c r="C2047" s="9"/>
      <c r="D2047" s="2"/>
      <c r="W2047"/>
    </row>
    <row r="2048" spans="1:25" ht="16.149999999999999" customHeight="1" x14ac:dyDescent="0.15">
      <c r="A2048" s="9"/>
      <c r="B2048" s="20"/>
      <c r="C2048" s="9"/>
      <c r="D2048" s="2"/>
      <c r="W2048"/>
    </row>
    <row r="2049" spans="1:23" ht="16.149999999999999" customHeight="1" x14ac:dyDescent="0.15">
      <c r="A2049" s="9"/>
      <c r="B2049" s="20"/>
      <c r="C2049" s="9"/>
      <c r="D2049" s="2"/>
      <c r="W2049"/>
    </row>
    <row r="2050" spans="1:23" ht="16.149999999999999" customHeight="1" x14ac:dyDescent="0.15">
      <c r="A2050" s="9"/>
      <c r="B2050" s="20"/>
      <c r="C2050" s="9"/>
      <c r="D2050" s="2"/>
      <c r="W2050"/>
    </row>
    <row r="2051" spans="1:23" ht="16.149999999999999" customHeight="1" x14ac:dyDescent="0.15">
      <c r="A2051" s="9"/>
      <c r="B2051" s="20"/>
      <c r="C2051" s="9"/>
      <c r="D2051" s="2"/>
      <c r="W2051"/>
    </row>
    <row r="2052" spans="1:23" ht="16.149999999999999" customHeight="1" x14ac:dyDescent="0.15">
      <c r="A2052" s="9"/>
      <c r="B2052" s="20"/>
      <c r="C2052" s="9"/>
      <c r="D2052" s="2"/>
      <c r="W2052"/>
    </row>
    <row r="2053" spans="1:23" ht="16.149999999999999" customHeight="1" x14ac:dyDescent="0.15">
      <c r="A2053" s="9"/>
      <c r="B2053" s="20"/>
      <c r="C2053" s="9"/>
      <c r="D2053" s="2"/>
      <c r="W2053"/>
    </row>
    <row r="2054" spans="1:23" ht="16.149999999999999" customHeight="1" x14ac:dyDescent="0.15">
      <c r="A2054" s="9"/>
      <c r="B2054" s="20"/>
      <c r="C2054" s="9"/>
      <c r="D2054" s="2"/>
      <c r="W2054"/>
    </row>
    <row r="2055" spans="1:23" ht="16.149999999999999" customHeight="1" x14ac:dyDescent="0.15">
      <c r="A2055" s="9"/>
      <c r="B2055" s="20"/>
      <c r="C2055" s="9"/>
      <c r="D2055" s="2"/>
      <c r="W2055"/>
    </row>
    <row r="2056" spans="1:23" ht="16.149999999999999" customHeight="1" x14ac:dyDescent="0.15">
      <c r="A2056" s="9"/>
      <c r="B2056" s="20"/>
      <c r="C2056" s="9"/>
      <c r="D2056" s="2"/>
      <c r="W2056"/>
    </row>
    <row r="2057" spans="1:23" ht="16.149999999999999" customHeight="1" x14ac:dyDescent="0.15">
      <c r="A2057" s="9"/>
      <c r="B2057" s="20"/>
      <c r="C2057" s="9"/>
      <c r="D2057" s="2"/>
      <c r="W2057"/>
    </row>
    <row r="2058" spans="1:23" ht="16.149999999999999" customHeight="1" x14ac:dyDescent="0.15">
      <c r="A2058" s="9"/>
      <c r="B2058" s="20"/>
      <c r="C2058" s="9"/>
      <c r="D2058" s="2"/>
      <c r="W2058"/>
    </row>
    <row r="2059" spans="1:23" ht="16.149999999999999" customHeight="1" x14ac:dyDescent="0.15">
      <c r="A2059" s="9"/>
      <c r="B2059" s="20"/>
      <c r="C2059" s="9"/>
      <c r="D2059" s="2"/>
      <c r="W2059"/>
    </row>
    <row r="2060" spans="1:23" ht="16.149999999999999" customHeight="1" x14ac:dyDescent="0.15">
      <c r="A2060" s="9"/>
      <c r="B2060" s="20"/>
      <c r="C2060" s="9"/>
      <c r="D2060" s="2"/>
      <c r="W2060"/>
    </row>
    <row r="2061" spans="1:23" ht="16.149999999999999" customHeight="1" x14ac:dyDescent="0.15">
      <c r="A2061" s="9"/>
      <c r="B2061" s="20"/>
      <c r="C2061" s="9"/>
      <c r="D2061" s="2"/>
      <c r="W2061"/>
    </row>
    <row r="2062" spans="1:23" ht="16.149999999999999" customHeight="1" x14ac:dyDescent="0.15">
      <c r="A2062" s="9"/>
      <c r="B2062" s="20"/>
      <c r="C2062" s="9"/>
      <c r="D2062" s="2"/>
      <c r="W2062"/>
    </row>
    <row r="2063" spans="1:23" ht="16.149999999999999" customHeight="1" x14ac:dyDescent="0.15">
      <c r="A2063" s="9"/>
      <c r="B2063" s="20"/>
      <c r="C2063" s="9"/>
      <c r="D2063" s="2"/>
      <c r="W2063"/>
    </row>
    <row r="2064" spans="1:23" ht="16.149999999999999" customHeight="1" x14ac:dyDescent="0.15">
      <c r="A2064" s="9"/>
      <c r="B2064" s="20"/>
      <c r="C2064" s="9"/>
      <c r="D2064" s="2"/>
      <c r="W2064"/>
    </row>
    <row r="2065" spans="1:23" ht="16.149999999999999" customHeight="1" x14ac:dyDescent="0.15">
      <c r="A2065" s="9"/>
      <c r="B2065" s="20"/>
      <c r="C2065" s="9"/>
      <c r="D2065" s="2"/>
      <c r="W2065"/>
    </row>
    <row r="2066" spans="1:23" ht="16.149999999999999" customHeight="1" x14ac:dyDescent="0.15">
      <c r="A2066" s="9"/>
      <c r="B2066" s="20"/>
      <c r="C2066" s="9"/>
      <c r="D2066" s="2"/>
      <c r="W2066"/>
    </row>
    <row r="2067" spans="1:23" ht="16.149999999999999" customHeight="1" x14ac:dyDescent="0.15">
      <c r="A2067" s="9"/>
      <c r="B2067" s="20"/>
      <c r="C2067" s="9"/>
      <c r="D2067" s="2"/>
      <c r="W2067"/>
    </row>
    <row r="2068" spans="1:23" ht="16.149999999999999" customHeight="1" x14ac:dyDescent="0.15">
      <c r="A2068" s="9"/>
      <c r="B2068" s="20"/>
      <c r="C2068" s="9"/>
      <c r="D2068" s="2"/>
      <c r="W2068"/>
    </row>
    <row r="2069" spans="1:23" ht="16.149999999999999" customHeight="1" x14ac:dyDescent="0.15">
      <c r="A2069" s="9"/>
      <c r="B2069" s="20"/>
      <c r="C2069" s="9"/>
      <c r="D2069" s="2"/>
      <c r="W2069"/>
    </row>
    <row r="2070" spans="1:23" ht="16.149999999999999" customHeight="1" x14ac:dyDescent="0.15">
      <c r="A2070" s="9"/>
      <c r="B2070" s="20"/>
      <c r="C2070" s="9"/>
      <c r="D2070" s="2"/>
      <c r="W2070"/>
    </row>
    <row r="2071" spans="1:23" ht="16.149999999999999" customHeight="1" x14ac:dyDescent="0.15">
      <c r="A2071" s="9"/>
      <c r="B2071" s="20"/>
      <c r="C2071" s="9"/>
      <c r="D2071" s="2"/>
      <c r="W2071"/>
    </row>
    <row r="2072" spans="1:23" ht="16.149999999999999" customHeight="1" x14ac:dyDescent="0.15">
      <c r="A2072" s="9"/>
      <c r="B2072" s="20"/>
      <c r="C2072" s="9"/>
      <c r="D2072" s="2"/>
      <c r="W2072"/>
    </row>
    <row r="2073" spans="1:23" ht="16.149999999999999" customHeight="1" x14ac:dyDescent="0.15">
      <c r="A2073" s="9"/>
      <c r="B2073" s="20"/>
      <c r="C2073" s="9"/>
      <c r="D2073" s="2"/>
      <c r="W2073"/>
    </row>
    <row r="2074" spans="1:23" ht="16.149999999999999" customHeight="1" x14ac:dyDescent="0.15">
      <c r="A2074" s="9"/>
      <c r="B2074" s="20"/>
      <c r="C2074" s="9"/>
      <c r="D2074" s="2"/>
      <c r="W2074"/>
    </row>
    <row r="2075" spans="1:23" ht="16.149999999999999" customHeight="1" x14ac:dyDescent="0.15">
      <c r="A2075" s="9"/>
      <c r="B2075" s="20"/>
      <c r="C2075" s="9"/>
      <c r="D2075" s="2"/>
      <c r="W2075"/>
    </row>
    <row r="2076" spans="1:23" ht="16.149999999999999" customHeight="1" x14ac:dyDescent="0.15">
      <c r="A2076" s="9"/>
      <c r="B2076" s="20"/>
      <c r="C2076" s="9"/>
      <c r="D2076" s="2"/>
      <c r="W2076"/>
    </row>
    <row r="2077" spans="1:23" ht="16.149999999999999" customHeight="1" x14ac:dyDescent="0.15">
      <c r="A2077" s="9"/>
      <c r="B2077" s="20"/>
      <c r="C2077" s="9"/>
      <c r="D2077" s="2"/>
      <c r="W2077"/>
    </row>
    <row r="2078" spans="1:23" ht="16.149999999999999" customHeight="1" x14ac:dyDescent="0.15">
      <c r="A2078" s="9"/>
      <c r="B2078" s="20"/>
      <c r="C2078" s="9"/>
      <c r="D2078" s="2"/>
      <c r="W2078"/>
    </row>
    <row r="2079" spans="1:23" ht="16.149999999999999" customHeight="1" x14ac:dyDescent="0.15">
      <c r="A2079" s="9"/>
      <c r="B2079" s="20"/>
      <c r="C2079" s="9"/>
      <c r="D2079" s="2"/>
      <c r="W2079"/>
    </row>
    <row r="2080" spans="1:23" ht="16.149999999999999" customHeight="1" x14ac:dyDescent="0.15">
      <c r="A2080" s="9"/>
      <c r="B2080" s="20"/>
      <c r="C2080" s="9"/>
      <c r="D2080" s="2"/>
      <c r="W2080"/>
    </row>
    <row r="2081" spans="1:25" ht="16.149999999999999" customHeight="1" x14ac:dyDescent="0.15">
      <c r="A2081" s="9"/>
      <c r="B2081" s="20"/>
      <c r="C2081" s="9"/>
      <c r="D2081" s="2"/>
      <c r="W2081"/>
    </row>
    <row r="2082" spans="1:25" ht="16.149999999999999" customHeight="1" x14ac:dyDescent="0.15">
      <c r="A2082" s="9"/>
      <c r="B2082" s="20"/>
      <c r="C2082" s="9"/>
      <c r="D2082" s="2"/>
      <c r="W2082"/>
    </row>
    <row r="2083" spans="1:25" ht="16.149999999999999" customHeight="1" x14ac:dyDescent="0.15">
      <c r="A2083" s="9"/>
      <c r="B2083" s="20"/>
      <c r="C2083" s="9"/>
      <c r="D2083" s="2"/>
      <c r="W2083"/>
    </row>
    <row r="2084" spans="1:25" ht="16.149999999999999" customHeight="1" x14ac:dyDescent="0.15">
      <c r="A2084" s="9"/>
      <c r="B2084" s="20"/>
      <c r="C2084" s="9"/>
      <c r="D2084" s="2"/>
      <c r="W2084"/>
    </row>
    <row r="2085" spans="1:25" ht="16.149999999999999" customHeight="1" x14ac:dyDescent="0.15">
      <c r="A2085" s="9"/>
      <c r="B2085" s="20"/>
      <c r="C2085" s="9"/>
      <c r="D2085" s="2"/>
      <c r="W2085"/>
    </row>
    <row r="2086" spans="1:25" ht="16.149999999999999" customHeight="1" x14ac:dyDescent="0.15">
      <c r="A2086" s="9"/>
      <c r="B2086" s="20"/>
      <c r="C2086" s="9"/>
      <c r="D2086" s="2"/>
      <c r="W2086"/>
    </row>
    <row r="2087" spans="1:25" ht="16.149999999999999" customHeight="1" x14ac:dyDescent="0.15">
      <c r="A2087" s="9"/>
      <c r="B2087" s="20"/>
      <c r="C2087" s="9"/>
      <c r="D2087" s="2"/>
      <c r="W2087"/>
    </row>
    <row r="2088" spans="1:25" ht="16.149999999999999" customHeight="1" x14ac:dyDescent="0.15">
      <c r="A2088" s="9"/>
      <c r="B2088" s="20"/>
      <c r="C2088" s="9"/>
      <c r="D2088" s="2"/>
      <c r="W2088"/>
    </row>
    <row r="2089" spans="1:25" ht="16.149999999999999" customHeight="1" x14ac:dyDescent="0.15">
      <c r="A2089" s="9"/>
      <c r="B2089" s="20"/>
      <c r="C2089" s="9"/>
      <c r="D2089" s="2"/>
      <c r="W2089"/>
    </row>
    <row r="2090" spans="1:25" ht="16.149999999999999" customHeight="1" x14ac:dyDescent="0.15">
      <c r="A2090" s="57"/>
      <c r="B2090" s="58"/>
      <c r="C2090" s="57"/>
      <c r="D2090" s="56"/>
      <c r="E2090" s="55"/>
      <c r="F2090" s="55"/>
      <c r="G2090" s="55"/>
      <c r="H2090" s="55"/>
      <c r="I2090" s="55"/>
      <c r="J2090" s="55"/>
      <c r="K2090" s="55"/>
      <c r="L2090" s="55"/>
      <c r="M2090" s="55"/>
      <c r="N2090" s="55"/>
      <c r="O2090" s="55"/>
      <c r="P2090" s="55"/>
      <c r="Q2090" s="55"/>
      <c r="R2090" s="55"/>
      <c r="S2090" s="55"/>
      <c r="T2090" s="55"/>
      <c r="U2090" s="55"/>
      <c r="V2090" s="55"/>
      <c r="W2090" s="55"/>
      <c r="X2090" s="55"/>
      <c r="Y2090" s="55"/>
    </row>
    <row r="2091" spans="1:25" ht="16.149999999999999" customHeight="1" x14ac:dyDescent="0.15">
      <c r="A2091" s="57"/>
      <c r="B2091" s="58"/>
      <c r="C2091" s="57"/>
      <c r="D2091" s="56"/>
      <c r="E2091" s="55"/>
      <c r="F2091" s="55"/>
      <c r="G2091" s="55"/>
      <c r="H2091" s="55"/>
      <c r="I2091" s="55"/>
      <c r="J2091" s="55"/>
      <c r="K2091" s="55"/>
      <c r="L2091" s="55"/>
      <c r="M2091" s="55"/>
      <c r="N2091" s="55"/>
      <c r="O2091" s="55"/>
      <c r="P2091" s="55"/>
      <c r="Q2091" s="55"/>
      <c r="R2091" s="55"/>
      <c r="S2091" s="55"/>
      <c r="T2091" s="55"/>
      <c r="U2091" s="55"/>
      <c r="V2091" s="55"/>
      <c r="W2091" s="55"/>
      <c r="X2091" s="55"/>
      <c r="Y2091" s="55"/>
    </row>
    <row r="2092" spans="1:25" ht="16.149999999999999" customHeight="1" x14ac:dyDescent="0.15">
      <c r="A2092" s="9"/>
      <c r="B2092" s="20"/>
      <c r="C2092" s="9"/>
      <c r="D2092" s="2"/>
      <c r="W2092"/>
    </row>
    <row r="2093" spans="1:25" ht="16.149999999999999" customHeight="1" x14ac:dyDescent="0.15">
      <c r="A2093" s="9"/>
      <c r="B2093" s="20"/>
      <c r="C2093" s="9"/>
      <c r="D2093" s="2"/>
      <c r="W2093"/>
    </row>
    <row r="2094" spans="1:25" ht="16.149999999999999" customHeight="1" x14ac:dyDescent="0.15">
      <c r="A2094" s="9"/>
      <c r="B2094" s="20"/>
      <c r="C2094" s="9"/>
      <c r="D2094" s="2"/>
      <c r="W2094"/>
    </row>
    <row r="2095" spans="1:25" ht="16.149999999999999" customHeight="1" x14ac:dyDescent="0.15">
      <c r="A2095" s="9"/>
      <c r="B2095" s="20"/>
      <c r="C2095" s="9"/>
      <c r="D2095" s="2"/>
      <c r="W2095"/>
    </row>
    <row r="2096" spans="1:25" ht="16.149999999999999" customHeight="1" x14ac:dyDescent="0.15">
      <c r="A2096" s="9"/>
      <c r="B2096" s="20"/>
      <c r="C2096" s="9"/>
      <c r="D2096" s="2"/>
      <c r="W2096"/>
    </row>
    <row r="2097" spans="1:25" ht="16.149999999999999" customHeight="1" x14ac:dyDescent="0.15">
      <c r="A2097" s="9"/>
      <c r="B2097" s="20"/>
      <c r="C2097" s="9"/>
      <c r="D2097" s="2"/>
      <c r="W2097"/>
    </row>
    <row r="2098" spans="1:25" ht="16.149999999999999" customHeight="1" x14ac:dyDescent="0.15">
      <c r="A2098" s="9"/>
      <c r="B2098" s="20"/>
      <c r="C2098" s="9"/>
      <c r="D2098" s="2"/>
      <c r="W2098"/>
    </row>
    <row r="2099" spans="1:25" ht="16.149999999999999" customHeight="1" x14ac:dyDescent="0.15">
      <c r="A2099" s="9"/>
      <c r="B2099" s="20"/>
      <c r="C2099" s="9"/>
      <c r="D2099" s="2"/>
      <c r="W2099"/>
    </row>
    <row r="2100" spans="1:25" ht="16.149999999999999" customHeight="1" x14ac:dyDescent="0.15">
      <c r="A2100" s="61"/>
      <c r="B2100" s="62"/>
      <c r="C2100" s="61"/>
      <c r="D2100" s="60"/>
      <c r="E2100" s="59"/>
      <c r="F2100" s="59"/>
      <c r="G2100" s="59"/>
      <c r="H2100" s="59"/>
      <c r="I2100" s="59"/>
      <c r="J2100" s="59"/>
      <c r="K2100" s="59"/>
      <c r="L2100" s="59"/>
      <c r="M2100" s="59"/>
      <c r="N2100" s="59"/>
      <c r="O2100" s="59"/>
      <c r="P2100" s="59"/>
      <c r="Q2100" s="59"/>
      <c r="R2100" s="59"/>
      <c r="S2100" s="59"/>
      <c r="T2100" s="59"/>
      <c r="U2100" s="59"/>
      <c r="V2100" s="59"/>
      <c r="W2100" s="59"/>
      <c r="X2100" s="59"/>
      <c r="Y2100" s="59"/>
    </row>
    <row r="2101" spans="1:25" ht="16.149999999999999" customHeight="1" x14ac:dyDescent="0.15">
      <c r="A2101" s="9"/>
      <c r="B2101" s="20"/>
      <c r="C2101" s="9"/>
      <c r="D2101" s="2"/>
      <c r="W2101"/>
    </row>
    <row r="2102" spans="1:25" ht="16.149999999999999" customHeight="1" x14ac:dyDescent="0.15">
      <c r="A2102" s="9"/>
      <c r="B2102" s="20"/>
      <c r="C2102" s="9"/>
      <c r="D2102" s="2"/>
      <c r="W2102"/>
    </row>
    <row r="2103" spans="1:25" ht="16.149999999999999" customHeight="1" x14ac:dyDescent="0.15">
      <c r="A2103" s="9"/>
      <c r="B2103" s="20"/>
      <c r="C2103" s="9"/>
      <c r="D2103" s="2"/>
      <c r="W2103"/>
    </row>
    <row r="2104" spans="1:25" ht="16.149999999999999" customHeight="1" x14ac:dyDescent="0.15">
      <c r="A2104" s="9"/>
      <c r="B2104" s="20"/>
      <c r="C2104" s="9"/>
      <c r="D2104" s="2"/>
      <c r="W2104"/>
    </row>
    <row r="2105" spans="1:25" ht="16.149999999999999" customHeight="1" x14ac:dyDescent="0.15">
      <c r="A2105" s="9"/>
      <c r="B2105" s="20"/>
      <c r="C2105" s="9"/>
      <c r="D2105" s="2"/>
      <c r="W2105"/>
    </row>
    <row r="2106" spans="1:25" ht="16.149999999999999" customHeight="1" x14ac:dyDescent="0.15">
      <c r="A2106" s="9"/>
      <c r="B2106" s="20"/>
      <c r="C2106" s="9"/>
      <c r="D2106" s="2"/>
      <c r="W2106"/>
    </row>
    <row r="2107" spans="1:25" ht="16.149999999999999" customHeight="1" x14ac:dyDescent="0.15">
      <c r="A2107" s="9"/>
      <c r="B2107" s="20"/>
      <c r="C2107" s="9"/>
      <c r="D2107" s="2"/>
      <c r="W2107"/>
    </row>
    <row r="2108" spans="1:25" ht="16.149999999999999" customHeight="1" x14ac:dyDescent="0.15">
      <c r="A2108" s="57"/>
      <c r="B2108" s="58"/>
      <c r="C2108" s="57"/>
      <c r="D2108" s="56"/>
      <c r="E2108" s="55"/>
      <c r="F2108" s="55"/>
      <c r="G2108" s="55"/>
      <c r="H2108" s="55"/>
      <c r="I2108" s="55"/>
      <c r="J2108" s="55"/>
      <c r="K2108" s="55"/>
      <c r="L2108" s="55"/>
      <c r="M2108" s="55"/>
      <c r="N2108" s="55"/>
      <c r="O2108" s="55"/>
      <c r="P2108" s="55"/>
      <c r="Q2108" s="55"/>
      <c r="R2108" s="55"/>
      <c r="S2108" s="55"/>
      <c r="T2108" s="55"/>
      <c r="U2108" s="55"/>
      <c r="V2108" s="55"/>
      <c r="W2108" s="55"/>
      <c r="X2108" s="55"/>
      <c r="Y2108" s="55"/>
    </row>
    <row r="2109" spans="1:25" ht="16.149999999999999" customHeight="1" x14ac:dyDescent="0.15">
      <c r="A2109" s="57"/>
      <c r="B2109" s="58"/>
      <c r="C2109" s="57"/>
      <c r="D2109" s="56"/>
      <c r="E2109" s="55"/>
      <c r="F2109" s="55"/>
      <c r="G2109" s="55"/>
      <c r="H2109" s="55"/>
      <c r="I2109" s="55"/>
      <c r="J2109" s="55"/>
      <c r="K2109" s="55"/>
      <c r="L2109" s="55"/>
      <c r="M2109" s="55"/>
      <c r="N2109" s="55"/>
      <c r="O2109" s="55"/>
      <c r="P2109" s="55"/>
      <c r="Q2109" s="55"/>
      <c r="R2109" s="55"/>
      <c r="S2109" s="55"/>
      <c r="T2109" s="55"/>
      <c r="U2109" s="55"/>
      <c r="V2109" s="55"/>
      <c r="W2109" s="55"/>
      <c r="X2109" s="55"/>
      <c r="Y2109" s="55"/>
    </row>
    <row r="2110" spans="1:25" ht="16.149999999999999" customHeight="1" x14ac:dyDescent="0.15">
      <c r="A2110" s="9"/>
      <c r="B2110" s="20"/>
      <c r="C2110" s="9"/>
      <c r="D2110" s="2"/>
      <c r="W2110"/>
    </row>
    <row r="2111" spans="1:25" ht="16.149999999999999" customHeight="1" x14ac:dyDescent="0.15">
      <c r="A2111" s="9"/>
      <c r="B2111" s="20"/>
      <c r="C2111" s="9"/>
      <c r="D2111" s="2"/>
      <c r="W2111"/>
    </row>
    <row r="2112" spans="1:25" ht="16.149999999999999" customHeight="1" x14ac:dyDescent="0.15">
      <c r="A2112" s="9"/>
      <c r="B2112" s="20"/>
      <c r="C2112" s="9"/>
      <c r="D2112" s="2"/>
      <c r="W2112"/>
    </row>
    <row r="2113" spans="1:25" ht="16.149999999999999" customHeight="1" x14ac:dyDescent="0.15">
      <c r="A2113" s="9"/>
      <c r="B2113" s="20"/>
      <c r="C2113" s="9"/>
      <c r="D2113" s="2"/>
      <c r="W2113"/>
    </row>
    <row r="2114" spans="1:25" ht="16.149999999999999" customHeight="1" x14ac:dyDescent="0.15">
      <c r="A2114" s="9"/>
      <c r="B2114" s="20"/>
      <c r="C2114" s="9"/>
      <c r="D2114" s="2"/>
      <c r="W2114"/>
    </row>
    <row r="2115" spans="1:25" ht="16.149999999999999" customHeight="1" x14ac:dyDescent="0.15">
      <c r="A2115" s="9"/>
      <c r="B2115" s="20"/>
      <c r="C2115" s="9"/>
      <c r="D2115" s="2"/>
      <c r="W2115"/>
    </row>
    <row r="2116" spans="1:25" ht="16.149999999999999" customHeight="1" x14ac:dyDescent="0.15">
      <c r="A2116" s="9"/>
      <c r="B2116" s="20"/>
      <c r="C2116" s="9"/>
      <c r="D2116" s="2"/>
      <c r="W2116"/>
    </row>
    <row r="2117" spans="1:25" ht="16.149999999999999" customHeight="1" x14ac:dyDescent="0.15">
      <c r="A2117" s="9"/>
      <c r="B2117" s="20"/>
      <c r="C2117" s="9"/>
      <c r="D2117" s="2"/>
      <c r="W2117"/>
    </row>
    <row r="2118" spans="1:25" ht="16.149999999999999" customHeight="1" x14ac:dyDescent="0.15">
      <c r="A2118" s="9"/>
      <c r="B2118" s="20"/>
      <c r="C2118" s="9"/>
      <c r="D2118" s="2"/>
      <c r="W2118"/>
    </row>
    <row r="2119" spans="1:25" ht="16.149999999999999" customHeight="1" x14ac:dyDescent="0.15">
      <c r="A2119" s="9"/>
      <c r="B2119" s="20"/>
      <c r="C2119" s="9"/>
      <c r="D2119" s="2"/>
      <c r="W2119"/>
    </row>
    <row r="2120" spans="1:25" ht="16.149999999999999" customHeight="1" x14ac:dyDescent="0.15">
      <c r="A2120" s="9"/>
      <c r="B2120" s="20"/>
      <c r="C2120" s="9"/>
      <c r="D2120" s="2"/>
      <c r="W2120"/>
    </row>
    <row r="2121" spans="1:25" ht="16.149999999999999" customHeight="1" x14ac:dyDescent="0.15">
      <c r="A2121" s="9"/>
      <c r="B2121" s="20"/>
      <c r="C2121" s="9"/>
      <c r="D2121" s="2"/>
      <c r="W2121"/>
    </row>
    <row r="2122" spans="1:25" ht="16.149999999999999" customHeight="1" x14ac:dyDescent="0.15">
      <c r="A2122" s="9"/>
      <c r="B2122" s="20"/>
      <c r="C2122" s="9"/>
      <c r="D2122" s="2"/>
      <c r="W2122"/>
    </row>
    <row r="2123" spans="1:25" ht="16.149999999999999" customHeight="1" x14ac:dyDescent="0.15">
      <c r="A2123" s="9"/>
      <c r="B2123" s="20"/>
      <c r="C2123" s="9"/>
      <c r="D2123" s="2"/>
      <c r="W2123"/>
    </row>
    <row r="2124" spans="1:25" ht="16.149999999999999" customHeight="1" x14ac:dyDescent="0.15">
      <c r="A2124" s="57"/>
      <c r="B2124" s="58"/>
      <c r="C2124" s="57"/>
      <c r="D2124" s="56"/>
      <c r="E2124" s="55"/>
      <c r="F2124" s="55"/>
      <c r="G2124" s="55"/>
      <c r="H2124" s="55"/>
      <c r="I2124" s="55"/>
      <c r="J2124" s="55"/>
      <c r="K2124" s="55"/>
      <c r="L2124" s="55"/>
      <c r="M2124" s="55"/>
      <c r="N2124" s="55"/>
      <c r="O2124" s="55"/>
      <c r="P2124" s="55"/>
      <c r="Q2124" s="55"/>
      <c r="R2124" s="55"/>
      <c r="S2124" s="55"/>
      <c r="T2124" s="55"/>
      <c r="U2124" s="55"/>
      <c r="V2124" s="55"/>
      <c r="W2124" s="55"/>
      <c r="X2124" s="55"/>
      <c r="Y2124" s="55"/>
    </row>
    <row r="2125" spans="1:25" ht="16.149999999999999" customHeight="1" x14ac:dyDescent="0.15">
      <c r="A2125" s="57"/>
      <c r="B2125" s="58"/>
      <c r="C2125" s="57"/>
      <c r="D2125" s="56"/>
      <c r="E2125" s="55"/>
      <c r="F2125" s="55"/>
      <c r="G2125" s="55"/>
      <c r="H2125" s="55"/>
      <c r="I2125" s="55"/>
      <c r="J2125" s="55"/>
      <c r="K2125" s="55"/>
      <c r="L2125" s="55"/>
      <c r="M2125" s="55"/>
      <c r="N2125" s="55"/>
      <c r="O2125" s="55"/>
      <c r="P2125" s="55"/>
      <c r="Q2125" s="55"/>
      <c r="R2125" s="55"/>
      <c r="S2125" s="55"/>
      <c r="T2125" s="55"/>
      <c r="U2125" s="55"/>
      <c r="V2125" s="55"/>
      <c r="W2125" s="55"/>
      <c r="X2125" s="55"/>
      <c r="Y2125" s="55"/>
    </row>
    <row r="2126" spans="1:25" ht="16.149999999999999" customHeight="1" x14ac:dyDescent="0.15">
      <c r="A2126" s="57"/>
      <c r="B2126" s="58"/>
      <c r="C2126" s="57"/>
      <c r="D2126" s="56"/>
      <c r="E2126" s="55"/>
      <c r="F2126" s="55"/>
      <c r="G2126" s="55"/>
      <c r="H2126" s="55"/>
      <c r="I2126" s="55"/>
      <c r="J2126" s="55"/>
      <c r="K2126" s="55"/>
      <c r="L2126" s="55"/>
      <c r="M2126" s="55"/>
      <c r="N2126" s="55"/>
      <c r="O2126" s="55"/>
      <c r="P2126" s="55"/>
      <c r="Q2126" s="55"/>
      <c r="R2126" s="55"/>
      <c r="S2126" s="55"/>
      <c r="T2126" s="55"/>
      <c r="U2126" s="55"/>
      <c r="V2126" s="55"/>
      <c r="W2126" s="55"/>
      <c r="X2126" s="55"/>
      <c r="Y2126" s="55"/>
    </row>
    <row r="2127" spans="1:25" ht="16.149999999999999" customHeight="1" x14ac:dyDescent="0.15">
      <c r="A2127" s="57"/>
      <c r="B2127" s="58"/>
      <c r="C2127" s="57"/>
      <c r="D2127" s="56"/>
      <c r="E2127" s="55"/>
      <c r="F2127" s="55"/>
      <c r="G2127" s="55"/>
      <c r="H2127" s="55"/>
      <c r="I2127" s="55"/>
      <c r="J2127" s="55"/>
      <c r="K2127" s="55"/>
      <c r="L2127" s="55"/>
      <c r="M2127" s="55"/>
      <c r="N2127" s="55"/>
      <c r="O2127" s="55"/>
      <c r="P2127" s="55"/>
      <c r="Q2127" s="55"/>
      <c r="R2127" s="55"/>
      <c r="S2127" s="55"/>
      <c r="T2127" s="55"/>
      <c r="U2127" s="55"/>
      <c r="V2127" s="55"/>
      <c r="W2127" s="55"/>
      <c r="X2127" s="55"/>
      <c r="Y2127" s="55"/>
    </row>
    <row r="2128" spans="1:25" ht="16.149999999999999" customHeight="1" x14ac:dyDescent="0.15">
      <c r="A2128" s="9"/>
      <c r="B2128" s="20"/>
      <c r="C2128" s="9"/>
      <c r="D2128" s="2"/>
      <c r="W2128"/>
    </row>
    <row r="2129" spans="1:25" ht="16.149999999999999" customHeight="1" x14ac:dyDescent="0.15">
      <c r="A2129" s="9"/>
      <c r="B2129" s="9"/>
      <c r="C2129" s="9"/>
      <c r="W2129"/>
    </row>
    <row r="2130" spans="1:25" ht="16.149999999999999" customHeight="1" x14ac:dyDescent="0.15">
      <c r="A2130" s="9"/>
      <c r="B2130" s="9"/>
      <c r="C2130" s="9"/>
      <c r="W2130"/>
    </row>
    <row r="2131" spans="1:25" ht="16.149999999999999" customHeight="1" x14ac:dyDescent="0.15">
      <c r="A2131" s="9"/>
      <c r="B2131" s="9"/>
      <c r="C2131" s="9"/>
      <c r="W2131"/>
    </row>
    <row r="2132" spans="1:25" ht="16.149999999999999" customHeight="1" x14ac:dyDescent="0.15">
      <c r="A2132" s="9"/>
      <c r="B2132" s="9"/>
      <c r="C2132" s="9"/>
      <c r="W2132"/>
    </row>
    <row r="2133" spans="1:25" ht="16.149999999999999" customHeight="1" x14ac:dyDescent="0.15">
      <c r="A2133" s="9"/>
      <c r="B2133" s="9"/>
      <c r="C2133" s="9"/>
      <c r="W2133"/>
    </row>
    <row r="2134" spans="1:25" ht="16.149999999999999" customHeight="1" x14ac:dyDescent="0.15">
      <c r="A2134" s="9"/>
      <c r="B2134" s="9"/>
      <c r="C2134" s="9"/>
      <c r="E2134" s="9"/>
      <c r="F2134" s="9"/>
      <c r="G2134" s="9"/>
      <c r="H2134" s="9"/>
      <c r="I2134" s="9"/>
      <c r="J2134" s="9"/>
      <c r="K2134" s="9"/>
      <c r="L2134" s="9"/>
      <c r="M2134" s="9"/>
      <c r="N2134" s="9"/>
      <c r="O2134" s="9"/>
      <c r="P2134" s="9"/>
      <c r="Q2134" s="9"/>
      <c r="R2134" s="9"/>
      <c r="S2134" s="9"/>
      <c r="T2134" s="9"/>
      <c r="U2134" s="9"/>
      <c r="V2134" s="9"/>
      <c r="X2134" s="9"/>
      <c r="Y2134" s="9"/>
    </row>
    <row r="2135" spans="1:25" ht="16.149999999999999" customHeight="1" x14ac:dyDescent="0.15">
      <c r="A2135" s="9"/>
      <c r="B2135" s="9"/>
      <c r="C2135" s="9"/>
      <c r="E2135" s="9"/>
      <c r="F2135" s="9"/>
      <c r="G2135" s="9"/>
      <c r="H2135" s="9"/>
      <c r="I2135" s="9"/>
      <c r="J2135" s="9"/>
      <c r="K2135" s="9"/>
      <c r="L2135" s="9"/>
      <c r="M2135" s="9"/>
      <c r="N2135" s="9"/>
      <c r="O2135" s="9"/>
      <c r="P2135" s="9"/>
      <c r="Q2135" s="9"/>
      <c r="R2135" s="9"/>
      <c r="S2135" s="9"/>
      <c r="T2135" s="9"/>
      <c r="U2135" s="9"/>
      <c r="V2135" s="9"/>
      <c r="X2135" s="9"/>
      <c r="Y2135" s="9"/>
    </row>
    <row r="2136" spans="1:25" ht="16.149999999999999" customHeight="1" x14ac:dyDescent="0.15">
      <c r="A2136" s="9"/>
      <c r="B2136" s="9"/>
      <c r="C2136" s="9"/>
      <c r="E2136" s="9"/>
      <c r="F2136" s="9"/>
      <c r="G2136" s="9"/>
      <c r="H2136" s="9"/>
      <c r="I2136" s="9"/>
      <c r="J2136" s="9"/>
      <c r="K2136" s="9"/>
      <c r="L2136" s="9"/>
      <c r="M2136" s="9"/>
      <c r="N2136" s="9"/>
      <c r="O2136" s="9"/>
      <c r="P2136" s="9"/>
      <c r="Q2136" s="9"/>
      <c r="R2136" s="9"/>
      <c r="S2136" s="9"/>
      <c r="T2136" s="9"/>
      <c r="U2136" s="9"/>
      <c r="V2136" s="9"/>
      <c r="X2136" s="9"/>
      <c r="Y2136" s="9"/>
    </row>
    <row r="2137" spans="1:25" ht="16.149999999999999" customHeight="1" x14ac:dyDescent="0.15">
      <c r="A2137" s="9"/>
      <c r="B2137" s="9"/>
      <c r="C2137" s="9"/>
      <c r="E2137" s="9"/>
      <c r="F2137" s="9"/>
      <c r="G2137" s="9"/>
      <c r="H2137" s="9"/>
      <c r="I2137" s="9"/>
      <c r="J2137" s="9"/>
      <c r="K2137" s="9"/>
      <c r="L2137" s="9"/>
      <c r="M2137" s="9"/>
      <c r="N2137" s="9"/>
      <c r="O2137" s="9"/>
      <c r="P2137" s="9"/>
      <c r="Q2137" s="9"/>
      <c r="R2137" s="9"/>
      <c r="S2137" s="9"/>
      <c r="T2137" s="9"/>
      <c r="U2137" s="9"/>
      <c r="V2137" s="9"/>
      <c r="X2137" s="9"/>
      <c r="Y2137" s="9"/>
    </row>
    <row r="2138" spans="1:25" ht="16.149999999999999" customHeight="1" x14ac:dyDescent="0.15">
      <c r="A2138" s="9"/>
      <c r="B2138" s="9"/>
      <c r="C2138" s="9"/>
      <c r="E2138" s="9"/>
      <c r="F2138" s="9"/>
      <c r="G2138" s="9"/>
      <c r="H2138" s="9"/>
      <c r="I2138" s="9"/>
      <c r="J2138" s="9"/>
      <c r="K2138" s="9"/>
      <c r="L2138" s="9"/>
      <c r="M2138" s="9"/>
      <c r="N2138" s="9"/>
      <c r="O2138" s="9"/>
      <c r="P2138" s="9"/>
      <c r="Q2138" s="9"/>
      <c r="R2138" s="9"/>
      <c r="S2138" s="9"/>
      <c r="T2138" s="9"/>
      <c r="U2138" s="9"/>
      <c r="V2138" s="9"/>
      <c r="X2138" s="9"/>
      <c r="Y2138" s="9"/>
    </row>
    <row r="2139" spans="1:25" ht="16.149999999999999" customHeight="1" x14ac:dyDescent="0.15">
      <c r="A2139" s="9"/>
      <c r="B2139" s="9"/>
      <c r="C2139" s="9"/>
      <c r="E2139" s="9"/>
      <c r="F2139" s="9"/>
      <c r="G2139" s="9"/>
      <c r="H2139" s="9"/>
      <c r="I2139" s="9"/>
      <c r="J2139" s="9"/>
      <c r="K2139" s="9"/>
      <c r="L2139" s="9"/>
      <c r="M2139" s="9"/>
      <c r="N2139" s="9"/>
      <c r="O2139" s="9"/>
      <c r="P2139" s="9"/>
      <c r="Q2139" s="9"/>
      <c r="R2139" s="9"/>
      <c r="S2139" s="9"/>
      <c r="T2139" s="9"/>
      <c r="U2139" s="9"/>
      <c r="V2139" s="9"/>
      <c r="X2139" s="9"/>
      <c r="Y2139" s="9"/>
    </row>
    <row r="2140" spans="1:25" ht="16.149999999999999" customHeight="1" x14ac:dyDescent="0.15">
      <c r="A2140" s="9"/>
      <c r="B2140" s="9"/>
      <c r="C2140" s="9"/>
      <c r="E2140" s="9"/>
      <c r="F2140" s="9"/>
      <c r="G2140" s="9"/>
      <c r="H2140" s="9"/>
      <c r="I2140" s="9"/>
      <c r="J2140" s="9"/>
      <c r="K2140" s="9"/>
      <c r="L2140" s="9"/>
      <c r="M2140" s="9"/>
      <c r="N2140" s="9"/>
      <c r="O2140" s="9"/>
      <c r="P2140" s="9"/>
      <c r="Q2140" s="9"/>
      <c r="R2140" s="9"/>
      <c r="S2140" s="9"/>
      <c r="T2140" s="9"/>
      <c r="U2140" s="9"/>
      <c r="V2140" s="9"/>
      <c r="X2140" s="9"/>
      <c r="Y2140" s="9"/>
    </row>
    <row r="2141" spans="1:25" ht="16.149999999999999" customHeight="1" x14ac:dyDescent="0.15">
      <c r="A2141" s="9"/>
      <c r="B2141" s="9"/>
      <c r="C2141" s="9"/>
      <c r="E2141" s="9"/>
      <c r="F2141" s="9"/>
      <c r="G2141" s="9"/>
      <c r="H2141" s="9"/>
      <c r="I2141" s="9"/>
      <c r="J2141" s="9"/>
      <c r="K2141" s="9"/>
      <c r="L2141" s="9"/>
      <c r="M2141" s="9"/>
      <c r="N2141" s="9"/>
      <c r="O2141" s="9"/>
      <c r="P2141" s="9"/>
      <c r="Q2141" s="9"/>
      <c r="R2141" s="9"/>
      <c r="S2141" s="9"/>
      <c r="T2141" s="9"/>
      <c r="U2141" s="9"/>
      <c r="V2141" s="9"/>
      <c r="X2141" s="9"/>
      <c r="Y2141" s="9"/>
    </row>
    <row r="2142" spans="1:25" ht="16.149999999999999" customHeight="1" x14ac:dyDescent="0.15">
      <c r="A2142" s="9"/>
      <c r="B2142" s="9"/>
      <c r="C2142" s="9"/>
      <c r="E2142" s="9"/>
      <c r="F2142" s="9"/>
      <c r="G2142" s="9"/>
      <c r="H2142" s="9"/>
      <c r="I2142" s="9"/>
      <c r="J2142" s="9"/>
      <c r="K2142" s="9"/>
      <c r="L2142" s="9"/>
      <c r="M2142" s="9"/>
      <c r="N2142" s="9"/>
      <c r="O2142" s="9"/>
      <c r="P2142" s="9"/>
      <c r="Q2142" s="9"/>
      <c r="R2142" s="9"/>
      <c r="S2142" s="9"/>
      <c r="T2142" s="9"/>
      <c r="U2142" s="9"/>
      <c r="V2142" s="9"/>
      <c r="X2142" s="9"/>
      <c r="Y2142" s="9"/>
    </row>
    <row r="2143" spans="1:25" ht="16.149999999999999" customHeight="1" x14ac:dyDescent="0.15">
      <c r="A2143" s="9"/>
      <c r="B2143" s="9"/>
      <c r="C2143" s="9"/>
      <c r="E2143" s="9"/>
      <c r="F2143" s="9"/>
      <c r="G2143" s="9"/>
      <c r="H2143" s="9"/>
      <c r="I2143" s="9"/>
      <c r="J2143" s="9"/>
      <c r="K2143" s="9"/>
      <c r="L2143" s="9"/>
      <c r="M2143" s="9"/>
      <c r="N2143" s="9"/>
      <c r="O2143" s="9"/>
      <c r="P2143" s="9"/>
      <c r="Q2143" s="9"/>
      <c r="R2143" s="9"/>
      <c r="S2143" s="9"/>
      <c r="T2143" s="9"/>
      <c r="U2143" s="9"/>
      <c r="V2143" s="9"/>
      <c r="X2143" s="9"/>
      <c r="Y2143" s="9"/>
    </row>
    <row r="2144" spans="1:25" ht="16.149999999999999" customHeight="1" x14ac:dyDescent="0.15">
      <c r="A2144" s="9"/>
      <c r="B2144" s="9"/>
      <c r="C2144" s="9"/>
      <c r="E2144" s="9"/>
      <c r="F2144" s="9"/>
      <c r="G2144" s="9"/>
      <c r="H2144" s="9"/>
      <c r="I2144" s="9"/>
      <c r="J2144" s="9"/>
      <c r="K2144" s="9"/>
      <c r="L2144" s="9"/>
      <c r="M2144" s="9"/>
      <c r="N2144" s="9"/>
      <c r="O2144" s="9"/>
      <c r="P2144" s="9"/>
      <c r="Q2144" s="9"/>
      <c r="R2144" s="9"/>
      <c r="S2144" s="9"/>
      <c r="T2144" s="9"/>
      <c r="U2144" s="9"/>
      <c r="V2144" s="9"/>
      <c r="X2144" s="9"/>
      <c r="Y2144" s="9"/>
    </row>
    <row r="2145" spans="1:25" ht="16.149999999999999" customHeight="1" x14ac:dyDescent="0.15">
      <c r="A2145" s="9"/>
      <c r="B2145" s="9"/>
      <c r="C2145" s="9"/>
      <c r="E2145" s="9"/>
      <c r="F2145" s="9"/>
      <c r="G2145" s="9"/>
      <c r="H2145" s="9"/>
      <c r="I2145" s="9"/>
      <c r="J2145" s="9"/>
      <c r="K2145" s="9"/>
      <c r="L2145" s="9"/>
      <c r="M2145" s="9"/>
      <c r="N2145" s="9"/>
      <c r="O2145" s="9"/>
      <c r="P2145" s="9"/>
      <c r="Q2145" s="9"/>
      <c r="R2145" s="9"/>
      <c r="S2145" s="9"/>
      <c r="T2145" s="9"/>
      <c r="U2145" s="9"/>
      <c r="V2145" s="9"/>
      <c r="X2145" s="9"/>
      <c r="Y2145" s="9"/>
    </row>
    <row r="2146" spans="1:25" ht="16.149999999999999" customHeight="1" x14ac:dyDescent="0.15">
      <c r="A2146" s="9"/>
      <c r="B2146" s="9"/>
      <c r="C2146" s="9"/>
      <c r="E2146" s="9"/>
      <c r="F2146" s="9"/>
      <c r="G2146" s="9"/>
      <c r="H2146" s="9"/>
      <c r="I2146" s="9"/>
      <c r="J2146" s="9"/>
      <c r="K2146" s="9"/>
      <c r="L2146" s="9"/>
      <c r="M2146" s="9"/>
      <c r="N2146" s="9"/>
      <c r="O2146" s="9"/>
      <c r="P2146" s="9"/>
      <c r="Q2146" s="9"/>
      <c r="R2146" s="9"/>
      <c r="S2146" s="9"/>
      <c r="T2146" s="9"/>
      <c r="U2146" s="9"/>
      <c r="V2146" s="9"/>
      <c r="X2146" s="9"/>
      <c r="Y2146" s="9"/>
    </row>
    <row r="2147" spans="1:25" ht="16.149999999999999" customHeight="1" x14ac:dyDescent="0.15">
      <c r="A2147" s="9"/>
      <c r="B2147" s="9"/>
      <c r="C2147" s="9"/>
      <c r="E2147" s="9"/>
      <c r="F2147" s="9"/>
      <c r="G2147" s="9"/>
      <c r="H2147" s="9"/>
      <c r="I2147" s="9"/>
      <c r="J2147" s="9"/>
      <c r="K2147" s="9"/>
      <c r="L2147" s="9"/>
      <c r="M2147" s="9"/>
      <c r="N2147" s="9"/>
      <c r="O2147" s="9"/>
      <c r="P2147" s="9"/>
      <c r="Q2147" s="9"/>
      <c r="R2147" s="9"/>
      <c r="S2147" s="9"/>
      <c r="T2147" s="9"/>
      <c r="U2147" s="9"/>
      <c r="V2147" s="9"/>
      <c r="X2147" s="9"/>
      <c r="Y2147" s="9"/>
    </row>
    <row r="2148" spans="1:25" ht="16.149999999999999" customHeight="1" x14ac:dyDescent="0.15">
      <c r="A2148" s="9"/>
      <c r="B2148" s="9"/>
      <c r="C2148" s="9"/>
      <c r="E2148" s="9"/>
      <c r="F2148" s="9"/>
      <c r="G2148" s="9"/>
      <c r="H2148" s="9"/>
      <c r="I2148" s="9"/>
      <c r="J2148" s="9"/>
      <c r="K2148" s="9"/>
      <c r="L2148" s="9"/>
      <c r="M2148" s="9"/>
      <c r="N2148" s="9"/>
      <c r="O2148" s="9"/>
      <c r="P2148" s="9"/>
      <c r="Q2148" s="9"/>
      <c r="R2148" s="9"/>
      <c r="S2148" s="9"/>
      <c r="T2148" s="9"/>
      <c r="U2148" s="9"/>
      <c r="V2148" s="9"/>
      <c r="X2148" s="9"/>
      <c r="Y2148" s="9"/>
    </row>
    <row r="2149" spans="1:25" ht="16.149999999999999" customHeight="1" x14ac:dyDescent="0.15">
      <c r="A2149" s="9"/>
      <c r="B2149" s="9"/>
      <c r="C2149" s="9"/>
      <c r="E2149" s="9"/>
      <c r="F2149" s="9"/>
      <c r="G2149" s="9"/>
      <c r="H2149" s="9"/>
      <c r="I2149" s="9"/>
      <c r="J2149" s="9"/>
      <c r="K2149" s="9"/>
      <c r="L2149" s="9"/>
      <c r="M2149" s="9"/>
      <c r="N2149" s="9"/>
      <c r="O2149" s="9"/>
      <c r="P2149" s="9"/>
      <c r="Q2149" s="9"/>
      <c r="R2149" s="9"/>
      <c r="S2149" s="9"/>
      <c r="T2149" s="9"/>
      <c r="U2149" s="9"/>
      <c r="V2149" s="9"/>
      <c r="X2149" s="9"/>
      <c r="Y2149" s="9"/>
    </row>
    <row r="2150" spans="1:25" ht="16.149999999999999" customHeight="1" x14ac:dyDescent="0.15">
      <c r="A2150" s="9"/>
      <c r="B2150" s="9"/>
      <c r="C2150" s="9"/>
      <c r="E2150" s="9"/>
      <c r="F2150" s="9"/>
      <c r="G2150" s="9"/>
      <c r="H2150" s="9"/>
      <c r="I2150" s="9"/>
      <c r="J2150" s="9"/>
      <c r="K2150" s="9"/>
      <c r="L2150" s="9"/>
      <c r="M2150" s="9"/>
      <c r="N2150" s="9"/>
      <c r="O2150" s="9"/>
      <c r="P2150" s="9"/>
      <c r="Q2150" s="9"/>
      <c r="R2150" s="9"/>
      <c r="S2150" s="9"/>
      <c r="T2150" s="9"/>
      <c r="U2150" s="9"/>
      <c r="V2150" s="9"/>
      <c r="X2150" s="9"/>
      <c r="Y2150" s="9"/>
    </row>
    <row r="2151" spans="1:25" ht="16.149999999999999" customHeight="1" x14ac:dyDescent="0.15">
      <c r="A2151" s="9"/>
      <c r="B2151" s="9"/>
      <c r="C2151" s="9"/>
      <c r="E2151" s="9"/>
      <c r="F2151" s="9"/>
      <c r="G2151" s="9"/>
      <c r="H2151" s="9"/>
      <c r="I2151" s="9"/>
      <c r="J2151" s="9"/>
      <c r="K2151" s="9"/>
      <c r="L2151" s="9"/>
      <c r="M2151" s="9"/>
      <c r="N2151" s="9"/>
      <c r="O2151" s="9"/>
      <c r="P2151" s="9"/>
      <c r="Q2151" s="9"/>
      <c r="R2151" s="9"/>
      <c r="S2151" s="9"/>
      <c r="T2151" s="9"/>
      <c r="U2151" s="9"/>
      <c r="V2151" s="9"/>
      <c r="X2151" s="9"/>
      <c r="Y2151" s="9"/>
    </row>
    <row r="2152" spans="1:25" ht="16.149999999999999" customHeight="1" x14ac:dyDescent="0.15">
      <c r="A2152" s="9"/>
      <c r="B2152" s="9"/>
      <c r="C2152" s="9"/>
      <c r="E2152" s="9"/>
      <c r="F2152" s="9"/>
      <c r="G2152" s="9"/>
      <c r="H2152" s="9"/>
      <c r="I2152" s="9"/>
      <c r="J2152" s="9"/>
      <c r="K2152" s="9"/>
      <c r="L2152" s="9"/>
      <c r="M2152" s="9"/>
      <c r="N2152" s="9"/>
      <c r="O2152" s="9"/>
      <c r="P2152" s="9"/>
      <c r="Q2152" s="9"/>
      <c r="R2152" s="9"/>
      <c r="S2152" s="9"/>
      <c r="T2152" s="9"/>
      <c r="U2152" s="9"/>
      <c r="V2152" s="9"/>
      <c r="X2152" s="9"/>
      <c r="Y2152" s="9"/>
    </row>
    <row r="2153" spans="1:25" ht="16.149999999999999" customHeight="1" x14ac:dyDescent="0.15">
      <c r="A2153" s="9"/>
      <c r="B2153" s="9"/>
      <c r="C2153" s="9"/>
      <c r="E2153" s="9"/>
      <c r="F2153" s="9"/>
      <c r="G2153" s="9"/>
      <c r="H2153" s="9"/>
      <c r="I2153" s="9"/>
      <c r="J2153" s="9"/>
      <c r="K2153" s="9"/>
      <c r="L2153" s="9"/>
      <c r="M2153" s="9"/>
      <c r="N2153" s="9"/>
      <c r="O2153" s="9"/>
      <c r="P2153" s="9"/>
      <c r="Q2153" s="9"/>
      <c r="R2153" s="9"/>
      <c r="S2153" s="9"/>
      <c r="T2153" s="9"/>
      <c r="U2153" s="9"/>
      <c r="V2153" s="9"/>
      <c r="X2153" s="9"/>
      <c r="Y2153" s="9"/>
    </row>
    <row r="2154" spans="1:25" ht="16.149999999999999" customHeight="1" x14ac:dyDescent="0.15">
      <c r="A2154" s="9"/>
      <c r="B2154" s="9"/>
      <c r="C2154" s="9"/>
      <c r="E2154" s="9"/>
      <c r="F2154" s="9"/>
      <c r="G2154" s="9"/>
      <c r="H2154" s="9"/>
      <c r="I2154" s="9"/>
      <c r="J2154" s="9"/>
      <c r="K2154" s="9"/>
      <c r="L2154" s="9"/>
      <c r="M2154" s="9"/>
      <c r="N2154" s="9"/>
      <c r="O2154" s="9"/>
      <c r="P2154" s="9"/>
      <c r="Q2154" s="9"/>
      <c r="R2154" s="9"/>
      <c r="S2154" s="9"/>
      <c r="T2154" s="9"/>
      <c r="U2154" s="9"/>
      <c r="V2154" s="9"/>
      <c r="X2154" s="9"/>
      <c r="Y2154" s="9"/>
    </row>
    <row r="2155" spans="1:25" ht="16.149999999999999" customHeight="1" x14ac:dyDescent="0.15">
      <c r="A2155" s="9"/>
      <c r="B2155" s="9"/>
      <c r="C2155" s="9"/>
      <c r="E2155" s="9"/>
      <c r="F2155" s="9"/>
      <c r="G2155" s="9"/>
      <c r="H2155" s="9"/>
      <c r="I2155" s="9"/>
      <c r="J2155" s="9"/>
      <c r="K2155" s="9"/>
      <c r="L2155" s="9"/>
      <c r="M2155" s="9"/>
      <c r="N2155" s="9"/>
      <c r="O2155" s="9"/>
      <c r="P2155" s="9"/>
      <c r="Q2155" s="9"/>
      <c r="R2155" s="9"/>
      <c r="S2155" s="9"/>
      <c r="T2155" s="9"/>
      <c r="U2155" s="9"/>
      <c r="V2155" s="9"/>
      <c r="X2155" s="9"/>
      <c r="Y2155" s="9"/>
    </row>
    <row r="2156" spans="1:25" ht="16.149999999999999" customHeight="1" x14ac:dyDescent="0.15">
      <c r="A2156" s="9"/>
      <c r="B2156" s="9"/>
      <c r="C2156" s="9"/>
      <c r="E2156" s="9"/>
      <c r="F2156" s="9"/>
      <c r="G2156" s="9"/>
      <c r="H2156" s="9"/>
      <c r="I2156" s="9"/>
      <c r="J2156" s="9"/>
      <c r="K2156" s="9"/>
      <c r="L2156" s="9"/>
      <c r="M2156" s="9"/>
      <c r="N2156" s="9"/>
      <c r="O2156" s="9"/>
      <c r="P2156" s="9"/>
      <c r="Q2156" s="9"/>
      <c r="R2156" s="9"/>
      <c r="S2156" s="9"/>
      <c r="T2156" s="9"/>
      <c r="U2156" s="9"/>
      <c r="V2156" s="9"/>
      <c r="X2156" s="9"/>
      <c r="Y2156" s="9"/>
    </row>
    <row r="2157" spans="1:25" ht="16.149999999999999" customHeight="1" x14ac:dyDescent="0.15">
      <c r="A2157" s="9"/>
      <c r="B2157" s="9"/>
      <c r="C2157" s="9"/>
      <c r="E2157" s="9"/>
      <c r="F2157" s="9"/>
      <c r="G2157" s="9"/>
      <c r="H2157" s="9"/>
      <c r="I2157" s="9"/>
      <c r="J2157" s="9"/>
      <c r="K2157" s="9"/>
      <c r="L2157" s="9"/>
      <c r="M2157" s="9"/>
      <c r="N2157" s="9"/>
      <c r="O2157" s="9"/>
      <c r="P2157" s="9"/>
      <c r="Q2157" s="9"/>
      <c r="R2157" s="9"/>
      <c r="S2157" s="9"/>
      <c r="T2157" s="9"/>
      <c r="U2157" s="9"/>
      <c r="V2157" s="9"/>
      <c r="X2157" s="9"/>
      <c r="Y2157" s="9"/>
    </row>
    <row r="2158" spans="1:25" ht="16.149999999999999" customHeight="1" x14ac:dyDescent="0.15">
      <c r="A2158" s="9"/>
      <c r="B2158" s="9"/>
      <c r="C2158" s="9"/>
      <c r="E2158" s="9"/>
      <c r="F2158" s="9"/>
      <c r="G2158" s="9"/>
      <c r="H2158" s="9"/>
      <c r="I2158" s="9"/>
      <c r="J2158" s="9"/>
      <c r="K2158" s="9"/>
      <c r="L2158" s="9"/>
      <c r="M2158" s="9"/>
      <c r="N2158" s="9"/>
      <c r="O2158" s="9"/>
      <c r="P2158" s="9"/>
      <c r="Q2158" s="9"/>
      <c r="R2158" s="9"/>
      <c r="S2158" s="9"/>
      <c r="T2158" s="9"/>
      <c r="U2158" s="9"/>
      <c r="V2158" s="9"/>
      <c r="X2158" s="9"/>
      <c r="Y2158" s="9"/>
    </row>
    <row r="2159" spans="1:25" ht="16.149999999999999" customHeight="1" x14ac:dyDescent="0.15">
      <c r="A2159" s="9"/>
      <c r="B2159" s="9"/>
      <c r="C2159" s="9"/>
      <c r="E2159" s="9"/>
      <c r="F2159" s="9"/>
      <c r="G2159" s="9"/>
      <c r="H2159" s="9"/>
      <c r="I2159" s="9"/>
      <c r="J2159" s="9"/>
      <c r="K2159" s="9"/>
      <c r="L2159" s="9"/>
      <c r="M2159" s="9"/>
      <c r="N2159" s="9"/>
      <c r="O2159" s="9"/>
      <c r="P2159" s="9"/>
      <c r="Q2159" s="9"/>
      <c r="R2159" s="9"/>
      <c r="S2159" s="9"/>
      <c r="T2159" s="9"/>
      <c r="U2159" s="9"/>
      <c r="V2159" s="9"/>
      <c r="X2159" s="9"/>
      <c r="Y2159" s="9"/>
    </row>
    <row r="2160" spans="1:25" ht="16.149999999999999" customHeight="1" x14ac:dyDescent="0.15">
      <c r="A2160" s="6"/>
      <c r="B2160" s="18"/>
      <c r="D2160" s="2"/>
      <c r="I2160" s="2"/>
      <c r="K2160" s="9"/>
      <c r="Q2160" s="8"/>
      <c r="W2160" s="20"/>
    </row>
    <row r="2161" spans="1:23" ht="16.149999999999999" customHeight="1" x14ac:dyDescent="0.15">
      <c r="A2161" s="6"/>
      <c r="B2161" s="18"/>
      <c r="D2161" s="2"/>
      <c r="I2161" s="2"/>
      <c r="K2161" s="9"/>
      <c r="Q2161" s="8"/>
      <c r="W2161" s="20"/>
    </row>
    <row r="2162" spans="1:23" ht="16.149999999999999" customHeight="1" x14ac:dyDescent="0.15">
      <c r="A2162" s="6"/>
      <c r="B2162" s="18"/>
      <c r="D2162" s="2"/>
      <c r="I2162" s="2"/>
      <c r="K2162" s="9"/>
      <c r="Q2162" s="8"/>
      <c r="W2162" s="20"/>
    </row>
    <row r="2163" spans="1:23" ht="16.149999999999999" customHeight="1" x14ac:dyDescent="0.15">
      <c r="A2163" s="6"/>
      <c r="B2163" s="18"/>
      <c r="D2163" s="2"/>
      <c r="I2163" s="2"/>
      <c r="K2163" s="9"/>
      <c r="Q2163" s="8"/>
      <c r="W2163" s="20"/>
    </row>
    <row r="2164" spans="1:23" ht="16.149999999999999" customHeight="1" x14ac:dyDescent="0.15">
      <c r="A2164" s="6"/>
      <c r="B2164" s="18"/>
      <c r="D2164" s="2"/>
      <c r="I2164" s="2"/>
      <c r="K2164" s="9"/>
      <c r="Q2164" s="8"/>
      <c r="W2164" s="20"/>
    </row>
    <row r="2165" spans="1:23" ht="16.149999999999999" customHeight="1" x14ac:dyDescent="0.15">
      <c r="A2165" s="6"/>
      <c r="B2165" s="18"/>
      <c r="D2165" s="2"/>
      <c r="I2165" s="2"/>
      <c r="K2165" s="9"/>
      <c r="Q2165" s="8"/>
      <c r="W2165" s="20"/>
    </row>
    <row r="2166" spans="1:23" ht="16.149999999999999" customHeight="1" x14ac:dyDescent="0.15">
      <c r="A2166" s="6"/>
      <c r="B2166" s="18"/>
      <c r="D2166" s="2"/>
      <c r="I2166" s="2"/>
      <c r="K2166" s="9"/>
      <c r="Q2166" s="8"/>
      <c r="W2166" s="20"/>
    </row>
    <row r="2167" spans="1:23" ht="16.149999999999999" customHeight="1" x14ac:dyDescent="0.15">
      <c r="A2167" s="6"/>
      <c r="B2167" s="18"/>
      <c r="D2167" s="2"/>
      <c r="I2167" s="2"/>
      <c r="K2167" s="9"/>
      <c r="Q2167" s="8"/>
      <c r="W2167" s="20"/>
    </row>
    <row r="2168" spans="1:23" ht="16.149999999999999" customHeight="1" x14ac:dyDescent="0.15">
      <c r="A2168" s="6"/>
      <c r="B2168" s="18"/>
      <c r="D2168" s="2"/>
      <c r="I2168" s="2"/>
      <c r="K2168" s="9"/>
      <c r="Q2168" s="8"/>
      <c r="W2168" s="20"/>
    </row>
    <row r="2169" spans="1:23" ht="16.149999999999999" customHeight="1" x14ac:dyDescent="0.15">
      <c r="A2169" s="6"/>
      <c r="B2169" s="18"/>
      <c r="D2169" s="2"/>
      <c r="I2169" s="2"/>
      <c r="K2169" s="9"/>
      <c r="Q2169" s="8"/>
      <c r="W2169" s="20"/>
    </row>
    <row r="2170" spans="1:23" ht="16.149999999999999" customHeight="1" x14ac:dyDescent="0.15">
      <c r="A2170" s="6"/>
      <c r="B2170" s="18"/>
      <c r="D2170" s="2"/>
      <c r="I2170" s="2"/>
      <c r="K2170" s="9"/>
      <c r="Q2170" s="8"/>
      <c r="W2170" s="20"/>
    </row>
    <row r="2171" spans="1:23" ht="16.149999999999999" customHeight="1" x14ac:dyDescent="0.15">
      <c r="A2171" s="6"/>
      <c r="B2171" s="18"/>
      <c r="D2171" s="2"/>
      <c r="I2171" s="2"/>
      <c r="K2171" s="9"/>
      <c r="Q2171" s="8"/>
      <c r="W2171" s="20"/>
    </row>
    <row r="2172" spans="1:23" ht="16.149999999999999" customHeight="1" x14ac:dyDescent="0.15">
      <c r="A2172" s="6"/>
      <c r="B2172" s="18"/>
      <c r="D2172" s="2"/>
      <c r="I2172" s="2"/>
      <c r="K2172" s="9"/>
      <c r="Q2172" s="8"/>
      <c r="W2172" s="20"/>
    </row>
    <row r="2173" spans="1:23" ht="16.149999999999999" customHeight="1" x14ac:dyDescent="0.15">
      <c r="A2173" s="6"/>
      <c r="B2173" s="18"/>
      <c r="D2173" s="2"/>
      <c r="I2173" s="2"/>
      <c r="K2173" s="9"/>
      <c r="Q2173" s="8"/>
      <c r="W2173" s="20"/>
    </row>
    <row r="2174" spans="1:23" ht="16.149999999999999" customHeight="1" x14ac:dyDescent="0.15">
      <c r="A2174" s="6"/>
      <c r="B2174" s="18"/>
      <c r="D2174" s="2"/>
      <c r="I2174" s="2"/>
      <c r="K2174" s="9"/>
      <c r="Q2174" s="8"/>
      <c r="W2174" s="20"/>
    </row>
    <row r="2175" spans="1:23" ht="16.149999999999999" customHeight="1" x14ac:dyDescent="0.15">
      <c r="A2175" s="6"/>
      <c r="B2175" s="18"/>
      <c r="D2175" s="2"/>
      <c r="I2175" s="2"/>
      <c r="K2175" s="9"/>
      <c r="Q2175" s="8"/>
      <c r="W2175" s="20"/>
    </row>
    <row r="2176" spans="1:23" ht="16.149999999999999" customHeight="1" x14ac:dyDescent="0.15">
      <c r="A2176" s="6"/>
      <c r="B2176" s="18"/>
      <c r="D2176" s="2"/>
      <c r="I2176" s="2"/>
      <c r="K2176" s="9"/>
      <c r="Q2176" s="8"/>
      <c r="W2176" s="20"/>
    </row>
    <row r="2177" spans="1:23" ht="16.149999999999999" customHeight="1" x14ac:dyDescent="0.15">
      <c r="A2177" s="6"/>
      <c r="B2177" s="23"/>
      <c r="D2177" s="2"/>
      <c r="I2177" s="2"/>
      <c r="K2177" s="9"/>
      <c r="Q2177" s="21"/>
      <c r="W2177" s="22"/>
    </row>
  </sheetData>
  <mergeCells count="1">
    <mergeCell ref="G1:H1"/>
  </mergeCells>
  <dataValidations count="8">
    <dataValidation type="custom" allowBlank="1" showErrorMessage="1" errorTitle="Invalid IEC 61131-3 Variable Nam" error="Please enter only alphanumeric and underscore characters." sqref="M3:M5 O2160:O2177" xr:uid="{541A7FB6-FB05-43B2-98DD-A72667FE4BCC}">
      <formula1>ISNUMBER(SUMPRODUCT(SEARCH(MID(M3,ROW(INDIRECT("1:"&amp;LEN(M3))),1),"0123456789abcdefghijklmnopqrstuvwxyzABCDEFGHIJKLMNOPQRSTUVWXYZ-_")))</formula1>
    </dataValidation>
    <dataValidation type="whole" errorStyle="warning" allowBlank="1" showInputMessage="1" showErrorMessage="1" errorTitle="Device Modbus Register Base" error="This value is the device register number of the first register in the table.  Typically this value is 1, occasionally it is 0.  " sqref="C4" xr:uid="{8628B815-C4A4-408E-8D2A-3CAFA282A16A}">
      <formula1>0</formula1>
      <formula2>1</formula2>
    </dataValidation>
    <dataValidation type="list" allowBlank="1" showInputMessage="1" showErrorMessage="1" sqref="E7:E1030" xr:uid="{FDD96A8E-BA37-4E09-9B07-D45CA382CD46}">
      <formula1>"Boolean, 16-bit signed integer,16-bit unsigned integer,32-bit signed integer,32-bit unsigned integer,32-bit float,String,Enumeration,16-bit bitfield,32-bit bitfield"</formula1>
    </dataValidation>
    <dataValidation type="list" allowBlank="1" showInputMessage="1" showErrorMessage="1" sqref="C7:C1030" xr:uid="{F20CE24C-B87B-4805-8ACD-D2A454A87FE4}">
      <formula1>"Holding Register, Input Register, Discrete Input, Coil"</formula1>
    </dataValidation>
    <dataValidation type="list" allowBlank="1" showInputMessage="1" showErrorMessage="1" sqref="J7:J1030" xr:uid="{F12FA687-06E5-49EB-8F35-6C9E52F984C1}">
      <formula1>"None,On (1),Off (0),State change,Analog"</formula1>
    </dataValidation>
    <dataValidation type="list" allowBlank="1" showInputMessage="1" sqref="K7:L1030" xr:uid="{50A3BDB5-F263-4196-9D2A-DCCE26743008}">
      <formula1>"Enabled,Disabled,Open,Closed,Normal,Alarm,On,Off"</formula1>
    </dataValidation>
    <dataValidation type="list" allowBlank="1" showInputMessage="1" showErrorMessage="1" sqref="V7:V1030" xr:uid="{A904AB53-4734-480F-AD1D-64EE20F4E900}">
      <formula1>"KPI,Primary Detail,Secondary Detail,Analytic,Diagnostic,Not Shown"</formula1>
    </dataValidation>
    <dataValidation allowBlank="1" showErrorMessage="1" errorTitle="Invalid IEC 61131-3 Variable Nam" error="Please enter only alphanumeric and underscore characters." sqref="D7:D168 D189:D313 D334:D458 D479:D603 D624:D1030" xr:uid="{0CC5C4D9-208D-4B27-9B9A-89EF298F1007}"/>
  </dataValidations>
  <pageMargins left="0.25" right="0.25" top="0.75" bottom="0.75" header="0.3" footer="0.3"/>
  <pageSetup paperSize="3" scale="32" fitToHeight="0"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FD309-BC73-45C4-8874-4629D9D166D0}">
  <sheetPr codeName="Sheet11">
    <tabColor rgb="FFFFFF00"/>
    <pageSetUpPr fitToPage="1"/>
  </sheetPr>
  <dimension ref="A1:AH258"/>
  <sheetViews>
    <sheetView topLeftCell="A113" zoomScaleNormal="100" workbookViewId="0">
      <selection activeCell="H151" sqref="H151"/>
    </sheetView>
  </sheetViews>
  <sheetFormatPr defaultColWidth="13.5" defaultRowHeight="16.149999999999999" customHeight="1" x14ac:dyDescent="0.15"/>
  <cols>
    <col min="9" max="9" width="0" hidden="1" customWidth="1"/>
    <col min="15" max="18" width="0" hidden="1" customWidth="1"/>
    <col min="23" max="23" width="75.33203125" bestFit="1" customWidth="1"/>
    <col min="24" max="24" width="18.83203125" style="9" bestFit="1" customWidth="1"/>
    <col min="25" max="25" width="30.33203125" bestFit="1" customWidth="1"/>
    <col min="26" max="27" width="13.5" style="9"/>
    <col min="31" max="34" width="13.5" style="9"/>
  </cols>
  <sheetData>
    <row r="1" spans="1:34" ht="24" customHeight="1" x14ac:dyDescent="0.15">
      <c r="A1" s="25" t="str">
        <f>'Data Flows'!A1</f>
        <v>Site Name</v>
      </c>
      <c r="B1" s="2"/>
      <c r="C1" s="2"/>
      <c r="D1" s="2"/>
      <c r="E1" s="2"/>
      <c r="F1" s="2"/>
      <c r="G1" s="142" t="s">
        <v>19</v>
      </c>
      <c r="H1" s="142"/>
      <c r="K1" s="25" t="s">
        <v>3188</v>
      </c>
      <c r="L1" s="25"/>
      <c r="X1" s="6"/>
      <c r="AA1"/>
      <c r="AE1"/>
      <c r="AF1"/>
      <c r="AG1"/>
      <c r="AH1"/>
    </row>
    <row r="2" spans="1:34" ht="16.149999999999999" customHeight="1" x14ac:dyDescent="0.15">
      <c r="A2" s="10" t="s">
        <v>21</v>
      </c>
      <c r="B2" s="2"/>
      <c r="C2" s="11">
        <v>45082</v>
      </c>
      <c r="D2" s="41" t="s">
        <v>22</v>
      </c>
      <c r="E2" t="s">
        <v>3189</v>
      </c>
      <c r="K2" t="s">
        <v>24</v>
      </c>
      <c r="X2" s="6"/>
      <c r="AA2"/>
      <c r="AE2"/>
      <c r="AF2"/>
      <c r="AG2"/>
      <c r="AH2"/>
    </row>
    <row r="3" spans="1:34" ht="16.149999999999999" customHeight="1" x14ac:dyDescent="0.15">
      <c r="A3" s="12" t="s">
        <v>25</v>
      </c>
      <c r="C3">
        <v>4</v>
      </c>
      <c r="D3" s="42" t="s">
        <v>26</v>
      </c>
      <c r="E3" t="s">
        <v>3190</v>
      </c>
      <c r="M3" s="13"/>
      <c r="N3" s="8"/>
      <c r="X3" s="6"/>
      <c r="Z3" s="37"/>
      <c r="AA3"/>
      <c r="AE3"/>
      <c r="AF3"/>
      <c r="AG3"/>
      <c r="AH3"/>
    </row>
    <row r="4" spans="1:34" ht="16.149999999999999" customHeight="1" x14ac:dyDescent="0.15">
      <c r="A4" s="12" t="s">
        <v>28</v>
      </c>
      <c r="C4" s="9">
        <v>1</v>
      </c>
      <c r="N4" s="2"/>
      <c r="X4" s="6"/>
      <c r="Z4"/>
      <c r="AA4"/>
      <c r="AE4"/>
      <c r="AF4"/>
      <c r="AG4"/>
      <c r="AH4"/>
    </row>
    <row r="5" spans="1:34" ht="16.149999999999999" customHeight="1" x14ac:dyDescent="0.15">
      <c r="A5" s="12" t="s">
        <v>30</v>
      </c>
      <c r="C5">
        <v>5</v>
      </c>
      <c r="N5" s="2"/>
      <c r="X5" s="6"/>
      <c r="Z5"/>
      <c r="AA5"/>
      <c r="AE5"/>
      <c r="AF5"/>
      <c r="AG5"/>
      <c r="AH5"/>
    </row>
    <row r="6" spans="1:34" ht="39" customHeight="1" x14ac:dyDescent="0.15">
      <c r="A6" s="132" t="s">
        <v>31</v>
      </c>
      <c r="B6" t="s">
        <v>32</v>
      </c>
      <c r="C6" t="s">
        <v>33</v>
      </c>
      <c r="D6" t="s">
        <v>34</v>
      </c>
      <c r="E6" t="s">
        <v>35</v>
      </c>
      <c r="F6" s="133" t="s">
        <v>36</v>
      </c>
      <c r="G6" s="133" t="s">
        <v>37</v>
      </c>
      <c r="H6" s="134" t="s">
        <v>38</v>
      </c>
      <c r="I6" s="3" t="s">
        <v>39</v>
      </c>
      <c r="J6" s="135" t="s">
        <v>40</v>
      </c>
      <c r="K6" s="135" t="s">
        <v>41</v>
      </c>
      <c r="L6" s="135" t="s">
        <v>42</v>
      </c>
      <c r="M6" s="135" t="s">
        <v>43</v>
      </c>
      <c r="N6" t="s">
        <v>44</v>
      </c>
      <c r="O6" t="s">
        <v>45</v>
      </c>
      <c r="P6" t="s">
        <v>46</v>
      </c>
      <c r="Q6" t="s">
        <v>47</v>
      </c>
      <c r="R6" t="s">
        <v>48</v>
      </c>
      <c r="S6" s="3" t="s">
        <v>49</v>
      </c>
      <c r="T6" s="135" t="s">
        <v>50</v>
      </c>
      <c r="U6" t="s">
        <v>51</v>
      </c>
      <c r="V6" t="s">
        <v>52</v>
      </c>
      <c r="W6" s="135" t="s">
        <v>53</v>
      </c>
      <c r="X6" t="s">
        <v>54</v>
      </c>
      <c r="Y6" t="s">
        <v>55</v>
      </c>
      <c r="Z6"/>
      <c r="AA6"/>
      <c r="AE6"/>
      <c r="AF6"/>
      <c r="AG6"/>
      <c r="AH6"/>
    </row>
    <row r="7" spans="1:34" ht="15.75" customHeight="1" x14ac:dyDescent="0.15">
      <c r="A7">
        <v>1</v>
      </c>
      <c r="B7" t="s">
        <v>75</v>
      </c>
      <c r="C7" t="s">
        <v>2634</v>
      </c>
      <c r="D7" t="s">
        <v>3191</v>
      </c>
      <c r="E7" t="s">
        <v>3192</v>
      </c>
      <c r="F7">
        <v>0</v>
      </c>
      <c r="H7">
        <v>40001</v>
      </c>
      <c r="M7" t="s">
        <v>582</v>
      </c>
      <c r="N7">
        <v>1</v>
      </c>
      <c r="O7">
        <v>-3.40282346639E+38</v>
      </c>
      <c r="P7">
        <v>3.40282346639E+38</v>
      </c>
      <c r="Q7">
        <v>-3.40282346639E+38</v>
      </c>
      <c r="R7">
        <v>3.40282346639E+38</v>
      </c>
      <c r="W7" t="s">
        <v>3193</v>
      </c>
      <c r="X7"/>
      <c r="Z7"/>
      <c r="AA7"/>
      <c r="AE7"/>
      <c r="AF7"/>
      <c r="AG7"/>
      <c r="AH7"/>
    </row>
    <row r="8" spans="1:34" ht="15.75" customHeight="1" x14ac:dyDescent="0.15">
      <c r="A8">
        <v>2</v>
      </c>
      <c r="B8" t="s">
        <v>75</v>
      </c>
      <c r="C8" t="s">
        <v>2634</v>
      </c>
      <c r="D8" t="s">
        <v>3194</v>
      </c>
      <c r="E8" t="s">
        <v>3192</v>
      </c>
      <c r="F8">
        <v>2</v>
      </c>
      <c r="H8">
        <v>40003</v>
      </c>
      <c r="M8" t="s">
        <v>2311</v>
      </c>
      <c r="N8">
        <v>1</v>
      </c>
      <c r="O8">
        <v>-3.40282346639E+38</v>
      </c>
      <c r="P8">
        <v>3.40282346639E+38</v>
      </c>
      <c r="Q8">
        <v>-3.40282346639E+38</v>
      </c>
      <c r="R8">
        <v>3.40282346639E+38</v>
      </c>
      <c r="W8" t="s">
        <v>3195</v>
      </c>
      <c r="X8"/>
      <c r="Z8"/>
      <c r="AA8"/>
      <c r="AE8"/>
      <c r="AF8"/>
      <c r="AG8"/>
      <c r="AH8"/>
    </row>
    <row r="9" spans="1:34" ht="15.75" customHeight="1" x14ac:dyDescent="0.15">
      <c r="A9">
        <v>3</v>
      </c>
      <c r="B9" t="s">
        <v>75</v>
      </c>
      <c r="C9" t="s">
        <v>2634</v>
      </c>
      <c r="D9" t="s">
        <v>3196</v>
      </c>
      <c r="E9" t="s">
        <v>3192</v>
      </c>
      <c r="F9">
        <v>4</v>
      </c>
      <c r="H9">
        <v>40005</v>
      </c>
      <c r="M9" t="s">
        <v>113</v>
      </c>
      <c r="N9">
        <v>1</v>
      </c>
      <c r="O9">
        <v>-3.40282346639E+38</v>
      </c>
      <c r="P9">
        <v>3.40282346639E+38</v>
      </c>
      <c r="Q9">
        <v>-3.40282346639E+38</v>
      </c>
      <c r="R9">
        <v>3.40282346639E+38</v>
      </c>
      <c r="W9" t="s">
        <v>3197</v>
      </c>
      <c r="X9"/>
      <c r="Z9"/>
      <c r="AA9"/>
      <c r="AE9"/>
      <c r="AF9"/>
      <c r="AG9"/>
      <c r="AH9"/>
    </row>
    <row r="10" spans="1:34" ht="15.75" customHeight="1" x14ac:dyDescent="0.15">
      <c r="A10">
        <v>4</v>
      </c>
      <c r="B10" t="s">
        <v>75</v>
      </c>
      <c r="C10" t="s">
        <v>2634</v>
      </c>
      <c r="D10" t="s">
        <v>3198</v>
      </c>
      <c r="E10" t="s">
        <v>3192</v>
      </c>
      <c r="F10">
        <v>6</v>
      </c>
      <c r="H10">
        <v>40007</v>
      </c>
      <c r="M10" t="s">
        <v>8915</v>
      </c>
      <c r="N10">
        <v>1</v>
      </c>
      <c r="O10">
        <v>-3.40282346639E+38</v>
      </c>
      <c r="P10">
        <v>3.40282346639E+38</v>
      </c>
      <c r="Q10">
        <v>-3.40282346639E+38</v>
      </c>
      <c r="R10">
        <v>3.40282346639E+38</v>
      </c>
      <c r="W10" t="s">
        <v>3199</v>
      </c>
      <c r="X10"/>
      <c r="Z10"/>
      <c r="AA10"/>
      <c r="AE10"/>
      <c r="AF10"/>
      <c r="AG10"/>
      <c r="AH10"/>
    </row>
    <row r="11" spans="1:34" ht="15.75" customHeight="1" x14ac:dyDescent="0.15">
      <c r="A11">
        <v>5</v>
      </c>
      <c r="B11" t="s">
        <v>75</v>
      </c>
      <c r="C11" t="s">
        <v>2634</v>
      </c>
      <c r="D11" t="s">
        <v>3200</v>
      </c>
      <c r="E11" t="s">
        <v>3192</v>
      </c>
      <c r="F11">
        <v>8</v>
      </c>
      <c r="H11">
        <v>40009</v>
      </c>
      <c r="M11" t="s">
        <v>2311</v>
      </c>
      <c r="N11">
        <v>1</v>
      </c>
      <c r="O11">
        <v>-3.40282346639E+38</v>
      </c>
      <c r="P11">
        <v>3.40282346639E+38</v>
      </c>
      <c r="Q11">
        <v>-3.40282346639E+38</v>
      </c>
      <c r="R11">
        <v>3.40282346639E+38</v>
      </c>
      <c r="W11" t="s">
        <v>3201</v>
      </c>
      <c r="X11"/>
      <c r="Z11"/>
      <c r="AA11"/>
      <c r="AE11"/>
      <c r="AF11"/>
      <c r="AG11"/>
      <c r="AH11"/>
    </row>
    <row r="12" spans="1:34" ht="15.75" customHeight="1" x14ac:dyDescent="0.15">
      <c r="A12">
        <v>6</v>
      </c>
      <c r="B12" t="s">
        <v>75</v>
      </c>
      <c r="C12" t="s">
        <v>2634</v>
      </c>
      <c r="D12" t="s">
        <v>3202</v>
      </c>
      <c r="E12" t="s">
        <v>3192</v>
      </c>
      <c r="F12">
        <v>10</v>
      </c>
      <c r="H12">
        <v>40011</v>
      </c>
      <c r="M12" t="s">
        <v>113</v>
      </c>
      <c r="N12">
        <v>1</v>
      </c>
      <c r="O12">
        <v>-3.40282346639E+38</v>
      </c>
      <c r="P12">
        <v>3.40282346639E+38</v>
      </c>
      <c r="Q12">
        <v>-3.40282346639E+38</v>
      </c>
      <c r="R12">
        <v>3.40282346639E+38</v>
      </c>
      <c r="W12" t="s">
        <v>3203</v>
      </c>
      <c r="X12"/>
      <c r="Z12"/>
      <c r="AA12"/>
      <c r="AE12"/>
      <c r="AF12"/>
      <c r="AG12"/>
      <c r="AH12"/>
    </row>
    <row r="13" spans="1:34" ht="15.75" customHeight="1" x14ac:dyDescent="0.15">
      <c r="A13">
        <v>7</v>
      </c>
      <c r="B13" t="s">
        <v>75</v>
      </c>
      <c r="C13" t="s">
        <v>2634</v>
      </c>
      <c r="D13" t="s">
        <v>3204</v>
      </c>
      <c r="E13" t="s">
        <v>3192</v>
      </c>
      <c r="F13">
        <v>12</v>
      </c>
      <c r="H13">
        <v>40013</v>
      </c>
      <c r="M13" t="s">
        <v>2311</v>
      </c>
      <c r="N13">
        <v>1</v>
      </c>
      <c r="O13">
        <v>-3.40282346639E+38</v>
      </c>
      <c r="P13">
        <v>3.40282346639E+38</v>
      </c>
      <c r="Q13">
        <v>-3.40282346639E+38</v>
      </c>
      <c r="R13">
        <v>3.40282346639E+38</v>
      </c>
      <c r="W13" t="s">
        <v>3205</v>
      </c>
      <c r="X13"/>
      <c r="Z13"/>
      <c r="AA13"/>
      <c r="AE13"/>
      <c r="AF13"/>
      <c r="AG13"/>
      <c r="AH13"/>
    </row>
    <row r="14" spans="1:34" ht="15.75" customHeight="1" x14ac:dyDescent="0.15">
      <c r="A14">
        <v>8</v>
      </c>
      <c r="B14" t="s">
        <v>75</v>
      </c>
      <c r="C14" t="s">
        <v>2634</v>
      </c>
      <c r="D14" t="s">
        <v>3206</v>
      </c>
      <c r="E14" t="s">
        <v>3192</v>
      </c>
      <c r="F14">
        <v>16</v>
      </c>
      <c r="H14">
        <v>40017</v>
      </c>
      <c r="M14" t="s">
        <v>6111</v>
      </c>
      <c r="N14">
        <v>1</v>
      </c>
      <c r="O14">
        <v>-3.40282346639E+38</v>
      </c>
      <c r="P14">
        <v>3.40282346639E+38</v>
      </c>
      <c r="Q14">
        <v>-3.40282346639E+38</v>
      </c>
      <c r="R14">
        <v>3.40282346639E+38</v>
      </c>
      <c r="W14" t="s">
        <v>3207</v>
      </c>
      <c r="X14"/>
      <c r="Z14"/>
      <c r="AA14"/>
      <c r="AE14"/>
      <c r="AF14"/>
      <c r="AG14"/>
      <c r="AH14"/>
    </row>
    <row r="15" spans="1:34" ht="15.75" customHeight="1" x14ac:dyDescent="0.15">
      <c r="A15">
        <v>9</v>
      </c>
      <c r="B15" t="s">
        <v>75</v>
      </c>
      <c r="C15" t="s">
        <v>2634</v>
      </c>
      <c r="D15" t="s">
        <v>3208</v>
      </c>
      <c r="E15" t="s">
        <v>3192</v>
      </c>
      <c r="F15">
        <v>18</v>
      </c>
      <c r="H15">
        <v>40019</v>
      </c>
      <c r="M15" t="s">
        <v>6111</v>
      </c>
      <c r="N15">
        <v>1</v>
      </c>
      <c r="O15">
        <v>-3.40282346639E+38</v>
      </c>
      <c r="P15">
        <v>3.40282346639E+38</v>
      </c>
      <c r="Q15">
        <v>-3.40282346639E+38</v>
      </c>
      <c r="R15">
        <v>3.40282346639E+38</v>
      </c>
      <c r="W15" t="s">
        <v>3209</v>
      </c>
      <c r="X15"/>
      <c r="Z15"/>
      <c r="AA15"/>
      <c r="AE15"/>
      <c r="AF15"/>
      <c r="AG15"/>
      <c r="AH15"/>
    </row>
    <row r="16" spans="1:34" ht="15.75" customHeight="1" x14ac:dyDescent="0.15">
      <c r="A16">
        <v>10</v>
      </c>
      <c r="B16" t="s">
        <v>75</v>
      </c>
      <c r="C16" t="s">
        <v>2634</v>
      </c>
      <c r="D16" t="s">
        <v>3210</v>
      </c>
      <c r="E16" t="s">
        <v>3192</v>
      </c>
      <c r="F16">
        <v>20</v>
      </c>
      <c r="H16">
        <v>40021</v>
      </c>
      <c r="M16" t="s">
        <v>6111</v>
      </c>
      <c r="N16">
        <v>1</v>
      </c>
      <c r="O16">
        <v>-3.40282346639E+38</v>
      </c>
      <c r="P16">
        <v>3.40282346639E+38</v>
      </c>
      <c r="Q16">
        <v>-3.40282346639E+38</v>
      </c>
      <c r="R16">
        <v>3.40282346639E+38</v>
      </c>
      <c r="W16" t="s">
        <v>3211</v>
      </c>
      <c r="X16"/>
      <c r="Z16"/>
      <c r="AA16"/>
      <c r="AE16"/>
      <c r="AF16"/>
      <c r="AG16"/>
      <c r="AH16"/>
    </row>
    <row r="17" spans="1:34" ht="15.75" customHeight="1" x14ac:dyDescent="0.15">
      <c r="A17">
        <v>11</v>
      </c>
      <c r="B17" t="s">
        <v>75</v>
      </c>
      <c r="C17" t="s">
        <v>2634</v>
      </c>
      <c r="D17" t="s">
        <v>3212</v>
      </c>
      <c r="E17" t="s">
        <v>3192</v>
      </c>
      <c r="F17">
        <v>22</v>
      </c>
      <c r="H17">
        <v>40023</v>
      </c>
      <c r="K17" t="s">
        <v>940</v>
      </c>
      <c r="L17" t="s">
        <v>941</v>
      </c>
      <c r="M17" t="s">
        <v>2276</v>
      </c>
      <c r="N17">
        <v>1</v>
      </c>
      <c r="O17">
        <v>-3.40282346639E+38</v>
      </c>
      <c r="P17">
        <v>3.40282346639E+38</v>
      </c>
      <c r="Q17">
        <v>-3.40282346639E+38</v>
      </c>
      <c r="R17">
        <v>3.40282346639E+38</v>
      </c>
      <c r="W17" t="s">
        <v>3213</v>
      </c>
      <c r="X17"/>
      <c r="Z17"/>
      <c r="AA17"/>
      <c r="AE17"/>
      <c r="AF17"/>
      <c r="AG17"/>
      <c r="AH17"/>
    </row>
    <row r="18" spans="1:34" ht="15.75" customHeight="1" x14ac:dyDescent="0.15">
      <c r="A18">
        <v>12</v>
      </c>
      <c r="B18" t="s">
        <v>75</v>
      </c>
      <c r="C18" t="s">
        <v>2634</v>
      </c>
      <c r="D18" t="s">
        <v>3214</v>
      </c>
      <c r="E18" t="s">
        <v>3192</v>
      </c>
      <c r="F18">
        <v>24</v>
      </c>
      <c r="H18">
        <v>40025</v>
      </c>
      <c r="M18" t="s">
        <v>61</v>
      </c>
      <c r="N18">
        <v>1</v>
      </c>
      <c r="O18">
        <v>-3.40282346639E+38</v>
      </c>
      <c r="P18">
        <v>3.40282346639E+38</v>
      </c>
      <c r="Q18">
        <v>-3.40282346639E+38</v>
      </c>
      <c r="R18">
        <v>3.40282346639E+38</v>
      </c>
      <c r="W18" t="s">
        <v>3215</v>
      </c>
      <c r="X18"/>
      <c r="Z18"/>
      <c r="AA18"/>
      <c r="AE18"/>
      <c r="AF18"/>
      <c r="AG18"/>
      <c r="AH18"/>
    </row>
    <row r="19" spans="1:34" ht="15.75" customHeight="1" x14ac:dyDescent="0.15">
      <c r="A19">
        <v>13</v>
      </c>
      <c r="B19" t="s">
        <v>75</v>
      </c>
      <c r="C19" t="s">
        <v>2634</v>
      </c>
      <c r="D19" t="s">
        <v>3216</v>
      </c>
      <c r="E19" t="s">
        <v>3192</v>
      </c>
      <c r="F19">
        <v>26</v>
      </c>
      <c r="H19">
        <v>40027</v>
      </c>
      <c r="K19" t="s">
        <v>940</v>
      </c>
      <c r="L19" t="s">
        <v>941</v>
      </c>
      <c r="M19" t="s">
        <v>2276</v>
      </c>
      <c r="N19">
        <v>1</v>
      </c>
      <c r="O19">
        <v>-3.40282346639E+38</v>
      </c>
      <c r="P19">
        <v>3.40282346639E+38</v>
      </c>
      <c r="Q19">
        <v>-3.40282346639E+38</v>
      </c>
      <c r="R19">
        <v>3.40282346639E+38</v>
      </c>
      <c r="W19" t="s">
        <v>3217</v>
      </c>
      <c r="X19"/>
      <c r="Z19"/>
      <c r="AA19"/>
      <c r="AE19"/>
      <c r="AF19"/>
      <c r="AG19"/>
      <c r="AH19"/>
    </row>
    <row r="20" spans="1:34" ht="15.75" customHeight="1" x14ac:dyDescent="0.15">
      <c r="A20">
        <v>14</v>
      </c>
      <c r="B20" t="s">
        <v>75</v>
      </c>
      <c r="C20" t="s">
        <v>2634</v>
      </c>
      <c r="D20" t="s">
        <v>3218</v>
      </c>
      <c r="E20" t="s">
        <v>3192</v>
      </c>
      <c r="F20">
        <v>28</v>
      </c>
      <c r="H20">
        <v>40029</v>
      </c>
      <c r="K20" t="s">
        <v>940</v>
      </c>
      <c r="L20" t="s">
        <v>941</v>
      </c>
      <c r="M20" t="s">
        <v>2276</v>
      </c>
      <c r="N20">
        <v>1</v>
      </c>
      <c r="O20">
        <v>-3.40282346639E+38</v>
      </c>
      <c r="P20">
        <v>3.40282346639E+38</v>
      </c>
      <c r="Q20">
        <v>-3.40282346639E+38</v>
      </c>
      <c r="R20">
        <v>3.40282346639E+38</v>
      </c>
      <c r="W20" t="s">
        <v>3219</v>
      </c>
      <c r="X20" t="s">
        <v>2666</v>
      </c>
      <c r="Z20"/>
      <c r="AA20"/>
      <c r="AE20"/>
      <c r="AF20"/>
      <c r="AG20"/>
      <c r="AH20"/>
    </row>
    <row r="21" spans="1:34" ht="15.75" customHeight="1" x14ac:dyDescent="0.15">
      <c r="A21">
        <v>15</v>
      </c>
      <c r="B21" t="s">
        <v>75</v>
      </c>
      <c r="C21" t="s">
        <v>2634</v>
      </c>
      <c r="D21" t="s">
        <v>3220</v>
      </c>
      <c r="E21" t="s">
        <v>3192</v>
      </c>
      <c r="F21">
        <v>30</v>
      </c>
      <c r="H21">
        <v>40031</v>
      </c>
      <c r="M21" t="s">
        <v>113</v>
      </c>
      <c r="N21">
        <v>1</v>
      </c>
      <c r="O21">
        <v>-3.40282346639E+38</v>
      </c>
      <c r="P21">
        <v>3.40282346639E+38</v>
      </c>
      <c r="Q21">
        <v>-3.40282346639E+38</v>
      </c>
      <c r="R21">
        <v>3.40282346639E+38</v>
      </c>
      <c r="W21" t="s">
        <v>3221</v>
      </c>
      <c r="X21"/>
      <c r="Z21"/>
      <c r="AA21"/>
      <c r="AE21"/>
      <c r="AF21"/>
      <c r="AG21"/>
      <c r="AH21"/>
    </row>
    <row r="22" spans="1:34" ht="15.75" customHeight="1" x14ac:dyDescent="0.15">
      <c r="A22">
        <v>16</v>
      </c>
      <c r="B22" t="s">
        <v>75</v>
      </c>
      <c r="C22" t="s">
        <v>2634</v>
      </c>
      <c r="D22" t="s">
        <v>3222</v>
      </c>
      <c r="E22" t="s">
        <v>3192</v>
      </c>
      <c r="F22">
        <v>32</v>
      </c>
      <c r="H22">
        <v>40033</v>
      </c>
      <c r="M22" t="s">
        <v>123</v>
      </c>
      <c r="N22">
        <v>1</v>
      </c>
      <c r="O22">
        <v>-3.40282346639E+38</v>
      </c>
      <c r="P22">
        <v>3.40282346639E+38</v>
      </c>
      <c r="Q22">
        <v>-3.40282346639E+38</v>
      </c>
      <c r="R22">
        <v>3.40282346639E+38</v>
      </c>
      <c r="W22" t="s">
        <v>3223</v>
      </c>
      <c r="X22"/>
      <c r="Z22"/>
      <c r="AA22"/>
      <c r="AE22"/>
      <c r="AF22"/>
      <c r="AG22"/>
      <c r="AH22"/>
    </row>
    <row r="23" spans="1:34" ht="15.75" customHeight="1" x14ac:dyDescent="0.15">
      <c r="A23">
        <v>17</v>
      </c>
      <c r="B23" t="s">
        <v>75</v>
      </c>
      <c r="C23" t="s">
        <v>2634</v>
      </c>
      <c r="D23" t="s">
        <v>3224</v>
      </c>
      <c r="E23" t="s">
        <v>3192</v>
      </c>
      <c r="F23">
        <v>34</v>
      </c>
      <c r="H23">
        <v>40035</v>
      </c>
      <c r="M23" t="s">
        <v>123</v>
      </c>
      <c r="N23">
        <v>1</v>
      </c>
      <c r="O23">
        <v>-3.40282346639E+38</v>
      </c>
      <c r="P23">
        <v>3.40282346639E+38</v>
      </c>
      <c r="Q23">
        <v>-3.40282346639E+38</v>
      </c>
      <c r="R23">
        <v>3.40282346639E+38</v>
      </c>
      <c r="W23" t="s">
        <v>3225</v>
      </c>
      <c r="X23"/>
      <c r="Z23"/>
      <c r="AA23"/>
      <c r="AE23"/>
      <c r="AF23"/>
      <c r="AG23"/>
      <c r="AH23"/>
    </row>
    <row r="24" spans="1:34" ht="15.75" customHeight="1" x14ac:dyDescent="0.15">
      <c r="A24">
        <v>18</v>
      </c>
      <c r="B24" t="s">
        <v>75</v>
      </c>
      <c r="C24" t="s">
        <v>2634</v>
      </c>
      <c r="D24" t="s">
        <v>3226</v>
      </c>
      <c r="E24" t="s">
        <v>3192</v>
      </c>
      <c r="F24">
        <v>36</v>
      </c>
      <c r="H24">
        <v>40037</v>
      </c>
      <c r="M24" t="s">
        <v>113</v>
      </c>
      <c r="N24">
        <v>1</v>
      </c>
      <c r="O24">
        <v>-3.40282346639E+38</v>
      </c>
      <c r="P24">
        <v>3.40282346639E+38</v>
      </c>
      <c r="Q24">
        <v>-3.40282346639E+38</v>
      </c>
      <c r="R24">
        <v>3.40282346639E+38</v>
      </c>
      <c r="W24" t="s">
        <v>3227</v>
      </c>
      <c r="X24"/>
      <c r="Z24"/>
      <c r="AA24"/>
      <c r="AE24"/>
      <c r="AF24"/>
      <c r="AG24"/>
      <c r="AH24"/>
    </row>
    <row r="25" spans="1:34" ht="15.75" customHeight="1" x14ac:dyDescent="0.15">
      <c r="A25">
        <v>19</v>
      </c>
      <c r="B25" t="s">
        <v>75</v>
      </c>
      <c r="C25" t="s">
        <v>2634</v>
      </c>
      <c r="D25" t="s">
        <v>3228</v>
      </c>
      <c r="E25" t="s">
        <v>3192</v>
      </c>
      <c r="F25">
        <v>40</v>
      </c>
      <c r="H25">
        <v>40041</v>
      </c>
      <c r="M25" t="s">
        <v>3722</v>
      </c>
      <c r="N25">
        <v>1</v>
      </c>
      <c r="O25">
        <v>-3.40282346639E+38</v>
      </c>
      <c r="P25">
        <v>3.40282346639E+38</v>
      </c>
      <c r="Q25">
        <v>-3.40282346639E+38</v>
      </c>
      <c r="R25">
        <v>3.40282346639E+38</v>
      </c>
      <c r="W25" t="s">
        <v>3229</v>
      </c>
      <c r="X25"/>
      <c r="Y25" t="s">
        <v>3230</v>
      </c>
      <c r="Z25"/>
      <c r="AA25"/>
      <c r="AE25"/>
      <c r="AF25"/>
      <c r="AG25"/>
      <c r="AH25"/>
    </row>
    <row r="26" spans="1:34" ht="15.75" customHeight="1" x14ac:dyDescent="0.15">
      <c r="A26">
        <v>20</v>
      </c>
      <c r="B26" t="s">
        <v>75</v>
      </c>
      <c r="C26" t="s">
        <v>2634</v>
      </c>
      <c r="D26" t="s">
        <v>3231</v>
      </c>
      <c r="E26" t="s">
        <v>3192</v>
      </c>
      <c r="F26">
        <v>42</v>
      </c>
      <c r="H26">
        <v>40043</v>
      </c>
      <c r="K26" t="s">
        <v>177</v>
      </c>
      <c r="L26" t="s">
        <v>177</v>
      </c>
      <c r="M26" t="s">
        <v>2276</v>
      </c>
      <c r="N26">
        <v>1</v>
      </c>
      <c r="O26">
        <v>-3.40282346639E+38</v>
      </c>
      <c r="P26">
        <v>3.40282346639E+38</v>
      </c>
      <c r="Q26">
        <v>-3.40282346639E+38</v>
      </c>
      <c r="R26">
        <v>3.40282346639E+38</v>
      </c>
      <c r="W26" t="s">
        <v>3232</v>
      </c>
      <c r="X26"/>
      <c r="Z26"/>
      <c r="AA26"/>
      <c r="AE26"/>
      <c r="AF26"/>
      <c r="AG26"/>
      <c r="AH26"/>
    </row>
    <row r="27" spans="1:34" ht="15.75" customHeight="1" x14ac:dyDescent="0.15">
      <c r="A27">
        <v>21</v>
      </c>
      <c r="B27" t="s">
        <v>75</v>
      </c>
      <c r="C27" t="s">
        <v>2634</v>
      </c>
      <c r="D27" t="s">
        <v>3233</v>
      </c>
      <c r="E27" t="s">
        <v>3192</v>
      </c>
      <c r="F27">
        <v>44</v>
      </c>
      <c r="H27">
        <v>40045</v>
      </c>
      <c r="M27" t="s">
        <v>113</v>
      </c>
      <c r="N27">
        <v>1</v>
      </c>
      <c r="O27">
        <v>-3.40282346639E+38</v>
      </c>
      <c r="P27">
        <v>3.40282346639E+38</v>
      </c>
      <c r="Q27">
        <v>-3.40282346639E+38</v>
      </c>
      <c r="R27">
        <v>3.40282346639E+38</v>
      </c>
      <c r="W27" t="s">
        <v>3234</v>
      </c>
      <c r="X27"/>
      <c r="Z27"/>
      <c r="AA27"/>
      <c r="AE27"/>
      <c r="AF27"/>
      <c r="AG27"/>
      <c r="AH27"/>
    </row>
    <row r="28" spans="1:34" ht="15.75" customHeight="1" x14ac:dyDescent="0.15">
      <c r="A28">
        <v>22</v>
      </c>
      <c r="B28" t="s">
        <v>75</v>
      </c>
      <c r="C28" t="s">
        <v>2634</v>
      </c>
      <c r="D28" t="s">
        <v>3235</v>
      </c>
      <c r="E28" t="s">
        <v>3192</v>
      </c>
      <c r="F28">
        <v>46</v>
      </c>
      <c r="H28">
        <v>40047</v>
      </c>
      <c r="M28" t="s">
        <v>6121</v>
      </c>
      <c r="N28">
        <v>1</v>
      </c>
      <c r="O28">
        <v>-3.40282346639E+38</v>
      </c>
      <c r="P28">
        <v>3.40282346639E+38</v>
      </c>
      <c r="Q28">
        <v>-3.40282346639E+38</v>
      </c>
      <c r="R28">
        <v>3.40282346639E+38</v>
      </c>
      <c r="W28" t="s">
        <v>3236</v>
      </c>
      <c r="X28"/>
      <c r="Z28"/>
      <c r="AA28"/>
      <c r="AE28"/>
      <c r="AF28"/>
      <c r="AG28"/>
      <c r="AH28"/>
    </row>
    <row r="29" spans="1:34" ht="15.75" customHeight="1" x14ac:dyDescent="0.15">
      <c r="A29">
        <v>23</v>
      </c>
      <c r="B29" t="s">
        <v>75</v>
      </c>
      <c r="C29" t="s">
        <v>2634</v>
      </c>
      <c r="D29" t="s">
        <v>3237</v>
      </c>
      <c r="E29" t="s">
        <v>3192</v>
      </c>
      <c r="F29">
        <v>48</v>
      </c>
      <c r="H29">
        <v>40049</v>
      </c>
      <c r="M29" t="s">
        <v>6121</v>
      </c>
      <c r="N29">
        <v>1</v>
      </c>
      <c r="O29">
        <v>-3.40282346639E+38</v>
      </c>
      <c r="P29">
        <v>3.40282346639E+38</v>
      </c>
      <c r="Q29">
        <v>-3.40282346639E+38</v>
      </c>
      <c r="R29">
        <v>3.40282346639E+38</v>
      </c>
      <c r="W29" t="s">
        <v>3238</v>
      </c>
      <c r="X29"/>
      <c r="Z29"/>
      <c r="AA29"/>
      <c r="AE29"/>
      <c r="AF29"/>
      <c r="AG29"/>
      <c r="AH29"/>
    </row>
    <row r="30" spans="1:34" ht="15.75" customHeight="1" x14ac:dyDescent="0.15">
      <c r="A30">
        <v>24</v>
      </c>
      <c r="B30" t="s">
        <v>75</v>
      </c>
      <c r="C30" t="s">
        <v>2634</v>
      </c>
      <c r="D30" t="s">
        <v>3239</v>
      </c>
      <c r="E30" t="s">
        <v>3192</v>
      </c>
      <c r="F30">
        <v>50</v>
      </c>
      <c r="H30">
        <v>40051</v>
      </c>
      <c r="M30" t="s">
        <v>8915</v>
      </c>
      <c r="N30">
        <v>1</v>
      </c>
      <c r="O30">
        <v>-3.40282346639E+38</v>
      </c>
      <c r="P30">
        <v>3.40282346639E+38</v>
      </c>
      <c r="Q30">
        <v>-3.40282346639E+38</v>
      </c>
      <c r="R30">
        <v>3.40282346639E+38</v>
      </c>
      <c r="W30" t="s">
        <v>3240</v>
      </c>
      <c r="X30"/>
      <c r="Z30"/>
      <c r="AA30"/>
      <c r="AE30"/>
      <c r="AF30"/>
      <c r="AG30"/>
      <c r="AH30"/>
    </row>
    <row r="31" spans="1:34" ht="15.75" customHeight="1" x14ac:dyDescent="0.15">
      <c r="A31">
        <v>25</v>
      </c>
      <c r="B31" t="s">
        <v>75</v>
      </c>
      <c r="C31" t="s">
        <v>2634</v>
      </c>
      <c r="D31" t="s">
        <v>3241</v>
      </c>
      <c r="E31" t="s">
        <v>3192</v>
      </c>
      <c r="F31">
        <v>52</v>
      </c>
      <c r="H31">
        <v>40053</v>
      </c>
      <c r="M31" t="s">
        <v>6121</v>
      </c>
      <c r="N31">
        <v>1</v>
      </c>
      <c r="O31">
        <v>-3.40282346639E+38</v>
      </c>
      <c r="P31">
        <v>3.40282346639E+38</v>
      </c>
      <c r="Q31">
        <v>-3.40282346639E+38</v>
      </c>
      <c r="R31">
        <v>3.40282346639E+38</v>
      </c>
      <c r="W31" t="s">
        <v>3242</v>
      </c>
      <c r="X31"/>
      <c r="Z31"/>
      <c r="AA31"/>
      <c r="AE31"/>
      <c r="AF31"/>
      <c r="AG31"/>
      <c r="AH31"/>
    </row>
    <row r="32" spans="1:34" ht="15.75" customHeight="1" x14ac:dyDescent="0.15">
      <c r="A32">
        <v>26</v>
      </c>
      <c r="B32" t="s">
        <v>75</v>
      </c>
      <c r="C32" t="s">
        <v>2634</v>
      </c>
      <c r="D32" t="s">
        <v>3243</v>
      </c>
      <c r="E32" t="s">
        <v>3192</v>
      </c>
      <c r="F32">
        <v>54</v>
      </c>
      <c r="H32">
        <v>40055</v>
      </c>
      <c r="M32" t="s">
        <v>6121</v>
      </c>
      <c r="N32">
        <v>1</v>
      </c>
      <c r="O32">
        <v>-3.40282346639E+38</v>
      </c>
      <c r="P32">
        <v>3.40282346639E+38</v>
      </c>
      <c r="Q32">
        <v>-3.40282346639E+38</v>
      </c>
      <c r="R32">
        <v>3.40282346639E+38</v>
      </c>
      <c r="W32" t="s">
        <v>3244</v>
      </c>
      <c r="X32"/>
      <c r="Z32"/>
      <c r="AA32"/>
      <c r="AE32"/>
      <c r="AF32"/>
      <c r="AG32"/>
      <c r="AH32"/>
    </row>
    <row r="33" spans="1:34" ht="15.75" customHeight="1" x14ac:dyDescent="0.15">
      <c r="A33">
        <v>27</v>
      </c>
      <c r="B33" t="s">
        <v>75</v>
      </c>
      <c r="C33" t="s">
        <v>2634</v>
      </c>
      <c r="D33" t="s">
        <v>3245</v>
      </c>
      <c r="E33" t="s">
        <v>3192</v>
      </c>
      <c r="F33">
        <v>56</v>
      </c>
      <c r="H33">
        <v>40057</v>
      </c>
      <c r="M33" t="s">
        <v>8915</v>
      </c>
      <c r="N33">
        <v>1</v>
      </c>
      <c r="O33">
        <v>-3.40282346639E+38</v>
      </c>
      <c r="P33">
        <v>3.40282346639E+38</v>
      </c>
      <c r="Q33">
        <v>-3.40282346639E+38</v>
      </c>
      <c r="R33">
        <v>3.40282346639E+38</v>
      </c>
      <c r="W33" t="s">
        <v>3246</v>
      </c>
      <c r="X33"/>
      <c r="Z33"/>
      <c r="AA33"/>
      <c r="AE33"/>
      <c r="AF33"/>
      <c r="AG33"/>
      <c r="AH33"/>
    </row>
    <row r="34" spans="1:34" ht="15.75" customHeight="1" x14ac:dyDescent="0.15">
      <c r="A34">
        <v>28</v>
      </c>
      <c r="B34" t="s">
        <v>75</v>
      </c>
      <c r="C34" t="s">
        <v>2634</v>
      </c>
      <c r="D34" t="s">
        <v>3247</v>
      </c>
      <c r="E34" t="s">
        <v>3192</v>
      </c>
      <c r="F34">
        <v>74</v>
      </c>
      <c r="H34">
        <v>40075</v>
      </c>
      <c r="M34" t="s">
        <v>8915</v>
      </c>
      <c r="N34">
        <v>1</v>
      </c>
      <c r="O34">
        <v>-3.40282346639E+38</v>
      </c>
      <c r="P34">
        <v>3.40282346639E+38</v>
      </c>
      <c r="Q34">
        <v>-3.40282346639E+38</v>
      </c>
      <c r="R34">
        <v>3.40282346639E+38</v>
      </c>
      <c r="W34" t="s">
        <v>3248</v>
      </c>
      <c r="X34"/>
      <c r="Z34"/>
      <c r="AA34"/>
      <c r="AE34"/>
      <c r="AF34"/>
      <c r="AG34"/>
      <c r="AH34"/>
    </row>
    <row r="35" spans="1:34" ht="15.75" customHeight="1" x14ac:dyDescent="0.15">
      <c r="A35">
        <v>29</v>
      </c>
      <c r="B35" t="s">
        <v>75</v>
      </c>
      <c r="C35" t="s">
        <v>2634</v>
      </c>
      <c r="D35" t="s">
        <v>3249</v>
      </c>
      <c r="E35" t="s">
        <v>3192</v>
      </c>
      <c r="F35">
        <v>76</v>
      </c>
      <c r="H35">
        <v>40077</v>
      </c>
      <c r="M35" t="s">
        <v>8915</v>
      </c>
      <c r="N35">
        <v>1</v>
      </c>
      <c r="O35">
        <v>-3.40282346639E+38</v>
      </c>
      <c r="P35">
        <v>3.40282346639E+38</v>
      </c>
      <c r="Q35">
        <v>-3.40282346639E+38</v>
      </c>
      <c r="R35">
        <v>3.40282346639E+38</v>
      </c>
      <c r="W35" t="s">
        <v>3250</v>
      </c>
      <c r="X35"/>
      <c r="Z35"/>
      <c r="AA35"/>
      <c r="AE35"/>
      <c r="AF35"/>
      <c r="AG35"/>
      <c r="AH35"/>
    </row>
    <row r="36" spans="1:34" ht="15.75" customHeight="1" x14ac:dyDescent="0.15">
      <c r="A36">
        <v>30</v>
      </c>
      <c r="B36" t="s">
        <v>75</v>
      </c>
      <c r="C36" t="s">
        <v>2634</v>
      </c>
      <c r="D36" t="s">
        <v>3251</v>
      </c>
      <c r="E36" t="s">
        <v>3192</v>
      </c>
      <c r="F36">
        <v>78</v>
      </c>
      <c r="H36">
        <v>40079</v>
      </c>
      <c r="M36" t="s">
        <v>560</v>
      </c>
      <c r="N36">
        <v>1</v>
      </c>
      <c r="O36">
        <v>-3.40282346639E+38</v>
      </c>
      <c r="P36">
        <v>3.40282346639E+38</v>
      </c>
      <c r="Q36">
        <v>-3.40282346639E+38</v>
      </c>
      <c r="R36">
        <v>3.40282346639E+38</v>
      </c>
      <c r="W36" t="s">
        <v>3252</v>
      </c>
      <c r="X36"/>
      <c r="Z36"/>
      <c r="AA36"/>
      <c r="AE36"/>
      <c r="AF36"/>
      <c r="AG36"/>
      <c r="AH36"/>
    </row>
    <row r="37" spans="1:34" ht="15.75" customHeight="1" x14ac:dyDescent="0.15">
      <c r="A37">
        <v>31</v>
      </c>
      <c r="B37" t="s">
        <v>75</v>
      </c>
      <c r="C37" t="s">
        <v>2634</v>
      </c>
      <c r="D37" t="s">
        <v>3253</v>
      </c>
      <c r="E37" t="s">
        <v>3192</v>
      </c>
      <c r="F37">
        <v>80</v>
      </c>
      <c r="H37">
        <v>40081</v>
      </c>
      <c r="M37" t="s">
        <v>6152</v>
      </c>
      <c r="N37">
        <v>1</v>
      </c>
      <c r="O37">
        <v>-3.40282346639E+38</v>
      </c>
      <c r="P37">
        <v>3.40282346639E+38</v>
      </c>
      <c r="Q37">
        <v>-3.40282346639E+38</v>
      </c>
      <c r="R37">
        <v>3.40282346639E+38</v>
      </c>
      <c r="W37" t="s">
        <v>3254</v>
      </c>
      <c r="X37"/>
      <c r="Z37"/>
      <c r="AA37"/>
      <c r="AE37"/>
      <c r="AF37"/>
      <c r="AG37"/>
      <c r="AH37"/>
    </row>
    <row r="38" spans="1:34" ht="15.75" customHeight="1" x14ac:dyDescent="0.15">
      <c r="A38">
        <v>32</v>
      </c>
      <c r="B38" t="s">
        <v>75</v>
      </c>
      <c r="C38" t="s">
        <v>2634</v>
      </c>
      <c r="D38" t="s">
        <v>3255</v>
      </c>
      <c r="E38" t="s">
        <v>3192</v>
      </c>
      <c r="F38">
        <v>82</v>
      </c>
      <c r="H38">
        <v>40083</v>
      </c>
      <c r="M38" t="s">
        <v>6152</v>
      </c>
      <c r="N38">
        <v>1</v>
      </c>
      <c r="O38">
        <v>-3.40282346639E+38</v>
      </c>
      <c r="P38">
        <v>3.40282346639E+38</v>
      </c>
      <c r="Q38">
        <v>-3.40282346639E+38</v>
      </c>
      <c r="R38">
        <v>3.40282346639E+38</v>
      </c>
      <c r="W38" t="s">
        <v>3256</v>
      </c>
      <c r="X38"/>
      <c r="Z38"/>
      <c r="AA38"/>
      <c r="AE38"/>
      <c r="AF38"/>
      <c r="AG38"/>
      <c r="AH38"/>
    </row>
    <row r="39" spans="1:34" ht="15.75" customHeight="1" x14ac:dyDescent="0.15">
      <c r="A39">
        <v>33</v>
      </c>
      <c r="B39" t="s">
        <v>75</v>
      </c>
      <c r="C39" t="s">
        <v>2634</v>
      </c>
      <c r="D39" t="s">
        <v>3257</v>
      </c>
      <c r="E39" t="s">
        <v>3192</v>
      </c>
      <c r="F39">
        <v>84</v>
      </c>
      <c r="H39">
        <v>40085</v>
      </c>
      <c r="M39" t="s">
        <v>6111</v>
      </c>
      <c r="N39">
        <v>1</v>
      </c>
      <c r="O39">
        <v>-3.40282346639E+38</v>
      </c>
      <c r="P39">
        <v>3.40282346639E+38</v>
      </c>
      <c r="Q39">
        <v>-3.40282346639E+38</v>
      </c>
      <c r="R39">
        <v>3.40282346639E+38</v>
      </c>
      <c r="W39" t="s">
        <v>3258</v>
      </c>
      <c r="X39"/>
      <c r="Z39"/>
      <c r="AA39"/>
      <c r="AE39"/>
      <c r="AF39"/>
      <c r="AG39"/>
      <c r="AH39"/>
    </row>
    <row r="40" spans="1:34" ht="15.75" customHeight="1" x14ac:dyDescent="0.15">
      <c r="A40">
        <v>34</v>
      </c>
      <c r="B40" t="s">
        <v>75</v>
      </c>
      <c r="C40" t="s">
        <v>2634</v>
      </c>
      <c r="D40" t="s">
        <v>3259</v>
      </c>
      <c r="E40" t="s">
        <v>3192</v>
      </c>
      <c r="F40">
        <v>86</v>
      </c>
      <c r="H40">
        <v>40087</v>
      </c>
      <c r="M40" t="s">
        <v>560</v>
      </c>
      <c r="N40">
        <v>1</v>
      </c>
      <c r="O40">
        <v>-3.40282346639E+38</v>
      </c>
      <c r="P40">
        <v>3.40282346639E+38</v>
      </c>
      <c r="Q40">
        <v>-3.40282346639E+38</v>
      </c>
      <c r="R40">
        <v>3.40282346639E+38</v>
      </c>
      <c r="W40" t="s">
        <v>3260</v>
      </c>
      <c r="X40"/>
      <c r="Z40"/>
      <c r="AA40"/>
      <c r="AE40"/>
      <c r="AF40"/>
      <c r="AG40"/>
      <c r="AH40"/>
    </row>
    <row r="41" spans="1:34" ht="15.75" customHeight="1" x14ac:dyDescent="0.15">
      <c r="A41">
        <v>35</v>
      </c>
      <c r="B41" t="s">
        <v>75</v>
      </c>
      <c r="C41" t="s">
        <v>2634</v>
      </c>
      <c r="D41" t="s">
        <v>3261</v>
      </c>
      <c r="E41" t="s">
        <v>3192</v>
      </c>
      <c r="F41">
        <v>88</v>
      </c>
      <c r="H41">
        <v>40089</v>
      </c>
      <c r="M41" t="s">
        <v>6165</v>
      </c>
      <c r="N41">
        <v>1</v>
      </c>
      <c r="O41">
        <v>-3.40282346639E+38</v>
      </c>
      <c r="P41">
        <v>3.40282346639E+38</v>
      </c>
      <c r="Q41">
        <v>-3.40282346639E+38</v>
      </c>
      <c r="R41">
        <v>3.40282346639E+38</v>
      </c>
      <c r="W41" t="s">
        <v>3262</v>
      </c>
      <c r="X41"/>
      <c r="Z41"/>
      <c r="AA41"/>
      <c r="AE41"/>
      <c r="AF41"/>
      <c r="AG41"/>
      <c r="AH41"/>
    </row>
    <row r="42" spans="1:34" ht="15.75" customHeight="1" x14ac:dyDescent="0.15">
      <c r="A42">
        <v>36</v>
      </c>
      <c r="B42" t="s">
        <v>75</v>
      </c>
      <c r="C42" t="s">
        <v>2634</v>
      </c>
      <c r="D42" t="s">
        <v>3263</v>
      </c>
      <c r="E42" t="s">
        <v>3192</v>
      </c>
      <c r="F42">
        <v>90</v>
      </c>
      <c r="H42">
        <v>40091</v>
      </c>
      <c r="M42" t="s">
        <v>6165</v>
      </c>
      <c r="N42">
        <v>1</v>
      </c>
      <c r="O42">
        <v>-3.40282346639E+38</v>
      </c>
      <c r="P42">
        <v>3.40282346639E+38</v>
      </c>
      <c r="Q42">
        <v>-3.40282346639E+38</v>
      </c>
      <c r="R42">
        <v>3.40282346639E+38</v>
      </c>
      <c r="W42" t="s">
        <v>3264</v>
      </c>
      <c r="X42"/>
      <c r="Z42"/>
      <c r="AA42"/>
      <c r="AE42"/>
      <c r="AF42"/>
      <c r="AG42"/>
      <c r="AH42"/>
    </row>
    <row r="43" spans="1:34" ht="15.75" customHeight="1" x14ac:dyDescent="0.15">
      <c r="A43">
        <v>37</v>
      </c>
      <c r="B43" t="s">
        <v>75</v>
      </c>
      <c r="C43" t="s">
        <v>2634</v>
      </c>
      <c r="D43" t="s">
        <v>3265</v>
      </c>
      <c r="E43" t="s">
        <v>3192</v>
      </c>
      <c r="F43">
        <v>92</v>
      </c>
      <c r="H43">
        <v>40093</v>
      </c>
      <c r="M43" t="s">
        <v>6111</v>
      </c>
      <c r="N43">
        <v>1</v>
      </c>
      <c r="O43">
        <v>-3.40282346639E+38</v>
      </c>
      <c r="P43">
        <v>3.40282346639E+38</v>
      </c>
      <c r="Q43">
        <v>-3.40282346639E+38</v>
      </c>
      <c r="R43">
        <v>3.40282346639E+38</v>
      </c>
      <c r="W43" t="s">
        <v>3266</v>
      </c>
      <c r="X43"/>
      <c r="Z43"/>
      <c r="AA43"/>
      <c r="AE43"/>
      <c r="AF43"/>
      <c r="AG43"/>
      <c r="AH43"/>
    </row>
    <row r="44" spans="1:34" ht="15.75" customHeight="1" x14ac:dyDescent="0.15">
      <c r="A44">
        <v>38</v>
      </c>
      <c r="B44" t="s">
        <v>75</v>
      </c>
      <c r="C44" t="s">
        <v>2634</v>
      </c>
      <c r="D44" t="s">
        <v>3267</v>
      </c>
      <c r="E44" t="s">
        <v>3192</v>
      </c>
      <c r="F44">
        <v>94</v>
      </c>
      <c r="H44">
        <v>40095</v>
      </c>
      <c r="M44" t="s">
        <v>8915</v>
      </c>
      <c r="N44">
        <v>1</v>
      </c>
      <c r="O44">
        <v>-3.40282346639E+38</v>
      </c>
      <c r="P44">
        <v>3.40282346639E+38</v>
      </c>
      <c r="Q44">
        <v>-3.40282346639E+38</v>
      </c>
      <c r="R44">
        <v>3.40282346639E+38</v>
      </c>
      <c r="W44" t="s">
        <v>3268</v>
      </c>
      <c r="X44"/>
      <c r="Z44"/>
      <c r="AA44"/>
      <c r="AE44"/>
      <c r="AF44"/>
      <c r="AG44"/>
      <c r="AH44"/>
    </row>
    <row r="45" spans="1:34" ht="15.75" customHeight="1" x14ac:dyDescent="0.15">
      <c r="A45">
        <v>39</v>
      </c>
      <c r="B45" t="s">
        <v>75</v>
      </c>
      <c r="C45" t="s">
        <v>2634</v>
      </c>
      <c r="D45" t="s">
        <v>3269</v>
      </c>
      <c r="E45" t="s">
        <v>3192</v>
      </c>
      <c r="F45">
        <v>96</v>
      </c>
      <c r="H45">
        <v>40097</v>
      </c>
      <c r="M45" t="s">
        <v>8915</v>
      </c>
      <c r="N45">
        <v>1</v>
      </c>
      <c r="O45">
        <v>-3.40282346639E+38</v>
      </c>
      <c r="P45">
        <v>3.40282346639E+38</v>
      </c>
      <c r="Q45">
        <v>-3.40282346639E+38</v>
      </c>
      <c r="R45">
        <v>3.40282346639E+38</v>
      </c>
      <c r="W45" t="s">
        <v>3270</v>
      </c>
      <c r="X45"/>
      <c r="Z45"/>
      <c r="AA45"/>
      <c r="AE45"/>
      <c r="AF45"/>
      <c r="AG45"/>
      <c r="AH45"/>
    </row>
    <row r="46" spans="1:34" ht="15.75" customHeight="1" x14ac:dyDescent="0.15">
      <c r="A46">
        <v>40</v>
      </c>
      <c r="B46" t="s">
        <v>75</v>
      </c>
      <c r="C46" t="s">
        <v>2634</v>
      </c>
      <c r="D46" t="s">
        <v>3271</v>
      </c>
      <c r="E46" t="s">
        <v>3192</v>
      </c>
      <c r="F46">
        <v>104</v>
      </c>
      <c r="H46">
        <v>40105</v>
      </c>
      <c r="M46" t="s">
        <v>6180</v>
      </c>
      <c r="N46">
        <v>1</v>
      </c>
      <c r="O46">
        <v>-3.40282346639E+38</v>
      </c>
      <c r="P46">
        <v>3.40282346639E+38</v>
      </c>
      <c r="Q46">
        <v>-3.40282346639E+38</v>
      </c>
      <c r="R46">
        <v>3.40282346639E+38</v>
      </c>
      <c r="W46" t="s">
        <v>3272</v>
      </c>
      <c r="X46"/>
      <c r="Z46"/>
      <c r="AA46"/>
      <c r="AE46"/>
      <c r="AF46"/>
      <c r="AG46"/>
      <c r="AH46"/>
    </row>
    <row r="47" spans="1:34" ht="15.75" customHeight="1" x14ac:dyDescent="0.15">
      <c r="A47">
        <v>41</v>
      </c>
      <c r="B47" t="s">
        <v>75</v>
      </c>
      <c r="C47" t="s">
        <v>2634</v>
      </c>
      <c r="D47" t="s">
        <v>3273</v>
      </c>
      <c r="E47" t="s">
        <v>3192</v>
      </c>
      <c r="F47">
        <v>106</v>
      </c>
      <c r="H47">
        <v>40107</v>
      </c>
      <c r="M47" t="s">
        <v>6185</v>
      </c>
      <c r="N47">
        <v>1</v>
      </c>
      <c r="O47">
        <v>-3.40282346639E+38</v>
      </c>
      <c r="P47">
        <v>3.40282346639E+38</v>
      </c>
      <c r="Q47">
        <v>-3.40282346639E+38</v>
      </c>
      <c r="R47">
        <v>3.40282346639E+38</v>
      </c>
      <c r="W47" t="s">
        <v>3274</v>
      </c>
      <c r="X47"/>
      <c r="Z47"/>
      <c r="AA47"/>
      <c r="AE47"/>
      <c r="AF47"/>
      <c r="AG47"/>
      <c r="AH47"/>
    </row>
    <row r="48" spans="1:34" ht="15.75" customHeight="1" x14ac:dyDescent="0.15">
      <c r="A48">
        <v>42</v>
      </c>
      <c r="B48" t="s">
        <v>75</v>
      </c>
      <c r="C48" t="s">
        <v>2634</v>
      </c>
      <c r="D48" t="s">
        <v>3275</v>
      </c>
      <c r="E48" t="s">
        <v>3192</v>
      </c>
      <c r="F48">
        <v>108</v>
      </c>
      <c r="H48">
        <v>40109</v>
      </c>
      <c r="M48" t="s">
        <v>8916</v>
      </c>
      <c r="N48">
        <v>1</v>
      </c>
      <c r="O48">
        <v>-3.40282346639E+38</v>
      </c>
      <c r="P48">
        <v>3.40282346639E+38</v>
      </c>
      <c r="Q48">
        <v>-3.40282346639E+38</v>
      </c>
      <c r="R48">
        <v>3.40282346639E+38</v>
      </c>
      <c r="W48" t="s">
        <v>3276</v>
      </c>
      <c r="X48"/>
      <c r="Z48"/>
      <c r="AA48"/>
      <c r="AE48"/>
      <c r="AF48"/>
      <c r="AG48"/>
      <c r="AH48"/>
    </row>
    <row r="49" spans="1:34" ht="15.75" customHeight="1" x14ac:dyDescent="0.15">
      <c r="A49">
        <v>43</v>
      </c>
      <c r="B49" t="s">
        <v>75</v>
      </c>
      <c r="C49" t="s">
        <v>2634</v>
      </c>
      <c r="D49" t="s">
        <v>3277</v>
      </c>
      <c r="E49" t="s">
        <v>3192</v>
      </c>
      <c r="F49">
        <v>124</v>
      </c>
      <c r="H49">
        <v>40125</v>
      </c>
      <c r="M49" t="s">
        <v>8915</v>
      </c>
      <c r="N49">
        <v>1</v>
      </c>
      <c r="O49">
        <v>-3.40282346639E+38</v>
      </c>
      <c r="P49">
        <v>3.40282346639E+38</v>
      </c>
      <c r="Q49">
        <v>-3.40282346639E+38</v>
      </c>
      <c r="R49">
        <v>3.40282346639E+38</v>
      </c>
      <c r="W49" t="s">
        <v>3278</v>
      </c>
      <c r="X49"/>
      <c r="Z49"/>
      <c r="AA49"/>
      <c r="AE49"/>
      <c r="AF49"/>
      <c r="AG49"/>
      <c r="AH49"/>
    </row>
    <row r="50" spans="1:34" ht="15.75" customHeight="1" x14ac:dyDescent="0.15">
      <c r="A50">
        <v>44</v>
      </c>
      <c r="B50" t="s">
        <v>75</v>
      </c>
      <c r="C50" t="s">
        <v>2634</v>
      </c>
      <c r="D50" t="s">
        <v>3279</v>
      </c>
      <c r="E50" t="s">
        <v>3192</v>
      </c>
      <c r="F50">
        <v>126</v>
      </c>
      <c r="H50">
        <v>40127</v>
      </c>
      <c r="M50" t="s">
        <v>8915</v>
      </c>
      <c r="N50">
        <v>1</v>
      </c>
      <c r="O50">
        <v>-3.40282346639E+38</v>
      </c>
      <c r="P50">
        <v>3.40282346639E+38</v>
      </c>
      <c r="Q50">
        <v>-3.40282346639E+38</v>
      </c>
      <c r="R50">
        <v>3.40282346639E+38</v>
      </c>
      <c r="W50" t="s">
        <v>3280</v>
      </c>
      <c r="X50"/>
      <c r="Z50"/>
      <c r="AA50"/>
      <c r="AE50"/>
      <c r="AF50"/>
      <c r="AG50"/>
      <c r="AH50"/>
    </row>
    <row r="51" spans="1:34" ht="15.75" customHeight="1" x14ac:dyDescent="0.15">
      <c r="A51">
        <v>45</v>
      </c>
      <c r="B51" t="s">
        <v>75</v>
      </c>
      <c r="C51" t="s">
        <v>2634</v>
      </c>
      <c r="D51" t="s">
        <v>3281</v>
      </c>
      <c r="E51" t="s">
        <v>3192</v>
      </c>
      <c r="F51">
        <v>128</v>
      </c>
      <c r="H51">
        <v>40129</v>
      </c>
      <c r="M51" t="s">
        <v>8915</v>
      </c>
      <c r="N51">
        <v>1</v>
      </c>
      <c r="O51">
        <v>-3.40282346639E+38</v>
      </c>
      <c r="P51">
        <v>3.40282346639E+38</v>
      </c>
      <c r="Q51">
        <v>-3.40282346639E+38</v>
      </c>
      <c r="R51">
        <v>3.40282346639E+38</v>
      </c>
      <c r="W51" t="s">
        <v>3282</v>
      </c>
      <c r="X51"/>
      <c r="Z51"/>
      <c r="AA51"/>
      <c r="AE51"/>
      <c r="AF51"/>
      <c r="AG51"/>
      <c r="AH51"/>
    </row>
    <row r="52" spans="1:34" ht="15.75" customHeight="1" x14ac:dyDescent="0.15">
      <c r="A52">
        <v>46</v>
      </c>
      <c r="B52" t="s">
        <v>75</v>
      </c>
      <c r="C52" t="s">
        <v>2634</v>
      </c>
      <c r="D52" t="s">
        <v>3283</v>
      </c>
      <c r="E52" t="s">
        <v>3192</v>
      </c>
      <c r="F52">
        <v>174</v>
      </c>
      <c r="H52">
        <v>40175</v>
      </c>
      <c r="M52" t="s">
        <v>7375</v>
      </c>
      <c r="N52">
        <v>1</v>
      </c>
      <c r="O52">
        <v>-3.40282346639E+38</v>
      </c>
      <c r="P52">
        <v>3.40282346639E+38</v>
      </c>
      <c r="Q52">
        <v>-3.40282346639E+38</v>
      </c>
      <c r="R52">
        <v>3.40282346639E+38</v>
      </c>
      <c r="W52" t="s">
        <v>3284</v>
      </c>
      <c r="X52"/>
      <c r="Z52"/>
      <c r="AA52"/>
      <c r="AE52"/>
      <c r="AF52"/>
      <c r="AG52"/>
      <c r="AH52"/>
    </row>
    <row r="53" spans="1:34" ht="15.75" customHeight="1" x14ac:dyDescent="0.15">
      <c r="A53">
        <v>47</v>
      </c>
      <c r="B53" t="s">
        <v>75</v>
      </c>
      <c r="C53" t="s">
        <v>2634</v>
      </c>
      <c r="D53" t="s">
        <v>3285</v>
      </c>
      <c r="E53" t="s">
        <v>3192</v>
      </c>
      <c r="F53">
        <v>176</v>
      </c>
      <c r="H53">
        <v>40177</v>
      </c>
      <c r="M53" t="s">
        <v>7375</v>
      </c>
      <c r="N53">
        <v>1</v>
      </c>
      <c r="O53">
        <v>-3.40282346639E+38</v>
      </c>
      <c r="P53">
        <v>3.40282346639E+38</v>
      </c>
      <c r="Q53">
        <v>-3.40282346639E+38</v>
      </c>
      <c r="R53">
        <v>3.40282346639E+38</v>
      </c>
      <c r="W53" t="s">
        <v>3286</v>
      </c>
      <c r="X53"/>
      <c r="Z53"/>
      <c r="AA53"/>
      <c r="AE53"/>
      <c r="AF53"/>
      <c r="AG53"/>
      <c r="AH53"/>
    </row>
    <row r="54" spans="1:34" ht="15.75" customHeight="1" x14ac:dyDescent="0.15">
      <c r="A54">
        <v>48</v>
      </c>
      <c r="B54" t="s">
        <v>75</v>
      </c>
      <c r="C54" t="s">
        <v>2634</v>
      </c>
      <c r="D54" t="s">
        <v>3287</v>
      </c>
      <c r="E54" t="s">
        <v>3192</v>
      </c>
      <c r="F54">
        <v>198</v>
      </c>
      <c r="H54">
        <v>40199</v>
      </c>
      <c r="M54" t="s">
        <v>6121</v>
      </c>
      <c r="N54">
        <v>1</v>
      </c>
      <c r="O54">
        <v>-3.40282346639E+38</v>
      </c>
      <c r="P54">
        <v>3.40282346639E+38</v>
      </c>
      <c r="Q54">
        <v>-3.40282346639E+38</v>
      </c>
      <c r="R54">
        <v>3.40282346639E+38</v>
      </c>
      <c r="W54" t="s">
        <v>3288</v>
      </c>
      <c r="X54"/>
      <c r="Z54"/>
      <c r="AA54"/>
      <c r="AE54"/>
      <c r="AF54"/>
      <c r="AG54"/>
      <c r="AH54"/>
    </row>
    <row r="55" spans="1:34" ht="15.75" customHeight="1" x14ac:dyDescent="0.15">
      <c r="A55">
        <v>49</v>
      </c>
      <c r="B55" t="s">
        <v>75</v>
      </c>
      <c r="C55" t="s">
        <v>2634</v>
      </c>
      <c r="D55" t="s">
        <v>3289</v>
      </c>
      <c r="E55" t="s">
        <v>3192</v>
      </c>
      <c r="F55">
        <v>200</v>
      </c>
      <c r="H55">
        <v>40201</v>
      </c>
      <c r="M55" t="s">
        <v>6121</v>
      </c>
      <c r="N55">
        <v>1</v>
      </c>
      <c r="O55">
        <v>-3.40282346639E+38</v>
      </c>
      <c r="P55">
        <v>3.40282346639E+38</v>
      </c>
      <c r="Q55">
        <v>-3.40282346639E+38</v>
      </c>
      <c r="R55">
        <v>3.40282346639E+38</v>
      </c>
      <c r="W55" t="s">
        <v>3290</v>
      </c>
      <c r="X55"/>
      <c r="Z55"/>
      <c r="AA55"/>
      <c r="AE55"/>
      <c r="AF55"/>
      <c r="AG55"/>
      <c r="AH55"/>
    </row>
    <row r="56" spans="1:34" ht="15.75" customHeight="1" x14ac:dyDescent="0.15">
      <c r="A56">
        <v>50</v>
      </c>
      <c r="B56" t="s">
        <v>75</v>
      </c>
      <c r="C56" t="s">
        <v>2634</v>
      </c>
      <c r="D56" t="s">
        <v>3291</v>
      </c>
      <c r="E56" t="s">
        <v>3192</v>
      </c>
      <c r="F56">
        <v>202</v>
      </c>
      <c r="H56">
        <v>40203</v>
      </c>
      <c r="M56" t="s">
        <v>8915</v>
      </c>
      <c r="N56">
        <v>1</v>
      </c>
      <c r="O56">
        <v>-3.40282346639E+38</v>
      </c>
      <c r="P56">
        <v>3.40282346639E+38</v>
      </c>
      <c r="Q56">
        <v>-3.40282346639E+38</v>
      </c>
      <c r="R56">
        <v>3.40282346639E+38</v>
      </c>
      <c r="W56" t="s">
        <v>3292</v>
      </c>
      <c r="X56"/>
      <c r="Z56"/>
      <c r="AA56"/>
      <c r="AE56"/>
      <c r="AF56"/>
      <c r="AG56"/>
      <c r="AH56"/>
    </row>
    <row r="57" spans="1:34" ht="15.75" customHeight="1" x14ac:dyDescent="0.15">
      <c r="A57">
        <v>51</v>
      </c>
      <c r="B57" t="s">
        <v>75</v>
      </c>
      <c r="C57" t="s">
        <v>2634</v>
      </c>
      <c r="D57" t="s">
        <v>3293</v>
      </c>
      <c r="E57" t="s">
        <v>3192</v>
      </c>
      <c r="F57">
        <v>204</v>
      </c>
      <c r="H57">
        <v>40205</v>
      </c>
      <c r="M57" t="s">
        <v>6121</v>
      </c>
      <c r="N57">
        <v>1</v>
      </c>
      <c r="O57">
        <v>-3.40282346639E+38</v>
      </c>
      <c r="P57">
        <v>3.40282346639E+38</v>
      </c>
      <c r="Q57">
        <v>-3.40282346639E+38</v>
      </c>
      <c r="R57">
        <v>3.40282346639E+38</v>
      </c>
      <c r="W57" t="s">
        <v>3294</v>
      </c>
      <c r="X57"/>
      <c r="Z57"/>
      <c r="AA57"/>
      <c r="AE57"/>
      <c r="AF57"/>
      <c r="AG57"/>
      <c r="AH57"/>
    </row>
    <row r="58" spans="1:34" ht="15.75" customHeight="1" x14ac:dyDescent="0.15">
      <c r="A58">
        <v>52</v>
      </c>
      <c r="B58" t="s">
        <v>75</v>
      </c>
      <c r="C58" t="s">
        <v>2634</v>
      </c>
      <c r="D58" t="s">
        <v>3295</v>
      </c>
      <c r="E58" t="s">
        <v>3192</v>
      </c>
      <c r="F58">
        <v>206</v>
      </c>
      <c r="H58">
        <v>40207</v>
      </c>
      <c r="M58" t="s">
        <v>6121</v>
      </c>
      <c r="N58">
        <v>1</v>
      </c>
      <c r="O58">
        <v>-3.40282346639E+38</v>
      </c>
      <c r="P58">
        <v>3.40282346639E+38</v>
      </c>
      <c r="Q58">
        <v>-3.40282346639E+38</v>
      </c>
      <c r="R58">
        <v>3.40282346639E+38</v>
      </c>
      <c r="W58" t="s">
        <v>3296</v>
      </c>
      <c r="X58"/>
      <c r="Z58"/>
      <c r="AA58"/>
      <c r="AE58"/>
      <c r="AF58"/>
      <c r="AG58"/>
      <c r="AH58"/>
    </row>
    <row r="59" spans="1:34" ht="15.75" customHeight="1" x14ac:dyDescent="0.15">
      <c r="A59">
        <v>53</v>
      </c>
      <c r="B59" t="s">
        <v>75</v>
      </c>
      <c r="C59" t="s">
        <v>2634</v>
      </c>
      <c r="D59" t="s">
        <v>3297</v>
      </c>
      <c r="E59" t="s">
        <v>3192</v>
      </c>
      <c r="F59">
        <v>208</v>
      </c>
      <c r="H59">
        <v>40209</v>
      </c>
      <c r="M59" t="s">
        <v>8915</v>
      </c>
      <c r="N59">
        <v>1</v>
      </c>
      <c r="O59">
        <v>-3.40282346639E+38</v>
      </c>
      <c r="P59">
        <v>3.40282346639E+38</v>
      </c>
      <c r="Q59">
        <v>-3.40282346639E+38</v>
      </c>
      <c r="R59">
        <v>3.40282346639E+38</v>
      </c>
      <c r="W59" t="s">
        <v>3298</v>
      </c>
      <c r="X59"/>
      <c r="Z59"/>
      <c r="AA59"/>
      <c r="AE59"/>
      <c r="AF59"/>
      <c r="AG59"/>
      <c r="AH59"/>
    </row>
    <row r="60" spans="1:34" ht="15.75" customHeight="1" x14ac:dyDescent="0.15">
      <c r="A60">
        <v>54</v>
      </c>
      <c r="B60" t="s">
        <v>75</v>
      </c>
      <c r="C60" t="s">
        <v>2634</v>
      </c>
      <c r="D60" t="s">
        <v>3299</v>
      </c>
      <c r="E60" t="s">
        <v>3192</v>
      </c>
      <c r="F60">
        <v>226</v>
      </c>
      <c r="H60">
        <v>40227</v>
      </c>
      <c r="M60" t="s">
        <v>8915</v>
      </c>
      <c r="N60">
        <v>1</v>
      </c>
      <c r="O60">
        <v>-3.40282346639E+38</v>
      </c>
      <c r="P60">
        <v>3.40282346639E+38</v>
      </c>
      <c r="Q60">
        <v>-3.40282346639E+38</v>
      </c>
      <c r="R60">
        <v>3.40282346639E+38</v>
      </c>
      <c r="W60" t="s">
        <v>3300</v>
      </c>
      <c r="X60"/>
      <c r="Z60"/>
      <c r="AA60"/>
      <c r="AE60"/>
      <c r="AF60"/>
      <c r="AG60"/>
      <c r="AH60"/>
    </row>
    <row r="61" spans="1:34" ht="15.75" customHeight="1" x14ac:dyDescent="0.15">
      <c r="A61">
        <v>55</v>
      </c>
      <c r="B61" t="s">
        <v>75</v>
      </c>
      <c r="C61" t="s">
        <v>2634</v>
      </c>
      <c r="D61" t="s">
        <v>3301</v>
      </c>
      <c r="E61" t="s">
        <v>3192</v>
      </c>
      <c r="F61">
        <v>228</v>
      </c>
      <c r="H61">
        <v>40229</v>
      </c>
      <c r="M61" t="s">
        <v>8915</v>
      </c>
      <c r="N61">
        <v>1</v>
      </c>
      <c r="O61">
        <v>-3.40282346639E+38</v>
      </c>
      <c r="P61">
        <v>3.40282346639E+38</v>
      </c>
      <c r="Q61">
        <v>-3.40282346639E+38</v>
      </c>
      <c r="R61">
        <v>3.40282346639E+38</v>
      </c>
      <c r="W61" t="s">
        <v>3302</v>
      </c>
      <c r="X61"/>
      <c r="Z61"/>
      <c r="AA61"/>
      <c r="AE61"/>
      <c r="AF61"/>
      <c r="AG61"/>
      <c r="AH61"/>
    </row>
    <row r="62" spans="1:34" ht="15.75" customHeight="1" x14ac:dyDescent="0.15">
      <c r="A62">
        <v>56</v>
      </c>
      <c r="B62" t="s">
        <v>75</v>
      </c>
      <c r="C62" t="s">
        <v>2634</v>
      </c>
      <c r="D62" t="s">
        <v>3303</v>
      </c>
      <c r="E62" t="s">
        <v>3192</v>
      </c>
      <c r="F62">
        <v>230</v>
      </c>
      <c r="H62">
        <v>40231</v>
      </c>
      <c r="M62" t="s">
        <v>560</v>
      </c>
      <c r="N62">
        <v>1</v>
      </c>
      <c r="O62">
        <v>-3.40282346639E+38</v>
      </c>
      <c r="P62">
        <v>3.40282346639E+38</v>
      </c>
      <c r="Q62">
        <v>-3.40282346639E+38</v>
      </c>
      <c r="R62">
        <v>3.40282346639E+38</v>
      </c>
      <c r="W62" t="s">
        <v>3304</v>
      </c>
      <c r="X62"/>
      <c r="Z62"/>
      <c r="AA62"/>
      <c r="AE62"/>
      <c r="AF62"/>
      <c r="AG62"/>
      <c r="AH62"/>
    </row>
    <row r="63" spans="1:34" ht="15.75" customHeight="1" x14ac:dyDescent="0.15">
      <c r="A63">
        <v>57</v>
      </c>
      <c r="B63" t="s">
        <v>75</v>
      </c>
      <c r="C63" t="s">
        <v>2634</v>
      </c>
      <c r="D63" t="s">
        <v>3305</v>
      </c>
      <c r="E63" t="s">
        <v>3192</v>
      </c>
      <c r="F63">
        <v>232</v>
      </c>
      <c r="H63">
        <v>40233</v>
      </c>
      <c r="M63" t="s">
        <v>6152</v>
      </c>
      <c r="N63">
        <v>1</v>
      </c>
      <c r="O63">
        <v>-3.40282346639E+38</v>
      </c>
      <c r="P63">
        <v>3.40282346639E+38</v>
      </c>
      <c r="Q63">
        <v>-3.40282346639E+38</v>
      </c>
      <c r="R63">
        <v>3.40282346639E+38</v>
      </c>
      <c r="W63" t="s">
        <v>3306</v>
      </c>
      <c r="X63"/>
      <c r="Z63"/>
      <c r="AA63"/>
      <c r="AE63"/>
      <c r="AF63"/>
      <c r="AG63"/>
      <c r="AH63"/>
    </row>
    <row r="64" spans="1:34" ht="15.75" customHeight="1" x14ac:dyDescent="0.15">
      <c r="A64">
        <v>58</v>
      </c>
      <c r="B64" t="s">
        <v>75</v>
      </c>
      <c r="C64" t="s">
        <v>2634</v>
      </c>
      <c r="D64" t="s">
        <v>3307</v>
      </c>
      <c r="E64" t="s">
        <v>3192</v>
      </c>
      <c r="F64">
        <v>234</v>
      </c>
      <c r="H64">
        <v>40235</v>
      </c>
      <c r="M64" t="s">
        <v>6152</v>
      </c>
      <c r="N64">
        <v>1</v>
      </c>
      <c r="O64">
        <v>-3.40282346639E+38</v>
      </c>
      <c r="P64">
        <v>3.40282346639E+38</v>
      </c>
      <c r="Q64">
        <v>-3.40282346639E+38</v>
      </c>
      <c r="R64">
        <v>3.40282346639E+38</v>
      </c>
      <c r="W64" t="s">
        <v>3308</v>
      </c>
      <c r="X64"/>
      <c r="Z64"/>
      <c r="AA64"/>
      <c r="AE64"/>
      <c r="AF64"/>
      <c r="AG64"/>
      <c r="AH64"/>
    </row>
    <row r="65" spans="1:34" ht="15.75" customHeight="1" x14ac:dyDescent="0.15">
      <c r="A65">
        <v>59</v>
      </c>
      <c r="B65" t="s">
        <v>75</v>
      </c>
      <c r="C65" t="s">
        <v>2634</v>
      </c>
      <c r="D65" t="s">
        <v>3309</v>
      </c>
      <c r="E65" t="s">
        <v>3192</v>
      </c>
      <c r="F65">
        <v>236</v>
      </c>
      <c r="H65">
        <v>40237</v>
      </c>
      <c r="M65" t="s">
        <v>7353</v>
      </c>
      <c r="N65">
        <v>1</v>
      </c>
      <c r="O65">
        <v>-3.40282346639E+38</v>
      </c>
      <c r="P65">
        <v>3.40282346639E+38</v>
      </c>
      <c r="Q65">
        <v>-3.40282346639E+38</v>
      </c>
      <c r="R65">
        <v>3.40282346639E+38</v>
      </c>
      <c r="W65" t="s">
        <v>3310</v>
      </c>
      <c r="X65"/>
      <c r="Z65"/>
      <c r="AA65"/>
      <c r="AE65"/>
      <c r="AF65"/>
      <c r="AG65"/>
      <c r="AH65"/>
    </row>
    <row r="66" spans="1:34" ht="15.75" customHeight="1" x14ac:dyDescent="0.15">
      <c r="A66">
        <v>60</v>
      </c>
      <c r="B66" t="s">
        <v>75</v>
      </c>
      <c r="C66" t="s">
        <v>2634</v>
      </c>
      <c r="D66" t="s">
        <v>3311</v>
      </c>
      <c r="E66" t="s">
        <v>3192</v>
      </c>
      <c r="F66">
        <v>238</v>
      </c>
      <c r="H66">
        <v>40239</v>
      </c>
      <c r="M66" t="s">
        <v>6165</v>
      </c>
      <c r="N66">
        <v>1</v>
      </c>
      <c r="O66">
        <v>-3.40282346639E+38</v>
      </c>
      <c r="P66">
        <v>3.40282346639E+38</v>
      </c>
      <c r="Q66">
        <v>-3.40282346639E+38</v>
      </c>
      <c r="R66">
        <v>3.40282346639E+38</v>
      </c>
      <c r="W66" t="s">
        <v>3312</v>
      </c>
      <c r="X66"/>
      <c r="Z66"/>
      <c r="AA66"/>
      <c r="AE66"/>
      <c r="AF66"/>
      <c r="AG66"/>
      <c r="AH66"/>
    </row>
    <row r="67" spans="1:34" ht="15.75" customHeight="1" x14ac:dyDescent="0.15">
      <c r="A67">
        <v>61</v>
      </c>
      <c r="B67" t="s">
        <v>75</v>
      </c>
      <c r="C67" t="s">
        <v>2634</v>
      </c>
      <c r="D67" t="s">
        <v>3313</v>
      </c>
      <c r="E67" t="s">
        <v>3192</v>
      </c>
      <c r="F67">
        <v>240</v>
      </c>
      <c r="H67">
        <v>40241</v>
      </c>
      <c r="M67" t="s">
        <v>6165</v>
      </c>
      <c r="N67">
        <v>1</v>
      </c>
      <c r="O67">
        <v>-3.40282346639E+38</v>
      </c>
      <c r="P67">
        <v>3.40282346639E+38</v>
      </c>
      <c r="Q67">
        <v>-3.40282346639E+38</v>
      </c>
      <c r="R67">
        <v>3.40282346639E+38</v>
      </c>
      <c r="W67" t="s">
        <v>3314</v>
      </c>
      <c r="X67"/>
      <c r="Z67"/>
      <c r="AA67"/>
      <c r="AE67"/>
      <c r="AF67"/>
      <c r="AG67"/>
      <c r="AH67"/>
    </row>
    <row r="68" spans="1:34" ht="15.75" customHeight="1" x14ac:dyDescent="0.15">
      <c r="A68">
        <v>62</v>
      </c>
      <c r="B68" t="s">
        <v>75</v>
      </c>
      <c r="C68" t="s">
        <v>2634</v>
      </c>
      <c r="D68" t="s">
        <v>3315</v>
      </c>
      <c r="E68" t="s">
        <v>3192</v>
      </c>
      <c r="F68">
        <v>242</v>
      </c>
      <c r="H68">
        <v>40243</v>
      </c>
      <c r="M68" t="s">
        <v>6111</v>
      </c>
      <c r="N68">
        <v>1</v>
      </c>
      <c r="O68">
        <v>-3.40282346639E+38</v>
      </c>
      <c r="P68">
        <v>3.40282346639E+38</v>
      </c>
      <c r="Q68">
        <v>-3.40282346639E+38</v>
      </c>
      <c r="R68">
        <v>3.40282346639E+38</v>
      </c>
      <c r="W68" t="s">
        <v>3316</v>
      </c>
      <c r="X68"/>
      <c r="Z68"/>
      <c r="AA68"/>
      <c r="AE68"/>
      <c r="AF68"/>
      <c r="AG68"/>
      <c r="AH68"/>
    </row>
    <row r="69" spans="1:34" ht="15.75" customHeight="1" x14ac:dyDescent="0.15">
      <c r="A69">
        <v>63</v>
      </c>
      <c r="B69" t="s">
        <v>75</v>
      </c>
      <c r="C69" t="s">
        <v>2634</v>
      </c>
      <c r="D69" t="s">
        <v>3317</v>
      </c>
      <c r="E69" t="s">
        <v>3192</v>
      </c>
      <c r="F69">
        <v>244</v>
      </c>
      <c r="H69">
        <v>40245</v>
      </c>
      <c r="M69" t="s">
        <v>8915</v>
      </c>
      <c r="N69">
        <v>1</v>
      </c>
      <c r="O69">
        <v>-3.40282346639E+38</v>
      </c>
      <c r="P69">
        <v>3.40282346639E+38</v>
      </c>
      <c r="Q69">
        <v>-3.40282346639E+38</v>
      </c>
      <c r="R69">
        <v>3.40282346639E+38</v>
      </c>
      <c r="W69" t="s">
        <v>3318</v>
      </c>
      <c r="X69"/>
      <c r="Z69"/>
      <c r="AA69"/>
      <c r="AE69"/>
      <c r="AF69"/>
      <c r="AG69"/>
      <c r="AH69"/>
    </row>
    <row r="70" spans="1:34" ht="15.75" customHeight="1" x14ac:dyDescent="0.15">
      <c r="A70">
        <v>64</v>
      </c>
      <c r="B70" t="s">
        <v>75</v>
      </c>
      <c r="C70" t="s">
        <v>2634</v>
      </c>
      <c r="D70" t="s">
        <v>3319</v>
      </c>
      <c r="E70" t="s">
        <v>3192</v>
      </c>
      <c r="F70">
        <v>246</v>
      </c>
      <c r="H70">
        <v>40247</v>
      </c>
      <c r="M70" t="s">
        <v>8915</v>
      </c>
      <c r="N70">
        <v>1</v>
      </c>
      <c r="O70">
        <v>-3.40282346639E+38</v>
      </c>
      <c r="P70">
        <v>3.40282346639E+38</v>
      </c>
      <c r="Q70">
        <v>-3.40282346639E+38</v>
      </c>
      <c r="R70">
        <v>3.40282346639E+38</v>
      </c>
      <c r="W70" t="s">
        <v>3320</v>
      </c>
      <c r="X70"/>
      <c r="Z70"/>
      <c r="AA70"/>
      <c r="AE70"/>
      <c r="AF70"/>
      <c r="AG70"/>
      <c r="AH70"/>
    </row>
    <row r="71" spans="1:34" ht="15.75" customHeight="1" x14ac:dyDescent="0.15">
      <c r="A71">
        <v>65</v>
      </c>
      <c r="B71" t="s">
        <v>75</v>
      </c>
      <c r="C71" t="s">
        <v>2634</v>
      </c>
      <c r="D71" t="s">
        <v>3321</v>
      </c>
      <c r="E71" t="s">
        <v>3192</v>
      </c>
      <c r="F71">
        <v>254</v>
      </c>
      <c r="H71">
        <v>40255</v>
      </c>
      <c r="M71" t="s">
        <v>6180</v>
      </c>
      <c r="N71">
        <v>1</v>
      </c>
      <c r="O71">
        <v>-3.40282346639E+38</v>
      </c>
      <c r="P71">
        <v>3.40282346639E+38</v>
      </c>
      <c r="Q71">
        <v>-3.40282346639E+38</v>
      </c>
      <c r="R71">
        <v>3.40282346639E+38</v>
      </c>
      <c r="W71" t="s">
        <v>3322</v>
      </c>
      <c r="X71"/>
      <c r="Z71"/>
      <c r="AA71"/>
      <c r="AE71"/>
      <c r="AF71"/>
      <c r="AG71"/>
      <c r="AH71"/>
    </row>
    <row r="72" spans="1:34" ht="15.75" customHeight="1" x14ac:dyDescent="0.15">
      <c r="A72">
        <v>66</v>
      </c>
      <c r="B72" t="s">
        <v>75</v>
      </c>
      <c r="C72" t="s">
        <v>2634</v>
      </c>
      <c r="D72" t="s">
        <v>3323</v>
      </c>
      <c r="E72" t="s">
        <v>3192</v>
      </c>
      <c r="F72">
        <v>256</v>
      </c>
      <c r="H72">
        <v>40257</v>
      </c>
      <c r="M72" t="s">
        <v>6185</v>
      </c>
      <c r="N72">
        <v>1</v>
      </c>
      <c r="O72">
        <v>-3.40282346639E+38</v>
      </c>
      <c r="P72">
        <v>3.40282346639E+38</v>
      </c>
      <c r="Q72">
        <v>-3.40282346639E+38</v>
      </c>
      <c r="R72">
        <v>3.40282346639E+38</v>
      </c>
      <c r="W72" t="s">
        <v>3324</v>
      </c>
      <c r="X72"/>
      <c r="Z72"/>
      <c r="AA72"/>
      <c r="AE72"/>
      <c r="AF72"/>
      <c r="AG72"/>
      <c r="AH72"/>
    </row>
    <row r="73" spans="1:34" ht="15.75" customHeight="1" x14ac:dyDescent="0.15">
      <c r="A73">
        <v>67</v>
      </c>
      <c r="B73" t="s">
        <v>75</v>
      </c>
      <c r="C73" t="s">
        <v>2634</v>
      </c>
      <c r="D73" t="s">
        <v>3325</v>
      </c>
      <c r="E73" t="s">
        <v>3192</v>
      </c>
      <c r="F73">
        <v>258</v>
      </c>
      <c r="H73">
        <v>40259</v>
      </c>
      <c r="M73" t="s">
        <v>6185</v>
      </c>
      <c r="N73">
        <v>1</v>
      </c>
      <c r="O73">
        <v>-3.40282346639E+38</v>
      </c>
      <c r="P73">
        <v>3.40282346639E+38</v>
      </c>
      <c r="Q73">
        <v>-3.40282346639E+38</v>
      </c>
      <c r="R73">
        <v>3.40282346639E+38</v>
      </c>
      <c r="W73" t="s">
        <v>3326</v>
      </c>
      <c r="X73"/>
      <c r="Z73"/>
      <c r="AA73"/>
      <c r="AE73"/>
      <c r="AF73"/>
      <c r="AG73"/>
      <c r="AH73"/>
    </row>
    <row r="74" spans="1:34" ht="15.75" customHeight="1" x14ac:dyDescent="0.15">
      <c r="A74">
        <v>68</v>
      </c>
      <c r="B74" t="s">
        <v>75</v>
      </c>
      <c r="C74" t="s">
        <v>2634</v>
      </c>
      <c r="D74" t="s">
        <v>3327</v>
      </c>
      <c r="E74" t="s">
        <v>3192</v>
      </c>
      <c r="F74">
        <v>274</v>
      </c>
      <c r="H74">
        <v>40275</v>
      </c>
      <c r="M74" t="s">
        <v>8915</v>
      </c>
      <c r="N74">
        <v>1</v>
      </c>
      <c r="O74">
        <v>-3.40282346639E+38</v>
      </c>
      <c r="P74">
        <v>3.40282346639E+38</v>
      </c>
      <c r="Q74">
        <v>-3.40282346639E+38</v>
      </c>
      <c r="R74">
        <v>3.40282346639E+38</v>
      </c>
      <c r="W74" t="s">
        <v>3328</v>
      </c>
      <c r="X74"/>
      <c r="Z74"/>
      <c r="AA74"/>
      <c r="AE74"/>
      <c r="AF74"/>
      <c r="AG74"/>
      <c r="AH74"/>
    </row>
    <row r="75" spans="1:34" ht="15.75" customHeight="1" x14ac:dyDescent="0.15">
      <c r="A75">
        <v>69</v>
      </c>
      <c r="B75" t="s">
        <v>75</v>
      </c>
      <c r="C75" t="s">
        <v>2634</v>
      </c>
      <c r="D75" t="s">
        <v>3329</v>
      </c>
      <c r="E75" t="s">
        <v>3192</v>
      </c>
      <c r="F75">
        <v>276</v>
      </c>
      <c r="H75">
        <v>40277</v>
      </c>
      <c r="M75" t="s">
        <v>8915</v>
      </c>
      <c r="N75">
        <v>1</v>
      </c>
      <c r="O75">
        <v>-3.40282346639E+38</v>
      </c>
      <c r="P75">
        <v>3.40282346639E+38</v>
      </c>
      <c r="Q75">
        <v>-3.40282346639E+38</v>
      </c>
      <c r="R75">
        <v>3.40282346639E+38</v>
      </c>
      <c r="W75" t="s">
        <v>3330</v>
      </c>
      <c r="X75"/>
      <c r="Z75"/>
      <c r="AA75"/>
      <c r="AE75"/>
      <c r="AF75"/>
      <c r="AG75"/>
      <c r="AH75"/>
    </row>
    <row r="76" spans="1:34" ht="15.75" customHeight="1" x14ac:dyDescent="0.15">
      <c r="A76">
        <v>70</v>
      </c>
      <c r="B76" t="s">
        <v>75</v>
      </c>
      <c r="C76" t="s">
        <v>2634</v>
      </c>
      <c r="D76" t="s">
        <v>3331</v>
      </c>
      <c r="E76" t="s">
        <v>3192</v>
      </c>
      <c r="F76">
        <v>278</v>
      </c>
      <c r="H76">
        <v>40279</v>
      </c>
      <c r="M76" t="s">
        <v>8915</v>
      </c>
      <c r="N76">
        <v>1</v>
      </c>
      <c r="O76">
        <v>-3.40282346639E+38</v>
      </c>
      <c r="P76">
        <v>3.40282346639E+38</v>
      </c>
      <c r="Q76">
        <v>-3.40282346639E+38</v>
      </c>
      <c r="R76">
        <v>3.40282346639E+38</v>
      </c>
      <c r="W76" t="s">
        <v>3332</v>
      </c>
      <c r="X76"/>
      <c r="Z76"/>
      <c r="AA76"/>
      <c r="AE76"/>
      <c r="AF76"/>
      <c r="AG76"/>
      <c r="AH76"/>
    </row>
    <row r="77" spans="1:34" ht="15.75" customHeight="1" x14ac:dyDescent="0.15">
      <c r="A77">
        <v>71</v>
      </c>
      <c r="B77" t="s">
        <v>75</v>
      </c>
      <c r="C77" t="s">
        <v>2634</v>
      </c>
      <c r="D77" t="s">
        <v>3333</v>
      </c>
      <c r="E77" t="s">
        <v>3192</v>
      </c>
      <c r="F77">
        <v>324</v>
      </c>
      <c r="H77">
        <v>40325</v>
      </c>
      <c r="M77" t="s">
        <v>7375</v>
      </c>
      <c r="N77">
        <v>1</v>
      </c>
      <c r="O77">
        <v>-3.40282346639E+38</v>
      </c>
      <c r="P77">
        <v>3.40282346639E+38</v>
      </c>
      <c r="Q77">
        <v>-3.40282346639E+38</v>
      </c>
      <c r="R77">
        <v>3.40282346639E+38</v>
      </c>
      <c r="W77" t="s">
        <v>3334</v>
      </c>
      <c r="X77"/>
      <c r="Z77"/>
      <c r="AA77"/>
      <c r="AE77"/>
      <c r="AF77"/>
      <c r="AG77"/>
      <c r="AH77"/>
    </row>
    <row r="78" spans="1:34" ht="15.75" customHeight="1" x14ac:dyDescent="0.15">
      <c r="A78">
        <v>72</v>
      </c>
      <c r="B78" t="s">
        <v>75</v>
      </c>
      <c r="C78" t="s">
        <v>2634</v>
      </c>
      <c r="D78" t="s">
        <v>3335</v>
      </c>
      <c r="E78" t="s">
        <v>3192</v>
      </c>
      <c r="F78">
        <v>326</v>
      </c>
      <c r="H78">
        <v>40327</v>
      </c>
      <c r="M78" t="s">
        <v>7375</v>
      </c>
      <c r="N78">
        <v>1</v>
      </c>
      <c r="O78">
        <v>-3.40282346639E+38</v>
      </c>
      <c r="P78">
        <v>3.40282346639E+38</v>
      </c>
      <c r="Q78">
        <v>-3.40282346639E+38</v>
      </c>
      <c r="R78">
        <v>3.40282346639E+38</v>
      </c>
      <c r="W78" t="s">
        <v>3336</v>
      </c>
      <c r="X78"/>
      <c r="Z78"/>
      <c r="AA78"/>
      <c r="AE78"/>
      <c r="AF78"/>
      <c r="AG78"/>
      <c r="AH78"/>
    </row>
    <row r="79" spans="1:34" ht="15.75" customHeight="1" x14ac:dyDescent="0.15">
      <c r="A79">
        <v>73</v>
      </c>
      <c r="B79" t="s">
        <v>75</v>
      </c>
      <c r="C79" t="s">
        <v>2634</v>
      </c>
      <c r="D79" t="s">
        <v>3337</v>
      </c>
      <c r="E79" t="s">
        <v>3192</v>
      </c>
      <c r="F79">
        <v>350</v>
      </c>
      <c r="H79">
        <v>40351</v>
      </c>
      <c r="M79" t="s">
        <v>560</v>
      </c>
      <c r="N79">
        <v>1</v>
      </c>
      <c r="O79">
        <v>-3.40282346639E+38</v>
      </c>
      <c r="P79">
        <v>3.40282346639E+38</v>
      </c>
      <c r="Q79">
        <v>-3.40282346639E+38</v>
      </c>
      <c r="R79">
        <v>3.40282346639E+38</v>
      </c>
      <c r="W79" t="s">
        <v>3338</v>
      </c>
      <c r="X79"/>
      <c r="Z79"/>
      <c r="AA79"/>
      <c r="AE79"/>
      <c r="AF79"/>
      <c r="AG79"/>
      <c r="AH79"/>
    </row>
    <row r="80" spans="1:34" ht="15.75" customHeight="1" x14ac:dyDescent="0.15">
      <c r="A80">
        <v>74</v>
      </c>
      <c r="B80" t="s">
        <v>75</v>
      </c>
      <c r="C80" t="s">
        <v>2634</v>
      </c>
      <c r="D80" t="s">
        <v>3339</v>
      </c>
      <c r="E80" t="s">
        <v>3192</v>
      </c>
      <c r="F80">
        <v>352</v>
      </c>
      <c r="H80">
        <v>40353</v>
      </c>
      <c r="M80" t="s">
        <v>8915</v>
      </c>
      <c r="N80">
        <v>1</v>
      </c>
      <c r="O80">
        <v>-3.40282346639E+38</v>
      </c>
      <c r="P80">
        <v>3.40282346639E+38</v>
      </c>
      <c r="Q80">
        <v>-3.40282346639E+38</v>
      </c>
      <c r="R80">
        <v>3.40282346639E+38</v>
      </c>
      <c r="W80" t="s">
        <v>3340</v>
      </c>
      <c r="X80"/>
      <c r="Z80"/>
      <c r="AA80"/>
      <c r="AE80"/>
      <c r="AF80"/>
      <c r="AG80"/>
      <c r="AH80"/>
    </row>
    <row r="81" spans="1:34" ht="15.75" customHeight="1" x14ac:dyDescent="0.15">
      <c r="A81">
        <v>75</v>
      </c>
      <c r="B81" t="s">
        <v>75</v>
      </c>
      <c r="C81" t="s">
        <v>2634</v>
      </c>
      <c r="D81" t="s">
        <v>3341</v>
      </c>
      <c r="E81" t="s">
        <v>3192</v>
      </c>
      <c r="F81">
        <v>354</v>
      </c>
      <c r="H81">
        <v>40355</v>
      </c>
      <c r="M81" t="s">
        <v>7353</v>
      </c>
      <c r="N81">
        <v>1</v>
      </c>
      <c r="O81">
        <v>-3.40282346639E+38</v>
      </c>
      <c r="P81">
        <v>3.40282346639E+38</v>
      </c>
      <c r="Q81">
        <v>-3.40282346639E+38</v>
      </c>
      <c r="R81">
        <v>3.40282346639E+38</v>
      </c>
      <c r="W81" t="s">
        <v>3342</v>
      </c>
      <c r="X81"/>
      <c r="Z81"/>
      <c r="AA81"/>
      <c r="AE81"/>
      <c r="AF81"/>
      <c r="AG81"/>
      <c r="AH81"/>
    </row>
    <row r="82" spans="1:34" ht="15.75" customHeight="1" x14ac:dyDescent="0.15">
      <c r="A82">
        <v>76</v>
      </c>
      <c r="B82" t="s">
        <v>75</v>
      </c>
      <c r="C82" t="s">
        <v>2634</v>
      </c>
      <c r="D82" t="s">
        <v>3343</v>
      </c>
      <c r="E82" t="s">
        <v>3192</v>
      </c>
      <c r="F82">
        <v>356</v>
      </c>
      <c r="H82">
        <v>40357</v>
      </c>
      <c r="M82" t="s">
        <v>7383</v>
      </c>
      <c r="N82">
        <v>1</v>
      </c>
      <c r="O82">
        <v>-3.40282346639E+38</v>
      </c>
      <c r="P82">
        <v>3.40282346639E+38</v>
      </c>
      <c r="Q82">
        <v>-3.40282346639E+38</v>
      </c>
      <c r="R82">
        <v>3.40282346639E+38</v>
      </c>
      <c r="W82" t="s">
        <v>3344</v>
      </c>
      <c r="X82"/>
      <c r="Z82"/>
      <c r="AA82"/>
      <c r="AE82"/>
      <c r="AF82"/>
      <c r="AG82"/>
      <c r="AH82"/>
    </row>
    <row r="83" spans="1:34" ht="15.75" customHeight="1" x14ac:dyDescent="0.15">
      <c r="A83">
        <v>77</v>
      </c>
      <c r="B83" t="s">
        <v>75</v>
      </c>
      <c r="C83" t="s">
        <v>2634</v>
      </c>
      <c r="D83" t="s">
        <v>3345</v>
      </c>
      <c r="E83" t="s">
        <v>3192</v>
      </c>
      <c r="F83">
        <v>358</v>
      </c>
      <c r="H83">
        <v>40359</v>
      </c>
      <c r="M83" t="s">
        <v>7385</v>
      </c>
      <c r="N83">
        <v>1</v>
      </c>
      <c r="O83">
        <v>-3.40282346639E+38</v>
      </c>
      <c r="P83">
        <v>3.40282346639E+38</v>
      </c>
      <c r="Q83">
        <v>-3.40282346639E+38</v>
      </c>
      <c r="R83">
        <v>3.40282346639E+38</v>
      </c>
      <c r="W83" t="s">
        <v>3346</v>
      </c>
      <c r="X83"/>
      <c r="Z83"/>
      <c r="AA83"/>
      <c r="AE83"/>
      <c r="AF83"/>
      <c r="AG83"/>
      <c r="AH83"/>
    </row>
    <row r="84" spans="1:34" ht="15.75" customHeight="1" x14ac:dyDescent="0.15">
      <c r="A84">
        <v>78</v>
      </c>
      <c r="B84" t="s">
        <v>75</v>
      </c>
      <c r="C84" t="s">
        <v>2634</v>
      </c>
      <c r="D84" t="s">
        <v>3347</v>
      </c>
      <c r="E84" t="s">
        <v>3192</v>
      </c>
      <c r="F84">
        <v>362</v>
      </c>
      <c r="H84">
        <v>40363</v>
      </c>
      <c r="M84" t="s">
        <v>560</v>
      </c>
      <c r="N84">
        <v>1</v>
      </c>
      <c r="O84">
        <v>-3.40282346639E+38</v>
      </c>
      <c r="P84">
        <v>3.40282346639E+38</v>
      </c>
      <c r="Q84">
        <v>-3.40282346639E+38</v>
      </c>
      <c r="R84">
        <v>3.40282346639E+38</v>
      </c>
      <c r="W84" t="s">
        <v>3348</v>
      </c>
      <c r="X84"/>
      <c r="Z84"/>
      <c r="AA84"/>
      <c r="AE84"/>
      <c r="AF84"/>
      <c r="AG84"/>
      <c r="AH84"/>
    </row>
    <row r="85" spans="1:34" ht="15.75" customHeight="1" x14ac:dyDescent="0.15">
      <c r="A85">
        <v>79</v>
      </c>
      <c r="B85" t="s">
        <v>75</v>
      </c>
      <c r="C85" t="s">
        <v>2634</v>
      </c>
      <c r="D85" t="s">
        <v>3349</v>
      </c>
      <c r="E85" t="s">
        <v>3192</v>
      </c>
      <c r="F85">
        <v>364</v>
      </c>
      <c r="H85">
        <v>40365</v>
      </c>
      <c r="M85" t="s">
        <v>8915</v>
      </c>
      <c r="N85">
        <v>1</v>
      </c>
      <c r="O85">
        <v>-3.40282346639E+38</v>
      </c>
      <c r="P85">
        <v>3.40282346639E+38</v>
      </c>
      <c r="Q85">
        <v>-3.40282346639E+38</v>
      </c>
      <c r="R85">
        <v>3.40282346639E+38</v>
      </c>
      <c r="W85" t="s">
        <v>3350</v>
      </c>
      <c r="X85"/>
      <c r="Z85"/>
      <c r="AA85"/>
      <c r="AE85"/>
      <c r="AF85"/>
      <c r="AG85"/>
      <c r="AH85"/>
    </row>
    <row r="86" spans="1:34" ht="15.75" customHeight="1" x14ac:dyDescent="0.15">
      <c r="A86">
        <v>80</v>
      </c>
      <c r="B86" t="s">
        <v>75</v>
      </c>
      <c r="C86" t="s">
        <v>2634</v>
      </c>
      <c r="D86" t="s">
        <v>3351</v>
      </c>
      <c r="E86" t="s">
        <v>3192</v>
      </c>
      <c r="F86">
        <v>366</v>
      </c>
      <c r="H86">
        <v>40367</v>
      </c>
      <c r="M86" t="s">
        <v>7353</v>
      </c>
      <c r="N86">
        <v>1</v>
      </c>
      <c r="O86">
        <v>-3.40282346639E+38</v>
      </c>
      <c r="P86">
        <v>3.40282346639E+38</v>
      </c>
      <c r="Q86">
        <v>-3.40282346639E+38</v>
      </c>
      <c r="R86">
        <v>3.40282346639E+38</v>
      </c>
      <c r="W86" t="s">
        <v>3352</v>
      </c>
      <c r="X86"/>
      <c r="Z86"/>
      <c r="AA86"/>
      <c r="AE86"/>
      <c r="AF86"/>
      <c r="AG86"/>
      <c r="AH86"/>
    </row>
    <row r="87" spans="1:34" ht="15.75" customHeight="1" x14ac:dyDescent="0.15">
      <c r="A87">
        <v>81</v>
      </c>
      <c r="B87" t="s">
        <v>75</v>
      </c>
      <c r="C87" t="s">
        <v>2634</v>
      </c>
      <c r="D87" t="s">
        <v>3353</v>
      </c>
      <c r="E87" t="s">
        <v>3192</v>
      </c>
      <c r="F87">
        <v>368</v>
      </c>
      <c r="H87">
        <v>40369</v>
      </c>
      <c r="M87" t="s">
        <v>7383</v>
      </c>
      <c r="N87">
        <v>1</v>
      </c>
      <c r="O87">
        <v>-3.40282346639E+38</v>
      </c>
      <c r="P87">
        <v>3.40282346639E+38</v>
      </c>
      <c r="Q87">
        <v>-3.40282346639E+38</v>
      </c>
      <c r="R87">
        <v>3.40282346639E+38</v>
      </c>
      <c r="W87" t="s">
        <v>3354</v>
      </c>
      <c r="X87"/>
      <c r="Z87"/>
      <c r="AA87"/>
      <c r="AE87"/>
      <c r="AF87"/>
      <c r="AG87"/>
      <c r="AH87"/>
    </row>
    <row r="88" spans="1:34" ht="15.75" customHeight="1" x14ac:dyDescent="0.15">
      <c r="A88">
        <v>82</v>
      </c>
      <c r="B88" t="s">
        <v>75</v>
      </c>
      <c r="C88" t="s">
        <v>2634</v>
      </c>
      <c r="D88" t="s">
        <v>3355</v>
      </c>
      <c r="E88" t="s">
        <v>3192</v>
      </c>
      <c r="F88">
        <v>370</v>
      </c>
      <c r="H88">
        <v>40371</v>
      </c>
      <c r="M88" t="s">
        <v>7385</v>
      </c>
      <c r="N88">
        <v>1</v>
      </c>
      <c r="O88">
        <v>-3.40282346639E+38</v>
      </c>
      <c r="P88">
        <v>3.40282346639E+38</v>
      </c>
      <c r="Q88">
        <v>-3.40282346639E+38</v>
      </c>
      <c r="R88">
        <v>3.40282346639E+38</v>
      </c>
      <c r="W88" t="s">
        <v>3356</v>
      </c>
      <c r="X88"/>
      <c r="Z88"/>
      <c r="AA88"/>
      <c r="AE88"/>
      <c r="AF88"/>
      <c r="AG88"/>
      <c r="AH88"/>
    </row>
    <row r="89" spans="1:34" ht="15.75" customHeight="1" x14ac:dyDescent="0.15">
      <c r="A89">
        <v>83</v>
      </c>
      <c r="B89" t="s">
        <v>75</v>
      </c>
      <c r="C89" t="s">
        <v>2634</v>
      </c>
      <c r="D89" t="s">
        <v>3198</v>
      </c>
      <c r="E89" t="s">
        <v>3192</v>
      </c>
      <c r="F89">
        <v>404</v>
      </c>
      <c r="H89">
        <v>40405</v>
      </c>
      <c r="M89" t="s">
        <v>8917</v>
      </c>
      <c r="N89">
        <v>1</v>
      </c>
      <c r="O89">
        <v>-3.40282346639E+38</v>
      </c>
      <c r="P89">
        <v>3.40282346639E+38</v>
      </c>
      <c r="Q89">
        <v>-3.40282346639E+38</v>
      </c>
      <c r="R89">
        <v>3.40282346639E+38</v>
      </c>
      <c r="W89" t="s">
        <v>3357</v>
      </c>
      <c r="X89"/>
      <c r="Z89"/>
      <c r="AA89"/>
      <c r="AE89"/>
      <c r="AF89"/>
      <c r="AG89"/>
      <c r="AH89"/>
    </row>
    <row r="90" spans="1:34" ht="15.75" customHeight="1" x14ac:dyDescent="0.15">
      <c r="A90">
        <v>84</v>
      </c>
      <c r="B90" t="s">
        <v>75</v>
      </c>
      <c r="C90" t="s">
        <v>2634</v>
      </c>
      <c r="D90" t="s">
        <v>3358</v>
      </c>
      <c r="E90" t="s">
        <v>3192</v>
      </c>
      <c r="F90">
        <v>472</v>
      </c>
      <c r="H90">
        <v>40473</v>
      </c>
      <c r="M90" t="s">
        <v>8917</v>
      </c>
      <c r="N90">
        <v>1</v>
      </c>
      <c r="O90">
        <v>-3.40282346639E+38</v>
      </c>
      <c r="P90">
        <v>3.40282346639E+38</v>
      </c>
      <c r="Q90">
        <v>-3.40282346639E+38</v>
      </c>
      <c r="R90">
        <v>3.40282346639E+38</v>
      </c>
      <c r="W90" t="s">
        <v>3359</v>
      </c>
      <c r="X90"/>
      <c r="Z90"/>
      <c r="AA90"/>
      <c r="AE90"/>
      <c r="AF90"/>
      <c r="AG90"/>
      <c r="AH90"/>
    </row>
    <row r="91" spans="1:34" ht="15.75" customHeight="1" x14ac:dyDescent="0.15">
      <c r="A91">
        <v>85</v>
      </c>
      <c r="B91" t="s">
        <v>75</v>
      </c>
      <c r="C91" t="s">
        <v>2634</v>
      </c>
      <c r="D91" t="s">
        <v>3249</v>
      </c>
      <c r="E91" t="s">
        <v>3192</v>
      </c>
      <c r="F91">
        <v>474</v>
      </c>
      <c r="H91">
        <v>40475</v>
      </c>
      <c r="M91" t="s">
        <v>8917</v>
      </c>
      <c r="N91">
        <v>1</v>
      </c>
      <c r="O91">
        <v>-3.40282346639E+38</v>
      </c>
      <c r="P91">
        <v>3.40282346639E+38</v>
      </c>
      <c r="Q91">
        <v>-3.40282346639E+38</v>
      </c>
      <c r="R91">
        <v>3.40282346639E+38</v>
      </c>
      <c r="W91" t="s">
        <v>3360</v>
      </c>
      <c r="X91"/>
      <c r="Z91"/>
      <c r="AA91"/>
      <c r="AE91"/>
      <c r="AF91"/>
      <c r="AG91"/>
      <c r="AH91"/>
    </row>
    <row r="92" spans="1:34" ht="15.75" customHeight="1" x14ac:dyDescent="0.15">
      <c r="A92">
        <v>86</v>
      </c>
      <c r="B92" t="s">
        <v>75</v>
      </c>
      <c r="C92" t="s">
        <v>2634</v>
      </c>
      <c r="D92" t="s">
        <v>3253</v>
      </c>
      <c r="E92" t="s">
        <v>3192</v>
      </c>
      <c r="F92">
        <v>478</v>
      </c>
      <c r="H92">
        <v>40479</v>
      </c>
      <c r="M92" t="s">
        <v>7051</v>
      </c>
      <c r="N92">
        <v>1</v>
      </c>
      <c r="O92">
        <v>-3.40282346639E+38</v>
      </c>
      <c r="P92">
        <v>3.40282346639E+38</v>
      </c>
      <c r="Q92">
        <v>-3.40282346639E+38</v>
      </c>
      <c r="R92">
        <v>3.40282346639E+38</v>
      </c>
      <c r="W92" t="s">
        <v>3361</v>
      </c>
      <c r="X92"/>
      <c r="Z92"/>
      <c r="AA92"/>
      <c r="AE92"/>
      <c r="AF92"/>
      <c r="AG92"/>
      <c r="AH92"/>
    </row>
    <row r="93" spans="1:34" ht="15.75" customHeight="1" x14ac:dyDescent="0.15">
      <c r="A93">
        <v>87</v>
      </c>
      <c r="B93" t="s">
        <v>75</v>
      </c>
      <c r="C93" t="s">
        <v>2634</v>
      </c>
      <c r="D93" t="s">
        <v>3255</v>
      </c>
      <c r="E93" t="s">
        <v>3192</v>
      </c>
      <c r="F93">
        <v>480</v>
      </c>
      <c r="H93">
        <v>40481</v>
      </c>
      <c r="M93" t="s">
        <v>7051</v>
      </c>
      <c r="N93">
        <v>1</v>
      </c>
      <c r="O93">
        <v>-3.40282346639E+38</v>
      </c>
      <c r="P93">
        <v>3.40282346639E+38</v>
      </c>
      <c r="Q93">
        <v>-3.40282346639E+38</v>
      </c>
      <c r="R93">
        <v>3.40282346639E+38</v>
      </c>
      <c r="W93" t="s">
        <v>3362</v>
      </c>
      <c r="X93"/>
      <c r="Z93"/>
      <c r="AA93"/>
      <c r="AE93"/>
      <c r="AF93"/>
      <c r="AG93"/>
      <c r="AH93"/>
    </row>
    <row r="94" spans="1:34" ht="15.75" customHeight="1" x14ac:dyDescent="0.15">
      <c r="A94">
        <v>88</v>
      </c>
      <c r="B94" t="s">
        <v>75</v>
      </c>
      <c r="C94" t="s">
        <v>2634</v>
      </c>
      <c r="D94" t="s">
        <v>3363</v>
      </c>
      <c r="E94" t="s">
        <v>3192</v>
      </c>
      <c r="F94">
        <v>486</v>
      </c>
      <c r="H94">
        <v>40487</v>
      </c>
      <c r="M94" t="s">
        <v>8918</v>
      </c>
      <c r="N94">
        <v>1</v>
      </c>
      <c r="O94">
        <v>-3.40282346639E+38</v>
      </c>
      <c r="P94">
        <v>3.40282346639E+38</v>
      </c>
      <c r="Q94">
        <v>-3.40282346639E+38</v>
      </c>
      <c r="R94">
        <v>3.40282346639E+38</v>
      </c>
      <c r="W94" t="s">
        <v>3364</v>
      </c>
      <c r="X94"/>
      <c r="Z94"/>
      <c r="AA94"/>
      <c r="AE94"/>
      <c r="AF94"/>
      <c r="AG94"/>
      <c r="AH94"/>
    </row>
    <row r="95" spans="1:34" ht="15.75" customHeight="1" x14ac:dyDescent="0.15">
      <c r="A95">
        <v>89</v>
      </c>
      <c r="B95" t="s">
        <v>75</v>
      </c>
      <c r="C95" t="s">
        <v>2634</v>
      </c>
      <c r="D95" t="s">
        <v>3365</v>
      </c>
      <c r="E95" t="s">
        <v>3192</v>
      </c>
      <c r="F95">
        <v>488</v>
      </c>
      <c r="H95">
        <v>40489</v>
      </c>
      <c r="M95" t="s">
        <v>8918</v>
      </c>
      <c r="N95">
        <v>1</v>
      </c>
      <c r="O95">
        <v>-3.40282346639E+38</v>
      </c>
      <c r="P95">
        <v>3.40282346639E+38</v>
      </c>
      <c r="Q95">
        <v>-3.40282346639E+38</v>
      </c>
      <c r="R95">
        <v>3.40282346639E+38</v>
      </c>
      <c r="W95" t="s">
        <v>3366</v>
      </c>
      <c r="X95"/>
      <c r="Z95"/>
      <c r="AA95"/>
      <c r="AE95"/>
      <c r="AF95"/>
      <c r="AG95"/>
      <c r="AH95"/>
    </row>
    <row r="96" spans="1:34" ht="15.75" customHeight="1" x14ac:dyDescent="0.15">
      <c r="A96">
        <v>90</v>
      </c>
      <c r="B96" t="s">
        <v>75</v>
      </c>
      <c r="C96" t="s">
        <v>2634</v>
      </c>
      <c r="D96" t="s">
        <v>3271</v>
      </c>
      <c r="E96" t="s">
        <v>3192</v>
      </c>
      <c r="F96">
        <v>502</v>
      </c>
      <c r="H96">
        <v>40503</v>
      </c>
      <c r="M96" t="s">
        <v>7052</v>
      </c>
      <c r="N96">
        <v>1</v>
      </c>
      <c r="O96">
        <v>-3.40282346639E+38</v>
      </c>
      <c r="P96">
        <v>3.40282346639E+38</v>
      </c>
      <c r="Q96">
        <v>-3.40282346639E+38</v>
      </c>
      <c r="R96">
        <v>3.40282346639E+38</v>
      </c>
      <c r="W96" t="s">
        <v>3367</v>
      </c>
      <c r="X96"/>
      <c r="Z96"/>
      <c r="AA96"/>
      <c r="AE96"/>
      <c r="AF96"/>
      <c r="AG96"/>
      <c r="AH96"/>
    </row>
    <row r="97" spans="1:34" ht="15.75" customHeight="1" x14ac:dyDescent="0.15">
      <c r="A97">
        <v>91</v>
      </c>
      <c r="B97" t="s">
        <v>75</v>
      </c>
      <c r="C97" t="s">
        <v>2634</v>
      </c>
      <c r="D97" t="s">
        <v>3273</v>
      </c>
      <c r="E97" t="s">
        <v>3192</v>
      </c>
      <c r="F97">
        <v>504</v>
      </c>
      <c r="H97">
        <v>40505</v>
      </c>
      <c r="M97" t="s">
        <v>8919</v>
      </c>
      <c r="N97">
        <v>1</v>
      </c>
      <c r="O97">
        <v>-3.40282346639E+38</v>
      </c>
      <c r="P97">
        <v>3.40282346639E+38</v>
      </c>
      <c r="Q97">
        <v>-3.40282346639E+38</v>
      </c>
      <c r="R97">
        <v>3.40282346639E+38</v>
      </c>
      <c r="W97" t="s">
        <v>3368</v>
      </c>
      <c r="X97"/>
      <c r="Z97"/>
      <c r="AA97"/>
      <c r="AE97"/>
      <c r="AF97"/>
      <c r="AG97"/>
      <c r="AH97"/>
    </row>
    <row r="98" spans="1:34" ht="15.75" customHeight="1" x14ac:dyDescent="0.15">
      <c r="A98">
        <v>92</v>
      </c>
      <c r="B98" t="s">
        <v>75</v>
      </c>
      <c r="C98" t="s">
        <v>2634</v>
      </c>
      <c r="D98" t="s">
        <v>3275</v>
      </c>
      <c r="E98" t="s">
        <v>3192</v>
      </c>
      <c r="F98">
        <v>506</v>
      </c>
      <c r="H98">
        <v>40507</v>
      </c>
      <c r="M98" t="s">
        <v>8920</v>
      </c>
      <c r="N98">
        <v>1</v>
      </c>
      <c r="O98">
        <v>-3.40282346639E+38</v>
      </c>
      <c r="P98">
        <v>3.40282346639E+38</v>
      </c>
      <c r="Q98">
        <v>-3.40282346639E+38</v>
      </c>
      <c r="R98">
        <v>3.40282346639E+38</v>
      </c>
      <c r="W98" t="s">
        <v>3369</v>
      </c>
      <c r="X98"/>
      <c r="Z98"/>
      <c r="AA98"/>
      <c r="AE98"/>
      <c r="AF98"/>
      <c r="AG98"/>
      <c r="AH98"/>
    </row>
    <row r="99" spans="1:34" ht="15.75" customHeight="1" x14ac:dyDescent="0.15">
      <c r="A99">
        <v>93</v>
      </c>
      <c r="B99" t="s">
        <v>75</v>
      </c>
      <c r="C99" t="s">
        <v>2634</v>
      </c>
      <c r="D99" t="s">
        <v>3277</v>
      </c>
      <c r="E99" t="s">
        <v>3192</v>
      </c>
      <c r="F99">
        <v>522</v>
      </c>
      <c r="H99">
        <v>40523</v>
      </c>
      <c r="M99" t="s">
        <v>8917</v>
      </c>
      <c r="N99">
        <v>1</v>
      </c>
      <c r="O99">
        <v>-3.40282346639E+38</v>
      </c>
      <c r="P99">
        <v>3.40282346639E+38</v>
      </c>
      <c r="Q99">
        <v>-3.40282346639E+38</v>
      </c>
      <c r="R99">
        <v>3.40282346639E+38</v>
      </c>
      <c r="W99" t="s">
        <v>3370</v>
      </c>
      <c r="X99"/>
      <c r="Z99"/>
      <c r="AA99"/>
      <c r="AE99"/>
      <c r="AF99"/>
      <c r="AG99"/>
      <c r="AH99"/>
    </row>
    <row r="100" spans="1:34" ht="15.75" customHeight="1" x14ac:dyDescent="0.15">
      <c r="A100">
        <v>94</v>
      </c>
      <c r="B100" t="s">
        <v>75</v>
      </c>
      <c r="C100" t="s">
        <v>2634</v>
      </c>
      <c r="D100" t="s">
        <v>3279</v>
      </c>
      <c r="E100" t="s">
        <v>3192</v>
      </c>
      <c r="F100">
        <v>524</v>
      </c>
      <c r="H100">
        <v>40525</v>
      </c>
      <c r="M100" t="s">
        <v>8917</v>
      </c>
      <c r="N100">
        <v>1</v>
      </c>
      <c r="O100">
        <v>-3.40282346639E+38</v>
      </c>
      <c r="P100">
        <v>3.40282346639E+38</v>
      </c>
      <c r="Q100">
        <v>-3.40282346639E+38</v>
      </c>
      <c r="R100">
        <v>3.40282346639E+38</v>
      </c>
      <c r="W100" t="s">
        <v>3371</v>
      </c>
      <c r="X100"/>
      <c r="Z100"/>
      <c r="AA100"/>
      <c r="AE100"/>
      <c r="AF100"/>
      <c r="AG100"/>
      <c r="AH100"/>
    </row>
    <row r="101" spans="1:34" ht="15.75" customHeight="1" x14ac:dyDescent="0.15">
      <c r="A101">
        <v>95</v>
      </c>
      <c r="B101" t="s">
        <v>75</v>
      </c>
      <c r="C101" t="s">
        <v>2634</v>
      </c>
      <c r="D101" t="s">
        <v>3281</v>
      </c>
      <c r="E101" t="s">
        <v>3192</v>
      </c>
      <c r="F101">
        <v>526</v>
      </c>
      <c r="H101">
        <v>40527</v>
      </c>
      <c r="M101" t="s">
        <v>8917</v>
      </c>
      <c r="N101">
        <v>1</v>
      </c>
      <c r="O101">
        <v>-3.40282346639E+38</v>
      </c>
      <c r="P101">
        <v>3.40282346639E+38</v>
      </c>
      <c r="Q101">
        <v>-3.40282346639E+38</v>
      </c>
      <c r="R101">
        <v>3.40282346639E+38</v>
      </c>
      <c r="W101" t="s">
        <v>3372</v>
      </c>
      <c r="X101"/>
      <c r="Z101"/>
      <c r="AA101"/>
      <c r="AE101"/>
      <c r="AF101"/>
      <c r="AG101"/>
      <c r="AH101"/>
    </row>
    <row r="102" spans="1:34" ht="15.75" customHeight="1" x14ac:dyDescent="0.15">
      <c r="A102">
        <v>96</v>
      </c>
      <c r="B102" t="s">
        <v>75</v>
      </c>
      <c r="C102" t="s">
        <v>2634</v>
      </c>
      <c r="D102" t="s">
        <v>3373</v>
      </c>
      <c r="E102" t="s">
        <v>3192</v>
      </c>
      <c r="F102">
        <v>746</v>
      </c>
      <c r="H102">
        <v>40747</v>
      </c>
      <c r="M102" t="s">
        <v>6121</v>
      </c>
      <c r="N102">
        <v>1</v>
      </c>
      <c r="O102">
        <v>-3.40282346639E+38</v>
      </c>
      <c r="P102">
        <v>3.40282346639E+38</v>
      </c>
      <c r="Q102">
        <v>-3.40282346639E+38</v>
      </c>
      <c r="R102">
        <v>3.40282346639E+38</v>
      </c>
      <c r="W102" t="s">
        <v>3374</v>
      </c>
      <c r="X102"/>
      <c r="Z102"/>
      <c r="AA102"/>
      <c r="AE102"/>
      <c r="AF102"/>
      <c r="AG102"/>
      <c r="AH102"/>
    </row>
    <row r="103" spans="1:34" ht="15.75" customHeight="1" x14ac:dyDescent="0.15">
      <c r="A103">
        <v>97</v>
      </c>
      <c r="B103" t="s">
        <v>75</v>
      </c>
      <c r="C103" t="s">
        <v>2634</v>
      </c>
      <c r="D103" t="s">
        <v>3375</v>
      </c>
      <c r="E103" t="s">
        <v>3192</v>
      </c>
      <c r="F103">
        <v>748</v>
      </c>
      <c r="H103">
        <v>40749</v>
      </c>
      <c r="M103" t="s">
        <v>6121</v>
      </c>
      <c r="N103">
        <v>1</v>
      </c>
      <c r="O103">
        <v>-3.40282346639E+38</v>
      </c>
      <c r="P103">
        <v>3.40282346639E+38</v>
      </c>
      <c r="Q103">
        <v>-3.40282346639E+38</v>
      </c>
      <c r="R103">
        <v>3.40282346639E+38</v>
      </c>
      <c r="W103" t="s">
        <v>3376</v>
      </c>
      <c r="X103"/>
      <c r="Z103"/>
      <c r="AA103"/>
      <c r="AE103"/>
      <c r="AF103"/>
      <c r="AG103"/>
      <c r="AH103"/>
    </row>
    <row r="104" spans="1:34" ht="15.75" customHeight="1" x14ac:dyDescent="0.15">
      <c r="A104">
        <v>98</v>
      </c>
      <c r="B104" t="s">
        <v>75</v>
      </c>
      <c r="C104" t="s">
        <v>2634</v>
      </c>
      <c r="D104" t="s">
        <v>3377</v>
      </c>
      <c r="E104" t="s">
        <v>3192</v>
      </c>
      <c r="F104">
        <v>750</v>
      </c>
      <c r="H104">
        <v>40751</v>
      </c>
      <c r="M104" t="s">
        <v>266</v>
      </c>
      <c r="N104">
        <v>1</v>
      </c>
      <c r="O104">
        <v>-3.40282346639E+38</v>
      </c>
      <c r="P104">
        <v>3.40282346639E+38</v>
      </c>
      <c r="Q104">
        <v>-3.40282346639E+38</v>
      </c>
      <c r="R104">
        <v>3.40282346639E+38</v>
      </c>
      <c r="W104" t="s">
        <v>3378</v>
      </c>
      <c r="X104"/>
      <c r="Z104"/>
      <c r="AA104"/>
      <c r="AE104"/>
      <c r="AF104"/>
      <c r="AG104"/>
      <c r="AH104"/>
    </row>
    <row r="105" spans="1:34" ht="15.75" customHeight="1" x14ac:dyDescent="0.15">
      <c r="A105">
        <v>99</v>
      </c>
      <c r="B105" t="s">
        <v>75</v>
      </c>
      <c r="C105" t="s">
        <v>2634</v>
      </c>
      <c r="D105" t="s">
        <v>3379</v>
      </c>
      <c r="E105" t="s">
        <v>3192</v>
      </c>
      <c r="F105">
        <v>752</v>
      </c>
      <c r="H105">
        <v>40753</v>
      </c>
      <c r="M105" t="s">
        <v>6229</v>
      </c>
      <c r="N105">
        <v>1</v>
      </c>
      <c r="O105">
        <v>-3.40282346639E+38</v>
      </c>
      <c r="P105">
        <v>3.40282346639E+38</v>
      </c>
      <c r="Q105">
        <v>-3.40282346639E+38</v>
      </c>
      <c r="R105">
        <v>3.40282346639E+38</v>
      </c>
      <c r="W105" t="s">
        <v>3380</v>
      </c>
      <c r="X105"/>
      <c r="Z105"/>
      <c r="AA105"/>
      <c r="AE105"/>
      <c r="AF105"/>
      <c r="AG105"/>
      <c r="AH105"/>
    </row>
    <row r="106" spans="1:34" ht="15.75" customHeight="1" x14ac:dyDescent="0.15">
      <c r="A106">
        <v>100</v>
      </c>
      <c r="B106" t="s">
        <v>75</v>
      </c>
      <c r="C106" t="s">
        <v>2634</v>
      </c>
      <c r="D106" t="s">
        <v>3381</v>
      </c>
      <c r="E106" t="s">
        <v>3192</v>
      </c>
      <c r="F106">
        <v>770</v>
      </c>
      <c r="H106">
        <v>40771</v>
      </c>
      <c r="M106" t="s">
        <v>560</v>
      </c>
      <c r="N106">
        <v>1</v>
      </c>
      <c r="O106">
        <v>-3.40282346639E+38</v>
      </c>
      <c r="P106">
        <v>3.40282346639E+38</v>
      </c>
      <c r="Q106">
        <v>-3.40282346639E+38</v>
      </c>
      <c r="R106">
        <v>3.40282346639E+38</v>
      </c>
      <c r="W106" t="s">
        <v>3382</v>
      </c>
      <c r="X106"/>
      <c r="Z106"/>
      <c r="AA106"/>
      <c r="AE106"/>
      <c r="AF106"/>
      <c r="AG106"/>
      <c r="AH106"/>
    </row>
    <row r="107" spans="1:34" ht="15.75" customHeight="1" x14ac:dyDescent="0.15">
      <c r="A107">
        <v>101</v>
      </c>
      <c r="B107" t="s">
        <v>75</v>
      </c>
      <c r="C107" t="s">
        <v>2634</v>
      </c>
      <c r="D107" t="s">
        <v>3383</v>
      </c>
      <c r="E107" t="s">
        <v>3192</v>
      </c>
      <c r="F107">
        <v>772</v>
      </c>
      <c r="H107">
        <v>40773</v>
      </c>
      <c r="M107" t="s">
        <v>266</v>
      </c>
      <c r="N107">
        <v>1</v>
      </c>
      <c r="O107">
        <v>-3.40282346639E+38</v>
      </c>
      <c r="P107">
        <v>3.40282346639E+38</v>
      </c>
      <c r="Q107">
        <v>-3.40282346639E+38</v>
      </c>
      <c r="R107">
        <v>3.40282346639E+38</v>
      </c>
      <c r="W107" t="s">
        <v>3384</v>
      </c>
      <c r="X107"/>
      <c r="Z107"/>
      <c r="AA107"/>
      <c r="AE107"/>
      <c r="AF107"/>
      <c r="AG107"/>
      <c r="AH107"/>
    </row>
    <row r="108" spans="1:34" ht="15.75" customHeight="1" x14ac:dyDescent="0.15">
      <c r="A108">
        <v>102</v>
      </c>
      <c r="B108" t="s">
        <v>75</v>
      </c>
      <c r="C108" t="s">
        <v>2634</v>
      </c>
      <c r="D108" t="s">
        <v>3385</v>
      </c>
      <c r="E108" t="s">
        <v>3192</v>
      </c>
      <c r="F108">
        <v>774</v>
      </c>
      <c r="H108">
        <v>40775</v>
      </c>
      <c r="M108" t="s">
        <v>6111</v>
      </c>
      <c r="N108">
        <v>1</v>
      </c>
      <c r="O108">
        <v>-3.40282346639E+38</v>
      </c>
      <c r="P108">
        <v>3.40282346639E+38</v>
      </c>
      <c r="Q108">
        <v>-3.40282346639E+38</v>
      </c>
      <c r="R108">
        <v>3.40282346639E+38</v>
      </c>
      <c r="W108" t="s">
        <v>3386</v>
      </c>
      <c r="X108"/>
      <c r="Z108"/>
      <c r="AA108"/>
      <c r="AE108"/>
      <c r="AF108"/>
      <c r="AG108"/>
      <c r="AH108"/>
    </row>
    <row r="109" spans="1:34" ht="15.75" customHeight="1" x14ac:dyDescent="0.15">
      <c r="A109">
        <v>103</v>
      </c>
      <c r="B109" t="s">
        <v>75</v>
      </c>
      <c r="C109" t="s">
        <v>2634</v>
      </c>
      <c r="D109" t="s">
        <v>3387</v>
      </c>
      <c r="E109" t="s">
        <v>3192</v>
      </c>
      <c r="F109">
        <v>776</v>
      </c>
      <c r="H109">
        <v>40777</v>
      </c>
      <c r="M109" t="s">
        <v>8921</v>
      </c>
      <c r="N109">
        <v>1</v>
      </c>
      <c r="O109">
        <v>-3.40282346639E+38</v>
      </c>
      <c r="P109">
        <v>3.40282346639E+38</v>
      </c>
      <c r="Q109">
        <v>-3.40282346639E+38</v>
      </c>
      <c r="R109">
        <v>3.40282346639E+38</v>
      </c>
      <c r="W109" t="s">
        <v>3388</v>
      </c>
      <c r="X109"/>
      <c r="Z109"/>
      <c r="AA109"/>
      <c r="AE109"/>
      <c r="AF109"/>
      <c r="AG109"/>
      <c r="AH109"/>
    </row>
    <row r="110" spans="1:34" ht="15.75" customHeight="1" x14ac:dyDescent="0.15">
      <c r="A110">
        <v>104</v>
      </c>
      <c r="B110" t="s">
        <v>75</v>
      </c>
      <c r="C110" t="s">
        <v>2634</v>
      </c>
      <c r="D110" t="s">
        <v>3389</v>
      </c>
      <c r="E110" t="s">
        <v>3192</v>
      </c>
      <c r="F110">
        <v>798</v>
      </c>
      <c r="H110">
        <v>40799</v>
      </c>
      <c r="M110" t="s">
        <v>6121</v>
      </c>
      <c r="N110">
        <v>1</v>
      </c>
      <c r="O110">
        <v>-3.40282346639E+38</v>
      </c>
      <c r="P110">
        <v>3.40282346639E+38</v>
      </c>
      <c r="Q110">
        <v>-3.40282346639E+38</v>
      </c>
      <c r="R110">
        <v>3.40282346639E+38</v>
      </c>
      <c r="W110" t="s">
        <v>3390</v>
      </c>
      <c r="X110"/>
      <c r="Z110"/>
      <c r="AA110"/>
      <c r="AE110"/>
      <c r="AF110"/>
      <c r="AG110"/>
      <c r="AH110"/>
    </row>
    <row r="111" spans="1:34" ht="15.75" customHeight="1" x14ac:dyDescent="0.15">
      <c r="A111">
        <v>105</v>
      </c>
      <c r="B111" t="s">
        <v>75</v>
      </c>
      <c r="C111" t="s">
        <v>2634</v>
      </c>
      <c r="D111" t="s">
        <v>3391</v>
      </c>
      <c r="E111" t="s">
        <v>3192</v>
      </c>
      <c r="F111">
        <v>800</v>
      </c>
      <c r="H111">
        <v>40801</v>
      </c>
      <c r="M111" t="s">
        <v>6121</v>
      </c>
      <c r="N111">
        <v>1</v>
      </c>
      <c r="O111">
        <v>-3.40282346639E+38</v>
      </c>
      <c r="P111">
        <v>3.40282346639E+38</v>
      </c>
      <c r="Q111">
        <v>-3.40282346639E+38</v>
      </c>
      <c r="R111">
        <v>3.40282346639E+38</v>
      </c>
      <c r="W111" t="s">
        <v>3392</v>
      </c>
      <c r="X111"/>
      <c r="Z111"/>
      <c r="AA111"/>
      <c r="AE111"/>
      <c r="AF111"/>
      <c r="AG111"/>
      <c r="AH111"/>
    </row>
    <row r="112" spans="1:34" ht="15.75" customHeight="1" x14ac:dyDescent="0.15">
      <c r="A112">
        <v>106</v>
      </c>
      <c r="B112" t="s">
        <v>75</v>
      </c>
      <c r="C112" t="s">
        <v>2634</v>
      </c>
      <c r="D112" t="s">
        <v>3393</v>
      </c>
      <c r="E112" t="s">
        <v>3192</v>
      </c>
      <c r="F112">
        <v>802</v>
      </c>
      <c r="H112">
        <v>40803</v>
      </c>
      <c r="M112" t="s">
        <v>6121</v>
      </c>
      <c r="N112">
        <v>1</v>
      </c>
      <c r="O112">
        <v>-3.40282346639E+38</v>
      </c>
      <c r="P112">
        <v>3.40282346639E+38</v>
      </c>
      <c r="Q112">
        <v>-3.40282346639E+38</v>
      </c>
      <c r="R112">
        <v>3.40282346639E+38</v>
      </c>
      <c r="W112" t="s">
        <v>3394</v>
      </c>
      <c r="X112"/>
      <c r="Z112"/>
      <c r="AA112"/>
      <c r="AE112"/>
      <c r="AF112"/>
      <c r="AG112"/>
      <c r="AH112"/>
    </row>
    <row r="113" spans="1:34" ht="15.75" customHeight="1" x14ac:dyDescent="0.15">
      <c r="A113">
        <v>107</v>
      </c>
      <c r="B113" t="s">
        <v>75</v>
      </c>
      <c r="C113" t="s">
        <v>2634</v>
      </c>
      <c r="D113" t="s">
        <v>3395</v>
      </c>
      <c r="E113" t="s">
        <v>3192</v>
      </c>
      <c r="F113">
        <v>803</v>
      </c>
      <c r="H113">
        <v>40804</v>
      </c>
      <c r="M113" t="s">
        <v>6121</v>
      </c>
      <c r="N113">
        <v>1</v>
      </c>
      <c r="O113">
        <v>-3.40282346639E+38</v>
      </c>
      <c r="P113">
        <v>3.40282346639E+38</v>
      </c>
      <c r="Q113">
        <v>-3.40282346639E+38</v>
      </c>
      <c r="R113">
        <v>3.40282346639E+38</v>
      </c>
      <c r="W113" t="s">
        <v>3396</v>
      </c>
      <c r="X113"/>
      <c r="Z113"/>
      <c r="AA113"/>
      <c r="AE113"/>
      <c r="AF113"/>
      <c r="AG113"/>
      <c r="AH113"/>
    </row>
    <row r="114" spans="1:34" ht="15.75" customHeight="1" x14ac:dyDescent="0.15">
      <c r="A114">
        <v>108</v>
      </c>
      <c r="B114" t="s">
        <v>75</v>
      </c>
      <c r="C114" t="s">
        <v>2634</v>
      </c>
      <c r="D114" t="s">
        <v>3397</v>
      </c>
      <c r="E114" t="s">
        <v>3192</v>
      </c>
      <c r="F114">
        <v>838</v>
      </c>
      <c r="H114">
        <v>40839</v>
      </c>
      <c r="M114" t="s">
        <v>6121</v>
      </c>
      <c r="N114">
        <v>1</v>
      </c>
      <c r="O114">
        <v>-3.40282346639E+38</v>
      </c>
      <c r="P114">
        <v>3.40282346639E+38</v>
      </c>
      <c r="Q114">
        <v>-3.40282346639E+38</v>
      </c>
      <c r="R114">
        <v>3.40282346639E+38</v>
      </c>
      <c r="W114" t="s">
        <v>3398</v>
      </c>
      <c r="X114"/>
      <c r="Z114"/>
      <c r="AA114"/>
      <c r="AE114"/>
      <c r="AF114"/>
      <c r="AG114"/>
      <c r="AH114"/>
    </row>
    <row r="115" spans="1:34" ht="15.75" customHeight="1" x14ac:dyDescent="0.15">
      <c r="A115">
        <v>109</v>
      </c>
      <c r="B115" t="s">
        <v>75</v>
      </c>
      <c r="C115" t="s">
        <v>2634</v>
      </c>
      <c r="D115" t="s">
        <v>3399</v>
      </c>
      <c r="E115" t="s">
        <v>3192</v>
      </c>
      <c r="F115">
        <v>840</v>
      </c>
      <c r="H115">
        <v>40841</v>
      </c>
      <c r="M115" t="s">
        <v>6121</v>
      </c>
      <c r="N115">
        <v>1</v>
      </c>
      <c r="O115">
        <v>-3.40282346639E+38</v>
      </c>
      <c r="P115">
        <v>3.40282346639E+38</v>
      </c>
      <c r="Q115">
        <v>-3.40282346639E+38</v>
      </c>
      <c r="R115">
        <v>3.40282346639E+38</v>
      </c>
      <c r="W115" t="s">
        <v>3400</v>
      </c>
      <c r="X115"/>
      <c r="Z115"/>
      <c r="AA115"/>
      <c r="AE115"/>
      <c r="AF115"/>
      <c r="AG115"/>
      <c r="AH115"/>
    </row>
    <row r="116" spans="1:34" ht="15.75" customHeight="1" x14ac:dyDescent="0.15">
      <c r="A116">
        <v>110</v>
      </c>
      <c r="B116" t="s">
        <v>75</v>
      </c>
      <c r="C116" t="s">
        <v>2634</v>
      </c>
      <c r="D116" t="s">
        <v>3401</v>
      </c>
      <c r="E116" t="s">
        <v>3192</v>
      </c>
      <c r="F116">
        <v>842</v>
      </c>
      <c r="H116">
        <v>40843</v>
      </c>
      <c r="M116" t="s">
        <v>266</v>
      </c>
      <c r="N116">
        <v>1</v>
      </c>
      <c r="O116">
        <v>-3.40282346639E+38</v>
      </c>
      <c r="P116">
        <v>3.40282346639E+38</v>
      </c>
      <c r="Q116">
        <v>-3.40282346639E+38</v>
      </c>
      <c r="R116">
        <v>3.40282346639E+38</v>
      </c>
      <c r="W116" t="s">
        <v>3402</v>
      </c>
      <c r="X116"/>
      <c r="Z116"/>
      <c r="AA116"/>
      <c r="AE116"/>
      <c r="AF116"/>
      <c r="AG116"/>
      <c r="AH116"/>
    </row>
    <row r="117" spans="1:34" ht="15.75" customHeight="1" x14ac:dyDescent="0.15">
      <c r="A117">
        <v>111</v>
      </c>
      <c r="B117" t="s">
        <v>75</v>
      </c>
      <c r="C117" t="s">
        <v>2634</v>
      </c>
      <c r="D117" t="s">
        <v>3403</v>
      </c>
      <c r="E117" t="s">
        <v>3192</v>
      </c>
      <c r="F117">
        <v>844</v>
      </c>
      <c r="H117">
        <v>40845</v>
      </c>
      <c r="M117" t="s">
        <v>6229</v>
      </c>
      <c r="N117">
        <v>1</v>
      </c>
      <c r="O117">
        <v>-3.40282346639E+38</v>
      </c>
      <c r="P117">
        <v>3.40282346639E+38</v>
      </c>
      <c r="Q117">
        <v>-3.40282346639E+38</v>
      </c>
      <c r="R117">
        <v>3.40282346639E+38</v>
      </c>
      <c r="W117" t="s">
        <v>3404</v>
      </c>
      <c r="X117"/>
      <c r="Z117"/>
      <c r="AA117"/>
      <c r="AE117"/>
      <c r="AF117"/>
      <c r="AG117"/>
      <c r="AH117"/>
    </row>
    <row r="118" spans="1:34" ht="15.75" customHeight="1" x14ac:dyDescent="0.15">
      <c r="A118">
        <v>99</v>
      </c>
      <c r="B118" t="s">
        <v>75</v>
      </c>
      <c r="C118" t="s">
        <v>2634</v>
      </c>
      <c r="D118" t="s">
        <v>3405</v>
      </c>
      <c r="E118" t="s">
        <v>3406</v>
      </c>
      <c r="F118">
        <v>2000</v>
      </c>
      <c r="H118">
        <v>42001</v>
      </c>
      <c r="J118" t="s">
        <v>171</v>
      </c>
      <c r="K118" t="s">
        <v>177</v>
      </c>
      <c r="L118" t="s">
        <v>173</v>
      </c>
      <c r="O118" t="s">
        <v>62</v>
      </c>
      <c r="P118" t="s">
        <v>62</v>
      </c>
      <c r="Q118" t="s">
        <v>62</v>
      </c>
      <c r="R118" t="s">
        <v>62</v>
      </c>
      <c r="W118" t="s">
        <v>3407</v>
      </c>
      <c r="X118"/>
      <c r="Z118"/>
      <c r="AA118"/>
      <c r="AE118"/>
      <c r="AF118"/>
      <c r="AG118"/>
      <c r="AH118"/>
    </row>
    <row r="119" spans="1:34" ht="15.75" customHeight="1" x14ac:dyDescent="0.15">
      <c r="A119">
        <v>100</v>
      </c>
      <c r="B119" t="s">
        <v>75</v>
      </c>
      <c r="C119" t="s">
        <v>2634</v>
      </c>
      <c r="D119" t="s">
        <v>3408</v>
      </c>
      <c r="E119" t="s">
        <v>3406</v>
      </c>
      <c r="F119">
        <v>2002</v>
      </c>
      <c r="H119">
        <v>42003</v>
      </c>
      <c r="M119" t="s">
        <v>61</v>
      </c>
      <c r="N119">
        <v>1</v>
      </c>
      <c r="O119" t="s">
        <v>62</v>
      </c>
      <c r="P119" t="s">
        <v>62</v>
      </c>
      <c r="Q119" t="s">
        <v>62</v>
      </c>
      <c r="R119" t="s">
        <v>62</v>
      </c>
      <c r="W119" t="s">
        <v>3409</v>
      </c>
      <c r="X119"/>
      <c r="Z119"/>
      <c r="AA119"/>
      <c r="AE119"/>
      <c r="AF119"/>
      <c r="AG119"/>
      <c r="AH119"/>
    </row>
    <row r="120" spans="1:34" ht="15.75" customHeight="1" x14ac:dyDescent="0.15">
      <c r="A120">
        <v>101</v>
      </c>
      <c r="B120" t="s">
        <v>75</v>
      </c>
      <c r="C120" t="s">
        <v>2634</v>
      </c>
      <c r="D120" t="s">
        <v>3410</v>
      </c>
      <c r="E120" t="s">
        <v>169</v>
      </c>
      <c r="F120">
        <v>2002</v>
      </c>
      <c r="G120">
        <v>0</v>
      </c>
      <c r="H120">
        <v>42003</v>
      </c>
      <c r="J120" t="s">
        <v>171</v>
      </c>
      <c r="K120" t="s">
        <v>177</v>
      </c>
      <c r="L120" t="s">
        <v>173</v>
      </c>
      <c r="O120" t="s">
        <v>62</v>
      </c>
      <c r="P120" t="s">
        <v>62</v>
      </c>
      <c r="Q120" t="s">
        <v>62</v>
      </c>
      <c r="R120" t="s">
        <v>62</v>
      </c>
      <c r="W120" t="s">
        <v>3411</v>
      </c>
      <c r="X120"/>
      <c r="Z120"/>
      <c r="AA120"/>
      <c r="AE120"/>
      <c r="AF120"/>
      <c r="AG120"/>
      <c r="AH120"/>
    </row>
    <row r="121" spans="1:34" ht="15.75" customHeight="1" x14ac:dyDescent="0.15">
      <c r="A121">
        <v>102</v>
      </c>
      <c r="B121" t="s">
        <v>75</v>
      </c>
      <c r="C121" t="s">
        <v>2634</v>
      </c>
      <c r="D121" t="s">
        <v>3412</v>
      </c>
      <c r="E121" t="s">
        <v>169</v>
      </c>
      <c r="F121">
        <v>2002</v>
      </c>
      <c r="G121">
        <v>1</v>
      </c>
      <c r="H121">
        <v>42003.1</v>
      </c>
      <c r="J121" t="s">
        <v>171</v>
      </c>
      <c r="K121" t="s">
        <v>177</v>
      </c>
      <c r="L121" t="s">
        <v>173</v>
      </c>
      <c r="O121" t="s">
        <v>62</v>
      </c>
      <c r="P121" t="s">
        <v>62</v>
      </c>
      <c r="Q121" t="s">
        <v>62</v>
      </c>
      <c r="R121" t="s">
        <v>62</v>
      </c>
      <c r="W121" t="s">
        <v>3413</v>
      </c>
      <c r="X121"/>
      <c r="Z121"/>
      <c r="AA121"/>
      <c r="AE121"/>
      <c r="AF121"/>
      <c r="AG121"/>
      <c r="AH121"/>
    </row>
    <row r="122" spans="1:34" ht="15.75" customHeight="1" x14ac:dyDescent="0.15">
      <c r="A122">
        <v>103</v>
      </c>
      <c r="B122" t="s">
        <v>75</v>
      </c>
      <c r="C122" t="s">
        <v>2634</v>
      </c>
      <c r="D122" t="s">
        <v>3414</v>
      </c>
      <c r="E122" t="s">
        <v>169</v>
      </c>
      <c r="F122">
        <v>2002</v>
      </c>
      <c r="G122">
        <v>2</v>
      </c>
      <c r="H122">
        <v>42003.199999999997</v>
      </c>
      <c r="J122" t="s">
        <v>171</v>
      </c>
      <c r="K122" t="s">
        <v>177</v>
      </c>
      <c r="L122" t="s">
        <v>173</v>
      </c>
      <c r="O122" t="s">
        <v>62</v>
      </c>
      <c r="P122" t="s">
        <v>62</v>
      </c>
      <c r="Q122" t="s">
        <v>62</v>
      </c>
      <c r="R122" t="s">
        <v>62</v>
      </c>
      <c r="W122" t="s">
        <v>3415</v>
      </c>
      <c r="X122"/>
      <c r="Z122"/>
      <c r="AA122"/>
      <c r="AE122"/>
      <c r="AF122"/>
      <c r="AG122"/>
      <c r="AH122"/>
    </row>
    <row r="123" spans="1:34" ht="15.75" customHeight="1" x14ac:dyDescent="0.15">
      <c r="A123">
        <v>104</v>
      </c>
      <c r="B123" t="s">
        <v>75</v>
      </c>
      <c r="C123" t="s">
        <v>2634</v>
      </c>
      <c r="D123" t="s">
        <v>3416</v>
      </c>
      <c r="E123" t="s">
        <v>169</v>
      </c>
      <c r="F123">
        <v>2002</v>
      </c>
      <c r="G123">
        <v>3</v>
      </c>
      <c r="H123">
        <v>42003.3</v>
      </c>
      <c r="J123" t="s">
        <v>171</v>
      </c>
      <c r="K123" t="s">
        <v>177</v>
      </c>
      <c r="L123" t="s">
        <v>173</v>
      </c>
      <c r="O123" t="s">
        <v>62</v>
      </c>
      <c r="P123" t="s">
        <v>62</v>
      </c>
      <c r="Q123" t="s">
        <v>62</v>
      </c>
      <c r="R123" t="s">
        <v>62</v>
      </c>
      <c r="W123" t="s">
        <v>3417</v>
      </c>
      <c r="X123"/>
      <c r="Z123"/>
      <c r="AA123"/>
      <c r="AE123"/>
      <c r="AF123"/>
      <c r="AG123"/>
      <c r="AH123"/>
    </row>
    <row r="124" spans="1:34" ht="15.75" customHeight="1" x14ac:dyDescent="0.15">
      <c r="A124">
        <v>105</v>
      </c>
      <c r="B124" t="s">
        <v>75</v>
      </c>
      <c r="C124" t="s">
        <v>2634</v>
      </c>
      <c r="D124" t="s">
        <v>3418</v>
      </c>
      <c r="E124" t="s">
        <v>169</v>
      </c>
      <c r="F124">
        <v>2002</v>
      </c>
      <c r="G124">
        <v>4</v>
      </c>
      <c r="H124">
        <v>42003.4</v>
      </c>
      <c r="J124" t="s">
        <v>171</v>
      </c>
      <c r="K124" t="s">
        <v>177</v>
      </c>
      <c r="L124" t="s">
        <v>173</v>
      </c>
      <c r="O124" t="s">
        <v>62</v>
      </c>
      <c r="P124" t="s">
        <v>62</v>
      </c>
      <c r="Q124" t="s">
        <v>62</v>
      </c>
      <c r="R124" t="s">
        <v>62</v>
      </c>
      <c r="W124" t="s">
        <v>3419</v>
      </c>
      <c r="X124"/>
      <c r="Z124"/>
      <c r="AA124"/>
      <c r="AE124"/>
      <c r="AF124"/>
      <c r="AG124"/>
      <c r="AH124"/>
    </row>
    <row r="125" spans="1:34" ht="15.75" customHeight="1" x14ac:dyDescent="0.15">
      <c r="A125">
        <v>106</v>
      </c>
      <c r="B125" t="s">
        <v>75</v>
      </c>
      <c r="C125" t="s">
        <v>2634</v>
      </c>
      <c r="D125" t="s">
        <v>3420</v>
      </c>
      <c r="E125" t="s">
        <v>169</v>
      </c>
      <c r="F125">
        <v>2002</v>
      </c>
      <c r="G125">
        <v>5</v>
      </c>
      <c r="H125">
        <v>42003.5</v>
      </c>
      <c r="J125" t="s">
        <v>171</v>
      </c>
      <c r="K125" t="s">
        <v>177</v>
      </c>
      <c r="L125" t="s">
        <v>173</v>
      </c>
      <c r="O125" t="s">
        <v>62</v>
      </c>
      <c r="P125" t="s">
        <v>62</v>
      </c>
      <c r="Q125" t="s">
        <v>62</v>
      </c>
      <c r="R125" t="s">
        <v>62</v>
      </c>
      <c r="W125" t="s">
        <v>3421</v>
      </c>
      <c r="X125"/>
      <c r="Z125"/>
      <c r="AA125"/>
      <c r="AE125"/>
      <c r="AF125"/>
      <c r="AG125"/>
      <c r="AH125"/>
    </row>
    <row r="126" spans="1:34" ht="15.75" customHeight="1" x14ac:dyDescent="0.15">
      <c r="A126">
        <v>107</v>
      </c>
      <c r="B126" t="s">
        <v>75</v>
      </c>
      <c r="C126" t="s">
        <v>2634</v>
      </c>
      <c r="D126" t="s">
        <v>3422</v>
      </c>
      <c r="E126" t="s">
        <v>169</v>
      </c>
      <c r="F126">
        <v>2002</v>
      </c>
      <c r="G126">
        <v>8</v>
      </c>
      <c r="H126">
        <v>42003.8</v>
      </c>
      <c r="J126" t="s">
        <v>171</v>
      </c>
      <c r="K126" t="s">
        <v>177</v>
      </c>
      <c r="L126" t="s">
        <v>173</v>
      </c>
      <c r="O126" t="s">
        <v>62</v>
      </c>
      <c r="P126" t="s">
        <v>62</v>
      </c>
      <c r="Q126" t="s">
        <v>62</v>
      </c>
      <c r="R126" t="s">
        <v>62</v>
      </c>
      <c r="W126" t="s">
        <v>3423</v>
      </c>
      <c r="X126"/>
      <c r="Z126"/>
      <c r="AA126"/>
      <c r="AE126"/>
      <c r="AF126"/>
      <c r="AG126"/>
      <c r="AH126"/>
    </row>
    <row r="127" spans="1:34" ht="15.75" customHeight="1" x14ac:dyDescent="0.15">
      <c r="A127">
        <v>108</v>
      </c>
      <c r="B127" t="s">
        <v>75</v>
      </c>
      <c r="C127" t="s">
        <v>2634</v>
      </c>
      <c r="D127" t="s">
        <v>3424</v>
      </c>
      <c r="E127" t="s">
        <v>169</v>
      </c>
      <c r="F127">
        <v>2002</v>
      </c>
      <c r="G127">
        <v>9</v>
      </c>
      <c r="H127">
        <v>42003.9</v>
      </c>
      <c r="J127" t="s">
        <v>171</v>
      </c>
      <c r="K127" t="s">
        <v>177</v>
      </c>
      <c r="L127" t="s">
        <v>173</v>
      </c>
      <c r="O127" t="s">
        <v>62</v>
      </c>
      <c r="P127" t="s">
        <v>62</v>
      </c>
      <c r="Q127" t="s">
        <v>62</v>
      </c>
      <c r="R127" t="s">
        <v>62</v>
      </c>
      <c r="W127" t="s">
        <v>3425</v>
      </c>
      <c r="X127"/>
      <c r="Z127"/>
      <c r="AA127"/>
      <c r="AE127"/>
      <c r="AF127"/>
      <c r="AG127"/>
      <c r="AH127"/>
    </row>
    <row r="128" spans="1:34" ht="15.75" customHeight="1" x14ac:dyDescent="0.15">
      <c r="A128">
        <v>109</v>
      </c>
      <c r="B128" t="s">
        <v>75</v>
      </c>
      <c r="C128" t="s">
        <v>2634</v>
      </c>
      <c r="D128" t="s">
        <v>3426</v>
      </c>
      <c r="E128" t="s">
        <v>169</v>
      </c>
      <c r="F128">
        <v>2002</v>
      </c>
      <c r="G128">
        <v>10</v>
      </c>
      <c r="H128">
        <v>42003.1</v>
      </c>
      <c r="J128" t="s">
        <v>171</v>
      </c>
      <c r="K128" t="s">
        <v>177</v>
      </c>
      <c r="L128" t="s">
        <v>173</v>
      </c>
      <c r="O128" t="s">
        <v>62</v>
      </c>
      <c r="P128" t="s">
        <v>62</v>
      </c>
      <c r="Q128" t="s">
        <v>62</v>
      </c>
      <c r="R128" t="s">
        <v>62</v>
      </c>
      <c r="W128" t="s">
        <v>3427</v>
      </c>
      <c r="X128"/>
      <c r="Z128"/>
      <c r="AA128"/>
      <c r="AE128"/>
      <c r="AF128"/>
      <c r="AG128"/>
      <c r="AH128"/>
    </row>
    <row r="129" spans="1:34" ht="15.75" customHeight="1" x14ac:dyDescent="0.15">
      <c r="A129">
        <v>110</v>
      </c>
      <c r="B129" t="s">
        <v>75</v>
      </c>
      <c r="C129" t="s">
        <v>2634</v>
      </c>
      <c r="D129" t="s">
        <v>3428</v>
      </c>
      <c r="E129" t="s">
        <v>169</v>
      </c>
      <c r="F129">
        <v>2002</v>
      </c>
      <c r="G129">
        <v>16</v>
      </c>
      <c r="H129">
        <v>42003.16</v>
      </c>
      <c r="J129" t="s">
        <v>171</v>
      </c>
      <c r="K129" t="s">
        <v>177</v>
      </c>
      <c r="L129" t="s">
        <v>173</v>
      </c>
      <c r="O129" t="s">
        <v>62</v>
      </c>
      <c r="P129" t="s">
        <v>62</v>
      </c>
      <c r="Q129" t="s">
        <v>62</v>
      </c>
      <c r="R129" t="s">
        <v>62</v>
      </c>
      <c r="W129" t="s">
        <v>3429</v>
      </c>
      <c r="X129"/>
      <c r="Z129"/>
      <c r="AA129"/>
      <c r="AE129"/>
      <c r="AF129"/>
      <c r="AG129"/>
      <c r="AH129"/>
    </row>
    <row r="130" spans="1:34" ht="15.75" customHeight="1" x14ac:dyDescent="0.15">
      <c r="A130">
        <v>111</v>
      </c>
      <c r="B130" t="s">
        <v>75</v>
      </c>
      <c r="C130" t="s">
        <v>2634</v>
      </c>
      <c r="D130" t="s">
        <v>3430</v>
      </c>
      <c r="E130" t="s">
        <v>169</v>
      </c>
      <c r="F130">
        <v>2002</v>
      </c>
      <c r="G130">
        <v>17</v>
      </c>
      <c r="H130">
        <v>42003.17</v>
      </c>
      <c r="J130" t="s">
        <v>171</v>
      </c>
      <c r="K130" t="s">
        <v>177</v>
      </c>
      <c r="L130" t="s">
        <v>173</v>
      </c>
      <c r="O130" t="s">
        <v>62</v>
      </c>
      <c r="P130" t="s">
        <v>62</v>
      </c>
      <c r="Q130" t="s">
        <v>62</v>
      </c>
      <c r="R130" t="s">
        <v>62</v>
      </c>
      <c r="W130" t="s">
        <v>3431</v>
      </c>
      <c r="X130"/>
      <c r="Z130"/>
      <c r="AA130"/>
      <c r="AE130"/>
      <c r="AF130"/>
      <c r="AG130"/>
      <c r="AH130"/>
    </row>
    <row r="131" spans="1:34" ht="15.75" customHeight="1" x14ac:dyDescent="0.15">
      <c r="A131">
        <v>112</v>
      </c>
      <c r="B131" t="s">
        <v>75</v>
      </c>
      <c r="C131" t="s">
        <v>2634</v>
      </c>
      <c r="D131" t="s">
        <v>3432</v>
      </c>
      <c r="E131" t="s">
        <v>169</v>
      </c>
      <c r="F131">
        <v>2002</v>
      </c>
      <c r="G131">
        <v>18</v>
      </c>
      <c r="H131">
        <v>42003.18</v>
      </c>
      <c r="J131" t="s">
        <v>171</v>
      </c>
      <c r="K131" t="s">
        <v>177</v>
      </c>
      <c r="L131" t="s">
        <v>173</v>
      </c>
      <c r="O131" t="s">
        <v>62</v>
      </c>
      <c r="P131" t="s">
        <v>62</v>
      </c>
      <c r="Q131" t="s">
        <v>62</v>
      </c>
      <c r="R131" t="s">
        <v>62</v>
      </c>
      <c r="W131" t="s">
        <v>3433</v>
      </c>
      <c r="X131"/>
      <c r="Z131"/>
      <c r="AA131"/>
      <c r="AE131"/>
      <c r="AF131"/>
      <c r="AG131"/>
      <c r="AH131"/>
    </row>
    <row r="132" spans="1:34" ht="15.75" customHeight="1" x14ac:dyDescent="0.15">
      <c r="A132">
        <v>113</v>
      </c>
      <c r="B132" t="s">
        <v>75</v>
      </c>
      <c r="C132" t="s">
        <v>2634</v>
      </c>
      <c r="D132" t="s">
        <v>3434</v>
      </c>
      <c r="E132" t="s">
        <v>169</v>
      </c>
      <c r="F132">
        <v>2002</v>
      </c>
      <c r="G132">
        <v>19</v>
      </c>
      <c r="H132">
        <v>42003.19</v>
      </c>
      <c r="J132" t="s">
        <v>171</v>
      </c>
      <c r="K132" t="s">
        <v>177</v>
      </c>
      <c r="L132" t="s">
        <v>173</v>
      </c>
      <c r="O132" t="s">
        <v>62</v>
      </c>
      <c r="P132" t="s">
        <v>62</v>
      </c>
      <c r="Q132" t="s">
        <v>62</v>
      </c>
      <c r="R132" t="s">
        <v>62</v>
      </c>
      <c r="W132" t="s">
        <v>3435</v>
      </c>
      <c r="X132"/>
      <c r="Z132"/>
      <c r="AA132"/>
      <c r="AE132"/>
      <c r="AF132"/>
      <c r="AG132"/>
      <c r="AH132"/>
    </row>
    <row r="133" spans="1:34" ht="15.75" customHeight="1" x14ac:dyDescent="0.15">
      <c r="A133">
        <v>114</v>
      </c>
      <c r="B133" t="s">
        <v>75</v>
      </c>
      <c r="C133" t="s">
        <v>2634</v>
      </c>
      <c r="D133" t="s">
        <v>3436</v>
      </c>
      <c r="E133" t="s">
        <v>169</v>
      </c>
      <c r="F133">
        <v>2002</v>
      </c>
      <c r="G133">
        <v>24</v>
      </c>
      <c r="H133">
        <v>42003.24</v>
      </c>
      <c r="J133" t="s">
        <v>171</v>
      </c>
      <c r="K133" t="s">
        <v>177</v>
      </c>
      <c r="L133" t="s">
        <v>173</v>
      </c>
      <c r="O133" t="s">
        <v>62</v>
      </c>
      <c r="P133" t="s">
        <v>62</v>
      </c>
      <c r="Q133" t="s">
        <v>62</v>
      </c>
      <c r="R133" t="s">
        <v>62</v>
      </c>
      <c r="W133" t="s">
        <v>3437</v>
      </c>
      <c r="X133"/>
      <c r="Z133"/>
      <c r="AA133"/>
      <c r="AE133"/>
      <c r="AF133"/>
      <c r="AG133"/>
      <c r="AH133"/>
    </row>
    <row r="134" spans="1:34" ht="15.75" customHeight="1" x14ac:dyDescent="0.15">
      <c r="A134">
        <v>115</v>
      </c>
      <c r="B134" t="s">
        <v>75</v>
      </c>
      <c r="C134" t="s">
        <v>2634</v>
      </c>
      <c r="D134" t="s">
        <v>3438</v>
      </c>
      <c r="E134" t="s">
        <v>169</v>
      </c>
      <c r="F134">
        <v>2002</v>
      </c>
      <c r="G134">
        <v>25</v>
      </c>
      <c r="H134">
        <v>42003.25</v>
      </c>
      <c r="J134" t="s">
        <v>171</v>
      </c>
      <c r="K134" t="s">
        <v>177</v>
      </c>
      <c r="L134" t="s">
        <v>173</v>
      </c>
      <c r="O134" t="s">
        <v>62</v>
      </c>
      <c r="P134" t="s">
        <v>62</v>
      </c>
      <c r="Q134" t="s">
        <v>62</v>
      </c>
      <c r="R134" t="s">
        <v>62</v>
      </c>
      <c r="W134" t="s">
        <v>3439</v>
      </c>
      <c r="X134"/>
      <c r="Z134"/>
      <c r="AA134"/>
      <c r="AE134"/>
      <c r="AF134"/>
      <c r="AG134"/>
      <c r="AH134"/>
    </row>
    <row r="135" spans="1:34" ht="15.75" customHeight="1" x14ac:dyDescent="0.15">
      <c r="A135">
        <v>116</v>
      </c>
      <c r="B135" t="s">
        <v>75</v>
      </c>
      <c r="C135" t="s">
        <v>2634</v>
      </c>
      <c r="D135" t="s">
        <v>3440</v>
      </c>
      <c r="E135" t="s">
        <v>169</v>
      </c>
      <c r="F135">
        <v>2002</v>
      </c>
      <c r="G135">
        <v>26</v>
      </c>
      <c r="H135">
        <v>42003.26</v>
      </c>
      <c r="J135" t="s">
        <v>171</v>
      </c>
      <c r="K135" t="s">
        <v>177</v>
      </c>
      <c r="L135" t="s">
        <v>173</v>
      </c>
      <c r="O135" t="s">
        <v>62</v>
      </c>
      <c r="P135" t="s">
        <v>62</v>
      </c>
      <c r="Q135" t="s">
        <v>62</v>
      </c>
      <c r="R135" t="s">
        <v>62</v>
      </c>
      <c r="W135" t="s">
        <v>3441</v>
      </c>
      <c r="X135"/>
      <c r="Z135"/>
      <c r="AA135"/>
      <c r="AE135"/>
      <c r="AF135"/>
      <c r="AG135"/>
      <c r="AH135"/>
    </row>
    <row r="136" spans="1:34" ht="15.75" customHeight="1" x14ac:dyDescent="0.15">
      <c r="A136">
        <v>117</v>
      </c>
      <c r="B136" t="s">
        <v>75</v>
      </c>
      <c r="C136" t="s">
        <v>2634</v>
      </c>
      <c r="D136" t="s">
        <v>3442</v>
      </c>
      <c r="E136" t="s">
        <v>3406</v>
      </c>
      <c r="F136">
        <v>2004</v>
      </c>
      <c r="H136">
        <v>42005</v>
      </c>
      <c r="M136" t="s">
        <v>61</v>
      </c>
      <c r="N136">
        <v>1</v>
      </c>
      <c r="O136" t="s">
        <v>62</v>
      </c>
      <c r="P136" t="s">
        <v>62</v>
      </c>
      <c r="Q136" t="s">
        <v>62</v>
      </c>
      <c r="R136" t="s">
        <v>62</v>
      </c>
      <c r="W136" t="s">
        <v>3443</v>
      </c>
      <c r="X136"/>
      <c r="Z136"/>
      <c r="AA136"/>
      <c r="AE136"/>
      <c r="AF136"/>
      <c r="AG136"/>
      <c r="AH136"/>
    </row>
    <row r="137" spans="1:34" ht="15.75" customHeight="1" x14ac:dyDescent="0.15">
      <c r="A137">
        <v>118</v>
      </c>
      <c r="B137" t="s">
        <v>75</v>
      </c>
      <c r="C137" t="s">
        <v>2634</v>
      </c>
      <c r="D137" t="s">
        <v>3444</v>
      </c>
      <c r="E137" t="s">
        <v>169</v>
      </c>
      <c r="F137">
        <v>2004</v>
      </c>
      <c r="G137">
        <v>0</v>
      </c>
      <c r="H137">
        <v>42005</v>
      </c>
      <c r="J137" t="s">
        <v>171</v>
      </c>
      <c r="K137" t="s">
        <v>177</v>
      </c>
      <c r="L137" t="s">
        <v>173</v>
      </c>
      <c r="O137" t="s">
        <v>62</v>
      </c>
      <c r="P137" t="s">
        <v>62</v>
      </c>
      <c r="Q137" t="s">
        <v>62</v>
      </c>
      <c r="R137" t="s">
        <v>62</v>
      </c>
      <c r="W137" t="s">
        <v>3445</v>
      </c>
      <c r="X137"/>
      <c r="Z137"/>
      <c r="AA137"/>
      <c r="AE137"/>
      <c r="AF137"/>
      <c r="AG137"/>
      <c r="AH137"/>
    </row>
    <row r="138" spans="1:34" ht="15.75" customHeight="1" x14ac:dyDescent="0.15">
      <c r="A138">
        <v>119</v>
      </c>
      <c r="B138" t="s">
        <v>75</v>
      </c>
      <c r="C138" t="s">
        <v>2634</v>
      </c>
      <c r="D138" t="s">
        <v>3446</v>
      </c>
      <c r="E138" t="s">
        <v>169</v>
      </c>
      <c r="F138">
        <v>2004</v>
      </c>
      <c r="G138">
        <v>8</v>
      </c>
      <c r="H138">
        <v>42005.8</v>
      </c>
      <c r="J138" t="s">
        <v>171</v>
      </c>
      <c r="K138" t="s">
        <v>177</v>
      </c>
      <c r="L138" t="s">
        <v>173</v>
      </c>
      <c r="O138" t="s">
        <v>62</v>
      </c>
      <c r="P138" t="s">
        <v>62</v>
      </c>
      <c r="Q138" t="s">
        <v>62</v>
      </c>
      <c r="R138" t="s">
        <v>62</v>
      </c>
      <c r="W138" t="s">
        <v>3447</v>
      </c>
      <c r="X138"/>
      <c r="Z138"/>
      <c r="AA138"/>
      <c r="AE138"/>
      <c r="AF138"/>
      <c r="AG138"/>
      <c r="AH138"/>
    </row>
    <row r="139" spans="1:34" ht="15.75" customHeight="1" x14ac:dyDescent="0.15">
      <c r="A139">
        <v>120</v>
      </c>
      <c r="B139" t="s">
        <v>75</v>
      </c>
      <c r="C139" t="s">
        <v>2634</v>
      </c>
      <c r="D139" t="s">
        <v>3448</v>
      </c>
      <c r="E139" t="s">
        <v>169</v>
      </c>
      <c r="F139">
        <v>2004</v>
      </c>
      <c r="G139">
        <v>9</v>
      </c>
      <c r="H139">
        <v>42005.9</v>
      </c>
      <c r="J139" t="s">
        <v>171</v>
      </c>
      <c r="K139" t="s">
        <v>177</v>
      </c>
      <c r="L139" t="s">
        <v>173</v>
      </c>
      <c r="O139" t="s">
        <v>62</v>
      </c>
      <c r="P139" t="s">
        <v>62</v>
      </c>
      <c r="Q139" t="s">
        <v>62</v>
      </c>
      <c r="R139" t="s">
        <v>62</v>
      </c>
      <c r="W139" t="s">
        <v>3449</v>
      </c>
      <c r="X139"/>
      <c r="Z139"/>
      <c r="AA139"/>
      <c r="AE139"/>
      <c r="AF139"/>
      <c r="AG139"/>
      <c r="AH139"/>
    </row>
    <row r="140" spans="1:34" ht="15.75" customHeight="1" x14ac:dyDescent="0.15">
      <c r="A140">
        <v>121</v>
      </c>
      <c r="B140" t="s">
        <v>75</v>
      </c>
      <c r="C140" t="s">
        <v>2634</v>
      </c>
      <c r="D140" t="s">
        <v>3450</v>
      </c>
      <c r="E140" t="s">
        <v>169</v>
      </c>
      <c r="F140">
        <v>2004</v>
      </c>
      <c r="G140">
        <v>10</v>
      </c>
      <c r="H140">
        <v>42005.1</v>
      </c>
      <c r="J140" t="s">
        <v>171</v>
      </c>
      <c r="K140" t="s">
        <v>177</v>
      </c>
      <c r="L140" t="s">
        <v>173</v>
      </c>
      <c r="O140" t="s">
        <v>62</v>
      </c>
      <c r="P140" t="s">
        <v>62</v>
      </c>
      <c r="Q140" t="s">
        <v>62</v>
      </c>
      <c r="R140" t="s">
        <v>62</v>
      </c>
      <c r="W140" t="s">
        <v>3451</v>
      </c>
      <c r="X140"/>
      <c r="Z140"/>
      <c r="AA140"/>
      <c r="AE140"/>
      <c r="AF140"/>
      <c r="AG140"/>
      <c r="AH140"/>
    </row>
    <row r="141" spans="1:34" ht="15.75" customHeight="1" x14ac:dyDescent="0.15">
      <c r="A141">
        <v>122</v>
      </c>
      <c r="B141" t="s">
        <v>75</v>
      </c>
      <c r="C141" t="s">
        <v>2634</v>
      </c>
      <c r="D141" t="s">
        <v>3452</v>
      </c>
      <c r="E141" t="s">
        <v>169</v>
      </c>
      <c r="F141">
        <v>2004</v>
      </c>
      <c r="G141">
        <v>11</v>
      </c>
      <c r="H141">
        <v>42005.11</v>
      </c>
      <c r="J141" t="s">
        <v>171</v>
      </c>
      <c r="K141" t="s">
        <v>177</v>
      </c>
      <c r="L141" t="s">
        <v>173</v>
      </c>
      <c r="O141" t="s">
        <v>62</v>
      </c>
      <c r="P141" t="s">
        <v>62</v>
      </c>
      <c r="Q141" t="s">
        <v>62</v>
      </c>
      <c r="R141" t="s">
        <v>62</v>
      </c>
      <c r="W141" t="s">
        <v>3453</v>
      </c>
      <c r="X141"/>
      <c r="Z141"/>
      <c r="AA141"/>
      <c r="AE141"/>
      <c r="AF141"/>
      <c r="AG141"/>
      <c r="AH141"/>
    </row>
    <row r="142" spans="1:34" ht="15.75" customHeight="1" x14ac:dyDescent="0.15">
      <c r="A142">
        <v>123</v>
      </c>
      <c r="B142" t="s">
        <v>75</v>
      </c>
      <c r="C142" t="s">
        <v>2634</v>
      </c>
      <c r="D142" t="s">
        <v>3454</v>
      </c>
      <c r="E142" t="s">
        <v>169</v>
      </c>
      <c r="F142">
        <v>2004</v>
      </c>
      <c r="G142">
        <v>16</v>
      </c>
      <c r="H142">
        <v>42005.16</v>
      </c>
      <c r="J142" t="s">
        <v>171</v>
      </c>
      <c r="K142" t="s">
        <v>177</v>
      </c>
      <c r="L142" t="s">
        <v>173</v>
      </c>
      <c r="O142" t="s">
        <v>62</v>
      </c>
      <c r="P142" t="s">
        <v>62</v>
      </c>
      <c r="Q142" t="s">
        <v>62</v>
      </c>
      <c r="R142" t="s">
        <v>62</v>
      </c>
      <c r="W142" t="s">
        <v>3455</v>
      </c>
      <c r="X142"/>
      <c r="Z142"/>
      <c r="AA142"/>
      <c r="AE142"/>
      <c r="AF142"/>
      <c r="AG142"/>
      <c r="AH142"/>
    </row>
    <row r="143" spans="1:34" ht="15.75" customHeight="1" x14ac:dyDescent="0.15">
      <c r="A143">
        <v>124</v>
      </c>
      <c r="B143" t="s">
        <v>75</v>
      </c>
      <c r="C143" t="s">
        <v>2634</v>
      </c>
      <c r="D143" t="s">
        <v>3456</v>
      </c>
      <c r="E143" t="s">
        <v>169</v>
      </c>
      <c r="F143">
        <v>2004</v>
      </c>
      <c r="G143">
        <v>17</v>
      </c>
      <c r="H143">
        <v>42005.17</v>
      </c>
      <c r="J143" t="s">
        <v>171</v>
      </c>
      <c r="K143" t="s">
        <v>177</v>
      </c>
      <c r="L143" t="s">
        <v>173</v>
      </c>
      <c r="O143" t="s">
        <v>62</v>
      </c>
      <c r="P143" t="s">
        <v>62</v>
      </c>
      <c r="Q143" t="s">
        <v>62</v>
      </c>
      <c r="R143" t="s">
        <v>62</v>
      </c>
      <c r="W143" t="s">
        <v>3457</v>
      </c>
      <c r="X143"/>
      <c r="Z143"/>
      <c r="AA143"/>
      <c r="AE143"/>
      <c r="AF143"/>
      <c r="AG143"/>
      <c r="AH143"/>
    </row>
    <row r="144" spans="1:34" ht="15.75" customHeight="1" x14ac:dyDescent="0.15">
      <c r="A144">
        <v>125</v>
      </c>
      <c r="B144" t="s">
        <v>75</v>
      </c>
      <c r="C144" t="s">
        <v>2634</v>
      </c>
      <c r="D144" t="s">
        <v>3458</v>
      </c>
      <c r="E144" t="s">
        <v>169</v>
      </c>
      <c r="F144">
        <v>2004</v>
      </c>
      <c r="G144">
        <v>18</v>
      </c>
      <c r="H144">
        <v>42005.18</v>
      </c>
      <c r="J144" t="s">
        <v>171</v>
      </c>
      <c r="K144" t="s">
        <v>177</v>
      </c>
      <c r="L144" t="s">
        <v>173</v>
      </c>
      <c r="O144" t="s">
        <v>62</v>
      </c>
      <c r="P144" t="s">
        <v>62</v>
      </c>
      <c r="Q144" t="s">
        <v>62</v>
      </c>
      <c r="R144" t="s">
        <v>62</v>
      </c>
      <c r="W144" t="s">
        <v>3459</v>
      </c>
      <c r="X144"/>
      <c r="Z144"/>
      <c r="AA144"/>
      <c r="AE144"/>
      <c r="AF144"/>
      <c r="AG144"/>
      <c r="AH144"/>
    </row>
    <row r="145" spans="1:34" ht="15.75" customHeight="1" x14ac:dyDescent="0.15">
      <c r="A145">
        <v>126</v>
      </c>
      <c r="B145" t="s">
        <v>75</v>
      </c>
      <c r="C145" t="s">
        <v>2634</v>
      </c>
      <c r="D145" t="s">
        <v>3460</v>
      </c>
      <c r="E145" t="s">
        <v>3406</v>
      </c>
      <c r="F145">
        <v>2006</v>
      </c>
      <c r="H145">
        <v>42007</v>
      </c>
      <c r="J145" t="s">
        <v>171</v>
      </c>
      <c r="K145" t="s">
        <v>177</v>
      </c>
      <c r="L145" t="s">
        <v>173</v>
      </c>
      <c r="O145" t="s">
        <v>62</v>
      </c>
      <c r="P145" t="s">
        <v>62</v>
      </c>
      <c r="Q145" t="s">
        <v>62</v>
      </c>
      <c r="R145" t="s">
        <v>62</v>
      </c>
      <c r="W145" t="s">
        <v>3461</v>
      </c>
      <c r="X145"/>
      <c r="Z145"/>
      <c r="AA145"/>
      <c r="AE145"/>
      <c r="AF145"/>
      <c r="AG145"/>
      <c r="AH145"/>
    </row>
    <row r="146" spans="1:34" ht="15.75" customHeight="1" x14ac:dyDescent="0.15">
      <c r="A146">
        <v>127</v>
      </c>
      <c r="B146" t="s">
        <v>75</v>
      </c>
      <c r="C146" t="s">
        <v>2634</v>
      </c>
      <c r="D146" t="s">
        <v>3462</v>
      </c>
      <c r="E146" t="s">
        <v>169</v>
      </c>
      <c r="F146">
        <v>2006</v>
      </c>
      <c r="G146">
        <v>0</v>
      </c>
      <c r="H146">
        <v>42007</v>
      </c>
      <c r="J146" t="s">
        <v>171</v>
      </c>
      <c r="K146" t="s">
        <v>177</v>
      </c>
      <c r="L146" t="s">
        <v>173</v>
      </c>
      <c r="O146" t="s">
        <v>62</v>
      </c>
      <c r="P146" t="s">
        <v>62</v>
      </c>
      <c r="Q146" t="s">
        <v>62</v>
      </c>
      <c r="R146" t="s">
        <v>62</v>
      </c>
      <c r="W146" t="s">
        <v>3463</v>
      </c>
      <c r="X146"/>
      <c r="Z146"/>
      <c r="AA146"/>
      <c r="AE146"/>
      <c r="AF146"/>
      <c r="AG146"/>
      <c r="AH146"/>
    </row>
    <row r="147" spans="1:34" ht="15.75" customHeight="1" x14ac:dyDescent="0.15">
      <c r="A147">
        <v>128</v>
      </c>
      <c r="B147" t="s">
        <v>75</v>
      </c>
      <c r="C147" t="s">
        <v>2634</v>
      </c>
      <c r="D147" t="s">
        <v>3464</v>
      </c>
      <c r="E147" t="s">
        <v>169</v>
      </c>
      <c r="F147">
        <v>2006</v>
      </c>
      <c r="G147">
        <v>1</v>
      </c>
      <c r="H147">
        <v>42007.1</v>
      </c>
      <c r="J147" t="s">
        <v>171</v>
      </c>
      <c r="K147" t="s">
        <v>177</v>
      </c>
      <c r="L147" t="s">
        <v>173</v>
      </c>
      <c r="O147" t="s">
        <v>62</v>
      </c>
      <c r="P147" t="s">
        <v>62</v>
      </c>
      <c r="Q147" t="s">
        <v>62</v>
      </c>
      <c r="R147" t="s">
        <v>62</v>
      </c>
      <c r="W147" t="s">
        <v>3465</v>
      </c>
      <c r="X147"/>
      <c r="Z147"/>
      <c r="AA147"/>
      <c r="AE147"/>
      <c r="AF147"/>
      <c r="AG147"/>
      <c r="AH147"/>
    </row>
    <row r="148" spans="1:34" ht="15.75" customHeight="1" x14ac:dyDescent="0.15">
      <c r="A148">
        <v>129</v>
      </c>
      <c r="B148" t="s">
        <v>75</v>
      </c>
      <c r="C148" t="s">
        <v>2634</v>
      </c>
      <c r="D148" t="s">
        <v>3466</v>
      </c>
      <c r="E148" t="s">
        <v>169</v>
      </c>
      <c r="F148">
        <v>2006</v>
      </c>
      <c r="G148">
        <v>8</v>
      </c>
      <c r="H148">
        <v>42007.8</v>
      </c>
      <c r="J148" t="s">
        <v>171</v>
      </c>
      <c r="K148" t="s">
        <v>177</v>
      </c>
      <c r="L148" t="s">
        <v>173</v>
      </c>
      <c r="O148" t="s">
        <v>62</v>
      </c>
      <c r="P148" t="s">
        <v>62</v>
      </c>
      <c r="Q148" t="s">
        <v>62</v>
      </c>
      <c r="R148" t="s">
        <v>62</v>
      </c>
      <c r="W148" t="s">
        <v>3467</v>
      </c>
      <c r="X148"/>
      <c r="Z148"/>
      <c r="AA148"/>
      <c r="AE148"/>
      <c r="AF148"/>
      <c r="AG148"/>
      <c r="AH148"/>
    </row>
    <row r="149" spans="1:34" ht="15.75" customHeight="1" x14ac:dyDescent="0.15">
      <c r="A149">
        <v>130</v>
      </c>
      <c r="B149" t="s">
        <v>75</v>
      </c>
      <c r="C149" t="s">
        <v>2634</v>
      </c>
      <c r="D149" t="s">
        <v>3468</v>
      </c>
      <c r="E149" t="s">
        <v>169</v>
      </c>
      <c r="F149">
        <v>2006</v>
      </c>
      <c r="G149">
        <v>9</v>
      </c>
      <c r="H149">
        <v>42007.9</v>
      </c>
      <c r="J149" t="s">
        <v>171</v>
      </c>
      <c r="K149" t="s">
        <v>177</v>
      </c>
      <c r="L149" t="s">
        <v>173</v>
      </c>
      <c r="O149" t="s">
        <v>62</v>
      </c>
      <c r="P149" t="s">
        <v>62</v>
      </c>
      <c r="Q149" t="s">
        <v>62</v>
      </c>
      <c r="R149" t="s">
        <v>62</v>
      </c>
      <c r="W149" t="s">
        <v>3469</v>
      </c>
      <c r="X149"/>
      <c r="Z149"/>
      <c r="AA149"/>
      <c r="AE149"/>
      <c r="AF149"/>
      <c r="AG149"/>
      <c r="AH149"/>
    </row>
    <row r="150" spans="1:34" ht="15.75" customHeight="1" x14ac:dyDescent="0.15">
      <c r="A150">
        <v>131</v>
      </c>
      <c r="B150" t="s">
        <v>75</v>
      </c>
      <c r="C150" t="s">
        <v>2634</v>
      </c>
      <c r="D150" t="s">
        <v>3470</v>
      </c>
      <c r="E150" t="s">
        <v>169</v>
      </c>
      <c r="F150">
        <v>2006</v>
      </c>
      <c r="G150">
        <v>16</v>
      </c>
      <c r="H150">
        <v>42007.16</v>
      </c>
      <c r="J150" t="s">
        <v>171</v>
      </c>
      <c r="K150" t="s">
        <v>177</v>
      </c>
      <c r="L150" t="s">
        <v>173</v>
      </c>
      <c r="O150" t="s">
        <v>62</v>
      </c>
      <c r="P150" t="s">
        <v>62</v>
      </c>
      <c r="Q150" t="s">
        <v>62</v>
      </c>
      <c r="R150" t="s">
        <v>62</v>
      </c>
      <c r="W150" t="s">
        <v>3471</v>
      </c>
      <c r="X150"/>
      <c r="Z150"/>
      <c r="AA150"/>
      <c r="AE150"/>
      <c r="AF150"/>
      <c r="AG150"/>
      <c r="AH150"/>
    </row>
    <row r="151" spans="1:34" ht="15.75" customHeight="1" x14ac:dyDescent="0.15">
      <c r="A151">
        <v>132</v>
      </c>
      <c r="B151" t="s">
        <v>75</v>
      </c>
      <c r="C151" t="s">
        <v>2634</v>
      </c>
      <c r="D151" t="s">
        <v>3472</v>
      </c>
      <c r="E151" t="s">
        <v>169</v>
      </c>
      <c r="F151">
        <v>2006</v>
      </c>
      <c r="G151">
        <v>17</v>
      </c>
      <c r="H151">
        <v>42007.17</v>
      </c>
      <c r="J151" t="s">
        <v>171</v>
      </c>
      <c r="K151" t="s">
        <v>177</v>
      </c>
      <c r="L151" t="s">
        <v>173</v>
      </c>
      <c r="O151" t="s">
        <v>62</v>
      </c>
      <c r="P151" t="s">
        <v>62</v>
      </c>
      <c r="Q151" t="s">
        <v>62</v>
      </c>
      <c r="R151" t="s">
        <v>62</v>
      </c>
      <c r="W151" t="s">
        <v>3473</v>
      </c>
      <c r="X151"/>
      <c r="Z151"/>
      <c r="AA151"/>
      <c r="AE151"/>
      <c r="AF151"/>
      <c r="AG151"/>
      <c r="AH151"/>
    </row>
    <row r="152" spans="1:34" ht="15.75" customHeight="1" x14ac:dyDescent="0.15">
      <c r="A152">
        <v>133</v>
      </c>
      <c r="B152" t="s">
        <v>75</v>
      </c>
      <c r="C152" t="s">
        <v>2634</v>
      </c>
      <c r="D152" t="s">
        <v>3474</v>
      </c>
      <c r="E152" t="s">
        <v>169</v>
      </c>
      <c r="F152">
        <v>2006</v>
      </c>
      <c r="G152">
        <v>18</v>
      </c>
      <c r="H152">
        <v>42007.18</v>
      </c>
      <c r="J152" t="s">
        <v>171</v>
      </c>
      <c r="K152" t="s">
        <v>177</v>
      </c>
      <c r="L152" t="s">
        <v>173</v>
      </c>
      <c r="O152" t="s">
        <v>62</v>
      </c>
      <c r="P152" t="s">
        <v>62</v>
      </c>
      <c r="Q152" t="s">
        <v>62</v>
      </c>
      <c r="R152" t="s">
        <v>62</v>
      </c>
      <c r="W152" t="s">
        <v>3475</v>
      </c>
      <c r="X152"/>
      <c r="Z152"/>
      <c r="AA152"/>
      <c r="AE152"/>
      <c r="AF152"/>
      <c r="AG152"/>
      <c r="AH152"/>
    </row>
    <row r="153" spans="1:34" ht="15.75" customHeight="1" x14ac:dyDescent="0.15">
      <c r="A153">
        <v>134</v>
      </c>
      <c r="B153" t="s">
        <v>75</v>
      </c>
      <c r="C153" t="s">
        <v>2634</v>
      </c>
      <c r="D153" t="s">
        <v>3476</v>
      </c>
      <c r="E153" t="s">
        <v>3406</v>
      </c>
      <c r="F153">
        <v>2018</v>
      </c>
      <c r="H153">
        <v>42019</v>
      </c>
      <c r="M153" t="s">
        <v>61</v>
      </c>
      <c r="N153">
        <v>1</v>
      </c>
      <c r="O153" t="s">
        <v>62</v>
      </c>
      <c r="P153" t="s">
        <v>62</v>
      </c>
      <c r="Q153" t="s">
        <v>62</v>
      </c>
      <c r="R153" t="s">
        <v>62</v>
      </c>
      <c r="W153" t="s">
        <v>3477</v>
      </c>
      <c r="X153"/>
      <c r="Z153"/>
      <c r="AA153"/>
      <c r="AE153"/>
      <c r="AF153"/>
      <c r="AG153"/>
      <c r="AH153"/>
    </row>
    <row r="154" spans="1:34" ht="15.75" customHeight="1" x14ac:dyDescent="0.15">
      <c r="A154">
        <v>135</v>
      </c>
      <c r="B154" t="s">
        <v>75</v>
      </c>
      <c r="C154" t="s">
        <v>2634</v>
      </c>
      <c r="D154" t="s">
        <v>3478</v>
      </c>
      <c r="E154" t="s">
        <v>169</v>
      </c>
      <c r="F154">
        <v>2018</v>
      </c>
      <c r="G154">
        <v>0</v>
      </c>
      <c r="H154">
        <v>42019</v>
      </c>
      <c r="J154" t="s">
        <v>171</v>
      </c>
      <c r="K154" t="s">
        <v>177</v>
      </c>
      <c r="L154" t="s">
        <v>173</v>
      </c>
      <c r="O154" t="s">
        <v>62</v>
      </c>
      <c r="P154" t="s">
        <v>62</v>
      </c>
      <c r="Q154" t="s">
        <v>62</v>
      </c>
      <c r="R154" t="s">
        <v>62</v>
      </c>
      <c r="W154" t="s">
        <v>3479</v>
      </c>
      <c r="X154"/>
      <c r="Z154"/>
      <c r="AA154"/>
      <c r="AE154"/>
      <c r="AF154"/>
      <c r="AG154"/>
      <c r="AH154"/>
    </row>
    <row r="155" spans="1:34" ht="15.75" customHeight="1" x14ac:dyDescent="0.15">
      <c r="A155">
        <v>136</v>
      </c>
      <c r="B155" t="s">
        <v>75</v>
      </c>
      <c r="C155" t="s">
        <v>2634</v>
      </c>
      <c r="D155" t="s">
        <v>3480</v>
      </c>
      <c r="E155" t="s">
        <v>169</v>
      </c>
      <c r="F155">
        <v>2018</v>
      </c>
      <c r="G155">
        <v>1</v>
      </c>
      <c r="H155">
        <v>42019.1</v>
      </c>
      <c r="J155" t="s">
        <v>171</v>
      </c>
      <c r="K155" t="s">
        <v>177</v>
      </c>
      <c r="L155" t="s">
        <v>173</v>
      </c>
      <c r="O155" t="s">
        <v>62</v>
      </c>
      <c r="P155" t="s">
        <v>62</v>
      </c>
      <c r="Q155" t="s">
        <v>62</v>
      </c>
      <c r="R155" t="s">
        <v>62</v>
      </c>
      <c r="W155" t="s">
        <v>3481</v>
      </c>
      <c r="X155"/>
      <c r="Z155"/>
      <c r="AA155"/>
      <c r="AE155"/>
      <c r="AF155"/>
      <c r="AG155"/>
      <c r="AH155"/>
    </row>
    <row r="156" spans="1:34" ht="15.75" customHeight="1" x14ac:dyDescent="0.15">
      <c r="A156">
        <v>137</v>
      </c>
      <c r="B156" t="s">
        <v>75</v>
      </c>
      <c r="C156" t="s">
        <v>2634</v>
      </c>
      <c r="D156" t="s">
        <v>3482</v>
      </c>
      <c r="E156" t="s">
        <v>169</v>
      </c>
      <c r="F156">
        <v>2018</v>
      </c>
      <c r="G156">
        <v>2</v>
      </c>
      <c r="H156">
        <v>42019.199999999997</v>
      </c>
      <c r="J156" t="s">
        <v>171</v>
      </c>
      <c r="K156" t="s">
        <v>177</v>
      </c>
      <c r="L156" t="s">
        <v>173</v>
      </c>
      <c r="O156" t="s">
        <v>62</v>
      </c>
      <c r="P156" t="s">
        <v>62</v>
      </c>
      <c r="Q156" t="s">
        <v>62</v>
      </c>
      <c r="R156" t="s">
        <v>62</v>
      </c>
      <c r="W156" t="s">
        <v>3483</v>
      </c>
      <c r="X156"/>
      <c r="Z156"/>
      <c r="AA156"/>
      <c r="AE156"/>
      <c r="AF156"/>
      <c r="AG156"/>
      <c r="AH156"/>
    </row>
    <row r="157" spans="1:34" ht="15.75" customHeight="1" x14ac:dyDescent="0.15">
      <c r="A157">
        <v>138</v>
      </c>
      <c r="B157" t="s">
        <v>75</v>
      </c>
      <c r="C157" t="s">
        <v>2634</v>
      </c>
      <c r="D157" t="s">
        <v>3484</v>
      </c>
      <c r="E157" t="s">
        <v>169</v>
      </c>
      <c r="F157">
        <v>2018</v>
      </c>
      <c r="G157">
        <v>8</v>
      </c>
      <c r="H157">
        <v>42019.8</v>
      </c>
      <c r="J157" t="s">
        <v>171</v>
      </c>
      <c r="K157" t="s">
        <v>177</v>
      </c>
      <c r="L157" t="s">
        <v>173</v>
      </c>
      <c r="O157" t="s">
        <v>62</v>
      </c>
      <c r="P157" t="s">
        <v>62</v>
      </c>
      <c r="Q157" t="s">
        <v>62</v>
      </c>
      <c r="R157" t="s">
        <v>62</v>
      </c>
      <c r="W157" t="s">
        <v>3485</v>
      </c>
      <c r="X157"/>
      <c r="Z157"/>
      <c r="AA157"/>
      <c r="AE157"/>
      <c r="AF157"/>
      <c r="AG157"/>
      <c r="AH157"/>
    </row>
    <row r="158" spans="1:34" ht="15.75" customHeight="1" x14ac:dyDescent="0.15">
      <c r="A158">
        <v>139</v>
      </c>
      <c r="B158" t="s">
        <v>75</v>
      </c>
      <c r="C158" t="s">
        <v>2634</v>
      </c>
      <c r="D158" t="s">
        <v>3486</v>
      </c>
      <c r="E158" t="s">
        <v>169</v>
      </c>
      <c r="F158">
        <v>2018</v>
      </c>
      <c r="G158">
        <v>9</v>
      </c>
      <c r="H158">
        <v>42019.9</v>
      </c>
      <c r="J158" t="s">
        <v>171</v>
      </c>
      <c r="K158" t="s">
        <v>177</v>
      </c>
      <c r="L158" t="s">
        <v>173</v>
      </c>
      <c r="O158" t="s">
        <v>62</v>
      </c>
      <c r="P158" t="s">
        <v>62</v>
      </c>
      <c r="Q158" t="s">
        <v>62</v>
      </c>
      <c r="R158" t="s">
        <v>62</v>
      </c>
      <c r="W158" t="s">
        <v>3487</v>
      </c>
      <c r="X158"/>
      <c r="Z158"/>
      <c r="AA158"/>
      <c r="AE158"/>
      <c r="AF158"/>
      <c r="AG158"/>
      <c r="AH158"/>
    </row>
    <row r="159" spans="1:34" ht="15.75" customHeight="1" x14ac:dyDescent="0.15">
      <c r="A159">
        <v>140</v>
      </c>
      <c r="B159" t="s">
        <v>75</v>
      </c>
      <c r="C159" t="s">
        <v>2634</v>
      </c>
      <c r="D159" t="s">
        <v>3488</v>
      </c>
      <c r="E159" t="s">
        <v>169</v>
      </c>
      <c r="F159">
        <v>2018</v>
      </c>
      <c r="G159">
        <v>10</v>
      </c>
      <c r="H159">
        <v>42019.1</v>
      </c>
      <c r="J159" t="s">
        <v>171</v>
      </c>
      <c r="K159" t="s">
        <v>177</v>
      </c>
      <c r="L159" t="s">
        <v>173</v>
      </c>
      <c r="O159" t="s">
        <v>62</v>
      </c>
      <c r="P159" t="s">
        <v>62</v>
      </c>
      <c r="Q159" t="s">
        <v>62</v>
      </c>
      <c r="R159" t="s">
        <v>62</v>
      </c>
      <c r="W159" t="s">
        <v>3489</v>
      </c>
      <c r="X159"/>
      <c r="Z159"/>
      <c r="AA159"/>
      <c r="AE159"/>
      <c r="AF159"/>
      <c r="AG159"/>
      <c r="AH159"/>
    </row>
    <row r="160" spans="1:34" ht="15.75" customHeight="1" x14ac:dyDescent="0.15">
      <c r="A160">
        <v>141</v>
      </c>
      <c r="B160" t="s">
        <v>75</v>
      </c>
      <c r="C160" t="s">
        <v>2634</v>
      </c>
      <c r="D160" t="s">
        <v>3490</v>
      </c>
      <c r="E160" t="s">
        <v>169</v>
      </c>
      <c r="F160">
        <v>2018</v>
      </c>
      <c r="G160">
        <v>16</v>
      </c>
      <c r="H160">
        <v>42019.16</v>
      </c>
      <c r="J160" t="s">
        <v>171</v>
      </c>
      <c r="K160" t="s">
        <v>177</v>
      </c>
      <c r="L160" t="s">
        <v>173</v>
      </c>
      <c r="O160" t="s">
        <v>62</v>
      </c>
      <c r="P160" t="s">
        <v>62</v>
      </c>
      <c r="Q160" t="s">
        <v>62</v>
      </c>
      <c r="R160" t="s">
        <v>62</v>
      </c>
      <c r="W160" t="s">
        <v>3491</v>
      </c>
      <c r="X160"/>
      <c r="Z160"/>
      <c r="AA160"/>
      <c r="AE160"/>
      <c r="AF160"/>
      <c r="AG160"/>
      <c r="AH160"/>
    </row>
    <row r="161" spans="1:34" ht="15.75" customHeight="1" x14ac:dyDescent="0.15">
      <c r="A161">
        <v>142</v>
      </c>
      <c r="B161" t="s">
        <v>75</v>
      </c>
      <c r="C161" t="s">
        <v>2634</v>
      </c>
      <c r="D161" t="s">
        <v>3492</v>
      </c>
      <c r="E161" t="s">
        <v>169</v>
      </c>
      <c r="F161">
        <v>2018</v>
      </c>
      <c r="G161">
        <v>17</v>
      </c>
      <c r="H161">
        <v>42019.17</v>
      </c>
      <c r="J161" t="s">
        <v>171</v>
      </c>
      <c r="K161" t="s">
        <v>177</v>
      </c>
      <c r="L161" t="s">
        <v>173</v>
      </c>
      <c r="O161" t="s">
        <v>62</v>
      </c>
      <c r="P161" t="s">
        <v>62</v>
      </c>
      <c r="Q161" t="s">
        <v>62</v>
      </c>
      <c r="R161" t="s">
        <v>62</v>
      </c>
      <c r="W161" t="s">
        <v>3493</v>
      </c>
      <c r="X161"/>
      <c r="Z161"/>
      <c r="AA161"/>
      <c r="AE161"/>
      <c r="AF161"/>
      <c r="AG161"/>
      <c r="AH161"/>
    </row>
    <row r="162" spans="1:34" ht="15.75" customHeight="1" x14ac:dyDescent="0.15">
      <c r="A162">
        <v>143</v>
      </c>
      <c r="B162" t="s">
        <v>75</v>
      </c>
      <c r="C162" t="s">
        <v>2634</v>
      </c>
      <c r="D162" t="s">
        <v>3494</v>
      </c>
      <c r="E162" t="s">
        <v>169</v>
      </c>
      <c r="F162">
        <v>2018</v>
      </c>
      <c r="G162">
        <v>18</v>
      </c>
      <c r="H162">
        <v>42019.18</v>
      </c>
      <c r="J162" t="s">
        <v>171</v>
      </c>
      <c r="K162" t="s">
        <v>177</v>
      </c>
      <c r="L162" t="s">
        <v>173</v>
      </c>
      <c r="O162" t="s">
        <v>62</v>
      </c>
      <c r="P162" t="s">
        <v>62</v>
      </c>
      <c r="Q162" t="s">
        <v>62</v>
      </c>
      <c r="R162" t="s">
        <v>62</v>
      </c>
      <c r="W162" t="s">
        <v>3495</v>
      </c>
      <c r="X162"/>
      <c r="Z162"/>
      <c r="AA162"/>
      <c r="AE162"/>
      <c r="AF162"/>
      <c r="AG162"/>
      <c r="AH162"/>
    </row>
    <row r="163" spans="1:34" ht="15.75" customHeight="1" x14ac:dyDescent="0.15">
      <c r="A163">
        <v>144</v>
      </c>
      <c r="B163" t="s">
        <v>75</v>
      </c>
      <c r="C163" t="s">
        <v>2634</v>
      </c>
      <c r="D163" t="s">
        <v>3496</v>
      </c>
      <c r="E163" t="s">
        <v>3406</v>
      </c>
      <c r="F163">
        <v>2020</v>
      </c>
      <c r="H163">
        <v>42021</v>
      </c>
      <c r="M163" t="s">
        <v>61</v>
      </c>
      <c r="N163">
        <v>1</v>
      </c>
      <c r="O163" t="s">
        <v>62</v>
      </c>
      <c r="P163" t="s">
        <v>62</v>
      </c>
      <c r="Q163" t="s">
        <v>62</v>
      </c>
      <c r="R163" t="s">
        <v>62</v>
      </c>
      <c r="W163" t="s">
        <v>3497</v>
      </c>
      <c r="X163"/>
      <c r="Z163"/>
      <c r="AA163"/>
      <c r="AE163"/>
      <c r="AF163"/>
      <c r="AG163"/>
      <c r="AH163"/>
    </row>
    <row r="164" spans="1:34" ht="15.75" customHeight="1" x14ac:dyDescent="0.15">
      <c r="A164">
        <v>145</v>
      </c>
      <c r="B164" t="s">
        <v>75</v>
      </c>
      <c r="C164" t="s">
        <v>2634</v>
      </c>
      <c r="D164" t="s">
        <v>3498</v>
      </c>
      <c r="E164" t="s">
        <v>169</v>
      </c>
      <c r="F164">
        <v>2020</v>
      </c>
      <c r="G164">
        <v>0</v>
      </c>
      <c r="H164">
        <v>42021</v>
      </c>
      <c r="J164" t="s">
        <v>171</v>
      </c>
      <c r="K164" t="s">
        <v>177</v>
      </c>
      <c r="L164" t="s">
        <v>173</v>
      </c>
      <c r="O164" t="s">
        <v>62</v>
      </c>
      <c r="P164" t="s">
        <v>62</v>
      </c>
      <c r="Q164" t="s">
        <v>62</v>
      </c>
      <c r="R164" t="s">
        <v>62</v>
      </c>
      <c r="W164" t="s">
        <v>3499</v>
      </c>
      <c r="X164"/>
      <c r="Z164"/>
      <c r="AA164"/>
      <c r="AE164"/>
      <c r="AF164"/>
      <c r="AG164"/>
      <c r="AH164"/>
    </row>
    <row r="165" spans="1:34" ht="15.75" customHeight="1" x14ac:dyDescent="0.15">
      <c r="A165">
        <v>146</v>
      </c>
      <c r="B165" t="s">
        <v>75</v>
      </c>
      <c r="C165" t="s">
        <v>2634</v>
      </c>
      <c r="D165" t="s">
        <v>3500</v>
      </c>
      <c r="E165" t="s">
        <v>169</v>
      </c>
      <c r="F165">
        <v>2020</v>
      </c>
      <c r="G165">
        <v>1</v>
      </c>
      <c r="H165">
        <v>42021.1</v>
      </c>
      <c r="J165" t="s">
        <v>171</v>
      </c>
      <c r="K165" t="s">
        <v>177</v>
      </c>
      <c r="L165" t="s">
        <v>173</v>
      </c>
      <c r="O165" t="s">
        <v>62</v>
      </c>
      <c r="P165" t="s">
        <v>62</v>
      </c>
      <c r="Q165" t="s">
        <v>62</v>
      </c>
      <c r="R165" t="s">
        <v>62</v>
      </c>
      <c r="W165" t="s">
        <v>3501</v>
      </c>
      <c r="X165"/>
      <c r="Z165"/>
      <c r="AA165"/>
      <c r="AE165"/>
      <c r="AF165"/>
      <c r="AG165"/>
      <c r="AH165"/>
    </row>
    <row r="166" spans="1:34" ht="15.75" customHeight="1" x14ac:dyDescent="0.15">
      <c r="A166">
        <v>147</v>
      </c>
      <c r="B166" t="s">
        <v>75</v>
      </c>
      <c r="C166" t="s">
        <v>2634</v>
      </c>
      <c r="D166" t="s">
        <v>3502</v>
      </c>
      <c r="E166" t="s">
        <v>169</v>
      </c>
      <c r="F166">
        <v>2020</v>
      </c>
      <c r="G166">
        <v>2</v>
      </c>
      <c r="H166">
        <v>42021.2</v>
      </c>
      <c r="J166" t="s">
        <v>171</v>
      </c>
      <c r="K166" t="s">
        <v>177</v>
      </c>
      <c r="L166" t="s">
        <v>173</v>
      </c>
      <c r="O166" t="s">
        <v>62</v>
      </c>
      <c r="P166" t="s">
        <v>62</v>
      </c>
      <c r="Q166" t="s">
        <v>62</v>
      </c>
      <c r="R166" t="s">
        <v>62</v>
      </c>
      <c r="W166" t="s">
        <v>3503</v>
      </c>
      <c r="X166"/>
      <c r="Z166"/>
      <c r="AA166"/>
      <c r="AE166"/>
      <c r="AF166"/>
      <c r="AG166"/>
      <c r="AH166"/>
    </row>
    <row r="167" spans="1:34" ht="15.75" customHeight="1" x14ac:dyDescent="0.15">
      <c r="A167">
        <v>148</v>
      </c>
      <c r="B167" t="s">
        <v>75</v>
      </c>
      <c r="C167" t="s">
        <v>2634</v>
      </c>
      <c r="D167" t="s">
        <v>3504</v>
      </c>
      <c r="E167" t="s">
        <v>169</v>
      </c>
      <c r="F167">
        <v>2020</v>
      </c>
      <c r="G167">
        <v>8</v>
      </c>
      <c r="H167">
        <v>42021.8</v>
      </c>
      <c r="J167" t="s">
        <v>171</v>
      </c>
      <c r="K167" t="s">
        <v>177</v>
      </c>
      <c r="L167" t="s">
        <v>173</v>
      </c>
      <c r="O167" t="s">
        <v>62</v>
      </c>
      <c r="P167" t="s">
        <v>62</v>
      </c>
      <c r="Q167" t="s">
        <v>62</v>
      </c>
      <c r="R167" t="s">
        <v>62</v>
      </c>
      <c r="W167" t="s">
        <v>3505</v>
      </c>
      <c r="X167"/>
      <c r="Z167"/>
      <c r="AA167"/>
      <c r="AE167"/>
      <c r="AF167"/>
      <c r="AG167"/>
      <c r="AH167"/>
    </row>
    <row r="168" spans="1:34" ht="15.75" customHeight="1" x14ac:dyDescent="0.15">
      <c r="A168">
        <v>149</v>
      </c>
      <c r="B168" t="s">
        <v>75</v>
      </c>
      <c r="C168" t="s">
        <v>2634</v>
      </c>
      <c r="D168" t="s">
        <v>3506</v>
      </c>
      <c r="E168" t="s">
        <v>169</v>
      </c>
      <c r="F168">
        <v>2020</v>
      </c>
      <c r="G168">
        <v>9</v>
      </c>
      <c r="H168">
        <v>42021.9</v>
      </c>
      <c r="J168" t="s">
        <v>171</v>
      </c>
      <c r="K168" t="s">
        <v>177</v>
      </c>
      <c r="L168" t="s">
        <v>173</v>
      </c>
      <c r="O168" t="s">
        <v>62</v>
      </c>
      <c r="P168" t="s">
        <v>62</v>
      </c>
      <c r="Q168" t="s">
        <v>62</v>
      </c>
      <c r="R168" t="s">
        <v>62</v>
      </c>
      <c r="W168" t="s">
        <v>3507</v>
      </c>
      <c r="X168"/>
      <c r="Z168"/>
      <c r="AA168"/>
      <c r="AE168"/>
      <c r="AF168"/>
      <c r="AG168"/>
      <c r="AH168"/>
    </row>
    <row r="169" spans="1:34" ht="15.75" customHeight="1" x14ac:dyDescent="0.15">
      <c r="A169">
        <v>150</v>
      </c>
      <c r="B169" t="s">
        <v>75</v>
      </c>
      <c r="C169" t="s">
        <v>2634</v>
      </c>
      <c r="D169" t="s">
        <v>3508</v>
      </c>
      <c r="E169" t="s">
        <v>169</v>
      </c>
      <c r="F169">
        <v>2020</v>
      </c>
      <c r="G169">
        <v>10</v>
      </c>
      <c r="H169">
        <v>42021.1</v>
      </c>
      <c r="J169" t="s">
        <v>171</v>
      </c>
      <c r="K169" t="s">
        <v>177</v>
      </c>
      <c r="L169" t="s">
        <v>173</v>
      </c>
      <c r="O169" t="s">
        <v>62</v>
      </c>
      <c r="P169" t="s">
        <v>62</v>
      </c>
      <c r="Q169" t="s">
        <v>62</v>
      </c>
      <c r="R169" t="s">
        <v>62</v>
      </c>
      <c r="W169" t="s">
        <v>3509</v>
      </c>
      <c r="X169"/>
      <c r="Z169"/>
      <c r="AA169"/>
      <c r="AE169"/>
      <c r="AF169"/>
      <c r="AG169"/>
      <c r="AH169"/>
    </row>
    <row r="170" spans="1:34" ht="15.75" customHeight="1" x14ac:dyDescent="0.15">
      <c r="A170">
        <v>151</v>
      </c>
      <c r="B170" t="s">
        <v>75</v>
      </c>
      <c r="C170" t="s">
        <v>2634</v>
      </c>
      <c r="D170" t="s">
        <v>3510</v>
      </c>
      <c r="E170" t="s">
        <v>169</v>
      </c>
      <c r="F170">
        <v>2020</v>
      </c>
      <c r="G170">
        <v>16</v>
      </c>
      <c r="H170">
        <v>42021.16</v>
      </c>
      <c r="J170" t="s">
        <v>171</v>
      </c>
      <c r="K170" t="s">
        <v>177</v>
      </c>
      <c r="L170" t="s">
        <v>173</v>
      </c>
      <c r="O170" t="s">
        <v>62</v>
      </c>
      <c r="P170" t="s">
        <v>62</v>
      </c>
      <c r="Q170" t="s">
        <v>62</v>
      </c>
      <c r="R170" t="s">
        <v>62</v>
      </c>
      <c r="W170" t="s">
        <v>3511</v>
      </c>
      <c r="X170"/>
      <c r="Z170"/>
      <c r="AA170"/>
      <c r="AE170"/>
      <c r="AF170"/>
      <c r="AG170"/>
      <c r="AH170"/>
    </row>
    <row r="171" spans="1:34" ht="15.75" customHeight="1" x14ac:dyDescent="0.15">
      <c r="A171">
        <v>152</v>
      </c>
      <c r="B171" t="s">
        <v>75</v>
      </c>
      <c r="C171" t="s">
        <v>2634</v>
      </c>
      <c r="D171" t="s">
        <v>3512</v>
      </c>
      <c r="E171" t="s">
        <v>169</v>
      </c>
      <c r="F171">
        <v>2020</v>
      </c>
      <c r="G171">
        <v>17</v>
      </c>
      <c r="H171">
        <v>42021.17</v>
      </c>
      <c r="J171" t="s">
        <v>171</v>
      </c>
      <c r="K171" t="s">
        <v>177</v>
      </c>
      <c r="L171" t="s">
        <v>173</v>
      </c>
      <c r="O171" t="s">
        <v>62</v>
      </c>
      <c r="P171" t="s">
        <v>62</v>
      </c>
      <c r="Q171" t="s">
        <v>62</v>
      </c>
      <c r="R171" t="s">
        <v>62</v>
      </c>
      <c r="W171" t="s">
        <v>3513</v>
      </c>
      <c r="X171"/>
      <c r="Z171"/>
      <c r="AA171"/>
      <c r="AE171"/>
      <c r="AF171"/>
      <c r="AG171"/>
      <c r="AH171"/>
    </row>
    <row r="172" spans="1:34" ht="15.75" customHeight="1" x14ac:dyDescent="0.15">
      <c r="A172">
        <v>153</v>
      </c>
      <c r="B172" t="s">
        <v>75</v>
      </c>
      <c r="C172" t="s">
        <v>2634</v>
      </c>
      <c r="D172" t="s">
        <v>3514</v>
      </c>
      <c r="E172" t="s">
        <v>169</v>
      </c>
      <c r="F172">
        <v>2020</v>
      </c>
      <c r="G172">
        <v>18</v>
      </c>
      <c r="H172">
        <v>42021.18</v>
      </c>
      <c r="J172" t="s">
        <v>171</v>
      </c>
      <c r="K172" t="s">
        <v>177</v>
      </c>
      <c r="L172" t="s">
        <v>173</v>
      </c>
      <c r="O172" t="s">
        <v>62</v>
      </c>
      <c r="P172" t="s">
        <v>62</v>
      </c>
      <c r="Q172" t="s">
        <v>62</v>
      </c>
      <c r="R172" t="s">
        <v>62</v>
      </c>
      <c r="W172" t="s">
        <v>3515</v>
      </c>
      <c r="X172"/>
      <c r="Z172"/>
      <c r="AA172"/>
      <c r="AE172"/>
      <c r="AF172"/>
      <c r="AG172"/>
      <c r="AH172"/>
    </row>
    <row r="173" spans="1:34" ht="15.75" customHeight="1" x14ac:dyDescent="0.15">
      <c r="A173">
        <v>154</v>
      </c>
      <c r="B173" t="s">
        <v>75</v>
      </c>
      <c r="C173" t="s">
        <v>2634</v>
      </c>
      <c r="D173" t="s">
        <v>3516</v>
      </c>
      <c r="E173" t="s">
        <v>3406</v>
      </c>
      <c r="F173">
        <v>2038</v>
      </c>
      <c r="H173">
        <v>42039</v>
      </c>
      <c r="M173" t="s">
        <v>61</v>
      </c>
      <c r="N173">
        <v>1</v>
      </c>
      <c r="O173" t="s">
        <v>62</v>
      </c>
      <c r="P173" t="s">
        <v>62</v>
      </c>
      <c r="Q173" t="s">
        <v>62</v>
      </c>
      <c r="R173" t="s">
        <v>62</v>
      </c>
      <c r="W173" t="s">
        <v>3517</v>
      </c>
      <c r="X173"/>
      <c r="Z173"/>
      <c r="AA173"/>
      <c r="AE173"/>
      <c r="AF173"/>
      <c r="AG173"/>
      <c r="AH173"/>
    </row>
    <row r="174" spans="1:34" ht="15.75" customHeight="1" x14ac:dyDescent="0.15">
      <c r="A174">
        <v>155</v>
      </c>
      <c r="B174" t="s">
        <v>75</v>
      </c>
      <c r="C174" t="s">
        <v>2634</v>
      </c>
      <c r="D174" t="s">
        <v>3518</v>
      </c>
      <c r="E174" t="s">
        <v>169</v>
      </c>
      <c r="F174">
        <v>2038</v>
      </c>
      <c r="G174">
        <v>0</v>
      </c>
      <c r="H174">
        <v>42039</v>
      </c>
      <c r="J174" t="s">
        <v>171</v>
      </c>
      <c r="K174" t="s">
        <v>177</v>
      </c>
      <c r="L174" t="s">
        <v>173</v>
      </c>
      <c r="O174" t="s">
        <v>62</v>
      </c>
      <c r="P174" t="s">
        <v>62</v>
      </c>
      <c r="Q174" t="s">
        <v>62</v>
      </c>
      <c r="R174" t="s">
        <v>62</v>
      </c>
      <c r="W174" t="s">
        <v>3519</v>
      </c>
      <c r="X174"/>
      <c r="Z174"/>
      <c r="AA174"/>
      <c r="AE174"/>
      <c r="AF174"/>
      <c r="AG174"/>
      <c r="AH174"/>
    </row>
    <row r="175" spans="1:34" ht="15.75" customHeight="1" x14ac:dyDescent="0.15">
      <c r="A175">
        <v>156</v>
      </c>
      <c r="B175" t="s">
        <v>75</v>
      </c>
      <c r="C175" t="s">
        <v>2634</v>
      </c>
      <c r="D175" t="s">
        <v>3520</v>
      </c>
      <c r="E175" t="s">
        <v>169</v>
      </c>
      <c r="F175">
        <v>2038</v>
      </c>
      <c r="G175">
        <v>1</v>
      </c>
      <c r="H175">
        <v>42039.1</v>
      </c>
      <c r="J175" t="s">
        <v>171</v>
      </c>
      <c r="K175" t="s">
        <v>177</v>
      </c>
      <c r="L175" t="s">
        <v>173</v>
      </c>
      <c r="O175" t="s">
        <v>62</v>
      </c>
      <c r="P175" t="s">
        <v>62</v>
      </c>
      <c r="Q175" t="s">
        <v>62</v>
      </c>
      <c r="R175" t="s">
        <v>62</v>
      </c>
      <c r="W175" t="s">
        <v>3521</v>
      </c>
      <c r="X175"/>
      <c r="Z175"/>
      <c r="AA175"/>
      <c r="AE175"/>
      <c r="AF175"/>
      <c r="AG175"/>
      <c r="AH175"/>
    </row>
    <row r="176" spans="1:34" ht="15.75" customHeight="1" x14ac:dyDescent="0.15">
      <c r="A176">
        <v>157</v>
      </c>
      <c r="B176" t="s">
        <v>75</v>
      </c>
      <c r="C176" t="s">
        <v>2634</v>
      </c>
      <c r="D176" t="s">
        <v>3522</v>
      </c>
      <c r="E176" t="s">
        <v>169</v>
      </c>
      <c r="F176">
        <v>2038</v>
      </c>
      <c r="G176">
        <v>2</v>
      </c>
      <c r="H176">
        <v>42039.199999999997</v>
      </c>
      <c r="J176" t="s">
        <v>171</v>
      </c>
      <c r="K176" t="s">
        <v>177</v>
      </c>
      <c r="L176" t="s">
        <v>173</v>
      </c>
      <c r="O176" t="s">
        <v>62</v>
      </c>
      <c r="P176" t="s">
        <v>62</v>
      </c>
      <c r="Q176" t="s">
        <v>62</v>
      </c>
      <c r="R176" t="s">
        <v>62</v>
      </c>
      <c r="W176" t="s">
        <v>3523</v>
      </c>
      <c r="X176"/>
      <c r="Z176"/>
      <c r="AA176"/>
      <c r="AE176"/>
      <c r="AF176"/>
      <c r="AG176"/>
      <c r="AH176"/>
    </row>
    <row r="177" spans="1:34" ht="15.75" customHeight="1" x14ac:dyDescent="0.15">
      <c r="A177">
        <v>158</v>
      </c>
      <c r="B177" t="s">
        <v>75</v>
      </c>
      <c r="C177" t="s">
        <v>2634</v>
      </c>
      <c r="D177" t="s">
        <v>3524</v>
      </c>
      <c r="E177" t="s">
        <v>169</v>
      </c>
      <c r="F177">
        <v>2038</v>
      </c>
      <c r="G177">
        <v>3</v>
      </c>
      <c r="H177">
        <v>42039.3</v>
      </c>
      <c r="J177" t="s">
        <v>171</v>
      </c>
      <c r="K177" t="s">
        <v>177</v>
      </c>
      <c r="L177" t="s">
        <v>173</v>
      </c>
      <c r="O177" t="s">
        <v>62</v>
      </c>
      <c r="P177" t="s">
        <v>62</v>
      </c>
      <c r="Q177" t="s">
        <v>62</v>
      </c>
      <c r="R177" t="s">
        <v>62</v>
      </c>
      <c r="W177" t="s">
        <v>3525</v>
      </c>
      <c r="X177"/>
      <c r="Z177"/>
      <c r="AA177"/>
      <c r="AE177"/>
      <c r="AF177"/>
      <c r="AG177"/>
      <c r="AH177"/>
    </row>
    <row r="178" spans="1:34" ht="15.75" customHeight="1" x14ac:dyDescent="0.15">
      <c r="A178">
        <v>159</v>
      </c>
      <c r="B178" t="s">
        <v>75</v>
      </c>
      <c r="C178" t="s">
        <v>2634</v>
      </c>
      <c r="D178" t="s">
        <v>3526</v>
      </c>
      <c r="E178" t="s">
        <v>169</v>
      </c>
      <c r="F178">
        <v>2038</v>
      </c>
      <c r="G178">
        <v>4</v>
      </c>
      <c r="H178">
        <v>42039.4</v>
      </c>
      <c r="J178" t="s">
        <v>171</v>
      </c>
      <c r="K178" t="s">
        <v>177</v>
      </c>
      <c r="L178" t="s">
        <v>173</v>
      </c>
      <c r="O178" t="s">
        <v>62</v>
      </c>
      <c r="P178" t="s">
        <v>62</v>
      </c>
      <c r="Q178" t="s">
        <v>62</v>
      </c>
      <c r="R178" t="s">
        <v>62</v>
      </c>
      <c r="W178" t="s">
        <v>3527</v>
      </c>
      <c r="X178"/>
      <c r="Z178"/>
      <c r="AA178"/>
      <c r="AE178"/>
      <c r="AF178"/>
      <c r="AG178"/>
      <c r="AH178"/>
    </row>
    <row r="179" spans="1:34" ht="15.75" customHeight="1" x14ac:dyDescent="0.15">
      <c r="A179">
        <v>160</v>
      </c>
      <c r="B179" t="s">
        <v>75</v>
      </c>
      <c r="C179" t="s">
        <v>2634</v>
      </c>
      <c r="D179" t="s">
        <v>3528</v>
      </c>
      <c r="E179" t="s">
        <v>169</v>
      </c>
      <c r="F179">
        <v>2038</v>
      </c>
      <c r="G179">
        <v>5</v>
      </c>
      <c r="H179">
        <v>42039.5</v>
      </c>
      <c r="J179" t="s">
        <v>171</v>
      </c>
      <c r="K179" t="s">
        <v>177</v>
      </c>
      <c r="L179" t="s">
        <v>173</v>
      </c>
      <c r="O179" t="s">
        <v>62</v>
      </c>
      <c r="P179" t="s">
        <v>62</v>
      </c>
      <c r="Q179" t="s">
        <v>62</v>
      </c>
      <c r="R179" t="s">
        <v>62</v>
      </c>
      <c r="W179" t="s">
        <v>3529</v>
      </c>
      <c r="X179"/>
      <c r="Z179"/>
      <c r="AA179"/>
      <c r="AE179"/>
      <c r="AF179"/>
      <c r="AG179"/>
      <c r="AH179"/>
    </row>
    <row r="180" spans="1:34" ht="15.75" customHeight="1" x14ac:dyDescent="0.15">
      <c r="A180">
        <v>161</v>
      </c>
      <c r="B180" t="s">
        <v>75</v>
      </c>
      <c r="C180" t="s">
        <v>2634</v>
      </c>
      <c r="D180" t="s">
        <v>3530</v>
      </c>
      <c r="E180" t="s">
        <v>169</v>
      </c>
      <c r="F180">
        <v>2038</v>
      </c>
      <c r="G180">
        <v>8</v>
      </c>
      <c r="H180">
        <v>42039.8</v>
      </c>
      <c r="J180" t="s">
        <v>171</v>
      </c>
      <c r="K180" t="s">
        <v>177</v>
      </c>
      <c r="L180" t="s">
        <v>173</v>
      </c>
      <c r="O180" t="s">
        <v>62</v>
      </c>
      <c r="P180" t="s">
        <v>62</v>
      </c>
      <c r="Q180" t="s">
        <v>62</v>
      </c>
      <c r="R180" t="s">
        <v>62</v>
      </c>
      <c r="W180" t="s">
        <v>3531</v>
      </c>
      <c r="X180"/>
      <c r="Z180"/>
      <c r="AA180"/>
      <c r="AE180"/>
      <c r="AF180"/>
      <c r="AG180"/>
      <c r="AH180"/>
    </row>
    <row r="181" spans="1:34" ht="15.75" customHeight="1" x14ac:dyDescent="0.15">
      <c r="A181">
        <v>162</v>
      </c>
      <c r="B181" t="s">
        <v>75</v>
      </c>
      <c r="C181" t="s">
        <v>2634</v>
      </c>
      <c r="D181" t="s">
        <v>3532</v>
      </c>
      <c r="E181" t="s">
        <v>169</v>
      </c>
      <c r="F181">
        <v>2038</v>
      </c>
      <c r="G181">
        <v>9</v>
      </c>
      <c r="H181">
        <v>42039.9</v>
      </c>
      <c r="J181" t="s">
        <v>171</v>
      </c>
      <c r="K181" t="s">
        <v>177</v>
      </c>
      <c r="L181" t="s">
        <v>173</v>
      </c>
      <c r="O181" t="s">
        <v>62</v>
      </c>
      <c r="P181" t="s">
        <v>62</v>
      </c>
      <c r="Q181" t="s">
        <v>62</v>
      </c>
      <c r="R181" t="s">
        <v>62</v>
      </c>
      <c r="W181" t="s">
        <v>3533</v>
      </c>
      <c r="X181"/>
      <c r="Z181"/>
      <c r="AA181"/>
      <c r="AE181"/>
      <c r="AF181"/>
      <c r="AG181"/>
      <c r="AH181"/>
    </row>
    <row r="182" spans="1:34" ht="15.75" customHeight="1" x14ac:dyDescent="0.15">
      <c r="A182">
        <v>163</v>
      </c>
      <c r="B182" t="s">
        <v>75</v>
      </c>
      <c r="C182" t="s">
        <v>2634</v>
      </c>
      <c r="D182" t="s">
        <v>3534</v>
      </c>
      <c r="E182" t="s">
        <v>169</v>
      </c>
      <c r="F182">
        <v>2038</v>
      </c>
      <c r="G182">
        <v>10</v>
      </c>
      <c r="H182">
        <v>42039.1</v>
      </c>
      <c r="J182" t="s">
        <v>171</v>
      </c>
      <c r="K182" t="s">
        <v>177</v>
      </c>
      <c r="L182" t="s">
        <v>173</v>
      </c>
      <c r="O182" t="s">
        <v>62</v>
      </c>
      <c r="P182" t="s">
        <v>62</v>
      </c>
      <c r="Q182" t="s">
        <v>62</v>
      </c>
      <c r="R182" t="s">
        <v>62</v>
      </c>
      <c r="W182" t="s">
        <v>3535</v>
      </c>
      <c r="X182"/>
      <c r="Z182"/>
      <c r="AA182"/>
      <c r="AE182"/>
      <c r="AF182"/>
      <c r="AG182"/>
      <c r="AH182"/>
    </row>
    <row r="183" spans="1:34" ht="15.75" customHeight="1" x14ac:dyDescent="0.15">
      <c r="A183">
        <v>164</v>
      </c>
      <c r="B183" t="s">
        <v>75</v>
      </c>
      <c r="C183" t="s">
        <v>2634</v>
      </c>
      <c r="D183" t="s">
        <v>3536</v>
      </c>
      <c r="E183" t="s">
        <v>169</v>
      </c>
      <c r="F183">
        <v>2038</v>
      </c>
      <c r="G183">
        <v>16</v>
      </c>
      <c r="H183">
        <v>42039.16</v>
      </c>
      <c r="J183" t="s">
        <v>171</v>
      </c>
      <c r="K183" t="s">
        <v>177</v>
      </c>
      <c r="L183" t="s">
        <v>173</v>
      </c>
      <c r="O183" t="s">
        <v>62</v>
      </c>
      <c r="P183" t="s">
        <v>62</v>
      </c>
      <c r="Q183" t="s">
        <v>62</v>
      </c>
      <c r="R183" t="s">
        <v>62</v>
      </c>
      <c r="W183" t="s">
        <v>3537</v>
      </c>
      <c r="X183"/>
      <c r="Z183"/>
      <c r="AA183"/>
      <c r="AE183"/>
      <c r="AF183"/>
      <c r="AG183"/>
      <c r="AH183"/>
    </row>
    <row r="184" spans="1:34" ht="15.75" customHeight="1" x14ac:dyDescent="0.15">
      <c r="A184">
        <v>165</v>
      </c>
      <c r="B184" t="s">
        <v>75</v>
      </c>
      <c r="C184" t="s">
        <v>2634</v>
      </c>
      <c r="D184" t="s">
        <v>3538</v>
      </c>
      <c r="E184" t="s">
        <v>169</v>
      </c>
      <c r="F184">
        <v>2038</v>
      </c>
      <c r="G184">
        <v>17</v>
      </c>
      <c r="H184">
        <v>42039.17</v>
      </c>
      <c r="J184" t="s">
        <v>171</v>
      </c>
      <c r="K184" t="s">
        <v>177</v>
      </c>
      <c r="L184" t="s">
        <v>173</v>
      </c>
      <c r="O184" t="s">
        <v>62</v>
      </c>
      <c r="P184" t="s">
        <v>62</v>
      </c>
      <c r="Q184" t="s">
        <v>62</v>
      </c>
      <c r="R184" t="s">
        <v>62</v>
      </c>
      <c r="W184" t="s">
        <v>3539</v>
      </c>
      <c r="X184"/>
      <c r="Z184"/>
      <c r="AA184"/>
      <c r="AE184"/>
      <c r="AF184"/>
      <c r="AG184"/>
      <c r="AH184"/>
    </row>
    <row r="185" spans="1:34" ht="15.75" customHeight="1" x14ac:dyDescent="0.15">
      <c r="A185">
        <v>166</v>
      </c>
      <c r="B185" t="s">
        <v>75</v>
      </c>
      <c r="C185" t="s">
        <v>2634</v>
      </c>
      <c r="D185" t="s">
        <v>3540</v>
      </c>
      <c r="E185" t="s">
        <v>169</v>
      </c>
      <c r="F185">
        <v>2038</v>
      </c>
      <c r="G185">
        <v>18</v>
      </c>
      <c r="H185">
        <v>42039.18</v>
      </c>
      <c r="J185" t="s">
        <v>171</v>
      </c>
      <c r="K185" t="s">
        <v>177</v>
      </c>
      <c r="L185" t="s">
        <v>173</v>
      </c>
      <c r="O185" t="s">
        <v>62</v>
      </c>
      <c r="P185" t="s">
        <v>62</v>
      </c>
      <c r="Q185" t="s">
        <v>62</v>
      </c>
      <c r="R185" t="s">
        <v>62</v>
      </c>
      <c r="W185" t="s">
        <v>3541</v>
      </c>
      <c r="X185"/>
      <c r="Z185"/>
      <c r="AA185"/>
      <c r="AE185"/>
      <c r="AF185"/>
      <c r="AG185"/>
      <c r="AH185"/>
    </row>
    <row r="186" spans="1:34" ht="15.75" customHeight="1" x14ac:dyDescent="0.15">
      <c r="A186">
        <v>167</v>
      </c>
      <c r="B186" t="s">
        <v>75</v>
      </c>
      <c r="C186" t="s">
        <v>2634</v>
      </c>
      <c r="D186" t="s">
        <v>3542</v>
      </c>
      <c r="E186" t="s">
        <v>169</v>
      </c>
      <c r="F186">
        <v>2038</v>
      </c>
      <c r="G186">
        <v>24</v>
      </c>
      <c r="H186">
        <v>42039.24</v>
      </c>
      <c r="J186" t="s">
        <v>171</v>
      </c>
      <c r="K186" t="s">
        <v>177</v>
      </c>
      <c r="L186" t="s">
        <v>173</v>
      </c>
      <c r="O186" t="s">
        <v>62</v>
      </c>
      <c r="P186" t="s">
        <v>62</v>
      </c>
      <c r="Q186" t="s">
        <v>62</v>
      </c>
      <c r="R186" t="s">
        <v>62</v>
      </c>
      <c r="W186" t="s">
        <v>3543</v>
      </c>
      <c r="X186"/>
      <c r="Z186"/>
      <c r="AA186"/>
      <c r="AE186"/>
      <c r="AF186"/>
      <c r="AG186"/>
      <c r="AH186"/>
    </row>
    <row r="187" spans="1:34" ht="15.75" customHeight="1" x14ac:dyDescent="0.15">
      <c r="A187">
        <v>168</v>
      </c>
      <c r="B187" t="s">
        <v>75</v>
      </c>
      <c r="C187" t="s">
        <v>2634</v>
      </c>
      <c r="D187" t="s">
        <v>3544</v>
      </c>
      <c r="E187" t="s">
        <v>169</v>
      </c>
      <c r="F187">
        <v>2038</v>
      </c>
      <c r="G187">
        <v>25</v>
      </c>
      <c r="H187">
        <v>42039.25</v>
      </c>
      <c r="J187" t="s">
        <v>171</v>
      </c>
      <c r="K187" t="s">
        <v>177</v>
      </c>
      <c r="L187" t="s">
        <v>173</v>
      </c>
      <c r="O187" t="s">
        <v>62</v>
      </c>
      <c r="P187" t="s">
        <v>62</v>
      </c>
      <c r="Q187" t="s">
        <v>62</v>
      </c>
      <c r="R187" t="s">
        <v>62</v>
      </c>
      <c r="W187" t="s">
        <v>3545</v>
      </c>
      <c r="X187"/>
      <c r="Z187"/>
      <c r="AA187"/>
      <c r="AE187"/>
      <c r="AF187"/>
      <c r="AG187"/>
      <c r="AH187"/>
    </row>
    <row r="188" spans="1:34" ht="15.75" customHeight="1" x14ac:dyDescent="0.15">
      <c r="A188">
        <v>169</v>
      </c>
      <c r="B188" t="s">
        <v>75</v>
      </c>
      <c r="C188" t="s">
        <v>2634</v>
      </c>
      <c r="D188" t="s">
        <v>3546</v>
      </c>
      <c r="E188" t="s">
        <v>169</v>
      </c>
      <c r="F188">
        <v>2038</v>
      </c>
      <c r="G188">
        <v>26</v>
      </c>
      <c r="H188">
        <v>42039.26</v>
      </c>
      <c r="J188" t="s">
        <v>171</v>
      </c>
      <c r="K188" t="s">
        <v>177</v>
      </c>
      <c r="L188" t="s">
        <v>173</v>
      </c>
      <c r="O188" t="s">
        <v>62</v>
      </c>
      <c r="P188" t="s">
        <v>62</v>
      </c>
      <c r="Q188" t="s">
        <v>62</v>
      </c>
      <c r="R188" t="s">
        <v>62</v>
      </c>
      <c r="W188" t="s">
        <v>3547</v>
      </c>
      <c r="X188"/>
      <c r="Z188"/>
      <c r="AA188"/>
      <c r="AE188"/>
      <c r="AF188"/>
      <c r="AG188"/>
      <c r="AH188"/>
    </row>
    <row r="189" spans="1:34" ht="15.75" customHeight="1" x14ac:dyDescent="0.15">
      <c r="A189">
        <v>170</v>
      </c>
      <c r="B189" t="s">
        <v>75</v>
      </c>
      <c r="C189" t="s">
        <v>2634</v>
      </c>
      <c r="D189" t="s">
        <v>3548</v>
      </c>
      <c r="E189" t="s">
        <v>3406</v>
      </c>
      <c r="F189">
        <v>2040</v>
      </c>
      <c r="H189">
        <v>42041</v>
      </c>
      <c r="M189" t="s">
        <v>61</v>
      </c>
      <c r="N189">
        <v>1</v>
      </c>
      <c r="O189" t="s">
        <v>62</v>
      </c>
      <c r="P189" t="s">
        <v>62</v>
      </c>
      <c r="Q189" t="s">
        <v>62</v>
      </c>
      <c r="R189" t="s">
        <v>62</v>
      </c>
      <c r="W189" t="s">
        <v>3549</v>
      </c>
      <c r="X189"/>
      <c r="Z189"/>
      <c r="AA189"/>
      <c r="AE189"/>
      <c r="AF189"/>
      <c r="AG189"/>
      <c r="AH189"/>
    </row>
    <row r="190" spans="1:34" ht="15.75" customHeight="1" x14ac:dyDescent="0.15">
      <c r="A190">
        <v>171</v>
      </c>
      <c r="B190" t="s">
        <v>75</v>
      </c>
      <c r="C190" t="s">
        <v>2634</v>
      </c>
      <c r="D190" t="s">
        <v>3550</v>
      </c>
      <c r="E190" t="s">
        <v>169</v>
      </c>
      <c r="F190">
        <v>2040</v>
      </c>
      <c r="G190">
        <v>0</v>
      </c>
      <c r="H190">
        <v>42041</v>
      </c>
      <c r="J190" t="s">
        <v>171</v>
      </c>
      <c r="K190" t="s">
        <v>177</v>
      </c>
      <c r="L190" t="s">
        <v>173</v>
      </c>
      <c r="O190" t="s">
        <v>62</v>
      </c>
      <c r="P190" t="s">
        <v>62</v>
      </c>
      <c r="Q190" t="s">
        <v>62</v>
      </c>
      <c r="R190" t="s">
        <v>62</v>
      </c>
      <c r="W190" t="s">
        <v>3551</v>
      </c>
      <c r="X190"/>
      <c r="Z190"/>
      <c r="AA190"/>
      <c r="AE190"/>
      <c r="AF190"/>
      <c r="AG190"/>
      <c r="AH190"/>
    </row>
    <row r="191" spans="1:34" ht="15.75" customHeight="1" x14ac:dyDescent="0.15">
      <c r="A191">
        <v>172</v>
      </c>
      <c r="B191" t="s">
        <v>75</v>
      </c>
      <c r="C191" t="s">
        <v>2634</v>
      </c>
      <c r="D191" t="s">
        <v>3552</v>
      </c>
      <c r="E191" t="s">
        <v>169</v>
      </c>
      <c r="F191">
        <v>2040</v>
      </c>
      <c r="G191">
        <v>1</v>
      </c>
      <c r="H191">
        <v>42041.1</v>
      </c>
      <c r="J191" t="s">
        <v>171</v>
      </c>
      <c r="K191" t="s">
        <v>177</v>
      </c>
      <c r="L191" t="s">
        <v>173</v>
      </c>
      <c r="O191" t="s">
        <v>62</v>
      </c>
      <c r="P191" t="s">
        <v>62</v>
      </c>
      <c r="Q191" t="s">
        <v>62</v>
      </c>
      <c r="R191" t="s">
        <v>62</v>
      </c>
      <c r="W191" t="s">
        <v>3553</v>
      </c>
      <c r="X191"/>
      <c r="Z191"/>
      <c r="AA191"/>
      <c r="AE191"/>
      <c r="AF191"/>
      <c r="AG191"/>
      <c r="AH191"/>
    </row>
    <row r="192" spans="1:34" ht="15.75" customHeight="1" x14ac:dyDescent="0.15">
      <c r="A192">
        <v>173</v>
      </c>
      <c r="B192" t="s">
        <v>75</v>
      </c>
      <c r="C192" t="s">
        <v>2634</v>
      </c>
      <c r="D192" t="s">
        <v>3554</v>
      </c>
      <c r="E192" t="s">
        <v>169</v>
      </c>
      <c r="F192">
        <v>2040</v>
      </c>
      <c r="G192">
        <v>2</v>
      </c>
      <c r="H192">
        <v>42041.2</v>
      </c>
      <c r="J192" t="s">
        <v>171</v>
      </c>
      <c r="K192" t="s">
        <v>177</v>
      </c>
      <c r="L192" t="s">
        <v>173</v>
      </c>
      <c r="O192" t="s">
        <v>62</v>
      </c>
      <c r="P192" t="s">
        <v>62</v>
      </c>
      <c r="Q192" t="s">
        <v>62</v>
      </c>
      <c r="R192" t="s">
        <v>62</v>
      </c>
      <c r="W192" t="s">
        <v>3555</v>
      </c>
      <c r="X192"/>
      <c r="Z192"/>
      <c r="AA192"/>
      <c r="AE192"/>
      <c r="AF192"/>
      <c r="AG192"/>
      <c r="AH192"/>
    </row>
    <row r="193" spans="1:34" ht="15.75" customHeight="1" x14ac:dyDescent="0.15">
      <c r="A193">
        <v>174</v>
      </c>
      <c r="B193" t="s">
        <v>75</v>
      </c>
      <c r="C193" t="s">
        <v>2634</v>
      </c>
      <c r="D193" t="s">
        <v>3556</v>
      </c>
      <c r="E193" t="s">
        <v>169</v>
      </c>
      <c r="F193">
        <v>2040</v>
      </c>
      <c r="G193">
        <v>3</v>
      </c>
      <c r="H193">
        <v>42041.3</v>
      </c>
      <c r="J193" t="s">
        <v>171</v>
      </c>
      <c r="K193" t="s">
        <v>177</v>
      </c>
      <c r="L193" t="s">
        <v>173</v>
      </c>
      <c r="O193" t="s">
        <v>62</v>
      </c>
      <c r="P193" t="s">
        <v>62</v>
      </c>
      <c r="Q193" t="s">
        <v>62</v>
      </c>
      <c r="R193" t="s">
        <v>62</v>
      </c>
      <c r="W193" t="s">
        <v>3557</v>
      </c>
      <c r="X193"/>
      <c r="Z193"/>
      <c r="AA193"/>
      <c r="AE193"/>
      <c r="AF193"/>
      <c r="AG193"/>
      <c r="AH193"/>
    </row>
    <row r="194" spans="1:34" ht="15.75" customHeight="1" x14ac:dyDescent="0.15">
      <c r="A194">
        <v>175</v>
      </c>
      <c r="B194" t="s">
        <v>75</v>
      </c>
      <c r="C194" t="s">
        <v>2634</v>
      </c>
      <c r="D194" t="s">
        <v>3558</v>
      </c>
      <c r="E194" t="s">
        <v>169</v>
      </c>
      <c r="F194">
        <v>2040</v>
      </c>
      <c r="G194">
        <v>4</v>
      </c>
      <c r="H194">
        <v>42041.4</v>
      </c>
      <c r="J194" t="s">
        <v>171</v>
      </c>
      <c r="K194" t="s">
        <v>177</v>
      </c>
      <c r="L194" t="s">
        <v>173</v>
      </c>
      <c r="O194" t="s">
        <v>62</v>
      </c>
      <c r="P194" t="s">
        <v>62</v>
      </c>
      <c r="Q194" t="s">
        <v>62</v>
      </c>
      <c r="R194" t="s">
        <v>62</v>
      </c>
      <c r="W194" t="s">
        <v>3559</v>
      </c>
      <c r="X194"/>
      <c r="Z194"/>
      <c r="AA194"/>
      <c r="AE194"/>
      <c r="AF194"/>
      <c r="AG194"/>
      <c r="AH194"/>
    </row>
    <row r="195" spans="1:34" ht="15.75" customHeight="1" x14ac:dyDescent="0.15">
      <c r="A195">
        <v>176</v>
      </c>
      <c r="B195" t="s">
        <v>75</v>
      </c>
      <c r="C195" t="s">
        <v>2634</v>
      </c>
      <c r="D195" t="s">
        <v>3560</v>
      </c>
      <c r="E195" t="s">
        <v>169</v>
      </c>
      <c r="F195">
        <v>2040</v>
      </c>
      <c r="G195">
        <v>5</v>
      </c>
      <c r="H195">
        <v>42041.5</v>
      </c>
      <c r="J195" t="s">
        <v>171</v>
      </c>
      <c r="K195" t="s">
        <v>177</v>
      </c>
      <c r="L195" t="s">
        <v>173</v>
      </c>
      <c r="O195" t="s">
        <v>62</v>
      </c>
      <c r="P195" t="s">
        <v>62</v>
      </c>
      <c r="Q195" t="s">
        <v>62</v>
      </c>
      <c r="R195" t="s">
        <v>62</v>
      </c>
      <c r="W195" t="s">
        <v>3561</v>
      </c>
      <c r="X195"/>
      <c r="Z195"/>
      <c r="AA195"/>
      <c r="AE195"/>
      <c r="AF195"/>
      <c r="AG195"/>
      <c r="AH195"/>
    </row>
    <row r="196" spans="1:34" ht="15.75" customHeight="1" x14ac:dyDescent="0.15">
      <c r="A196">
        <v>177</v>
      </c>
      <c r="B196" t="s">
        <v>75</v>
      </c>
      <c r="C196" t="s">
        <v>2634</v>
      </c>
      <c r="D196" t="s">
        <v>3562</v>
      </c>
      <c r="E196" t="s">
        <v>169</v>
      </c>
      <c r="F196">
        <v>2040</v>
      </c>
      <c r="G196">
        <v>8</v>
      </c>
      <c r="H196">
        <v>42041.8</v>
      </c>
      <c r="J196" t="s">
        <v>171</v>
      </c>
      <c r="K196" t="s">
        <v>177</v>
      </c>
      <c r="L196" t="s">
        <v>173</v>
      </c>
      <c r="O196" t="s">
        <v>62</v>
      </c>
      <c r="P196" t="s">
        <v>62</v>
      </c>
      <c r="Q196" t="s">
        <v>62</v>
      </c>
      <c r="R196" t="s">
        <v>62</v>
      </c>
      <c r="W196" t="s">
        <v>3563</v>
      </c>
      <c r="X196"/>
      <c r="Z196"/>
      <c r="AA196"/>
      <c r="AE196"/>
      <c r="AF196"/>
      <c r="AG196"/>
      <c r="AH196"/>
    </row>
    <row r="197" spans="1:34" ht="15.75" customHeight="1" x14ac:dyDescent="0.15">
      <c r="A197">
        <v>178</v>
      </c>
      <c r="B197" t="s">
        <v>75</v>
      </c>
      <c r="C197" t="s">
        <v>2634</v>
      </c>
      <c r="D197" t="s">
        <v>3564</v>
      </c>
      <c r="E197" t="s">
        <v>169</v>
      </c>
      <c r="F197">
        <v>2040</v>
      </c>
      <c r="G197">
        <v>9</v>
      </c>
      <c r="H197">
        <v>42041.9</v>
      </c>
      <c r="J197" t="s">
        <v>171</v>
      </c>
      <c r="K197" t="s">
        <v>177</v>
      </c>
      <c r="L197" t="s">
        <v>173</v>
      </c>
      <c r="O197" t="s">
        <v>62</v>
      </c>
      <c r="P197" t="s">
        <v>62</v>
      </c>
      <c r="Q197" t="s">
        <v>62</v>
      </c>
      <c r="R197" t="s">
        <v>62</v>
      </c>
      <c r="W197" t="s">
        <v>3565</v>
      </c>
      <c r="X197"/>
      <c r="Z197"/>
      <c r="AA197"/>
      <c r="AE197"/>
      <c r="AF197"/>
      <c r="AG197"/>
      <c r="AH197"/>
    </row>
    <row r="198" spans="1:34" ht="15.75" customHeight="1" x14ac:dyDescent="0.15">
      <c r="A198">
        <v>179</v>
      </c>
      <c r="B198" t="s">
        <v>75</v>
      </c>
      <c r="C198" t="s">
        <v>2634</v>
      </c>
      <c r="D198" t="s">
        <v>3566</v>
      </c>
      <c r="E198" t="s">
        <v>169</v>
      </c>
      <c r="F198">
        <v>2040</v>
      </c>
      <c r="G198">
        <v>10</v>
      </c>
      <c r="H198">
        <v>42041.1</v>
      </c>
      <c r="J198" t="s">
        <v>171</v>
      </c>
      <c r="K198" t="s">
        <v>177</v>
      </c>
      <c r="L198" t="s">
        <v>173</v>
      </c>
      <c r="O198" t="s">
        <v>62</v>
      </c>
      <c r="P198" t="s">
        <v>62</v>
      </c>
      <c r="Q198" t="s">
        <v>62</v>
      </c>
      <c r="R198" t="s">
        <v>62</v>
      </c>
      <c r="W198" t="s">
        <v>3567</v>
      </c>
      <c r="X198"/>
      <c r="Z198"/>
      <c r="AA198"/>
      <c r="AE198"/>
      <c r="AF198"/>
      <c r="AG198"/>
      <c r="AH198"/>
    </row>
    <row r="199" spans="1:34" ht="15.75" customHeight="1" x14ac:dyDescent="0.15">
      <c r="A199">
        <v>180</v>
      </c>
      <c r="B199" t="s">
        <v>75</v>
      </c>
      <c r="C199" t="s">
        <v>2634</v>
      </c>
      <c r="D199" t="s">
        <v>3568</v>
      </c>
      <c r="E199" t="s">
        <v>169</v>
      </c>
      <c r="F199">
        <v>2040</v>
      </c>
      <c r="G199">
        <v>16</v>
      </c>
      <c r="H199">
        <v>42041.16</v>
      </c>
      <c r="J199" t="s">
        <v>171</v>
      </c>
      <c r="K199" t="s">
        <v>177</v>
      </c>
      <c r="L199" t="s">
        <v>173</v>
      </c>
      <c r="O199" t="s">
        <v>62</v>
      </c>
      <c r="P199" t="s">
        <v>62</v>
      </c>
      <c r="Q199" t="s">
        <v>62</v>
      </c>
      <c r="R199" t="s">
        <v>62</v>
      </c>
      <c r="W199" t="s">
        <v>3569</v>
      </c>
      <c r="X199"/>
      <c r="Z199"/>
      <c r="AA199"/>
      <c r="AE199"/>
      <c r="AF199"/>
      <c r="AG199"/>
      <c r="AH199"/>
    </row>
    <row r="200" spans="1:34" ht="15.75" customHeight="1" x14ac:dyDescent="0.15">
      <c r="A200">
        <v>181</v>
      </c>
      <c r="B200" t="s">
        <v>75</v>
      </c>
      <c r="C200" t="s">
        <v>2634</v>
      </c>
      <c r="D200" t="s">
        <v>3570</v>
      </c>
      <c r="E200" t="s">
        <v>169</v>
      </c>
      <c r="F200">
        <v>2040</v>
      </c>
      <c r="G200">
        <v>17</v>
      </c>
      <c r="H200">
        <v>42041.17</v>
      </c>
      <c r="J200" t="s">
        <v>171</v>
      </c>
      <c r="K200" t="s">
        <v>177</v>
      </c>
      <c r="L200" t="s">
        <v>173</v>
      </c>
      <c r="O200" t="s">
        <v>62</v>
      </c>
      <c r="P200" t="s">
        <v>62</v>
      </c>
      <c r="Q200" t="s">
        <v>62</v>
      </c>
      <c r="R200" t="s">
        <v>62</v>
      </c>
      <c r="W200" t="s">
        <v>3571</v>
      </c>
      <c r="X200"/>
      <c r="Z200"/>
      <c r="AA200"/>
      <c r="AE200"/>
      <c r="AF200"/>
      <c r="AG200"/>
      <c r="AH200"/>
    </row>
    <row r="201" spans="1:34" ht="15.75" customHeight="1" x14ac:dyDescent="0.15">
      <c r="A201">
        <v>182</v>
      </c>
      <c r="B201" t="s">
        <v>75</v>
      </c>
      <c r="C201" t="s">
        <v>2634</v>
      </c>
      <c r="D201" t="s">
        <v>3572</v>
      </c>
      <c r="E201" t="s">
        <v>169</v>
      </c>
      <c r="F201">
        <v>2040</v>
      </c>
      <c r="G201">
        <v>18</v>
      </c>
      <c r="H201">
        <v>42041.18</v>
      </c>
      <c r="J201" t="s">
        <v>171</v>
      </c>
      <c r="K201" t="s">
        <v>177</v>
      </c>
      <c r="L201" t="s">
        <v>173</v>
      </c>
      <c r="O201" t="s">
        <v>62</v>
      </c>
      <c r="P201" t="s">
        <v>62</v>
      </c>
      <c r="Q201" t="s">
        <v>62</v>
      </c>
      <c r="R201" t="s">
        <v>62</v>
      </c>
      <c r="W201" t="s">
        <v>3573</v>
      </c>
      <c r="X201"/>
      <c r="Z201"/>
      <c r="AA201"/>
      <c r="AE201"/>
      <c r="AF201"/>
      <c r="AG201"/>
      <c r="AH201"/>
    </row>
    <row r="202" spans="1:34" ht="15.75" customHeight="1" x14ac:dyDescent="0.15">
      <c r="A202">
        <v>183</v>
      </c>
      <c r="B202" t="s">
        <v>75</v>
      </c>
      <c r="C202" t="s">
        <v>2634</v>
      </c>
      <c r="D202" t="s">
        <v>3574</v>
      </c>
      <c r="E202" t="s">
        <v>169</v>
      </c>
      <c r="F202">
        <v>2040</v>
      </c>
      <c r="G202">
        <v>24</v>
      </c>
      <c r="H202">
        <v>42041.24</v>
      </c>
      <c r="J202" t="s">
        <v>171</v>
      </c>
      <c r="K202" t="s">
        <v>177</v>
      </c>
      <c r="L202" t="s">
        <v>173</v>
      </c>
      <c r="O202" t="s">
        <v>62</v>
      </c>
      <c r="P202" t="s">
        <v>62</v>
      </c>
      <c r="Q202" t="s">
        <v>62</v>
      </c>
      <c r="R202" t="s">
        <v>62</v>
      </c>
      <c r="W202" t="s">
        <v>3575</v>
      </c>
      <c r="X202"/>
      <c r="Z202"/>
      <c r="AA202"/>
      <c r="AE202"/>
      <c r="AF202"/>
      <c r="AG202"/>
      <c r="AH202"/>
    </row>
    <row r="203" spans="1:34" ht="15.75" customHeight="1" x14ac:dyDescent="0.15">
      <c r="A203">
        <v>184</v>
      </c>
      <c r="B203" t="s">
        <v>75</v>
      </c>
      <c r="C203" t="s">
        <v>2634</v>
      </c>
      <c r="D203" t="s">
        <v>3576</v>
      </c>
      <c r="E203" t="s">
        <v>169</v>
      </c>
      <c r="F203">
        <v>2040</v>
      </c>
      <c r="G203">
        <v>25</v>
      </c>
      <c r="H203">
        <v>42041.25</v>
      </c>
      <c r="J203" t="s">
        <v>171</v>
      </c>
      <c r="K203" t="s">
        <v>177</v>
      </c>
      <c r="L203" t="s">
        <v>173</v>
      </c>
      <c r="O203" t="s">
        <v>62</v>
      </c>
      <c r="P203" t="s">
        <v>62</v>
      </c>
      <c r="Q203" t="s">
        <v>62</v>
      </c>
      <c r="R203" t="s">
        <v>62</v>
      </c>
      <c r="W203" t="s">
        <v>3577</v>
      </c>
      <c r="X203"/>
      <c r="Z203"/>
      <c r="AA203"/>
      <c r="AE203"/>
      <c r="AF203"/>
      <c r="AG203"/>
      <c r="AH203"/>
    </row>
    <row r="204" spans="1:34" ht="15.75" customHeight="1" x14ac:dyDescent="0.15">
      <c r="A204">
        <v>185</v>
      </c>
      <c r="B204" t="s">
        <v>75</v>
      </c>
      <c r="C204" t="s">
        <v>2634</v>
      </c>
      <c r="D204" t="s">
        <v>3578</v>
      </c>
      <c r="E204" t="s">
        <v>169</v>
      </c>
      <c r="F204">
        <v>2040</v>
      </c>
      <c r="G204">
        <v>26</v>
      </c>
      <c r="H204">
        <v>42041.26</v>
      </c>
      <c r="J204" t="s">
        <v>171</v>
      </c>
      <c r="K204" t="s">
        <v>177</v>
      </c>
      <c r="L204" t="s">
        <v>173</v>
      </c>
      <c r="O204" t="s">
        <v>62</v>
      </c>
      <c r="P204" t="s">
        <v>62</v>
      </c>
      <c r="Q204" t="s">
        <v>62</v>
      </c>
      <c r="R204" t="s">
        <v>62</v>
      </c>
      <c r="W204" t="s">
        <v>3579</v>
      </c>
      <c r="X204"/>
      <c r="Z204"/>
      <c r="AA204"/>
      <c r="AE204"/>
      <c r="AF204"/>
      <c r="AG204"/>
      <c r="AH204"/>
    </row>
    <row r="205" spans="1:34" ht="15.75" customHeight="1" x14ac:dyDescent="0.15">
      <c r="A205">
        <v>186</v>
      </c>
      <c r="B205" t="s">
        <v>75</v>
      </c>
      <c r="C205" t="s">
        <v>2634</v>
      </c>
      <c r="D205" t="s">
        <v>3580</v>
      </c>
      <c r="E205" t="s">
        <v>3406</v>
      </c>
      <c r="F205">
        <v>2042</v>
      </c>
      <c r="H205">
        <v>42043</v>
      </c>
      <c r="M205" t="s">
        <v>61</v>
      </c>
      <c r="N205">
        <v>1</v>
      </c>
      <c r="O205" t="s">
        <v>62</v>
      </c>
      <c r="P205" t="s">
        <v>62</v>
      </c>
      <c r="Q205" t="s">
        <v>62</v>
      </c>
      <c r="R205" t="s">
        <v>62</v>
      </c>
      <c r="W205" t="s">
        <v>3581</v>
      </c>
      <c r="X205"/>
      <c r="Z205"/>
      <c r="AA205"/>
      <c r="AE205"/>
      <c r="AF205"/>
      <c r="AG205"/>
      <c r="AH205"/>
    </row>
    <row r="206" spans="1:34" ht="15.75" customHeight="1" x14ac:dyDescent="0.15">
      <c r="A206">
        <v>187</v>
      </c>
      <c r="B206" t="s">
        <v>75</v>
      </c>
      <c r="C206" t="s">
        <v>2634</v>
      </c>
      <c r="D206" t="s">
        <v>3582</v>
      </c>
      <c r="E206" t="s">
        <v>169</v>
      </c>
      <c r="F206">
        <v>2042</v>
      </c>
      <c r="G206">
        <v>0</v>
      </c>
      <c r="H206">
        <v>42043</v>
      </c>
      <c r="J206" t="s">
        <v>171</v>
      </c>
      <c r="K206" t="s">
        <v>177</v>
      </c>
      <c r="L206" t="s">
        <v>173</v>
      </c>
      <c r="O206" t="s">
        <v>62</v>
      </c>
      <c r="P206" t="s">
        <v>62</v>
      </c>
      <c r="Q206" t="s">
        <v>62</v>
      </c>
      <c r="R206" t="s">
        <v>62</v>
      </c>
      <c r="W206" t="s">
        <v>3583</v>
      </c>
      <c r="X206"/>
      <c r="Z206"/>
      <c r="AA206"/>
      <c r="AE206"/>
      <c r="AF206"/>
      <c r="AG206"/>
      <c r="AH206"/>
    </row>
    <row r="207" spans="1:34" ht="15.75" customHeight="1" x14ac:dyDescent="0.15">
      <c r="A207">
        <v>188</v>
      </c>
      <c r="B207" t="s">
        <v>75</v>
      </c>
      <c r="C207" t="s">
        <v>2634</v>
      </c>
      <c r="D207" t="s">
        <v>3584</v>
      </c>
      <c r="E207" t="s">
        <v>169</v>
      </c>
      <c r="F207">
        <v>2042</v>
      </c>
      <c r="G207">
        <v>1</v>
      </c>
      <c r="H207">
        <v>42043.1</v>
      </c>
      <c r="J207" t="s">
        <v>171</v>
      </c>
      <c r="K207" t="s">
        <v>177</v>
      </c>
      <c r="L207" t="s">
        <v>173</v>
      </c>
      <c r="O207" t="s">
        <v>62</v>
      </c>
      <c r="P207" t="s">
        <v>62</v>
      </c>
      <c r="Q207" t="s">
        <v>62</v>
      </c>
      <c r="R207" t="s">
        <v>62</v>
      </c>
      <c r="W207" t="s">
        <v>3585</v>
      </c>
      <c r="X207"/>
      <c r="Z207"/>
      <c r="AA207"/>
      <c r="AE207"/>
      <c r="AF207"/>
      <c r="AG207"/>
      <c r="AH207"/>
    </row>
    <row r="208" spans="1:34" ht="15.75" customHeight="1" x14ac:dyDescent="0.15">
      <c r="A208">
        <v>189</v>
      </c>
      <c r="B208" t="s">
        <v>75</v>
      </c>
      <c r="C208" t="s">
        <v>2634</v>
      </c>
      <c r="D208" t="s">
        <v>3586</v>
      </c>
      <c r="E208" t="s">
        <v>169</v>
      </c>
      <c r="F208">
        <v>2042</v>
      </c>
      <c r="G208">
        <v>2</v>
      </c>
      <c r="H208">
        <v>42043.199999999997</v>
      </c>
      <c r="J208" t="s">
        <v>171</v>
      </c>
      <c r="K208" t="s">
        <v>177</v>
      </c>
      <c r="L208" t="s">
        <v>173</v>
      </c>
      <c r="O208" t="s">
        <v>62</v>
      </c>
      <c r="P208" t="s">
        <v>62</v>
      </c>
      <c r="Q208" t="s">
        <v>62</v>
      </c>
      <c r="R208" t="s">
        <v>62</v>
      </c>
      <c r="W208" t="s">
        <v>3587</v>
      </c>
      <c r="X208"/>
      <c r="Z208"/>
      <c r="AA208"/>
      <c r="AE208"/>
      <c r="AF208"/>
      <c r="AG208"/>
      <c r="AH208"/>
    </row>
    <row r="209" spans="1:34" ht="15.75" customHeight="1" x14ac:dyDescent="0.15">
      <c r="A209">
        <v>190</v>
      </c>
      <c r="B209" t="s">
        <v>75</v>
      </c>
      <c r="C209" t="s">
        <v>2634</v>
      </c>
      <c r="D209" t="s">
        <v>3588</v>
      </c>
      <c r="E209" t="s">
        <v>169</v>
      </c>
      <c r="F209">
        <v>2042</v>
      </c>
      <c r="G209">
        <v>8</v>
      </c>
      <c r="H209">
        <v>42043.8</v>
      </c>
      <c r="J209" t="s">
        <v>171</v>
      </c>
      <c r="K209" t="s">
        <v>177</v>
      </c>
      <c r="L209" t="s">
        <v>173</v>
      </c>
      <c r="O209" t="s">
        <v>62</v>
      </c>
      <c r="P209" t="s">
        <v>62</v>
      </c>
      <c r="Q209" t="s">
        <v>62</v>
      </c>
      <c r="R209" t="s">
        <v>62</v>
      </c>
      <c r="W209" t="s">
        <v>3589</v>
      </c>
      <c r="X209"/>
      <c r="Z209"/>
      <c r="AA209"/>
      <c r="AE209"/>
      <c r="AF209"/>
      <c r="AG209"/>
      <c r="AH209"/>
    </row>
    <row r="210" spans="1:34" ht="15.75" customHeight="1" x14ac:dyDescent="0.15">
      <c r="A210">
        <v>191</v>
      </c>
      <c r="B210" t="s">
        <v>75</v>
      </c>
      <c r="C210" t="s">
        <v>2634</v>
      </c>
      <c r="D210" t="s">
        <v>3590</v>
      </c>
      <c r="E210" t="s">
        <v>169</v>
      </c>
      <c r="F210">
        <v>2042</v>
      </c>
      <c r="G210">
        <v>9</v>
      </c>
      <c r="H210">
        <v>42043.9</v>
      </c>
      <c r="J210" t="s">
        <v>171</v>
      </c>
      <c r="K210" t="s">
        <v>177</v>
      </c>
      <c r="L210" t="s">
        <v>173</v>
      </c>
      <c r="O210" t="s">
        <v>62</v>
      </c>
      <c r="P210" t="s">
        <v>62</v>
      </c>
      <c r="Q210" t="s">
        <v>62</v>
      </c>
      <c r="R210" t="s">
        <v>62</v>
      </c>
      <c r="W210" t="s">
        <v>3591</v>
      </c>
      <c r="X210"/>
      <c r="Z210"/>
      <c r="AA210"/>
      <c r="AE210"/>
      <c r="AF210"/>
      <c r="AG210"/>
      <c r="AH210"/>
    </row>
    <row r="211" spans="1:34" ht="15.75" customHeight="1" x14ac:dyDescent="0.15">
      <c r="A211">
        <v>192</v>
      </c>
      <c r="B211" t="s">
        <v>75</v>
      </c>
      <c r="C211" t="s">
        <v>2634</v>
      </c>
      <c r="D211" t="s">
        <v>3592</v>
      </c>
      <c r="E211" t="s">
        <v>169</v>
      </c>
      <c r="F211">
        <v>2042</v>
      </c>
      <c r="G211">
        <v>10</v>
      </c>
      <c r="H211">
        <v>42043.1</v>
      </c>
      <c r="J211" t="s">
        <v>171</v>
      </c>
      <c r="K211" t="s">
        <v>177</v>
      </c>
      <c r="L211" t="s">
        <v>173</v>
      </c>
      <c r="O211" t="s">
        <v>62</v>
      </c>
      <c r="P211" t="s">
        <v>62</v>
      </c>
      <c r="Q211" t="s">
        <v>62</v>
      </c>
      <c r="R211" t="s">
        <v>62</v>
      </c>
      <c r="W211" t="s">
        <v>3593</v>
      </c>
      <c r="X211"/>
      <c r="Z211"/>
      <c r="AA211"/>
      <c r="AE211"/>
      <c r="AF211"/>
      <c r="AG211"/>
      <c r="AH211"/>
    </row>
    <row r="212" spans="1:34" ht="15.75" customHeight="1" x14ac:dyDescent="0.15">
      <c r="A212">
        <v>193</v>
      </c>
      <c r="B212" t="s">
        <v>75</v>
      </c>
      <c r="C212" t="s">
        <v>2634</v>
      </c>
      <c r="D212" t="s">
        <v>3594</v>
      </c>
      <c r="E212" t="s">
        <v>169</v>
      </c>
      <c r="F212">
        <v>2042</v>
      </c>
      <c r="G212">
        <v>16</v>
      </c>
      <c r="H212">
        <v>42043.16</v>
      </c>
      <c r="J212" t="s">
        <v>171</v>
      </c>
      <c r="K212" t="s">
        <v>177</v>
      </c>
      <c r="L212" t="s">
        <v>173</v>
      </c>
      <c r="O212" t="s">
        <v>62</v>
      </c>
      <c r="P212" t="s">
        <v>62</v>
      </c>
      <c r="Q212" t="s">
        <v>62</v>
      </c>
      <c r="R212" t="s">
        <v>62</v>
      </c>
      <c r="W212" t="s">
        <v>3595</v>
      </c>
      <c r="X212"/>
      <c r="Z212"/>
      <c r="AA212"/>
      <c r="AE212"/>
      <c r="AF212"/>
      <c r="AG212"/>
      <c r="AH212"/>
    </row>
    <row r="213" spans="1:34" ht="15.75" customHeight="1" x14ac:dyDescent="0.15">
      <c r="A213">
        <v>194</v>
      </c>
      <c r="B213" t="s">
        <v>75</v>
      </c>
      <c r="C213" t="s">
        <v>2634</v>
      </c>
      <c r="D213" t="s">
        <v>3596</v>
      </c>
      <c r="E213" t="s">
        <v>169</v>
      </c>
      <c r="F213">
        <v>2042</v>
      </c>
      <c r="G213">
        <v>17</v>
      </c>
      <c r="H213">
        <v>42043.17</v>
      </c>
      <c r="J213" t="s">
        <v>171</v>
      </c>
      <c r="K213" t="s">
        <v>177</v>
      </c>
      <c r="L213" t="s">
        <v>173</v>
      </c>
      <c r="O213" t="s">
        <v>62</v>
      </c>
      <c r="P213" t="s">
        <v>62</v>
      </c>
      <c r="Q213" t="s">
        <v>62</v>
      </c>
      <c r="R213" t="s">
        <v>62</v>
      </c>
      <c r="W213" t="s">
        <v>3597</v>
      </c>
      <c r="X213"/>
      <c r="Z213"/>
      <c r="AA213"/>
      <c r="AE213"/>
      <c r="AF213"/>
      <c r="AG213"/>
      <c r="AH213"/>
    </row>
    <row r="214" spans="1:34" s="9" customFormat="1" ht="15.75" customHeight="1" x14ac:dyDescent="0.15">
      <c r="A214">
        <v>195</v>
      </c>
      <c r="B214" t="s">
        <v>75</v>
      </c>
      <c r="C214" t="s">
        <v>2634</v>
      </c>
      <c r="D214" t="s">
        <v>3598</v>
      </c>
      <c r="E214" t="s">
        <v>169</v>
      </c>
      <c r="F214">
        <v>2042</v>
      </c>
      <c r="G214">
        <v>18</v>
      </c>
      <c r="H214">
        <v>42043.18</v>
      </c>
      <c r="I214"/>
      <c r="J214" t="s">
        <v>171</v>
      </c>
      <c r="K214" t="s">
        <v>177</v>
      </c>
      <c r="L214" t="s">
        <v>173</v>
      </c>
      <c r="M214"/>
      <c r="N214"/>
      <c r="O214" t="s">
        <v>62</v>
      </c>
      <c r="P214" t="s">
        <v>62</v>
      </c>
      <c r="Q214" t="s">
        <v>62</v>
      </c>
      <c r="R214" t="s">
        <v>62</v>
      </c>
      <c r="S214"/>
      <c r="T214"/>
      <c r="U214"/>
      <c r="V214"/>
      <c r="W214" t="s">
        <v>3599</v>
      </c>
    </row>
    <row r="215" spans="1:34" s="9" customFormat="1" ht="15.75" customHeight="1" x14ac:dyDescent="0.15">
      <c r="A215">
        <v>196</v>
      </c>
      <c r="B215" t="s">
        <v>75</v>
      </c>
      <c r="C215" t="s">
        <v>2634</v>
      </c>
      <c r="D215" t="s">
        <v>3600</v>
      </c>
      <c r="E215" t="s">
        <v>3406</v>
      </c>
      <c r="F215">
        <v>2044</v>
      </c>
      <c r="G215"/>
      <c r="H215">
        <v>42045</v>
      </c>
      <c r="I215"/>
      <c r="J215"/>
      <c r="K215"/>
      <c r="L215"/>
      <c r="M215" t="s">
        <v>61</v>
      </c>
      <c r="N215">
        <v>1</v>
      </c>
      <c r="O215" t="s">
        <v>62</v>
      </c>
      <c r="P215" t="s">
        <v>62</v>
      </c>
      <c r="Q215" t="s">
        <v>62</v>
      </c>
      <c r="R215" t="s">
        <v>62</v>
      </c>
      <c r="S215"/>
      <c r="T215"/>
      <c r="U215"/>
      <c r="V215"/>
      <c r="W215" t="s">
        <v>3601</v>
      </c>
    </row>
    <row r="216" spans="1:34" s="9" customFormat="1" ht="15.75" customHeight="1" x14ac:dyDescent="0.15">
      <c r="A216">
        <v>197</v>
      </c>
      <c r="B216" t="s">
        <v>75</v>
      </c>
      <c r="C216" t="s">
        <v>2634</v>
      </c>
      <c r="D216" t="s">
        <v>3602</v>
      </c>
      <c r="E216" t="s">
        <v>169</v>
      </c>
      <c r="F216">
        <v>2044</v>
      </c>
      <c r="G216">
        <v>0</v>
      </c>
      <c r="H216">
        <v>42045</v>
      </c>
      <c r="I216"/>
      <c r="J216" t="s">
        <v>171</v>
      </c>
      <c r="K216" t="s">
        <v>177</v>
      </c>
      <c r="L216" t="s">
        <v>173</v>
      </c>
      <c r="M216"/>
      <c r="N216"/>
      <c r="O216" t="s">
        <v>62</v>
      </c>
      <c r="P216" t="s">
        <v>62</v>
      </c>
      <c r="Q216" t="s">
        <v>62</v>
      </c>
      <c r="R216" t="s">
        <v>62</v>
      </c>
      <c r="S216"/>
      <c r="T216"/>
      <c r="U216"/>
      <c r="V216"/>
      <c r="W216" t="s">
        <v>3603</v>
      </c>
    </row>
    <row r="217" spans="1:34" s="9" customFormat="1" ht="15.75" customHeight="1" x14ac:dyDescent="0.15">
      <c r="A217">
        <v>198</v>
      </c>
      <c r="B217" t="s">
        <v>75</v>
      </c>
      <c r="C217" t="s">
        <v>2634</v>
      </c>
      <c r="D217" t="s">
        <v>3604</v>
      </c>
      <c r="E217" t="s">
        <v>169</v>
      </c>
      <c r="F217">
        <v>2044</v>
      </c>
      <c r="G217">
        <v>1</v>
      </c>
      <c r="H217">
        <v>42045.1</v>
      </c>
      <c r="I217"/>
      <c r="J217" t="s">
        <v>171</v>
      </c>
      <c r="K217" t="s">
        <v>177</v>
      </c>
      <c r="L217" t="s">
        <v>173</v>
      </c>
      <c r="M217"/>
      <c r="N217"/>
      <c r="O217" t="s">
        <v>62</v>
      </c>
      <c r="P217" t="s">
        <v>62</v>
      </c>
      <c r="Q217" t="s">
        <v>62</v>
      </c>
      <c r="R217" t="s">
        <v>62</v>
      </c>
      <c r="S217"/>
      <c r="T217"/>
      <c r="U217"/>
      <c r="V217"/>
      <c r="W217" t="s">
        <v>3605</v>
      </c>
    </row>
    <row r="218" spans="1:34" s="9" customFormat="1" ht="15.75" customHeight="1" x14ac:dyDescent="0.15">
      <c r="A218">
        <v>199</v>
      </c>
      <c r="B218" t="s">
        <v>75</v>
      </c>
      <c r="C218" t="s">
        <v>2634</v>
      </c>
      <c r="D218" t="s">
        <v>3606</v>
      </c>
      <c r="E218" t="s">
        <v>169</v>
      </c>
      <c r="F218">
        <v>2044</v>
      </c>
      <c r="G218">
        <v>2</v>
      </c>
      <c r="H218">
        <v>42045.2</v>
      </c>
      <c r="I218"/>
      <c r="J218" t="s">
        <v>171</v>
      </c>
      <c r="K218" t="s">
        <v>177</v>
      </c>
      <c r="L218" t="s">
        <v>173</v>
      </c>
      <c r="M218"/>
      <c r="N218"/>
      <c r="O218" t="s">
        <v>62</v>
      </c>
      <c r="P218" t="s">
        <v>62</v>
      </c>
      <c r="Q218" t="s">
        <v>62</v>
      </c>
      <c r="R218" t="s">
        <v>62</v>
      </c>
      <c r="S218"/>
      <c r="T218"/>
      <c r="U218"/>
      <c r="V218"/>
      <c r="W218" t="s">
        <v>3607</v>
      </c>
      <c r="X218" s="20"/>
      <c r="Y218"/>
      <c r="Z218" s="19"/>
      <c r="AA218" s="19"/>
      <c r="AD218"/>
      <c r="AE218" s="20"/>
    </row>
    <row r="219" spans="1:34" s="9" customFormat="1" ht="15.75" customHeight="1" x14ac:dyDescent="0.15">
      <c r="A219">
        <v>200</v>
      </c>
      <c r="B219" t="s">
        <v>75</v>
      </c>
      <c r="C219" t="s">
        <v>2634</v>
      </c>
      <c r="D219" t="s">
        <v>3608</v>
      </c>
      <c r="E219" t="s">
        <v>169</v>
      </c>
      <c r="F219">
        <v>2044</v>
      </c>
      <c r="G219">
        <v>8</v>
      </c>
      <c r="H219">
        <v>42045.8</v>
      </c>
      <c r="I219"/>
      <c r="J219" t="s">
        <v>171</v>
      </c>
      <c r="K219" t="s">
        <v>177</v>
      </c>
      <c r="L219" t="s">
        <v>173</v>
      </c>
      <c r="M219"/>
      <c r="N219"/>
      <c r="O219" t="s">
        <v>62</v>
      </c>
      <c r="P219" t="s">
        <v>62</v>
      </c>
      <c r="Q219" t="s">
        <v>62</v>
      </c>
      <c r="R219" t="s">
        <v>62</v>
      </c>
      <c r="S219"/>
      <c r="T219"/>
      <c r="U219"/>
      <c r="V219"/>
      <c r="W219" t="s">
        <v>3609</v>
      </c>
      <c r="X219" s="20"/>
      <c r="Y219"/>
      <c r="Z219" s="19"/>
      <c r="AA219" s="19"/>
      <c r="AD219"/>
      <c r="AE219" s="20"/>
    </row>
    <row r="220" spans="1:34" s="9" customFormat="1" ht="15.75" customHeight="1" x14ac:dyDescent="0.15">
      <c r="A220">
        <v>201</v>
      </c>
      <c r="B220" t="s">
        <v>75</v>
      </c>
      <c r="C220" t="s">
        <v>2634</v>
      </c>
      <c r="D220" t="s">
        <v>3610</v>
      </c>
      <c r="E220" t="s">
        <v>169</v>
      </c>
      <c r="F220">
        <v>2044</v>
      </c>
      <c r="G220">
        <v>9</v>
      </c>
      <c r="H220">
        <v>42045.9</v>
      </c>
      <c r="I220"/>
      <c r="J220" t="s">
        <v>171</v>
      </c>
      <c r="K220" t="s">
        <v>177</v>
      </c>
      <c r="L220" t="s">
        <v>173</v>
      </c>
      <c r="M220"/>
      <c r="N220"/>
      <c r="O220" t="s">
        <v>62</v>
      </c>
      <c r="P220" t="s">
        <v>62</v>
      </c>
      <c r="Q220" t="s">
        <v>62</v>
      </c>
      <c r="R220" t="s">
        <v>62</v>
      </c>
      <c r="S220"/>
      <c r="T220"/>
      <c r="U220"/>
      <c r="V220"/>
      <c r="W220" t="s">
        <v>3611</v>
      </c>
      <c r="X220" s="20"/>
      <c r="Y220"/>
      <c r="Z220" s="19"/>
      <c r="AA220" s="19"/>
      <c r="AD220"/>
      <c r="AE220" s="20"/>
    </row>
    <row r="221" spans="1:34" s="9" customFormat="1" ht="15.75" customHeight="1" x14ac:dyDescent="0.15">
      <c r="A221">
        <v>202</v>
      </c>
      <c r="B221" t="s">
        <v>75</v>
      </c>
      <c r="C221" t="s">
        <v>2634</v>
      </c>
      <c r="D221" t="s">
        <v>3612</v>
      </c>
      <c r="E221" t="s">
        <v>169</v>
      </c>
      <c r="F221">
        <v>2044</v>
      </c>
      <c r="G221">
        <v>10</v>
      </c>
      <c r="H221">
        <v>42045.1</v>
      </c>
      <c r="I221"/>
      <c r="J221" t="s">
        <v>171</v>
      </c>
      <c r="K221" t="s">
        <v>177</v>
      </c>
      <c r="L221" t="s">
        <v>173</v>
      </c>
      <c r="M221"/>
      <c r="N221"/>
      <c r="O221" t="s">
        <v>62</v>
      </c>
      <c r="P221" t="s">
        <v>62</v>
      </c>
      <c r="Q221" t="s">
        <v>62</v>
      </c>
      <c r="R221" t="s">
        <v>62</v>
      </c>
      <c r="S221"/>
      <c r="T221"/>
      <c r="U221"/>
      <c r="V221"/>
      <c r="W221" t="s">
        <v>3613</v>
      </c>
      <c r="X221" s="20"/>
      <c r="Y221"/>
      <c r="Z221" s="19"/>
      <c r="AA221" s="19"/>
      <c r="AD221"/>
      <c r="AE221" s="20"/>
    </row>
    <row r="222" spans="1:34" s="9" customFormat="1" ht="15.75" customHeight="1" x14ac:dyDescent="0.15">
      <c r="A222">
        <v>203</v>
      </c>
      <c r="B222" t="s">
        <v>75</v>
      </c>
      <c r="C222" t="s">
        <v>2634</v>
      </c>
      <c r="D222" t="s">
        <v>3614</v>
      </c>
      <c r="E222" t="s">
        <v>169</v>
      </c>
      <c r="F222">
        <v>2044</v>
      </c>
      <c r="G222">
        <v>16</v>
      </c>
      <c r="H222">
        <v>42045.16</v>
      </c>
      <c r="I222"/>
      <c r="J222" t="s">
        <v>171</v>
      </c>
      <c r="K222" t="s">
        <v>177</v>
      </c>
      <c r="L222" t="s">
        <v>173</v>
      </c>
      <c r="M222"/>
      <c r="N222"/>
      <c r="O222" t="s">
        <v>62</v>
      </c>
      <c r="P222" t="s">
        <v>62</v>
      </c>
      <c r="Q222" t="s">
        <v>62</v>
      </c>
      <c r="R222" t="s">
        <v>62</v>
      </c>
      <c r="S222"/>
      <c r="T222"/>
      <c r="U222"/>
      <c r="V222"/>
      <c r="W222" t="s">
        <v>3615</v>
      </c>
      <c r="X222" s="20"/>
      <c r="Y222"/>
      <c r="Z222" s="19"/>
      <c r="AA222" s="19"/>
      <c r="AD222"/>
      <c r="AE222" s="20"/>
    </row>
    <row r="223" spans="1:34" s="9" customFormat="1" ht="15.75" customHeight="1" x14ac:dyDescent="0.15">
      <c r="A223">
        <v>204</v>
      </c>
      <c r="B223" t="s">
        <v>75</v>
      </c>
      <c r="C223" t="s">
        <v>2634</v>
      </c>
      <c r="D223" t="s">
        <v>3616</v>
      </c>
      <c r="E223" t="s">
        <v>169</v>
      </c>
      <c r="F223">
        <v>2044</v>
      </c>
      <c r="G223">
        <v>17</v>
      </c>
      <c r="H223">
        <v>42045.17</v>
      </c>
      <c r="I223"/>
      <c r="J223" t="s">
        <v>171</v>
      </c>
      <c r="K223" t="s">
        <v>177</v>
      </c>
      <c r="L223" t="s">
        <v>173</v>
      </c>
      <c r="M223"/>
      <c r="N223"/>
      <c r="O223" t="s">
        <v>62</v>
      </c>
      <c r="P223" t="s">
        <v>62</v>
      </c>
      <c r="Q223" t="s">
        <v>62</v>
      </c>
      <c r="R223" t="s">
        <v>62</v>
      </c>
      <c r="S223"/>
      <c r="T223"/>
      <c r="U223"/>
      <c r="V223"/>
      <c r="W223" t="s">
        <v>3617</v>
      </c>
      <c r="X223" s="20"/>
      <c r="Y223"/>
      <c r="Z223" s="19"/>
      <c r="AA223" s="19"/>
      <c r="AD223"/>
      <c r="AE223" s="20"/>
    </row>
    <row r="224" spans="1:34" s="9" customFormat="1" ht="15.75" customHeight="1" x14ac:dyDescent="0.15">
      <c r="A224">
        <v>205</v>
      </c>
      <c r="B224" t="s">
        <v>75</v>
      </c>
      <c r="C224" t="s">
        <v>2634</v>
      </c>
      <c r="D224" t="s">
        <v>3618</v>
      </c>
      <c r="E224" t="s">
        <v>169</v>
      </c>
      <c r="F224">
        <v>2044</v>
      </c>
      <c r="G224">
        <v>18</v>
      </c>
      <c r="H224">
        <v>42045.18</v>
      </c>
      <c r="I224"/>
      <c r="J224" t="s">
        <v>171</v>
      </c>
      <c r="K224" t="s">
        <v>177</v>
      </c>
      <c r="L224" t="s">
        <v>173</v>
      </c>
      <c r="M224"/>
      <c r="N224"/>
      <c r="O224" t="s">
        <v>62</v>
      </c>
      <c r="P224" t="s">
        <v>62</v>
      </c>
      <c r="Q224" t="s">
        <v>62</v>
      </c>
      <c r="R224" t="s">
        <v>62</v>
      </c>
      <c r="S224"/>
      <c r="T224"/>
      <c r="U224"/>
      <c r="V224"/>
      <c r="W224" t="s">
        <v>3619</v>
      </c>
      <c r="X224" s="20"/>
      <c r="Y224"/>
      <c r="Z224" s="19"/>
      <c r="AA224" s="19"/>
      <c r="AD224"/>
      <c r="AE224" s="20"/>
    </row>
    <row r="225" spans="1:31" s="9" customFormat="1" ht="15.75" customHeight="1" x14ac:dyDescent="0.15">
      <c r="A225">
        <v>206</v>
      </c>
      <c r="B225" t="s">
        <v>75</v>
      </c>
      <c r="C225" t="s">
        <v>2634</v>
      </c>
      <c r="D225" t="s">
        <v>3620</v>
      </c>
      <c r="E225" t="s">
        <v>3406</v>
      </c>
      <c r="F225">
        <v>2058</v>
      </c>
      <c r="G225"/>
      <c r="H225">
        <v>42059</v>
      </c>
      <c r="I225"/>
      <c r="J225"/>
      <c r="K225"/>
      <c r="L225"/>
      <c r="M225" t="s">
        <v>61</v>
      </c>
      <c r="N225">
        <v>1</v>
      </c>
      <c r="O225" t="s">
        <v>62</v>
      </c>
      <c r="P225" t="s">
        <v>62</v>
      </c>
      <c r="Q225" t="s">
        <v>62</v>
      </c>
      <c r="R225" t="s">
        <v>62</v>
      </c>
      <c r="S225"/>
      <c r="T225"/>
      <c r="U225"/>
      <c r="V225"/>
      <c r="W225" t="s">
        <v>3621</v>
      </c>
      <c r="X225" s="20"/>
      <c r="Y225"/>
      <c r="Z225" s="19"/>
      <c r="AA225" s="19"/>
      <c r="AD225"/>
      <c r="AE225" s="20"/>
    </row>
    <row r="226" spans="1:31" s="9" customFormat="1" ht="15.75" customHeight="1" x14ac:dyDescent="0.15">
      <c r="A226">
        <v>207</v>
      </c>
      <c r="B226" t="s">
        <v>75</v>
      </c>
      <c r="C226" t="s">
        <v>2634</v>
      </c>
      <c r="D226" t="s">
        <v>3622</v>
      </c>
      <c r="E226" t="s">
        <v>169</v>
      </c>
      <c r="F226">
        <v>2058</v>
      </c>
      <c r="G226">
        <v>0</v>
      </c>
      <c r="H226">
        <v>42059</v>
      </c>
      <c r="I226"/>
      <c r="J226" t="s">
        <v>171</v>
      </c>
      <c r="K226" t="s">
        <v>177</v>
      </c>
      <c r="L226" t="s">
        <v>173</v>
      </c>
      <c r="M226"/>
      <c r="N226"/>
      <c r="O226" t="s">
        <v>62</v>
      </c>
      <c r="P226" t="s">
        <v>62</v>
      </c>
      <c r="Q226" t="s">
        <v>62</v>
      </c>
      <c r="R226" t="s">
        <v>62</v>
      </c>
      <c r="S226"/>
      <c r="T226"/>
      <c r="U226"/>
      <c r="V226"/>
      <c r="W226" t="s">
        <v>3623</v>
      </c>
      <c r="X226" s="20"/>
      <c r="Y226"/>
      <c r="Z226" s="19"/>
      <c r="AA226" s="19"/>
      <c r="AD226"/>
      <c r="AE226" s="20"/>
    </row>
    <row r="227" spans="1:31" s="9" customFormat="1" ht="15.75" customHeight="1" x14ac:dyDescent="0.15">
      <c r="A227">
        <v>208</v>
      </c>
      <c r="B227" t="s">
        <v>75</v>
      </c>
      <c r="C227" t="s">
        <v>2634</v>
      </c>
      <c r="D227" t="s">
        <v>3624</v>
      </c>
      <c r="E227" t="s">
        <v>169</v>
      </c>
      <c r="F227">
        <v>2058</v>
      </c>
      <c r="G227">
        <v>1</v>
      </c>
      <c r="H227">
        <v>42059.1</v>
      </c>
      <c r="I227"/>
      <c r="J227" t="s">
        <v>171</v>
      </c>
      <c r="K227" t="s">
        <v>177</v>
      </c>
      <c r="L227" t="s">
        <v>173</v>
      </c>
      <c r="M227"/>
      <c r="N227"/>
      <c r="O227" t="s">
        <v>62</v>
      </c>
      <c r="P227" t="s">
        <v>62</v>
      </c>
      <c r="Q227" t="s">
        <v>62</v>
      </c>
      <c r="R227" t="s">
        <v>62</v>
      </c>
      <c r="S227"/>
      <c r="T227"/>
      <c r="U227"/>
      <c r="V227"/>
      <c r="W227" t="s">
        <v>3625</v>
      </c>
      <c r="X227" s="20"/>
      <c r="Y227"/>
      <c r="Z227" s="19"/>
      <c r="AA227" s="19"/>
      <c r="AD227"/>
      <c r="AE227" s="20"/>
    </row>
    <row r="228" spans="1:31" s="9" customFormat="1" ht="15.75" customHeight="1" x14ac:dyDescent="0.15">
      <c r="A228">
        <v>209</v>
      </c>
      <c r="B228" t="s">
        <v>75</v>
      </c>
      <c r="C228" t="s">
        <v>2634</v>
      </c>
      <c r="D228" t="s">
        <v>3626</v>
      </c>
      <c r="E228" t="s">
        <v>169</v>
      </c>
      <c r="F228">
        <v>2058</v>
      </c>
      <c r="G228">
        <v>2</v>
      </c>
      <c r="H228">
        <v>42059.199999999997</v>
      </c>
      <c r="I228"/>
      <c r="J228" t="s">
        <v>171</v>
      </c>
      <c r="K228" t="s">
        <v>177</v>
      </c>
      <c r="L228" t="s">
        <v>173</v>
      </c>
      <c r="M228"/>
      <c r="N228"/>
      <c r="O228" t="s">
        <v>62</v>
      </c>
      <c r="P228" t="s">
        <v>62</v>
      </c>
      <c r="Q228" t="s">
        <v>62</v>
      </c>
      <c r="R228" t="s">
        <v>62</v>
      </c>
      <c r="S228"/>
      <c r="T228"/>
      <c r="U228"/>
      <c r="V228"/>
      <c r="W228" t="s">
        <v>3627</v>
      </c>
      <c r="X228" s="20"/>
      <c r="Y228"/>
      <c r="Z228" s="19"/>
      <c r="AA228" s="19"/>
      <c r="AD228"/>
      <c r="AE228" s="20"/>
    </row>
    <row r="229" spans="1:31" s="9" customFormat="1" ht="15.75" customHeight="1" x14ac:dyDescent="0.15">
      <c r="A229">
        <v>210</v>
      </c>
      <c r="B229" t="s">
        <v>75</v>
      </c>
      <c r="C229" t="s">
        <v>2634</v>
      </c>
      <c r="D229" t="s">
        <v>3628</v>
      </c>
      <c r="E229" t="s">
        <v>3406</v>
      </c>
      <c r="F229">
        <v>2060</v>
      </c>
      <c r="G229"/>
      <c r="H229">
        <v>42061</v>
      </c>
      <c r="I229"/>
      <c r="J229"/>
      <c r="K229"/>
      <c r="L229"/>
      <c r="M229" t="s">
        <v>61</v>
      </c>
      <c r="N229">
        <v>1</v>
      </c>
      <c r="O229" t="s">
        <v>62</v>
      </c>
      <c r="P229" t="s">
        <v>62</v>
      </c>
      <c r="Q229" t="s">
        <v>62</v>
      </c>
      <c r="R229" t="s">
        <v>62</v>
      </c>
      <c r="S229"/>
      <c r="T229"/>
      <c r="U229"/>
      <c r="V229"/>
      <c r="W229" t="s">
        <v>3629</v>
      </c>
      <c r="X229" s="20"/>
      <c r="Y229"/>
      <c r="Z229" s="19"/>
      <c r="AA229" s="19"/>
      <c r="AD229"/>
      <c r="AE229" s="20"/>
    </row>
    <row r="230" spans="1:31" s="9" customFormat="1" ht="15.75" customHeight="1" x14ac:dyDescent="0.15">
      <c r="A230">
        <v>211</v>
      </c>
      <c r="B230" t="s">
        <v>75</v>
      </c>
      <c r="C230" t="s">
        <v>2634</v>
      </c>
      <c r="D230" t="s">
        <v>3630</v>
      </c>
      <c r="E230" t="s">
        <v>169</v>
      </c>
      <c r="F230">
        <v>2060</v>
      </c>
      <c r="G230">
        <v>0</v>
      </c>
      <c r="H230">
        <v>42061</v>
      </c>
      <c r="I230"/>
      <c r="J230" t="s">
        <v>171</v>
      </c>
      <c r="K230" t="s">
        <v>177</v>
      </c>
      <c r="L230" t="s">
        <v>173</v>
      </c>
      <c r="M230"/>
      <c r="N230"/>
      <c r="O230" t="s">
        <v>62</v>
      </c>
      <c r="P230" t="s">
        <v>62</v>
      </c>
      <c r="Q230" t="s">
        <v>62</v>
      </c>
      <c r="R230" t="s">
        <v>62</v>
      </c>
      <c r="S230"/>
      <c r="T230"/>
      <c r="U230"/>
      <c r="V230"/>
      <c r="W230" t="s">
        <v>3631</v>
      </c>
      <c r="X230" s="20"/>
      <c r="Y230"/>
      <c r="Z230" s="19"/>
      <c r="AA230" s="19"/>
      <c r="AD230"/>
      <c r="AE230" s="20"/>
    </row>
    <row r="231" spans="1:31" s="9" customFormat="1" ht="15.75" customHeight="1" x14ac:dyDescent="0.15">
      <c r="A231">
        <v>212</v>
      </c>
      <c r="B231" t="s">
        <v>75</v>
      </c>
      <c r="C231" t="s">
        <v>2634</v>
      </c>
      <c r="D231" t="s">
        <v>3632</v>
      </c>
      <c r="E231" t="s">
        <v>169</v>
      </c>
      <c r="F231">
        <v>2060</v>
      </c>
      <c r="G231">
        <v>1</v>
      </c>
      <c r="H231">
        <v>42061.1</v>
      </c>
      <c r="I231"/>
      <c r="J231" t="s">
        <v>171</v>
      </c>
      <c r="K231" t="s">
        <v>177</v>
      </c>
      <c r="L231" t="s">
        <v>173</v>
      </c>
      <c r="M231"/>
      <c r="N231"/>
      <c r="O231" t="s">
        <v>62</v>
      </c>
      <c r="P231" t="s">
        <v>62</v>
      </c>
      <c r="Q231" t="s">
        <v>62</v>
      </c>
      <c r="R231" t="s">
        <v>62</v>
      </c>
      <c r="S231"/>
      <c r="T231"/>
      <c r="U231"/>
      <c r="V231"/>
      <c r="W231" t="s">
        <v>3633</v>
      </c>
      <c r="X231" s="20"/>
      <c r="Y231"/>
      <c r="Z231" s="19"/>
      <c r="AA231" s="19"/>
      <c r="AD231"/>
      <c r="AE231" s="20"/>
    </row>
    <row r="232" spans="1:31" s="9" customFormat="1" ht="15.75" customHeight="1" x14ac:dyDescent="0.15">
      <c r="A232">
        <v>213</v>
      </c>
      <c r="B232" t="s">
        <v>75</v>
      </c>
      <c r="C232" t="s">
        <v>2634</v>
      </c>
      <c r="D232" t="s">
        <v>3634</v>
      </c>
      <c r="E232" t="s">
        <v>169</v>
      </c>
      <c r="F232">
        <v>2060</v>
      </c>
      <c r="G232">
        <v>2</v>
      </c>
      <c r="H232">
        <v>42061.2</v>
      </c>
      <c r="I232"/>
      <c r="J232" t="s">
        <v>171</v>
      </c>
      <c r="K232" t="s">
        <v>177</v>
      </c>
      <c r="L232" t="s">
        <v>173</v>
      </c>
      <c r="M232"/>
      <c r="N232"/>
      <c r="O232" t="s">
        <v>62</v>
      </c>
      <c r="P232" t="s">
        <v>62</v>
      </c>
      <c r="Q232" t="s">
        <v>62</v>
      </c>
      <c r="R232" t="s">
        <v>62</v>
      </c>
      <c r="S232"/>
      <c r="T232"/>
      <c r="U232"/>
      <c r="V232"/>
      <c r="W232" t="s">
        <v>3635</v>
      </c>
      <c r="X232" s="20"/>
      <c r="Y232"/>
      <c r="Z232" s="19"/>
      <c r="AA232" s="19"/>
      <c r="AD232"/>
      <c r="AE232" s="20"/>
    </row>
    <row r="233" spans="1:31" s="9" customFormat="1" ht="15.75" customHeight="1" x14ac:dyDescent="0.15">
      <c r="A233">
        <v>214</v>
      </c>
      <c r="B233" t="s">
        <v>75</v>
      </c>
      <c r="C233" t="s">
        <v>2634</v>
      </c>
      <c r="D233" t="s">
        <v>3636</v>
      </c>
      <c r="E233" t="s">
        <v>3406</v>
      </c>
      <c r="F233">
        <v>2062</v>
      </c>
      <c r="G233"/>
      <c r="H233">
        <v>42063</v>
      </c>
      <c r="I233"/>
      <c r="J233"/>
      <c r="K233"/>
      <c r="L233"/>
      <c r="M233" t="s">
        <v>61</v>
      </c>
      <c r="N233">
        <v>1</v>
      </c>
      <c r="O233" t="s">
        <v>62</v>
      </c>
      <c r="P233" t="s">
        <v>62</v>
      </c>
      <c r="Q233" t="s">
        <v>62</v>
      </c>
      <c r="R233" t="s">
        <v>62</v>
      </c>
      <c r="S233"/>
      <c r="T233"/>
      <c r="U233"/>
      <c r="V233"/>
      <c r="W233" t="s">
        <v>3637</v>
      </c>
      <c r="X233" s="20"/>
      <c r="Y233"/>
      <c r="Z233" s="19"/>
      <c r="AA233" s="19"/>
      <c r="AD233"/>
      <c r="AE233" s="20"/>
    </row>
    <row r="234" spans="1:31" s="9" customFormat="1" ht="15.75" customHeight="1" x14ac:dyDescent="0.15">
      <c r="A234">
        <v>215</v>
      </c>
      <c r="B234" t="s">
        <v>75</v>
      </c>
      <c r="C234" t="s">
        <v>2634</v>
      </c>
      <c r="D234" t="s">
        <v>3638</v>
      </c>
      <c r="E234" t="s">
        <v>169</v>
      </c>
      <c r="F234">
        <v>2062</v>
      </c>
      <c r="G234">
        <v>0</v>
      </c>
      <c r="H234">
        <v>42063</v>
      </c>
      <c r="I234"/>
      <c r="J234" t="s">
        <v>171</v>
      </c>
      <c r="K234" t="s">
        <v>177</v>
      </c>
      <c r="L234" t="s">
        <v>173</v>
      </c>
      <c r="M234"/>
      <c r="N234"/>
      <c r="O234" t="s">
        <v>62</v>
      </c>
      <c r="P234" t="s">
        <v>62</v>
      </c>
      <c r="Q234" t="s">
        <v>62</v>
      </c>
      <c r="R234" t="s">
        <v>62</v>
      </c>
      <c r="S234"/>
      <c r="T234"/>
      <c r="U234"/>
      <c r="V234"/>
      <c r="W234" t="s">
        <v>3639</v>
      </c>
      <c r="X234" s="20"/>
      <c r="Y234"/>
      <c r="Z234" s="19"/>
      <c r="AA234" s="19"/>
      <c r="AD234"/>
      <c r="AE234" s="20"/>
    </row>
    <row r="235" spans="1:31" s="9" customFormat="1" ht="15.75" customHeight="1" x14ac:dyDescent="0.15">
      <c r="A235">
        <v>216</v>
      </c>
      <c r="B235" t="s">
        <v>75</v>
      </c>
      <c r="C235" t="s">
        <v>2634</v>
      </c>
      <c r="D235" t="s">
        <v>3640</v>
      </c>
      <c r="E235" t="s">
        <v>169</v>
      </c>
      <c r="F235">
        <v>2062</v>
      </c>
      <c r="G235">
        <v>1</v>
      </c>
      <c r="H235">
        <v>42063.1</v>
      </c>
      <c r="I235"/>
      <c r="J235" t="s">
        <v>171</v>
      </c>
      <c r="K235" t="s">
        <v>177</v>
      </c>
      <c r="L235" t="s">
        <v>173</v>
      </c>
      <c r="M235"/>
      <c r="N235"/>
      <c r="O235" t="s">
        <v>62</v>
      </c>
      <c r="P235" t="s">
        <v>62</v>
      </c>
      <c r="Q235" t="s">
        <v>62</v>
      </c>
      <c r="R235" t="s">
        <v>62</v>
      </c>
      <c r="S235"/>
      <c r="T235"/>
      <c r="U235"/>
      <c r="V235"/>
      <c r="W235" t="s">
        <v>3641</v>
      </c>
      <c r="X235" s="22"/>
      <c r="Y235"/>
      <c r="Z235" s="24"/>
      <c r="AA235" s="24"/>
      <c r="AD235"/>
      <c r="AE235" s="22"/>
    </row>
    <row r="236" spans="1:31" ht="15.75" customHeight="1" x14ac:dyDescent="0.15">
      <c r="A236">
        <v>217</v>
      </c>
      <c r="B236" t="s">
        <v>75</v>
      </c>
      <c r="C236" t="s">
        <v>2634</v>
      </c>
      <c r="D236" t="s">
        <v>3642</v>
      </c>
      <c r="E236" t="s">
        <v>169</v>
      </c>
      <c r="F236">
        <v>2062</v>
      </c>
      <c r="G236">
        <v>2</v>
      </c>
      <c r="H236">
        <v>42063.199999999997</v>
      </c>
      <c r="J236" t="s">
        <v>171</v>
      </c>
      <c r="K236" t="s">
        <v>177</v>
      </c>
      <c r="L236" t="s">
        <v>173</v>
      </c>
      <c r="O236" t="s">
        <v>62</v>
      </c>
      <c r="P236" t="s">
        <v>62</v>
      </c>
      <c r="Q236" t="s">
        <v>62</v>
      </c>
      <c r="R236" t="s">
        <v>62</v>
      </c>
      <c r="W236" t="s">
        <v>3643</v>
      </c>
    </row>
    <row r="237" spans="1:31" ht="16.149999999999999" customHeight="1" x14ac:dyDescent="0.15">
      <c r="A237" s="9"/>
      <c r="B237" s="9"/>
      <c r="C237" s="9"/>
      <c r="E237" s="9"/>
      <c r="F237" s="9"/>
      <c r="G237" s="9"/>
      <c r="H237" s="9"/>
      <c r="I237" s="9"/>
      <c r="J237" s="9"/>
      <c r="K237" s="9"/>
      <c r="L237" s="9"/>
      <c r="M237" s="9"/>
      <c r="N237" s="9"/>
      <c r="O237" s="9"/>
      <c r="P237" s="9"/>
      <c r="Q237" s="9"/>
      <c r="R237" s="9"/>
      <c r="S237" s="9"/>
      <c r="T237" s="9"/>
      <c r="U237" s="9"/>
      <c r="V237" s="9"/>
      <c r="W237" s="9"/>
    </row>
    <row r="238" spans="1:31" ht="16.149999999999999" customHeight="1" x14ac:dyDescent="0.15">
      <c r="A238" s="9"/>
      <c r="B238" s="9"/>
      <c r="C238" s="9"/>
      <c r="E238" s="9"/>
      <c r="F238" s="9"/>
      <c r="G238" s="9"/>
      <c r="H238" s="9"/>
      <c r="I238" s="9"/>
      <c r="J238" s="9"/>
      <c r="K238" s="9"/>
      <c r="L238" s="9"/>
      <c r="M238" s="9"/>
      <c r="N238" s="9"/>
      <c r="O238" s="9"/>
      <c r="P238" s="9"/>
      <c r="Q238" s="9"/>
      <c r="R238" s="9"/>
      <c r="S238" s="9"/>
      <c r="T238" s="9"/>
      <c r="U238" s="9"/>
      <c r="V238" s="9"/>
      <c r="W238" s="9"/>
    </row>
    <row r="239" spans="1:31" ht="16.149999999999999" customHeight="1" x14ac:dyDescent="0.15">
      <c r="A239" s="9"/>
      <c r="B239" s="9"/>
      <c r="C239" s="9"/>
      <c r="E239" s="9"/>
      <c r="F239" s="9"/>
      <c r="G239" s="9"/>
      <c r="H239" s="9"/>
      <c r="I239" s="9"/>
      <c r="J239" s="9"/>
      <c r="K239" s="9"/>
      <c r="L239" s="9"/>
      <c r="M239" s="9"/>
      <c r="N239" s="9"/>
      <c r="O239" s="9"/>
      <c r="P239" s="9"/>
      <c r="Q239" s="9"/>
      <c r="R239" s="9"/>
      <c r="S239" s="9"/>
      <c r="T239" s="9"/>
      <c r="U239" s="9"/>
      <c r="V239" s="9"/>
      <c r="W239" s="9"/>
    </row>
    <row r="240" spans="1:31" ht="16.149999999999999" customHeight="1" x14ac:dyDescent="0.15">
      <c r="A240" s="9"/>
      <c r="B240" s="9"/>
      <c r="C240" s="9"/>
      <c r="E240" s="9"/>
      <c r="F240" s="9"/>
      <c r="G240" s="9"/>
      <c r="H240" s="9"/>
      <c r="I240" s="9"/>
      <c r="J240" s="9"/>
      <c r="K240" s="9"/>
      <c r="L240" s="9"/>
      <c r="M240" s="9"/>
      <c r="N240" s="9"/>
      <c r="O240" s="9"/>
      <c r="P240" s="9"/>
      <c r="Q240" s="9"/>
      <c r="R240" s="9"/>
      <c r="S240" s="9"/>
      <c r="T240" s="9"/>
      <c r="U240" s="9"/>
      <c r="V240" s="9"/>
      <c r="W240" s="9"/>
    </row>
    <row r="241" spans="1:17" ht="16.149999999999999" customHeight="1" x14ac:dyDescent="0.15">
      <c r="A241" s="6"/>
      <c r="B241" s="18"/>
      <c r="D241" s="2"/>
      <c r="I241" s="2"/>
      <c r="K241" s="9"/>
      <c r="Q241" s="8"/>
    </row>
    <row r="242" spans="1:17" ht="16.149999999999999" customHeight="1" x14ac:dyDescent="0.15">
      <c r="A242" s="6"/>
      <c r="B242" s="18"/>
      <c r="D242" s="2"/>
      <c r="I242" s="2"/>
      <c r="K242" s="9"/>
      <c r="Q242" s="8"/>
    </row>
    <row r="243" spans="1:17" ht="16.149999999999999" customHeight="1" x14ac:dyDescent="0.15">
      <c r="A243" s="6"/>
      <c r="B243" s="18"/>
      <c r="D243" s="2"/>
      <c r="I243" s="2"/>
      <c r="K243" s="9"/>
      <c r="Q243" s="8"/>
    </row>
    <row r="244" spans="1:17" ht="16.149999999999999" customHeight="1" x14ac:dyDescent="0.15">
      <c r="A244" s="6"/>
      <c r="B244" s="18"/>
      <c r="D244" s="2"/>
      <c r="I244" s="2"/>
      <c r="K244" s="9"/>
      <c r="Q244" s="8"/>
    </row>
    <row r="245" spans="1:17" ht="16.149999999999999" customHeight="1" x14ac:dyDescent="0.15">
      <c r="A245" s="6"/>
      <c r="B245" s="18"/>
      <c r="D245" s="2"/>
      <c r="I245" s="2"/>
      <c r="K245" s="9"/>
      <c r="Q245" s="8"/>
    </row>
    <row r="246" spans="1:17" ht="16.149999999999999" customHeight="1" x14ac:dyDescent="0.15">
      <c r="A246" s="6"/>
      <c r="B246" s="18"/>
      <c r="D246" s="2"/>
      <c r="I246" s="2"/>
      <c r="K246" s="9"/>
      <c r="Q246" s="8"/>
    </row>
    <row r="247" spans="1:17" ht="16.149999999999999" customHeight="1" x14ac:dyDescent="0.15">
      <c r="A247" s="6"/>
      <c r="B247" s="18"/>
      <c r="D247" s="2"/>
      <c r="I247" s="2"/>
      <c r="K247" s="9"/>
      <c r="Q247" s="8"/>
    </row>
    <row r="248" spans="1:17" ht="16.149999999999999" customHeight="1" x14ac:dyDescent="0.15">
      <c r="A248" s="6"/>
      <c r="B248" s="18"/>
      <c r="D248" s="2"/>
      <c r="I248" s="2"/>
      <c r="K248" s="9"/>
      <c r="Q248" s="8"/>
    </row>
    <row r="249" spans="1:17" ht="16.149999999999999" customHeight="1" x14ac:dyDescent="0.15">
      <c r="A249" s="6"/>
      <c r="B249" s="18"/>
      <c r="D249" s="2"/>
      <c r="I249" s="2"/>
      <c r="K249" s="9"/>
      <c r="Q249" s="8"/>
    </row>
    <row r="250" spans="1:17" ht="16.149999999999999" customHeight="1" x14ac:dyDescent="0.15">
      <c r="A250" s="6"/>
      <c r="B250" s="18"/>
      <c r="D250" s="2"/>
      <c r="I250" s="2"/>
      <c r="K250" s="9"/>
      <c r="Q250" s="8"/>
    </row>
    <row r="251" spans="1:17" ht="16.149999999999999" customHeight="1" x14ac:dyDescent="0.15">
      <c r="A251" s="6"/>
      <c r="B251" s="18"/>
      <c r="D251" s="2"/>
      <c r="I251" s="2"/>
      <c r="K251" s="9"/>
      <c r="Q251" s="8"/>
    </row>
    <row r="252" spans="1:17" ht="16.149999999999999" customHeight="1" x14ac:dyDescent="0.15">
      <c r="A252" s="6"/>
      <c r="B252" s="18"/>
      <c r="D252" s="2"/>
      <c r="I252" s="2"/>
      <c r="K252" s="9"/>
      <c r="Q252" s="8"/>
    </row>
    <row r="253" spans="1:17" ht="16.149999999999999" customHeight="1" x14ac:dyDescent="0.15">
      <c r="A253" s="6"/>
      <c r="B253" s="18"/>
      <c r="D253" s="2"/>
      <c r="I253" s="2"/>
      <c r="K253" s="9"/>
      <c r="Q253" s="8"/>
    </row>
    <row r="254" spans="1:17" ht="16.149999999999999" customHeight="1" x14ac:dyDescent="0.15">
      <c r="A254" s="6"/>
      <c r="B254" s="18"/>
      <c r="D254" s="2"/>
      <c r="I254" s="2"/>
      <c r="K254" s="9"/>
      <c r="Q254" s="8"/>
    </row>
    <row r="255" spans="1:17" ht="16.149999999999999" customHeight="1" x14ac:dyDescent="0.15">
      <c r="A255" s="6"/>
      <c r="B255" s="18"/>
      <c r="D255" s="2"/>
      <c r="I255" s="2"/>
      <c r="K255" s="9"/>
      <c r="Q255" s="8"/>
    </row>
    <row r="256" spans="1:17" ht="16.149999999999999" customHeight="1" x14ac:dyDescent="0.15">
      <c r="A256" s="6"/>
      <c r="B256" s="18"/>
      <c r="D256" s="2"/>
      <c r="I256" s="2"/>
      <c r="K256" s="9"/>
      <c r="Q256" s="8"/>
    </row>
    <row r="257" spans="1:17" ht="16.149999999999999" customHeight="1" x14ac:dyDescent="0.15">
      <c r="A257" s="6"/>
      <c r="B257" s="18"/>
      <c r="D257" s="2"/>
      <c r="I257" s="2"/>
      <c r="K257" s="9"/>
      <c r="Q257" s="8"/>
    </row>
    <row r="258" spans="1:17" ht="16.149999999999999" customHeight="1" x14ac:dyDescent="0.15">
      <c r="A258" s="6"/>
      <c r="B258" s="23"/>
      <c r="D258" s="2"/>
      <c r="I258" s="2"/>
      <c r="K258" s="9"/>
      <c r="Q258" s="21"/>
    </row>
  </sheetData>
  <mergeCells count="1">
    <mergeCell ref="G1:H1"/>
  </mergeCells>
  <phoneticPr fontId="26" type="noConversion"/>
  <dataValidations count="2">
    <dataValidation type="custom" allowBlank="1" showErrorMessage="1" errorTitle="Invalid IEC 61131-3 Variable Nam" error="Please enter only alphanumeric and underscore characters." sqref="M3:M5 O241:O258" xr:uid="{3A5C5E9A-AB22-4CC8-A88D-8962AF4990D5}">
      <formula1>ISNUMBER(SUMPRODUCT(SEARCH(MID(M3,ROW(INDIRECT("1:"&amp;LEN(M3))),1),"0123456789abcdefghijklmnopqrstuvwxyzABCDEFGHIJKLMNOPQRSTUVWXYZ-_")))</formula1>
    </dataValidation>
    <dataValidation type="whole" errorStyle="warning" allowBlank="1" showInputMessage="1" showErrorMessage="1" errorTitle="Device Modbus Register Base" error="This value is the device register number of the first register in the table.  Typically this value is 1, occasionally it is 0.  " sqref="C4" xr:uid="{35ED6B23-827A-47ED-A574-5F20917D8315}">
      <formula1>0</formula1>
      <formula2>1</formula2>
    </dataValidation>
  </dataValidations>
  <pageMargins left="0.25" right="0.25" top="0.75" bottom="0.75" header="0.3" footer="0.3"/>
  <pageSetup paperSize="3" scale="24" fitToHeight="0" orientation="portrait"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6ACA7-68BA-4378-9BAD-A506127E27E2}">
  <sheetPr>
    <tabColor rgb="FFFFFF00"/>
    <pageSetUpPr fitToPage="1"/>
  </sheetPr>
  <dimension ref="A1:AG260"/>
  <sheetViews>
    <sheetView zoomScaleNormal="100" workbookViewId="0">
      <selection activeCell="Y240" sqref="Y240"/>
    </sheetView>
  </sheetViews>
  <sheetFormatPr defaultColWidth="14.6640625" defaultRowHeight="16.149999999999999" customHeight="1" x14ac:dyDescent="0.15"/>
  <cols>
    <col min="1" max="1" width="7.33203125" customWidth="1"/>
    <col min="2" max="2" width="14.5" customWidth="1"/>
    <col min="3" max="3" width="16.5" customWidth="1"/>
    <col min="4" max="4" width="55.1640625" bestFit="1" customWidth="1"/>
    <col min="5" max="5" width="17.33203125" bestFit="1" customWidth="1"/>
    <col min="6" max="6" width="8.83203125" customWidth="1"/>
    <col min="7" max="7" width="9.6640625" bestFit="1" customWidth="1"/>
    <col min="8" max="8" width="17.33203125" customWidth="1"/>
    <col min="9" max="9" width="17.1640625" hidden="1" customWidth="1"/>
    <col min="10" max="10" width="15" customWidth="1"/>
    <col min="11" max="11" width="14.6640625" customWidth="1"/>
    <col min="12" max="12" width="14.1640625" bestFit="1" customWidth="1"/>
    <col min="13" max="13" width="8.5" bestFit="1" customWidth="1"/>
    <col min="14" max="14" width="9.33203125" bestFit="1" customWidth="1"/>
    <col min="15" max="15" width="12.6640625" hidden="1" customWidth="1"/>
    <col min="16" max="16" width="13.5" hidden="1" customWidth="1"/>
    <col min="17" max="17" width="12.1640625" hidden="1" customWidth="1"/>
    <col min="18" max="18" width="13" hidden="1" customWidth="1"/>
    <col min="19" max="19" width="15.33203125" bestFit="1" customWidth="1"/>
    <col min="20" max="20" width="14.6640625" customWidth="1"/>
    <col min="21" max="21" width="17.33203125" customWidth="1"/>
    <col min="22" max="22" width="16" bestFit="1" customWidth="1"/>
    <col min="23" max="23" width="60.6640625" style="9" bestFit="1" customWidth="1"/>
    <col min="24" max="24" width="23.6640625" bestFit="1" customWidth="1"/>
    <col min="25" max="25" width="48.6640625" style="9" customWidth="1"/>
    <col min="26" max="26" width="5.5" style="9" customWidth="1"/>
    <col min="29" max="29" width="5.5" customWidth="1"/>
    <col min="30" max="30" width="25" style="9" bestFit="1" customWidth="1"/>
    <col min="31" max="31" width="39.6640625" style="9" customWidth="1"/>
    <col min="32" max="32" width="68" style="9" customWidth="1"/>
    <col min="33" max="33" width="5.5" style="9" bestFit="1" customWidth="1"/>
    <col min="34" max="34" width="56.5" customWidth="1"/>
    <col min="35" max="35" width="14.33203125" customWidth="1"/>
    <col min="36" max="36" width="11.33203125" bestFit="1" customWidth="1"/>
    <col min="37" max="37" width="14.6640625" customWidth="1"/>
    <col min="38" max="38" width="48.5" bestFit="1" customWidth="1"/>
  </cols>
  <sheetData>
    <row r="1" spans="1:33" ht="24" customHeight="1" x14ac:dyDescent="0.15">
      <c r="A1" s="25" t="s">
        <v>9089</v>
      </c>
      <c r="B1" s="2"/>
      <c r="C1" s="2"/>
      <c r="D1" s="2"/>
      <c r="E1" s="2"/>
      <c r="F1" s="2"/>
      <c r="G1" s="142" t="s">
        <v>19</v>
      </c>
      <c r="H1" s="142"/>
      <c r="K1" s="25" t="s">
        <v>9012</v>
      </c>
      <c r="L1" s="25"/>
      <c r="W1" s="6"/>
      <c r="Z1"/>
      <c r="AD1"/>
      <c r="AE1"/>
      <c r="AF1"/>
      <c r="AG1"/>
    </row>
    <row r="2" spans="1:33" ht="16.149999999999999" customHeight="1" x14ac:dyDescent="0.15">
      <c r="A2" s="10" t="s">
        <v>21</v>
      </c>
      <c r="B2" s="2"/>
      <c r="C2" s="11">
        <v>45683</v>
      </c>
      <c r="D2" s="41" t="s">
        <v>22</v>
      </c>
      <c r="E2" t="s">
        <v>3189</v>
      </c>
      <c r="K2" t="s">
        <v>24</v>
      </c>
      <c r="W2" s="6"/>
      <c r="Z2"/>
      <c r="AD2"/>
      <c r="AE2"/>
      <c r="AF2"/>
      <c r="AG2"/>
    </row>
    <row r="3" spans="1:33" ht="16.149999999999999" customHeight="1" x14ac:dyDescent="0.15">
      <c r="A3" s="12" t="s">
        <v>25</v>
      </c>
      <c r="C3">
        <v>4</v>
      </c>
      <c r="D3" s="42" t="s">
        <v>26</v>
      </c>
      <c r="E3" t="s">
        <v>3190</v>
      </c>
      <c r="M3" s="13"/>
      <c r="N3" s="8"/>
      <c r="W3" s="6"/>
      <c r="Y3" s="37"/>
      <c r="Z3"/>
      <c r="AD3"/>
      <c r="AE3"/>
      <c r="AF3"/>
      <c r="AG3"/>
    </row>
    <row r="4" spans="1:33" ht="16.149999999999999" customHeight="1" x14ac:dyDescent="0.15">
      <c r="A4" s="12" t="s">
        <v>28</v>
      </c>
      <c r="C4" s="9">
        <v>1</v>
      </c>
      <c r="N4" s="2"/>
      <c r="W4" s="6"/>
      <c r="Y4"/>
      <c r="Z4"/>
      <c r="AD4"/>
      <c r="AE4"/>
      <c r="AF4"/>
      <c r="AG4"/>
    </row>
    <row r="5" spans="1:33" ht="16.149999999999999" customHeight="1" x14ac:dyDescent="0.15">
      <c r="A5" s="12" t="s">
        <v>30</v>
      </c>
      <c r="C5">
        <v>5</v>
      </c>
      <c r="N5" s="2"/>
      <c r="W5" s="6"/>
      <c r="Y5"/>
      <c r="Z5"/>
      <c r="AD5"/>
      <c r="AE5"/>
      <c r="AF5"/>
      <c r="AG5"/>
    </row>
    <row r="6" spans="1:33" ht="40.5" x14ac:dyDescent="0.15">
      <c r="A6" s="132" t="s">
        <v>31</v>
      </c>
      <c r="B6" t="s">
        <v>32</v>
      </c>
      <c r="C6" t="s">
        <v>33</v>
      </c>
      <c r="D6" t="s">
        <v>34</v>
      </c>
      <c r="E6" t="s">
        <v>35</v>
      </c>
      <c r="F6" s="133" t="s">
        <v>36</v>
      </c>
      <c r="G6" s="133" t="s">
        <v>37</v>
      </c>
      <c r="H6" s="134" t="s">
        <v>38</v>
      </c>
      <c r="I6" s="3" t="s">
        <v>39</v>
      </c>
      <c r="J6" s="135" t="s">
        <v>40</v>
      </c>
      <c r="K6" s="135" t="s">
        <v>41</v>
      </c>
      <c r="L6" s="135" t="s">
        <v>42</v>
      </c>
      <c r="M6" s="135" t="s">
        <v>43</v>
      </c>
      <c r="N6" t="s">
        <v>44</v>
      </c>
      <c r="O6" t="s">
        <v>45</v>
      </c>
      <c r="P6" t="s">
        <v>46</v>
      </c>
      <c r="Q6" t="s">
        <v>47</v>
      </c>
      <c r="R6" t="s">
        <v>48</v>
      </c>
      <c r="S6" s="3" t="s">
        <v>49</v>
      </c>
      <c r="T6" s="135" t="s">
        <v>50</v>
      </c>
      <c r="U6" t="s">
        <v>51</v>
      </c>
      <c r="V6" t="s">
        <v>52</v>
      </c>
      <c r="W6" s="135" t="s">
        <v>53</v>
      </c>
      <c r="X6" t="s">
        <v>54</v>
      </c>
      <c r="Y6" t="s">
        <v>55</v>
      </c>
      <c r="Z6"/>
      <c r="AD6"/>
      <c r="AE6"/>
      <c r="AF6"/>
      <c r="AG6"/>
    </row>
    <row r="7" spans="1:33" ht="15.75" customHeight="1" x14ac:dyDescent="0.15">
      <c r="A7" s="6">
        <v>1</v>
      </c>
      <c r="B7" s="18" t="s">
        <v>75</v>
      </c>
      <c r="C7" s="34" t="s">
        <v>2634</v>
      </c>
      <c r="D7" t="s">
        <v>3191</v>
      </c>
      <c r="E7" s="2" t="s">
        <v>3192</v>
      </c>
      <c r="F7" s="19">
        <v>0</v>
      </c>
      <c r="G7" s="6"/>
      <c r="H7" s="19" t="s">
        <v>9090</v>
      </c>
      <c r="I7" s="34"/>
      <c r="J7" s="38"/>
      <c r="K7" s="38"/>
      <c r="L7" s="38"/>
      <c r="M7" s="38" t="s">
        <v>582</v>
      </c>
      <c r="N7" s="19">
        <v>1</v>
      </c>
      <c r="O7" s="76">
        <v>-3.40282346639E+38</v>
      </c>
      <c r="P7" s="6">
        <v>3.40282346639E+38</v>
      </c>
      <c r="Q7" s="38">
        <f>IFERROR(Table3335466[[#This Row],[Min Count]]/Table3335466[[#This Row],[Scalar]],"")</f>
        <v>-3.40282346639E+38</v>
      </c>
      <c r="R7" s="38">
        <f>IFERROR(Table3335466[[#This Row],[Max Count]]/Table3335466[[#This Row],[Scalar]],"")</f>
        <v>3.40282346639E+38</v>
      </c>
      <c r="S7" s="34"/>
      <c r="T7" s="34"/>
      <c r="U7" s="34"/>
      <c r="V7" s="8"/>
      <c r="W7" s="36" t="s">
        <v>3193</v>
      </c>
      <c r="X7" s="8"/>
      <c r="Y7" s="34"/>
      <c r="Z7"/>
      <c r="AD7"/>
      <c r="AE7"/>
      <c r="AF7"/>
      <c r="AG7"/>
    </row>
    <row r="8" spans="1:33" ht="15.75" customHeight="1" x14ac:dyDescent="0.15">
      <c r="A8" s="6">
        <v>2</v>
      </c>
      <c r="B8" s="18" t="s">
        <v>75</v>
      </c>
      <c r="C8" s="34" t="s">
        <v>2634</v>
      </c>
      <c r="D8" t="s">
        <v>3194</v>
      </c>
      <c r="E8" s="2" t="s">
        <v>3192</v>
      </c>
      <c r="F8" s="19">
        <v>2</v>
      </c>
      <c r="G8" s="6"/>
      <c r="H8" s="19" t="s">
        <v>9216</v>
      </c>
      <c r="I8" s="34"/>
      <c r="J8" s="38"/>
      <c r="K8" s="38"/>
      <c r="L8" s="38"/>
      <c r="M8" s="38" t="s">
        <v>2311</v>
      </c>
      <c r="N8" s="19">
        <v>1</v>
      </c>
      <c r="O8" s="76">
        <v>-3.40282346639E+38</v>
      </c>
      <c r="P8" s="6">
        <v>3.40282346639E+38</v>
      </c>
      <c r="Q8" s="38">
        <f>IFERROR(Table3335466[[#This Row],[Min Count]]/Table3335466[[#This Row],[Scalar]],"")</f>
        <v>-3.40282346639E+38</v>
      </c>
      <c r="R8" s="38">
        <f>IFERROR(Table3335466[[#This Row],[Max Count]]/Table3335466[[#This Row],[Scalar]],"")</f>
        <v>3.40282346639E+38</v>
      </c>
      <c r="S8" s="34"/>
      <c r="T8" s="34"/>
      <c r="U8" s="34"/>
      <c r="V8" s="8"/>
      <c r="W8" s="36" t="s">
        <v>3195</v>
      </c>
      <c r="X8" s="8"/>
      <c r="Y8" s="34"/>
      <c r="Z8"/>
      <c r="AD8"/>
      <c r="AE8"/>
      <c r="AF8"/>
      <c r="AG8"/>
    </row>
    <row r="9" spans="1:33" ht="15.75" customHeight="1" x14ac:dyDescent="0.15">
      <c r="A9" s="6">
        <v>3</v>
      </c>
      <c r="B9" s="18" t="s">
        <v>75</v>
      </c>
      <c r="C9" s="34" t="s">
        <v>2634</v>
      </c>
      <c r="D9" t="s">
        <v>3196</v>
      </c>
      <c r="E9" s="2" t="s">
        <v>3192</v>
      </c>
      <c r="F9" s="19">
        <v>4</v>
      </c>
      <c r="G9" s="6"/>
      <c r="H9" s="19" t="s">
        <v>9091</v>
      </c>
      <c r="I9" s="34"/>
      <c r="J9" s="38"/>
      <c r="K9" s="38"/>
      <c r="L9" s="38"/>
      <c r="M9" s="38" t="s">
        <v>113</v>
      </c>
      <c r="N9" s="19">
        <v>1</v>
      </c>
      <c r="O9" s="76">
        <v>-3.40282346639E+38</v>
      </c>
      <c r="P9" s="6">
        <v>3.40282346639E+38</v>
      </c>
      <c r="Q9" s="38">
        <f>IFERROR(Table3335466[[#This Row],[Min Count]]/Table3335466[[#This Row],[Scalar]],"")</f>
        <v>-3.40282346639E+38</v>
      </c>
      <c r="R9" s="38">
        <f>IFERROR(Table3335466[[#This Row],[Max Count]]/Table3335466[[#This Row],[Scalar]],"")</f>
        <v>3.40282346639E+38</v>
      </c>
      <c r="S9" s="34"/>
      <c r="T9" s="34"/>
      <c r="U9" s="34"/>
      <c r="V9" s="8"/>
      <c r="W9" s="36" t="s">
        <v>3197</v>
      </c>
      <c r="X9" s="8"/>
      <c r="Y9" s="34"/>
      <c r="Z9"/>
      <c r="AD9"/>
      <c r="AE9"/>
      <c r="AF9"/>
      <c r="AG9"/>
    </row>
    <row r="10" spans="1:33" ht="15.75" customHeight="1" x14ac:dyDescent="0.15">
      <c r="A10" s="6">
        <v>4</v>
      </c>
      <c r="B10" s="18" t="s">
        <v>75</v>
      </c>
      <c r="C10" s="34" t="s">
        <v>2634</v>
      </c>
      <c r="D10" t="s">
        <v>3198</v>
      </c>
      <c r="E10" s="2" t="s">
        <v>3192</v>
      </c>
      <c r="F10" s="19">
        <v>6</v>
      </c>
      <c r="G10" s="6"/>
      <c r="H10" s="19" t="s">
        <v>9217</v>
      </c>
      <c r="I10" s="34"/>
      <c r="J10" s="38"/>
      <c r="K10" s="38"/>
      <c r="L10" s="38"/>
      <c r="M10" s="38" t="s">
        <v>8915</v>
      </c>
      <c r="N10" s="19">
        <v>1</v>
      </c>
      <c r="O10" s="76">
        <v>-3.40282346639E+38</v>
      </c>
      <c r="P10" s="6">
        <v>3.40282346639E+38</v>
      </c>
      <c r="Q10" s="38">
        <f>IFERROR(Table3335466[[#This Row],[Min Count]]/Table3335466[[#This Row],[Scalar]],"")</f>
        <v>-3.40282346639E+38</v>
      </c>
      <c r="R10" s="38">
        <f>IFERROR(Table3335466[[#This Row],[Max Count]]/Table3335466[[#This Row],[Scalar]],"")</f>
        <v>3.40282346639E+38</v>
      </c>
      <c r="S10" s="34"/>
      <c r="T10" s="34"/>
      <c r="U10" s="34"/>
      <c r="V10" s="8"/>
      <c r="W10" s="36" t="s">
        <v>3199</v>
      </c>
      <c r="X10" s="8"/>
      <c r="Y10" s="34"/>
      <c r="Z10"/>
      <c r="AD10"/>
      <c r="AE10"/>
      <c r="AF10"/>
      <c r="AG10"/>
    </row>
    <row r="11" spans="1:33" ht="15.75" customHeight="1" x14ac:dyDescent="0.15">
      <c r="A11" s="6">
        <v>5</v>
      </c>
      <c r="B11" s="18" t="s">
        <v>75</v>
      </c>
      <c r="C11" s="34" t="s">
        <v>2634</v>
      </c>
      <c r="D11" t="s">
        <v>3200</v>
      </c>
      <c r="E11" s="2" t="s">
        <v>3192</v>
      </c>
      <c r="F11" s="19">
        <v>8</v>
      </c>
      <c r="G11" s="6"/>
      <c r="H11" s="19" t="s">
        <v>9092</v>
      </c>
      <c r="I11" s="34"/>
      <c r="J11" s="38"/>
      <c r="K11" s="38"/>
      <c r="L11" s="38"/>
      <c r="M11" s="38" t="s">
        <v>2311</v>
      </c>
      <c r="N11" s="19">
        <v>1</v>
      </c>
      <c r="O11" s="76">
        <v>-3.40282346639E+38</v>
      </c>
      <c r="P11" s="6">
        <v>3.40282346639E+38</v>
      </c>
      <c r="Q11" s="38">
        <f>IFERROR(Table3335466[[#This Row],[Min Count]]/Table3335466[[#This Row],[Scalar]],"")</f>
        <v>-3.40282346639E+38</v>
      </c>
      <c r="R11" s="38">
        <f>IFERROR(Table3335466[[#This Row],[Max Count]]/Table3335466[[#This Row],[Scalar]],"")</f>
        <v>3.40282346639E+38</v>
      </c>
      <c r="S11" s="34"/>
      <c r="T11" s="34"/>
      <c r="U11" s="34"/>
      <c r="V11" s="8"/>
      <c r="W11" s="36" t="s">
        <v>3201</v>
      </c>
      <c r="X11" s="8"/>
      <c r="Y11" s="2"/>
      <c r="Z11"/>
      <c r="AD11"/>
      <c r="AE11"/>
      <c r="AF11"/>
      <c r="AG11"/>
    </row>
    <row r="12" spans="1:33" ht="15.75" customHeight="1" x14ac:dyDescent="0.15">
      <c r="A12" s="6">
        <v>6</v>
      </c>
      <c r="B12" s="18" t="s">
        <v>75</v>
      </c>
      <c r="C12" s="34" t="s">
        <v>2634</v>
      </c>
      <c r="D12" t="s">
        <v>3202</v>
      </c>
      <c r="E12" s="2" t="s">
        <v>3192</v>
      </c>
      <c r="F12" s="19">
        <v>10</v>
      </c>
      <c r="G12" s="6"/>
      <c r="H12" s="19" t="s">
        <v>9218</v>
      </c>
      <c r="I12" s="34"/>
      <c r="J12" s="38"/>
      <c r="K12" s="38"/>
      <c r="L12" s="38"/>
      <c r="M12" s="38" t="s">
        <v>113</v>
      </c>
      <c r="N12" s="19">
        <v>1</v>
      </c>
      <c r="O12" s="76">
        <v>-3.40282346639E+38</v>
      </c>
      <c r="P12" s="6">
        <v>3.40282346639E+38</v>
      </c>
      <c r="Q12" s="38">
        <f>IFERROR(Table3335466[[#This Row],[Min Count]]/Table3335466[[#This Row],[Scalar]],"")</f>
        <v>-3.40282346639E+38</v>
      </c>
      <c r="R12" s="38">
        <f>IFERROR(Table3335466[[#This Row],[Max Count]]/Table3335466[[#This Row],[Scalar]],"")</f>
        <v>3.40282346639E+38</v>
      </c>
      <c r="S12" s="34"/>
      <c r="T12" s="34"/>
      <c r="U12" s="34"/>
      <c r="V12" s="8"/>
      <c r="W12" s="36" t="s">
        <v>3203</v>
      </c>
      <c r="X12" s="8"/>
      <c r="Y12" s="2"/>
      <c r="Z12"/>
      <c r="AD12"/>
      <c r="AE12"/>
      <c r="AF12"/>
      <c r="AG12"/>
    </row>
    <row r="13" spans="1:33" ht="15.75" customHeight="1" x14ac:dyDescent="0.15">
      <c r="A13" s="6">
        <v>7</v>
      </c>
      <c r="B13" s="18" t="s">
        <v>75</v>
      </c>
      <c r="C13" s="34" t="s">
        <v>2634</v>
      </c>
      <c r="D13" t="s">
        <v>3204</v>
      </c>
      <c r="E13" s="2" t="s">
        <v>3192</v>
      </c>
      <c r="F13" s="19">
        <v>12</v>
      </c>
      <c r="G13" s="6"/>
      <c r="H13" s="19" t="s">
        <v>9093</v>
      </c>
      <c r="I13" s="34"/>
      <c r="J13" s="38"/>
      <c r="K13" s="38"/>
      <c r="L13" s="38"/>
      <c r="M13" s="38" t="s">
        <v>2311</v>
      </c>
      <c r="N13" s="19">
        <v>1</v>
      </c>
      <c r="O13" s="76">
        <v>-3.40282346639E+38</v>
      </c>
      <c r="P13" s="6">
        <v>3.40282346639E+38</v>
      </c>
      <c r="Q13" s="38">
        <f>IFERROR(Table3335466[[#This Row],[Min Count]]/Table3335466[[#This Row],[Scalar]],"")</f>
        <v>-3.40282346639E+38</v>
      </c>
      <c r="R13" s="38">
        <f>IFERROR(Table3335466[[#This Row],[Max Count]]/Table3335466[[#This Row],[Scalar]],"")</f>
        <v>3.40282346639E+38</v>
      </c>
      <c r="S13" s="34"/>
      <c r="T13" s="34"/>
      <c r="U13" s="34"/>
      <c r="V13" s="8"/>
      <c r="W13" s="36" t="s">
        <v>3205</v>
      </c>
      <c r="X13" s="8"/>
      <c r="Y13" s="2"/>
      <c r="Z13"/>
      <c r="AD13"/>
      <c r="AE13"/>
      <c r="AF13"/>
      <c r="AG13"/>
    </row>
    <row r="14" spans="1:33" ht="15.75" customHeight="1" x14ac:dyDescent="0.15">
      <c r="A14" s="6">
        <v>8</v>
      </c>
      <c r="B14" s="18" t="s">
        <v>75</v>
      </c>
      <c r="C14" s="34" t="s">
        <v>2634</v>
      </c>
      <c r="D14" t="s">
        <v>3206</v>
      </c>
      <c r="E14" s="2" t="s">
        <v>3192</v>
      </c>
      <c r="F14" s="19">
        <v>16</v>
      </c>
      <c r="G14" s="6"/>
      <c r="H14" s="19" t="s">
        <v>9219</v>
      </c>
      <c r="I14" s="34"/>
      <c r="J14" s="38"/>
      <c r="K14" s="38"/>
      <c r="L14" s="38"/>
      <c r="M14" s="38" t="s">
        <v>6111</v>
      </c>
      <c r="N14" s="19">
        <v>1</v>
      </c>
      <c r="O14" s="76">
        <v>-3.40282346639E+38</v>
      </c>
      <c r="P14" s="6">
        <v>3.40282346639E+38</v>
      </c>
      <c r="Q14" s="38">
        <f>IFERROR(Table3335466[[#This Row],[Min Count]]/Table3335466[[#This Row],[Scalar]],"")</f>
        <v>-3.40282346639E+38</v>
      </c>
      <c r="R14" s="38">
        <f>IFERROR(Table3335466[[#This Row],[Max Count]]/Table3335466[[#This Row],[Scalar]],"")</f>
        <v>3.40282346639E+38</v>
      </c>
      <c r="S14" s="34"/>
      <c r="T14" s="34"/>
      <c r="U14" s="34"/>
      <c r="V14" s="8"/>
      <c r="W14" s="36" t="s">
        <v>3207</v>
      </c>
      <c r="X14" s="8"/>
      <c r="Y14" s="2"/>
      <c r="Z14"/>
      <c r="AD14"/>
      <c r="AE14"/>
      <c r="AF14"/>
      <c r="AG14"/>
    </row>
    <row r="15" spans="1:33" ht="15.75" customHeight="1" x14ac:dyDescent="0.15">
      <c r="A15" s="6">
        <v>9</v>
      </c>
      <c r="B15" s="18" t="s">
        <v>75</v>
      </c>
      <c r="C15" s="34" t="s">
        <v>2634</v>
      </c>
      <c r="D15" t="s">
        <v>3208</v>
      </c>
      <c r="E15" s="2" t="s">
        <v>3192</v>
      </c>
      <c r="F15" s="19">
        <v>18</v>
      </c>
      <c r="G15" s="6"/>
      <c r="H15" s="19" t="s">
        <v>9094</v>
      </c>
      <c r="I15" s="34"/>
      <c r="J15" s="38"/>
      <c r="K15" s="38"/>
      <c r="L15" s="38"/>
      <c r="M15" s="38" t="s">
        <v>6111</v>
      </c>
      <c r="N15" s="19">
        <v>1</v>
      </c>
      <c r="O15" s="76">
        <v>-3.40282346639E+38</v>
      </c>
      <c r="P15" s="6">
        <v>3.40282346639E+38</v>
      </c>
      <c r="Q15" s="38">
        <f>IFERROR(Table3335466[[#This Row],[Min Count]]/Table3335466[[#This Row],[Scalar]],"")</f>
        <v>-3.40282346639E+38</v>
      </c>
      <c r="R15" s="38">
        <f>IFERROR(Table3335466[[#This Row],[Max Count]]/Table3335466[[#This Row],[Scalar]],"")</f>
        <v>3.40282346639E+38</v>
      </c>
      <c r="S15" s="34"/>
      <c r="T15" s="34"/>
      <c r="U15" s="34"/>
      <c r="V15" s="8"/>
      <c r="W15" s="36" t="s">
        <v>3209</v>
      </c>
      <c r="X15" s="8"/>
      <c r="Y15" s="2"/>
      <c r="Z15"/>
      <c r="AD15"/>
      <c r="AE15"/>
      <c r="AF15"/>
      <c r="AG15"/>
    </row>
    <row r="16" spans="1:33" ht="15.75" customHeight="1" x14ac:dyDescent="0.15">
      <c r="A16" s="6">
        <v>10</v>
      </c>
      <c r="B16" s="18" t="s">
        <v>75</v>
      </c>
      <c r="C16" s="34" t="s">
        <v>2634</v>
      </c>
      <c r="D16" t="s">
        <v>3210</v>
      </c>
      <c r="E16" s="2" t="s">
        <v>3192</v>
      </c>
      <c r="F16" s="19">
        <v>20</v>
      </c>
      <c r="G16" s="6"/>
      <c r="H16" s="19" t="s">
        <v>9220</v>
      </c>
      <c r="I16" s="34"/>
      <c r="J16" s="38"/>
      <c r="K16" s="38"/>
      <c r="L16" s="38"/>
      <c r="M16" s="38" t="s">
        <v>6111</v>
      </c>
      <c r="N16" s="19">
        <v>1</v>
      </c>
      <c r="O16" s="76">
        <v>-3.40282346639E+38</v>
      </c>
      <c r="P16" s="6">
        <v>3.40282346639E+38</v>
      </c>
      <c r="Q16" s="38">
        <f>IFERROR(Table3335466[[#This Row],[Min Count]]/Table3335466[[#This Row],[Scalar]],"")</f>
        <v>-3.40282346639E+38</v>
      </c>
      <c r="R16" s="38">
        <f>IFERROR(Table3335466[[#This Row],[Max Count]]/Table3335466[[#This Row],[Scalar]],"")</f>
        <v>3.40282346639E+38</v>
      </c>
      <c r="S16" s="34"/>
      <c r="T16" s="34"/>
      <c r="U16" s="34"/>
      <c r="V16" s="8"/>
      <c r="W16" s="36" t="s">
        <v>3211</v>
      </c>
      <c r="X16" s="8"/>
      <c r="Y16" s="2"/>
      <c r="Z16"/>
      <c r="AD16"/>
      <c r="AE16"/>
      <c r="AF16"/>
      <c r="AG16"/>
    </row>
    <row r="17" spans="1:33" ht="15.75" customHeight="1" x14ac:dyDescent="0.15">
      <c r="A17" s="6">
        <v>11</v>
      </c>
      <c r="B17" s="18" t="s">
        <v>75</v>
      </c>
      <c r="C17" s="34" t="s">
        <v>2634</v>
      </c>
      <c r="D17" t="s">
        <v>3212</v>
      </c>
      <c r="E17" s="2" t="s">
        <v>3192</v>
      </c>
      <c r="F17" s="19">
        <v>22</v>
      </c>
      <c r="G17" s="6"/>
      <c r="H17" s="19" t="s">
        <v>9095</v>
      </c>
      <c r="I17" s="34"/>
      <c r="J17" s="38"/>
      <c r="K17" s="38" t="s">
        <v>940</v>
      </c>
      <c r="L17" s="38" t="s">
        <v>941</v>
      </c>
      <c r="M17" s="38" t="s">
        <v>2276</v>
      </c>
      <c r="N17" s="19">
        <v>1</v>
      </c>
      <c r="O17" s="76">
        <v>-3.40282346639E+38</v>
      </c>
      <c r="P17" s="6">
        <v>3.40282346639E+38</v>
      </c>
      <c r="Q17" s="38">
        <f>IFERROR(Table3335466[[#This Row],[Min Count]]/Table3335466[[#This Row],[Scalar]],"")</f>
        <v>-3.40282346639E+38</v>
      </c>
      <c r="R17" s="38">
        <f>IFERROR(Table3335466[[#This Row],[Max Count]]/Table3335466[[#This Row],[Scalar]],"")</f>
        <v>3.40282346639E+38</v>
      </c>
      <c r="S17" s="34"/>
      <c r="T17" s="34"/>
      <c r="U17" s="34"/>
      <c r="V17" s="8"/>
      <c r="W17" s="36" t="s">
        <v>3213</v>
      </c>
      <c r="X17" s="8"/>
      <c r="Y17" s="2"/>
      <c r="Z17"/>
      <c r="AD17"/>
      <c r="AE17"/>
      <c r="AF17"/>
      <c r="AG17"/>
    </row>
    <row r="18" spans="1:33" ht="15.75" customHeight="1" x14ac:dyDescent="0.15">
      <c r="A18" s="6">
        <v>12</v>
      </c>
      <c r="B18" s="18" t="s">
        <v>75</v>
      </c>
      <c r="C18" s="34" t="s">
        <v>2634</v>
      </c>
      <c r="D18" t="s">
        <v>3214</v>
      </c>
      <c r="E18" s="2" t="s">
        <v>3192</v>
      </c>
      <c r="F18" s="19">
        <v>24</v>
      </c>
      <c r="G18" s="6"/>
      <c r="H18" s="19" t="s">
        <v>9221</v>
      </c>
      <c r="I18" s="34"/>
      <c r="J18" s="38"/>
      <c r="K18" s="38"/>
      <c r="L18" s="38"/>
      <c r="M18" s="38" t="s">
        <v>61</v>
      </c>
      <c r="N18" s="19">
        <v>1</v>
      </c>
      <c r="O18" s="76">
        <v>-3.40282346639E+38</v>
      </c>
      <c r="P18" s="6">
        <v>3.40282346639E+38</v>
      </c>
      <c r="Q18" s="38">
        <f>IFERROR(Table3335466[[#This Row],[Min Count]]/Table3335466[[#This Row],[Scalar]],"")</f>
        <v>-3.40282346639E+38</v>
      </c>
      <c r="R18" s="38">
        <f>IFERROR(Table3335466[[#This Row],[Max Count]]/Table3335466[[#This Row],[Scalar]],"")</f>
        <v>3.40282346639E+38</v>
      </c>
      <c r="S18" s="34"/>
      <c r="T18" s="34"/>
      <c r="U18" s="34"/>
      <c r="V18" s="8"/>
      <c r="W18" s="36" t="s">
        <v>3215</v>
      </c>
      <c r="X18" s="8"/>
      <c r="Y18" s="2"/>
      <c r="Z18"/>
      <c r="AD18"/>
      <c r="AE18"/>
      <c r="AF18"/>
      <c r="AG18"/>
    </row>
    <row r="19" spans="1:33" ht="15.4" customHeight="1" x14ac:dyDescent="0.15">
      <c r="A19" s="6">
        <v>13</v>
      </c>
      <c r="B19" s="18" t="s">
        <v>75</v>
      </c>
      <c r="C19" s="34" t="s">
        <v>2634</v>
      </c>
      <c r="D19" t="s">
        <v>3216</v>
      </c>
      <c r="E19" s="2" t="s">
        <v>3192</v>
      </c>
      <c r="F19" s="19">
        <v>26</v>
      </c>
      <c r="G19" s="6"/>
      <c r="H19" s="19" t="s">
        <v>9096</v>
      </c>
      <c r="I19" s="34"/>
      <c r="J19" s="38"/>
      <c r="K19" s="38" t="s">
        <v>940</v>
      </c>
      <c r="L19" s="38" t="s">
        <v>941</v>
      </c>
      <c r="M19" s="38" t="s">
        <v>2276</v>
      </c>
      <c r="N19" s="19">
        <v>1</v>
      </c>
      <c r="O19" s="76">
        <v>-3.40282346639E+38</v>
      </c>
      <c r="P19" s="6">
        <v>3.40282346639E+38</v>
      </c>
      <c r="Q19" s="38">
        <f>IFERROR(Table3335466[[#This Row],[Min Count]]/Table3335466[[#This Row],[Scalar]],"")</f>
        <v>-3.40282346639E+38</v>
      </c>
      <c r="R19" s="38">
        <f>IFERROR(Table3335466[[#This Row],[Max Count]]/Table3335466[[#This Row],[Scalar]],"")</f>
        <v>3.40282346639E+38</v>
      </c>
      <c r="S19" s="34"/>
      <c r="T19" s="34"/>
      <c r="U19" s="34"/>
      <c r="V19" s="8"/>
      <c r="W19" s="36" t="s">
        <v>3217</v>
      </c>
      <c r="X19" s="8"/>
      <c r="Y19" s="2"/>
      <c r="Z19"/>
      <c r="AD19"/>
      <c r="AE19"/>
      <c r="AF19"/>
      <c r="AG19"/>
    </row>
    <row r="20" spans="1:33" ht="15.4" customHeight="1" x14ac:dyDescent="0.15">
      <c r="A20" s="6">
        <v>14</v>
      </c>
      <c r="B20" s="18"/>
      <c r="C20" s="43" t="s">
        <v>2634</v>
      </c>
      <c r="D20" s="43" t="s">
        <v>9013</v>
      </c>
      <c r="E20" s="77" t="s">
        <v>3192</v>
      </c>
      <c r="F20" s="19">
        <v>28</v>
      </c>
      <c r="G20" s="6"/>
      <c r="H20" s="19" t="s">
        <v>9222</v>
      </c>
      <c r="I20" s="34"/>
      <c r="J20" s="38"/>
      <c r="K20" s="38" t="s">
        <v>940</v>
      </c>
      <c r="L20" s="38" t="s">
        <v>941</v>
      </c>
      <c r="M20" s="38" t="s">
        <v>2276</v>
      </c>
      <c r="N20" s="8">
        <v>1</v>
      </c>
      <c r="O20" s="112">
        <v>-3.40282346639E+38</v>
      </c>
      <c r="P20" s="2">
        <v>3.40282346639E+38</v>
      </c>
      <c r="Q20" s="38">
        <f>IFERROR(Table3335466[[#This Row],[Min Count]]/Table3335466[[#This Row],[Scalar]],"")</f>
        <v>-3.40282346639E+38</v>
      </c>
      <c r="R20" s="36">
        <f>IFERROR(Table3335466[[#This Row],[Max Count]]/Table3335466[[#This Row],[Scalar]],"")</f>
        <v>3.40282346639E+38</v>
      </c>
      <c r="S20" s="34"/>
      <c r="T20" s="34"/>
      <c r="U20" s="34"/>
      <c r="V20" s="33"/>
      <c r="W20" s="33" t="s">
        <v>9154</v>
      </c>
      <c r="X20" s="33"/>
      <c r="Y20" s="33"/>
      <c r="Z20"/>
      <c r="AD20"/>
      <c r="AE20"/>
      <c r="AF20"/>
      <c r="AG20"/>
    </row>
    <row r="21" spans="1:33" ht="15.75" customHeight="1" x14ac:dyDescent="0.15">
      <c r="A21" s="6">
        <v>15</v>
      </c>
      <c r="B21" s="18" t="s">
        <v>75</v>
      </c>
      <c r="C21" s="34" t="s">
        <v>2634</v>
      </c>
      <c r="D21" t="s">
        <v>3220</v>
      </c>
      <c r="E21" s="2" t="s">
        <v>3192</v>
      </c>
      <c r="F21" s="19">
        <v>30</v>
      </c>
      <c r="G21" s="6"/>
      <c r="H21" s="19" t="s">
        <v>9223</v>
      </c>
      <c r="I21" s="34"/>
      <c r="J21" s="38"/>
      <c r="K21" s="38"/>
      <c r="L21" s="38"/>
      <c r="M21" s="38" t="s">
        <v>113</v>
      </c>
      <c r="N21" s="19">
        <v>1</v>
      </c>
      <c r="O21" s="76">
        <v>-3.40282346639E+38</v>
      </c>
      <c r="P21" s="6">
        <v>3.40282346639E+38</v>
      </c>
      <c r="Q21" s="38">
        <f>IFERROR(Table3335466[[#This Row],[Min Count]]/Table3335466[[#This Row],[Scalar]],"")</f>
        <v>-3.40282346639E+38</v>
      </c>
      <c r="R21" s="38">
        <f>IFERROR(Table3335466[[#This Row],[Max Count]]/Table3335466[[#This Row],[Scalar]],"")</f>
        <v>3.40282346639E+38</v>
      </c>
      <c r="S21" s="34"/>
      <c r="T21" s="34"/>
      <c r="U21" s="34"/>
      <c r="V21" s="8"/>
      <c r="W21" s="36" t="s">
        <v>3221</v>
      </c>
      <c r="X21" s="8"/>
      <c r="Y21" s="34"/>
      <c r="Z21"/>
      <c r="AD21"/>
      <c r="AE21"/>
      <c r="AF21"/>
      <c r="AG21"/>
    </row>
    <row r="22" spans="1:33" ht="15.75" customHeight="1" x14ac:dyDescent="0.15">
      <c r="A22" s="6">
        <v>16</v>
      </c>
      <c r="B22" s="18" t="s">
        <v>75</v>
      </c>
      <c r="C22" s="34" t="s">
        <v>2634</v>
      </c>
      <c r="D22" t="s">
        <v>3222</v>
      </c>
      <c r="E22" s="2" t="s">
        <v>3192</v>
      </c>
      <c r="F22" s="19">
        <v>32</v>
      </c>
      <c r="G22" s="6"/>
      <c r="H22" s="19" t="s">
        <v>9224</v>
      </c>
      <c r="I22" s="34"/>
      <c r="J22" s="38"/>
      <c r="K22" s="38"/>
      <c r="L22" s="38"/>
      <c r="M22" s="38" t="s">
        <v>123</v>
      </c>
      <c r="N22" s="19">
        <v>1</v>
      </c>
      <c r="O22" s="76">
        <v>-3.40282346639E+38</v>
      </c>
      <c r="P22" s="6">
        <v>3.40282346639E+38</v>
      </c>
      <c r="Q22" s="38">
        <f>IFERROR(Table3335466[[#This Row],[Min Count]]/Table3335466[[#This Row],[Scalar]],"")</f>
        <v>-3.40282346639E+38</v>
      </c>
      <c r="R22" s="38">
        <f>IFERROR(Table3335466[[#This Row],[Max Count]]/Table3335466[[#This Row],[Scalar]],"")</f>
        <v>3.40282346639E+38</v>
      </c>
      <c r="S22" s="34"/>
      <c r="T22" s="34"/>
      <c r="U22" s="34"/>
      <c r="V22" s="8"/>
      <c r="W22" s="36" t="s">
        <v>3223</v>
      </c>
      <c r="X22" s="8"/>
      <c r="Y22" s="2"/>
      <c r="Z22"/>
      <c r="AD22"/>
      <c r="AE22"/>
      <c r="AF22"/>
      <c r="AG22"/>
    </row>
    <row r="23" spans="1:33" ht="15.75" customHeight="1" x14ac:dyDescent="0.15">
      <c r="A23" s="6">
        <v>17</v>
      </c>
      <c r="B23" s="18" t="s">
        <v>75</v>
      </c>
      <c r="C23" s="34" t="s">
        <v>2634</v>
      </c>
      <c r="D23" t="s">
        <v>3224</v>
      </c>
      <c r="E23" s="2" t="s">
        <v>3192</v>
      </c>
      <c r="F23" s="19">
        <v>34</v>
      </c>
      <c r="G23" s="6"/>
      <c r="H23" s="19" t="s">
        <v>9097</v>
      </c>
      <c r="I23" s="34"/>
      <c r="J23" s="38"/>
      <c r="K23" s="38"/>
      <c r="L23" s="38"/>
      <c r="M23" s="38" t="s">
        <v>123</v>
      </c>
      <c r="N23" s="19">
        <v>1</v>
      </c>
      <c r="O23" s="76">
        <v>-3.40282346639E+38</v>
      </c>
      <c r="P23" s="6">
        <v>3.40282346639E+38</v>
      </c>
      <c r="Q23" s="38">
        <f>IFERROR(Table3335466[[#This Row],[Min Count]]/Table3335466[[#This Row],[Scalar]],"")</f>
        <v>-3.40282346639E+38</v>
      </c>
      <c r="R23" s="38">
        <f>IFERROR(Table3335466[[#This Row],[Max Count]]/Table3335466[[#This Row],[Scalar]],"")</f>
        <v>3.40282346639E+38</v>
      </c>
      <c r="S23" s="34"/>
      <c r="T23" s="34"/>
      <c r="U23" s="34"/>
      <c r="V23" s="8"/>
      <c r="W23" s="36" t="s">
        <v>3225</v>
      </c>
      <c r="X23" s="8"/>
      <c r="Y23" s="34"/>
      <c r="Z23"/>
      <c r="AD23"/>
      <c r="AE23"/>
      <c r="AF23"/>
      <c r="AG23"/>
    </row>
    <row r="24" spans="1:33" ht="15.75" customHeight="1" x14ac:dyDescent="0.15">
      <c r="A24" s="6">
        <v>18</v>
      </c>
      <c r="B24" s="18" t="s">
        <v>75</v>
      </c>
      <c r="C24" s="34" t="s">
        <v>2634</v>
      </c>
      <c r="D24" t="s">
        <v>3226</v>
      </c>
      <c r="E24" s="2" t="s">
        <v>3192</v>
      </c>
      <c r="F24" s="19">
        <v>36</v>
      </c>
      <c r="G24" s="6"/>
      <c r="H24" s="19" t="s">
        <v>9225</v>
      </c>
      <c r="I24" s="34"/>
      <c r="J24" s="38"/>
      <c r="K24" s="38"/>
      <c r="L24" s="38"/>
      <c r="M24" s="38" t="s">
        <v>113</v>
      </c>
      <c r="N24" s="19">
        <v>1</v>
      </c>
      <c r="O24" s="76">
        <v>-3.40282346639E+38</v>
      </c>
      <c r="P24" s="6">
        <v>3.40282346639E+38</v>
      </c>
      <c r="Q24" s="38">
        <f>IFERROR(Table3335466[[#This Row],[Min Count]]/Table3335466[[#This Row],[Scalar]],"")</f>
        <v>-3.40282346639E+38</v>
      </c>
      <c r="R24" s="38">
        <f>IFERROR(Table3335466[[#This Row],[Max Count]]/Table3335466[[#This Row],[Scalar]],"")</f>
        <v>3.40282346639E+38</v>
      </c>
      <c r="S24" s="34"/>
      <c r="T24" s="34"/>
      <c r="U24" s="34"/>
      <c r="V24" s="8"/>
      <c r="W24" s="36" t="s">
        <v>3227</v>
      </c>
      <c r="X24" s="8"/>
      <c r="Y24" s="2"/>
      <c r="Z24"/>
      <c r="AD24"/>
      <c r="AE24"/>
      <c r="AF24"/>
      <c r="AG24"/>
    </row>
    <row r="25" spans="1:33" ht="15.75" customHeight="1" x14ac:dyDescent="0.15">
      <c r="A25" s="6">
        <v>19</v>
      </c>
      <c r="B25" s="18" t="s">
        <v>75</v>
      </c>
      <c r="C25" s="34" t="s">
        <v>2634</v>
      </c>
      <c r="D25" t="s">
        <v>9014</v>
      </c>
      <c r="E25" s="2" t="s">
        <v>3192</v>
      </c>
      <c r="F25" s="19">
        <v>38</v>
      </c>
      <c r="G25" s="6"/>
      <c r="H25" s="19" t="s">
        <v>9098</v>
      </c>
      <c r="I25" s="34"/>
      <c r="J25" s="38"/>
      <c r="K25" s="38"/>
      <c r="L25" s="38"/>
      <c r="M25" s="38" t="s">
        <v>123</v>
      </c>
      <c r="N25" s="19">
        <v>1</v>
      </c>
      <c r="O25" s="76">
        <v>-3.40282346639E+38</v>
      </c>
      <c r="P25" s="6">
        <v>3.40282346639E+38</v>
      </c>
      <c r="Q25" s="38">
        <f>IFERROR(Table3335466[[#This Row],[Min Count]]/Table3335466[[#This Row],[Scalar]],"")</f>
        <v>-3.40282346639E+38</v>
      </c>
      <c r="R25" s="38">
        <f>IFERROR(Table3335466[[#This Row],[Max Count]]/Table3335466[[#This Row],[Scalar]],"")</f>
        <v>3.40282346639E+38</v>
      </c>
      <c r="S25" s="34"/>
      <c r="T25" s="34"/>
      <c r="U25" s="34"/>
      <c r="V25" s="8"/>
      <c r="W25" s="36" t="s">
        <v>9155</v>
      </c>
      <c r="X25" s="8"/>
      <c r="Y25" s="2"/>
      <c r="Z25"/>
      <c r="AD25"/>
      <c r="AE25"/>
      <c r="AF25"/>
      <c r="AG25"/>
    </row>
    <row r="26" spans="1:33" ht="15.75" customHeight="1" x14ac:dyDescent="0.15">
      <c r="A26" s="6">
        <v>20</v>
      </c>
      <c r="B26" s="18" t="s">
        <v>75</v>
      </c>
      <c r="C26" s="34" t="s">
        <v>2634</v>
      </c>
      <c r="D26" t="s">
        <v>3228</v>
      </c>
      <c r="E26" s="2" t="s">
        <v>3192</v>
      </c>
      <c r="F26" s="19">
        <v>40</v>
      </c>
      <c r="G26" s="6"/>
      <c r="H26" s="19" t="s">
        <v>9226</v>
      </c>
      <c r="I26" s="34"/>
      <c r="J26" s="38"/>
      <c r="K26" s="38"/>
      <c r="L26" s="38"/>
      <c r="M26" s="38" t="s">
        <v>61</v>
      </c>
      <c r="N26" s="19">
        <v>1</v>
      </c>
      <c r="O26" s="76">
        <v>-3.40282346639E+38</v>
      </c>
      <c r="P26" s="6">
        <v>3.40282346639E+38</v>
      </c>
      <c r="Q26" s="38">
        <f>IFERROR(Table3335466[[#This Row],[Min Count]]/Table3335466[[#This Row],[Scalar]],"")</f>
        <v>-3.40282346639E+38</v>
      </c>
      <c r="R26" s="38">
        <f>IFERROR(Table3335466[[#This Row],[Max Count]]/Table3335466[[#This Row],[Scalar]],"")</f>
        <v>3.40282346639E+38</v>
      </c>
      <c r="S26" s="34"/>
      <c r="T26" s="34"/>
      <c r="U26" s="34"/>
      <c r="V26" s="8"/>
      <c r="W26" s="36" t="s">
        <v>3229</v>
      </c>
      <c r="X26" s="8"/>
      <c r="Y26" s="2"/>
      <c r="Z26"/>
      <c r="AD26"/>
      <c r="AE26"/>
      <c r="AF26"/>
      <c r="AG26"/>
    </row>
    <row r="27" spans="1:33" ht="15.75" customHeight="1" x14ac:dyDescent="0.15">
      <c r="A27" s="6">
        <v>21</v>
      </c>
      <c r="B27" s="18" t="s">
        <v>75</v>
      </c>
      <c r="C27" s="34" t="s">
        <v>2634</v>
      </c>
      <c r="D27" t="s">
        <v>3231</v>
      </c>
      <c r="E27" s="2" t="s">
        <v>3192</v>
      </c>
      <c r="F27" s="19">
        <v>42</v>
      </c>
      <c r="G27" s="6"/>
      <c r="H27" s="19" t="s">
        <v>9099</v>
      </c>
      <c r="I27" s="34"/>
      <c r="J27" s="38"/>
      <c r="K27" s="38"/>
      <c r="L27" s="38"/>
      <c r="M27" s="38" t="s">
        <v>61</v>
      </c>
      <c r="N27" s="19">
        <v>1</v>
      </c>
      <c r="O27" s="76">
        <v>-3.40282346639E+38</v>
      </c>
      <c r="P27" s="6">
        <v>3.40282346639E+38</v>
      </c>
      <c r="Q27" s="38">
        <f>IFERROR(Table3335466[[#This Row],[Min Count]]/Table3335466[[#This Row],[Scalar]],"")</f>
        <v>-3.40282346639E+38</v>
      </c>
      <c r="R27" s="38">
        <f>IFERROR(Table3335466[[#This Row],[Max Count]]/Table3335466[[#This Row],[Scalar]],"")</f>
        <v>3.40282346639E+38</v>
      </c>
      <c r="S27" s="34"/>
      <c r="T27" s="34"/>
      <c r="U27" s="34"/>
      <c r="V27" s="8"/>
      <c r="W27" s="36" t="s">
        <v>3232</v>
      </c>
      <c r="X27" s="8"/>
      <c r="Y27" s="2"/>
      <c r="Z27"/>
      <c r="AD27"/>
      <c r="AE27"/>
      <c r="AF27"/>
      <c r="AG27"/>
    </row>
    <row r="28" spans="1:33" ht="15.75" customHeight="1" x14ac:dyDescent="0.15">
      <c r="A28" s="6">
        <v>22</v>
      </c>
      <c r="B28" s="18" t="s">
        <v>75</v>
      </c>
      <c r="C28" s="34" t="s">
        <v>2634</v>
      </c>
      <c r="D28" t="s">
        <v>3233</v>
      </c>
      <c r="E28" s="2" t="s">
        <v>3192</v>
      </c>
      <c r="F28" s="19">
        <v>44</v>
      </c>
      <c r="G28" s="6"/>
      <c r="H28" s="19" t="s">
        <v>9227</v>
      </c>
      <c r="I28" s="34"/>
      <c r="J28" s="38"/>
      <c r="K28" s="38"/>
      <c r="L28" s="38"/>
      <c r="M28" s="38" t="s">
        <v>113</v>
      </c>
      <c r="N28" s="19">
        <v>1</v>
      </c>
      <c r="O28" s="76">
        <v>-3.40282346639E+38</v>
      </c>
      <c r="P28" s="6">
        <v>3.40282346639E+38</v>
      </c>
      <c r="Q28" s="38">
        <f>IFERROR(Table3335466[[#This Row],[Min Count]]/Table3335466[[#This Row],[Scalar]],"")</f>
        <v>-3.40282346639E+38</v>
      </c>
      <c r="R28" s="38">
        <f>IFERROR(Table3335466[[#This Row],[Max Count]]/Table3335466[[#This Row],[Scalar]],"")</f>
        <v>3.40282346639E+38</v>
      </c>
      <c r="S28" s="34"/>
      <c r="T28" s="34"/>
      <c r="U28" s="34"/>
      <c r="V28" s="8"/>
      <c r="W28" s="36" t="s">
        <v>3234</v>
      </c>
      <c r="X28" s="8"/>
      <c r="Y28" s="2"/>
      <c r="Z28"/>
      <c r="AD28"/>
      <c r="AE28"/>
      <c r="AF28"/>
      <c r="AG28"/>
    </row>
    <row r="29" spans="1:33" ht="15.75" customHeight="1" x14ac:dyDescent="0.15">
      <c r="A29" s="6">
        <v>23</v>
      </c>
      <c r="B29" s="18" t="s">
        <v>75</v>
      </c>
      <c r="C29" s="34" t="s">
        <v>2634</v>
      </c>
      <c r="D29" t="s">
        <v>3235</v>
      </c>
      <c r="E29" s="2" t="s">
        <v>3192</v>
      </c>
      <c r="F29" s="19">
        <v>46</v>
      </c>
      <c r="G29" s="6"/>
      <c r="H29" s="19" t="s">
        <v>9100</v>
      </c>
      <c r="I29" s="34"/>
      <c r="J29" s="38"/>
      <c r="K29" s="38"/>
      <c r="L29" s="38"/>
      <c r="M29" s="38" t="s">
        <v>6121</v>
      </c>
      <c r="N29" s="19">
        <v>1</v>
      </c>
      <c r="O29" s="76">
        <v>-3.40282346639E+38</v>
      </c>
      <c r="P29" s="6">
        <v>3.40282346639E+38</v>
      </c>
      <c r="Q29" s="38">
        <f>IFERROR(Table3335466[[#This Row],[Min Count]]/Table3335466[[#This Row],[Scalar]],"")</f>
        <v>-3.40282346639E+38</v>
      </c>
      <c r="R29" s="38">
        <f>IFERROR(Table3335466[[#This Row],[Max Count]]/Table3335466[[#This Row],[Scalar]],"")</f>
        <v>3.40282346639E+38</v>
      </c>
      <c r="S29" s="34"/>
      <c r="T29" s="34"/>
      <c r="U29" s="34"/>
      <c r="V29" s="8"/>
      <c r="W29" s="36" t="s">
        <v>3236</v>
      </c>
      <c r="X29" s="8"/>
      <c r="Y29" s="2"/>
      <c r="Z29"/>
      <c r="AD29"/>
      <c r="AE29"/>
      <c r="AF29"/>
      <c r="AG29"/>
    </row>
    <row r="30" spans="1:33" ht="15.75" customHeight="1" x14ac:dyDescent="0.15">
      <c r="A30" s="6">
        <v>24</v>
      </c>
      <c r="B30" s="18" t="s">
        <v>75</v>
      </c>
      <c r="C30" s="34" t="s">
        <v>2634</v>
      </c>
      <c r="D30" t="s">
        <v>3237</v>
      </c>
      <c r="E30" s="2" t="s">
        <v>3192</v>
      </c>
      <c r="F30" s="19">
        <v>48</v>
      </c>
      <c r="G30" s="6"/>
      <c r="H30" s="19" t="s">
        <v>9228</v>
      </c>
      <c r="I30" s="34"/>
      <c r="J30" s="38"/>
      <c r="K30" s="38"/>
      <c r="L30" s="38"/>
      <c r="M30" s="38" t="s">
        <v>6121</v>
      </c>
      <c r="N30" s="19">
        <v>1</v>
      </c>
      <c r="O30" s="76">
        <v>-3.40282346639E+38</v>
      </c>
      <c r="P30" s="6">
        <v>3.40282346639E+38</v>
      </c>
      <c r="Q30" s="38">
        <f>IFERROR(Table3335466[[#This Row],[Min Count]]/Table3335466[[#This Row],[Scalar]],"")</f>
        <v>-3.40282346639E+38</v>
      </c>
      <c r="R30" s="38">
        <f>IFERROR(Table3335466[[#This Row],[Max Count]]/Table3335466[[#This Row],[Scalar]],"")</f>
        <v>3.40282346639E+38</v>
      </c>
      <c r="S30" s="34"/>
      <c r="T30" s="34"/>
      <c r="U30" s="34"/>
      <c r="V30" s="8"/>
      <c r="W30" s="36" t="s">
        <v>3238</v>
      </c>
      <c r="X30" s="8"/>
      <c r="Y30" s="2"/>
      <c r="Z30"/>
      <c r="AD30"/>
      <c r="AE30"/>
      <c r="AF30"/>
      <c r="AG30"/>
    </row>
    <row r="31" spans="1:33" ht="15.75" customHeight="1" x14ac:dyDescent="0.15">
      <c r="A31" s="6">
        <v>25</v>
      </c>
      <c r="B31" s="18" t="s">
        <v>75</v>
      </c>
      <c r="C31" s="34" t="s">
        <v>2634</v>
      </c>
      <c r="D31" t="s">
        <v>3239</v>
      </c>
      <c r="E31" s="2" t="s">
        <v>3192</v>
      </c>
      <c r="F31" s="19">
        <v>50</v>
      </c>
      <c r="G31" s="6"/>
      <c r="H31" s="19" t="s">
        <v>9101</v>
      </c>
      <c r="I31" s="34"/>
      <c r="J31" s="38"/>
      <c r="K31" s="38"/>
      <c r="L31" s="38"/>
      <c r="M31" s="38" t="s">
        <v>8915</v>
      </c>
      <c r="N31" s="19">
        <v>1</v>
      </c>
      <c r="O31" s="76">
        <v>-3.40282346639E+38</v>
      </c>
      <c r="P31" s="6">
        <v>3.40282346639E+38</v>
      </c>
      <c r="Q31" s="38">
        <f>IFERROR(Table3335466[[#This Row],[Min Count]]/Table3335466[[#This Row],[Scalar]],"")</f>
        <v>-3.40282346639E+38</v>
      </c>
      <c r="R31" s="38">
        <f>IFERROR(Table3335466[[#This Row],[Max Count]]/Table3335466[[#This Row],[Scalar]],"")</f>
        <v>3.40282346639E+38</v>
      </c>
      <c r="S31" s="34"/>
      <c r="T31" s="34"/>
      <c r="U31" s="34"/>
      <c r="V31" s="8"/>
      <c r="W31" s="36" t="s">
        <v>3240</v>
      </c>
      <c r="X31" s="8"/>
      <c r="Y31" s="2"/>
      <c r="Z31"/>
      <c r="AD31"/>
      <c r="AE31"/>
      <c r="AF31"/>
      <c r="AG31"/>
    </row>
    <row r="32" spans="1:33" ht="15.75" customHeight="1" x14ac:dyDescent="0.15">
      <c r="A32" s="6">
        <v>26</v>
      </c>
      <c r="B32" s="18" t="s">
        <v>75</v>
      </c>
      <c r="C32" s="34" t="s">
        <v>2634</v>
      </c>
      <c r="D32" t="s">
        <v>9015</v>
      </c>
      <c r="E32" s="2" t="s">
        <v>3192</v>
      </c>
      <c r="F32" s="19">
        <v>52</v>
      </c>
      <c r="G32" s="6"/>
      <c r="H32" s="19" t="s">
        <v>9229</v>
      </c>
      <c r="I32" s="2"/>
      <c r="J32" s="38"/>
      <c r="K32" s="38"/>
      <c r="L32" s="38"/>
      <c r="M32" s="38" t="s">
        <v>6121</v>
      </c>
      <c r="N32" s="19">
        <v>1</v>
      </c>
      <c r="O32" s="76">
        <v>-3.40282346639E+38</v>
      </c>
      <c r="P32" s="6">
        <v>3.40282346639E+38</v>
      </c>
      <c r="Q32" s="38">
        <f>IFERROR(Table3335466[[#This Row],[Min Count]]/Table3335466[[#This Row],[Scalar]],"")</f>
        <v>-3.40282346639E+38</v>
      </c>
      <c r="R32" s="38">
        <f>IFERROR(Table3335466[[#This Row],[Max Count]]/Table3335466[[#This Row],[Scalar]],"")</f>
        <v>3.40282346639E+38</v>
      </c>
      <c r="S32" s="34"/>
      <c r="T32" s="34"/>
      <c r="U32" s="34"/>
      <c r="V32" s="8"/>
      <c r="W32" s="36" t="s">
        <v>9156</v>
      </c>
      <c r="X32" s="8"/>
      <c r="Y32" s="2"/>
      <c r="Z32"/>
      <c r="AD32"/>
      <c r="AE32"/>
      <c r="AF32"/>
      <c r="AG32"/>
    </row>
    <row r="33" spans="1:33" ht="16.149999999999999" customHeight="1" x14ac:dyDescent="0.15">
      <c r="A33" s="6">
        <v>27</v>
      </c>
      <c r="B33" s="18" t="s">
        <v>75</v>
      </c>
      <c r="C33" s="34" t="s">
        <v>2634</v>
      </c>
      <c r="D33" t="s">
        <v>9016</v>
      </c>
      <c r="E33" s="2" t="s">
        <v>3192</v>
      </c>
      <c r="F33" s="19">
        <v>54</v>
      </c>
      <c r="G33" s="6"/>
      <c r="H33" s="19" t="s">
        <v>9102</v>
      </c>
      <c r="I33" s="2"/>
      <c r="J33" s="6"/>
      <c r="K33" s="6"/>
      <c r="L33" s="38"/>
      <c r="M33" s="38" t="s">
        <v>6121</v>
      </c>
      <c r="N33" s="19">
        <v>1</v>
      </c>
      <c r="O33" s="24">
        <v>-3.40282346639E+38</v>
      </c>
      <c r="P33" s="24">
        <v>3.40282346639E+38</v>
      </c>
      <c r="Q33" s="19">
        <f>IFERROR(Table3335466[[#This Row],[Min Count]]/Table3335466[[#This Row],[Scalar]],"")</f>
        <v>-3.40282346639E+38</v>
      </c>
      <c r="R33" s="6">
        <f>IFERROR(Table3335466[[#This Row],[Max Count]]/Table3335466[[#This Row],[Scalar]],"")</f>
        <v>3.40282346639E+38</v>
      </c>
      <c r="S33" s="34"/>
      <c r="T33" s="2"/>
      <c r="U33" s="34"/>
      <c r="V33" s="8"/>
      <c r="W33" s="36" t="s">
        <v>9157</v>
      </c>
      <c r="X33" s="8"/>
      <c r="Y33" s="2"/>
      <c r="Z33"/>
      <c r="AD33"/>
      <c r="AE33"/>
      <c r="AF33"/>
      <c r="AG33"/>
    </row>
    <row r="34" spans="1:33" ht="16.149999999999999" customHeight="1" x14ac:dyDescent="0.15">
      <c r="A34" s="6">
        <v>28</v>
      </c>
      <c r="B34" s="18" t="s">
        <v>75</v>
      </c>
      <c r="C34" s="34" t="s">
        <v>2634</v>
      </c>
      <c r="D34" t="s">
        <v>9017</v>
      </c>
      <c r="E34" s="2" t="s">
        <v>3192</v>
      </c>
      <c r="F34" s="19">
        <v>56</v>
      </c>
      <c r="G34" s="2"/>
      <c r="H34" s="19" t="s">
        <v>9230</v>
      </c>
      <c r="I34" s="2"/>
      <c r="J34" s="6"/>
      <c r="K34" s="6"/>
      <c r="L34" s="38"/>
      <c r="M34" s="38" t="s">
        <v>8915</v>
      </c>
      <c r="N34" s="19">
        <v>1</v>
      </c>
      <c r="O34" s="24">
        <v>-3.40282346639E+38</v>
      </c>
      <c r="P34" s="24">
        <v>3.40282346639E+38</v>
      </c>
      <c r="Q34" s="19">
        <f>IFERROR(Table3335466[[#This Row],[Min Count]]/Table3335466[[#This Row],[Scalar]],"")</f>
        <v>-3.40282346639E+38</v>
      </c>
      <c r="R34" s="6">
        <f>IFERROR(Table3335466[[#This Row],[Max Count]]/Table3335466[[#This Row],[Scalar]],"")</f>
        <v>3.40282346639E+38</v>
      </c>
      <c r="S34" s="34"/>
      <c r="T34" s="2"/>
      <c r="U34" s="34"/>
      <c r="V34" s="8"/>
      <c r="W34" s="36" t="s">
        <v>9158</v>
      </c>
      <c r="X34" s="8"/>
      <c r="Y34" s="2"/>
      <c r="Z34"/>
      <c r="AD34"/>
      <c r="AE34"/>
      <c r="AF34"/>
      <c r="AG34"/>
    </row>
    <row r="35" spans="1:33" ht="15.75" customHeight="1" x14ac:dyDescent="0.15">
      <c r="A35" s="6">
        <v>29</v>
      </c>
      <c r="B35" s="18" t="s">
        <v>75</v>
      </c>
      <c r="C35" s="34" t="s">
        <v>2634</v>
      </c>
      <c r="D35" t="s">
        <v>9018</v>
      </c>
      <c r="E35" s="2" t="s">
        <v>3192</v>
      </c>
      <c r="F35" s="19">
        <v>64</v>
      </c>
      <c r="G35" s="6"/>
      <c r="H35" s="19" t="s">
        <v>9103</v>
      </c>
      <c r="I35" s="2"/>
      <c r="J35" s="38"/>
      <c r="K35" s="38"/>
      <c r="L35" s="38"/>
      <c r="M35" s="38" t="s">
        <v>6121</v>
      </c>
      <c r="N35" s="19">
        <v>1</v>
      </c>
      <c r="O35" s="76">
        <v>-3.40282346639E+38</v>
      </c>
      <c r="P35" s="6">
        <v>3.40282346639E+38</v>
      </c>
      <c r="Q35" s="38">
        <f>IFERROR(Table3335466[[#This Row],[Min Count]]/Table3335466[[#This Row],[Scalar]],"")</f>
        <v>-3.40282346639E+38</v>
      </c>
      <c r="R35" s="38">
        <f>IFERROR(Table3335466[[#This Row],[Max Count]]/Table3335466[[#This Row],[Scalar]],"")</f>
        <v>3.40282346639E+38</v>
      </c>
      <c r="S35" s="34"/>
      <c r="T35" s="34"/>
      <c r="U35" s="34"/>
      <c r="V35" s="8"/>
      <c r="W35" s="36" t="s">
        <v>9159</v>
      </c>
      <c r="X35" s="8"/>
      <c r="Y35" s="2"/>
      <c r="Z35"/>
      <c r="AD35"/>
      <c r="AE35"/>
      <c r="AF35"/>
      <c r="AG35"/>
    </row>
    <row r="36" spans="1:33" ht="16.149999999999999" customHeight="1" x14ac:dyDescent="0.15">
      <c r="A36" s="6">
        <v>30</v>
      </c>
      <c r="B36" s="18" t="s">
        <v>75</v>
      </c>
      <c r="C36" s="34" t="s">
        <v>2634</v>
      </c>
      <c r="D36" t="s">
        <v>9019</v>
      </c>
      <c r="E36" s="2" t="s">
        <v>3192</v>
      </c>
      <c r="F36" s="19">
        <v>66</v>
      </c>
      <c r="G36" s="6"/>
      <c r="H36" s="19" t="s">
        <v>9231</v>
      </c>
      <c r="I36" s="2"/>
      <c r="J36" s="6"/>
      <c r="K36" s="6"/>
      <c r="L36" s="38"/>
      <c r="M36" s="38" t="s">
        <v>6121</v>
      </c>
      <c r="N36" s="19">
        <v>1</v>
      </c>
      <c r="O36" s="24">
        <v>-3.40282346639E+38</v>
      </c>
      <c r="P36" s="24">
        <v>3.40282346639E+38</v>
      </c>
      <c r="Q36" s="19">
        <f>IFERROR(Table3335466[[#This Row],[Min Count]]/Table3335466[[#This Row],[Scalar]],"")</f>
        <v>-3.40282346639E+38</v>
      </c>
      <c r="R36" s="6">
        <f>IFERROR(Table3335466[[#This Row],[Max Count]]/Table3335466[[#This Row],[Scalar]],"")</f>
        <v>3.40282346639E+38</v>
      </c>
      <c r="S36" s="34"/>
      <c r="T36" s="2"/>
      <c r="U36" s="34"/>
      <c r="V36" s="8"/>
      <c r="W36" s="36" t="s">
        <v>9160</v>
      </c>
      <c r="X36" s="8"/>
      <c r="Y36" s="2"/>
      <c r="Z36"/>
      <c r="AD36"/>
      <c r="AE36"/>
      <c r="AF36"/>
      <c r="AG36"/>
    </row>
    <row r="37" spans="1:33" ht="16.149999999999999" customHeight="1" x14ac:dyDescent="0.15">
      <c r="A37" s="6">
        <v>31</v>
      </c>
      <c r="B37" s="18" t="s">
        <v>75</v>
      </c>
      <c r="C37" s="34" t="s">
        <v>2634</v>
      </c>
      <c r="D37" t="s">
        <v>9020</v>
      </c>
      <c r="E37" s="2" t="s">
        <v>3192</v>
      </c>
      <c r="F37" s="19">
        <v>68</v>
      </c>
      <c r="G37" s="2"/>
      <c r="H37" s="19" t="s">
        <v>9104</v>
      </c>
      <c r="I37" s="2"/>
      <c r="J37" s="6"/>
      <c r="K37" s="6"/>
      <c r="L37" s="38"/>
      <c r="M37" s="38" t="s">
        <v>8915</v>
      </c>
      <c r="N37" s="19">
        <v>1</v>
      </c>
      <c r="O37" s="24">
        <v>-3.40282346639E+38</v>
      </c>
      <c r="P37" s="24">
        <v>3.40282346639E+38</v>
      </c>
      <c r="Q37" s="19">
        <f>IFERROR(Table3335466[[#This Row],[Min Count]]/Table3335466[[#This Row],[Scalar]],"")</f>
        <v>-3.40282346639E+38</v>
      </c>
      <c r="R37" s="6">
        <f>IFERROR(Table3335466[[#This Row],[Max Count]]/Table3335466[[#This Row],[Scalar]],"")</f>
        <v>3.40282346639E+38</v>
      </c>
      <c r="S37" s="34"/>
      <c r="T37" s="2"/>
      <c r="U37" s="34"/>
      <c r="V37" s="8"/>
      <c r="W37" s="36" t="s">
        <v>9161</v>
      </c>
      <c r="X37" s="8"/>
      <c r="Y37" s="2"/>
      <c r="Z37"/>
      <c r="AD37"/>
      <c r="AE37"/>
      <c r="AF37"/>
      <c r="AG37"/>
    </row>
    <row r="38" spans="1:33" ht="16.149999999999999" customHeight="1" x14ac:dyDescent="0.15">
      <c r="A38" s="6">
        <v>32</v>
      </c>
      <c r="B38" s="18" t="s">
        <v>75</v>
      </c>
      <c r="C38" s="34" t="s">
        <v>2634</v>
      </c>
      <c r="D38" t="s">
        <v>3247</v>
      </c>
      <c r="E38" s="2" t="s">
        <v>3192</v>
      </c>
      <c r="F38" s="19">
        <v>74</v>
      </c>
      <c r="G38" s="6"/>
      <c r="H38" s="19" t="s">
        <v>9232</v>
      </c>
      <c r="I38" s="2"/>
      <c r="J38" s="6"/>
      <c r="K38" s="6"/>
      <c r="L38" s="38"/>
      <c r="M38" s="38" t="s">
        <v>8915</v>
      </c>
      <c r="N38" s="19">
        <v>1</v>
      </c>
      <c r="O38" s="24">
        <v>-3.40282346639E+38</v>
      </c>
      <c r="P38" s="24">
        <v>3.40282346639E+38</v>
      </c>
      <c r="Q38" s="19">
        <f>IFERROR(Table3335466[[#This Row],[Min Count]]/Table3335466[[#This Row],[Scalar]],"")</f>
        <v>-3.40282346639E+38</v>
      </c>
      <c r="R38" s="6">
        <f>IFERROR(Table3335466[[#This Row],[Max Count]]/Table3335466[[#This Row],[Scalar]],"")</f>
        <v>3.40282346639E+38</v>
      </c>
      <c r="S38" s="34"/>
      <c r="T38" s="2"/>
      <c r="U38" s="34"/>
      <c r="V38" s="8"/>
      <c r="W38" s="36" t="s">
        <v>3248</v>
      </c>
      <c r="X38" s="8"/>
      <c r="Y38" s="2"/>
      <c r="Z38"/>
      <c r="AD38"/>
      <c r="AE38"/>
      <c r="AF38"/>
      <c r="AG38"/>
    </row>
    <row r="39" spans="1:33" ht="16.149999999999999" customHeight="1" x14ac:dyDescent="0.15">
      <c r="A39" s="6">
        <v>33</v>
      </c>
      <c r="B39" s="18" t="s">
        <v>75</v>
      </c>
      <c r="C39" s="34" t="s">
        <v>2634</v>
      </c>
      <c r="D39" t="s">
        <v>3249</v>
      </c>
      <c r="E39" s="2" t="s">
        <v>3192</v>
      </c>
      <c r="F39" s="19">
        <v>76</v>
      </c>
      <c r="G39" s="6"/>
      <c r="H39" s="19" t="s">
        <v>9105</v>
      </c>
      <c r="I39" s="2"/>
      <c r="J39" s="38"/>
      <c r="K39" s="38"/>
      <c r="L39" s="38"/>
      <c r="M39" s="38" t="s">
        <v>8915</v>
      </c>
      <c r="N39" s="19">
        <v>1</v>
      </c>
      <c r="O39" s="38">
        <v>-3.40282346639E+38</v>
      </c>
      <c r="P39" s="38">
        <v>3.40282346639E+38</v>
      </c>
      <c r="Q39" s="38">
        <f>IFERROR(Table3335466[[#This Row],[Min Count]]/Table3335466[[#This Row],[Scalar]],"")</f>
        <v>-3.40282346639E+38</v>
      </c>
      <c r="R39" s="38">
        <f>IFERROR(Table3335466[[#This Row],[Max Count]]/Table3335466[[#This Row],[Scalar]],"")</f>
        <v>3.40282346639E+38</v>
      </c>
      <c r="S39" s="34"/>
      <c r="T39" s="34"/>
      <c r="U39" s="34"/>
      <c r="V39" s="8"/>
      <c r="W39" s="36" t="s">
        <v>3250</v>
      </c>
      <c r="X39" s="8"/>
      <c r="Y39" s="2"/>
      <c r="Z39"/>
      <c r="AD39"/>
      <c r="AE39"/>
      <c r="AF39"/>
      <c r="AG39"/>
    </row>
    <row r="40" spans="1:33" ht="15.75" customHeight="1" x14ac:dyDescent="0.15">
      <c r="A40" s="6">
        <v>34</v>
      </c>
      <c r="B40" s="18" t="s">
        <v>75</v>
      </c>
      <c r="C40" s="34" t="s">
        <v>2634</v>
      </c>
      <c r="D40" t="s">
        <v>9021</v>
      </c>
      <c r="E40" s="2" t="s">
        <v>3192</v>
      </c>
      <c r="F40" s="19">
        <v>78</v>
      </c>
      <c r="G40" s="6"/>
      <c r="H40" s="19" t="s">
        <v>9233</v>
      </c>
      <c r="I40" s="2"/>
      <c r="J40" s="38"/>
      <c r="K40" s="38"/>
      <c r="L40" s="38"/>
      <c r="M40" s="38" t="s">
        <v>560</v>
      </c>
      <c r="N40" s="19">
        <v>1</v>
      </c>
      <c r="O40" s="38">
        <v>-3.40282346639E+38</v>
      </c>
      <c r="P40" s="38">
        <v>3.40282346639E+38</v>
      </c>
      <c r="Q40" s="38">
        <f>IFERROR(Table3335466[[#This Row],[Min Count]]/Table3335466[[#This Row],[Scalar]],"")</f>
        <v>-3.40282346639E+38</v>
      </c>
      <c r="R40" s="38">
        <f>IFERROR(Table3335466[[#This Row],[Max Count]]/Table3335466[[#This Row],[Scalar]],"")</f>
        <v>3.40282346639E+38</v>
      </c>
      <c r="S40" s="34"/>
      <c r="T40" s="34"/>
      <c r="U40" s="34"/>
      <c r="V40" s="8"/>
      <c r="W40" s="36" t="s">
        <v>9162</v>
      </c>
      <c r="X40" s="8"/>
      <c r="Y40" s="2"/>
      <c r="Z40"/>
      <c r="AD40"/>
      <c r="AE40"/>
      <c r="AF40"/>
      <c r="AG40"/>
    </row>
    <row r="41" spans="1:33" ht="15.75" customHeight="1" x14ac:dyDescent="0.15">
      <c r="A41" s="6">
        <v>35</v>
      </c>
      <c r="B41" s="18" t="s">
        <v>75</v>
      </c>
      <c r="C41" s="34" t="s">
        <v>2634</v>
      </c>
      <c r="D41" t="s">
        <v>3253</v>
      </c>
      <c r="E41" s="2" t="s">
        <v>3192</v>
      </c>
      <c r="F41" s="19">
        <v>80</v>
      </c>
      <c r="G41" s="6"/>
      <c r="H41" s="19" t="s">
        <v>9106</v>
      </c>
      <c r="I41" s="2"/>
      <c r="J41" s="38"/>
      <c r="K41" s="38"/>
      <c r="L41" s="38"/>
      <c r="M41" s="38" t="s">
        <v>6152</v>
      </c>
      <c r="N41" s="19">
        <v>1</v>
      </c>
      <c r="O41" s="38">
        <v>-3.40282346639E+38</v>
      </c>
      <c r="P41" s="38">
        <v>3.40282346639E+38</v>
      </c>
      <c r="Q41" s="38">
        <f>IFERROR(Table3335466[[#This Row],[Min Count]]/Table3335466[[#This Row],[Scalar]],"")</f>
        <v>-3.40282346639E+38</v>
      </c>
      <c r="R41" s="38">
        <f>IFERROR(Table3335466[[#This Row],[Max Count]]/Table3335466[[#This Row],[Scalar]],"")</f>
        <v>3.40282346639E+38</v>
      </c>
      <c r="S41" s="34"/>
      <c r="T41" s="34"/>
      <c r="U41" s="34"/>
      <c r="V41" s="8"/>
      <c r="W41" s="36" t="s">
        <v>3254</v>
      </c>
      <c r="X41" s="8"/>
      <c r="Y41" s="2"/>
      <c r="Z41"/>
      <c r="AD41"/>
      <c r="AE41"/>
      <c r="AF41"/>
      <c r="AG41"/>
    </row>
    <row r="42" spans="1:33" ht="15.75" customHeight="1" x14ac:dyDescent="0.15">
      <c r="A42" s="6">
        <v>36</v>
      </c>
      <c r="B42" s="18" t="s">
        <v>75</v>
      </c>
      <c r="C42" s="34" t="s">
        <v>2634</v>
      </c>
      <c r="D42" t="s">
        <v>3255</v>
      </c>
      <c r="E42" s="2" t="s">
        <v>3192</v>
      </c>
      <c r="F42" s="19">
        <v>82</v>
      </c>
      <c r="G42" s="6"/>
      <c r="H42" s="19" t="s">
        <v>9234</v>
      </c>
      <c r="I42" s="2"/>
      <c r="J42" s="38"/>
      <c r="K42" s="38"/>
      <c r="L42" s="38"/>
      <c r="M42" s="38" t="s">
        <v>6152</v>
      </c>
      <c r="N42" s="19">
        <v>1</v>
      </c>
      <c r="O42" s="38">
        <v>-3.40282346639E+38</v>
      </c>
      <c r="P42" s="38">
        <v>3.40282346639E+38</v>
      </c>
      <c r="Q42" s="38">
        <f>IFERROR(Table3335466[[#This Row],[Min Count]]/Table3335466[[#This Row],[Scalar]],"")</f>
        <v>-3.40282346639E+38</v>
      </c>
      <c r="R42" s="38">
        <f>IFERROR(Table3335466[[#This Row],[Max Count]]/Table3335466[[#This Row],[Scalar]],"")</f>
        <v>3.40282346639E+38</v>
      </c>
      <c r="S42" s="34"/>
      <c r="T42" s="34"/>
      <c r="U42" s="34"/>
      <c r="V42" s="8"/>
      <c r="W42" s="36" t="s">
        <v>3256</v>
      </c>
      <c r="X42" s="8"/>
      <c r="Y42" s="2"/>
      <c r="Z42"/>
      <c r="AD42"/>
      <c r="AE42"/>
      <c r="AF42"/>
      <c r="AG42"/>
    </row>
    <row r="43" spans="1:33" ht="16.149999999999999" customHeight="1" x14ac:dyDescent="0.15">
      <c r="A43" s="6">
        <v>37</v>
      </c>
      <c r="B43" s="18" t="s">
        <v>75</v>
      </c>
      <c r="C43" s="34" t="s">
        <v>2634</v>
      </c>
      <c r="D43" t="s">
        <v>9022</v>
      </c>
      <c r="E43" s="2" t="s">
        <v>3192</v>
      </c>
      <c r="F43" s="19">
        <v>84</v>
      </c>
      <c r="G43" s="6"/>
      <c r="H43" s="19" t="s">
        <v>9107</v>
      </c>
      <c r="I43" s="2"/>
      <c r="J43" s="38"/>
      <c r="K43" s="38"/>
      <c r="L43" s="38"/>
      <c r="M43" s="38" t="s">
        <v>6111</v>
      </c>
      <c r="N43" s="19">
        <v>1</v>
      </c>
      <c r="O43" s="38">
        <v>-3.40282346639E+38</v>
      </c>
      <c r="P43" s="38">
        <v>3.40282346639E+38</v>
      </c>
      <c r="Q43" s="38">
        <f>IFERROR(Table3335466[[#This Row],[Min Count]]/Table3335466[[#This Row],[Scalar]],"")</f>
        <v>-3.40282346639E+38</v>
      </c>
      <c r="R43" s="38">
        <f>IFERROR(Table3335466[[#This Row],[Max Count]]/Table3335466[[#This Row],[Scalar]],"")</f>
        <v>3.40282346639E+38</v>
      </c>
      <c r="S43" s="2"/>
      <c r="T43" s="34"/>
      <c r="U43" s="77"/>
      <c r="V43" s="34"/>
      <c r="W43" s="36" t="s">
        <v>9163</v>
      </c>
      <c r="X43" s="8"/>
      <c r="Y43" s="2"/>
      <c r="Z43"/>
      <c r="AD43"/>
      <c r="AE43"/>
      <c r="AF43"/>
      <c r="AG43"/>
    </row>
    <row r="44" spans="1:33" ht="16.149999999999999" customHeight="1" x14ac:dyDescent="0.15">
      <c r="A44" s="6">
        <v>38</v>
      </c>
      <c r="B44" s="18" t="s">
        <v>75</v>
      </c>
      <c r="C44" s="34" t="s">
        <v>2634</v>
      </c>
      <c r="D44" t="s">
        <v>9023</v>
      </c>
      <c r="E44" s="2" t="s">
        <v>3192</v>
      </c>
      <c r="F44" s="19">
        <v>86</v>
      </c>
      <c r="G44" s="6"/>
      <c r="H44" s="19" t="s">
        <v>9235</v>
      </c>
      <c r="I44" s="2"/>
      <c r="J44" s="38"/>
      <c r="K44" s="38"/>
      <c r="L44" s="38"/>
      <c r="M44" s="38" t="s">
        <v>560</v>
      </c>
      <c r="N44" s="19">
        <v>1</v>
      </c>
      <c r="O44" s="76">
        <v>-3.40282346639E+38</v>
      </c>
      <c r="P44" s="6">
        <v>3.40282346639E+38</v>
      </c>
      <c r="Q44" s="38">
        <f>IFERROR(Table3335466[[#This Row],[Min Count]]/Table3335466[[#This Row],[Scalar]],"")</f>
        <v>-3.40282346639E+38</v>
      </c>
      <c r="R44" s="38">
        <f>IFERROR(Table3335466[[#This Row],[Max Count]]/Table3335466[[#This Row],[Scalar]],"")</f>
        <v>3.40282346639E+38</v>
      </c>
      <c r="S44" s="2"/>
      <c r="T44" s="34"/>
      <c r="U44" s="2"/>
      <c r="V44" s="8"/>
      <c r="W44" s="36" t="s">
        <v>9164</v>
      </c>
      <c r="X44" s="8"/>
      <c r="Y44" s="2"/>
      <c r="Z44"/>
      <c r="AD44"/>
      <c r="AE44"/>
      <c r="AF44"/>
      <c r="AG44"/>
    </row>
    <row r="45" spans="1:33" ht="16.149999999999999" customHeight="1" x14ac:dyDescent="0.15">
      <c r="A45" s="6">
        <v>39</v>
      </c>
      <c r="B45" s="18" t="s">
        <v>75</v>
      </c>
      <c r="C45" s="34" t="s">
        <v>2634</v>
      </c>
      <c r="D45" t="s">
        <v>9024</v>
      </c>
      <c r="E45" s="2" t="s">
        <v>3192</v>
      </c>
      <c r="F45" s="19">
        <v>88</v>
      </c>
      <c r="G45" s="6"/>
      <c r="H45" s="19" t="s">
        <v>9108</v>
      </c>
      <c r="I45" s="33"/>
      <c r="J45" s="19"/>
      <c r="K45" s="38"/>
      <c r="L45" s="38"/>
      <c r="M45" s="38" t="s">
        <v>6165</v>
      </c>
      <c r="N45" s="19">
        <v>1</v>
      </c>
      <c r="O45" s="38">
        <v>-3.40282346639E+38</v>
      </c>
      <c r="P45" s="38">
        <v>3.40282346639E+38</v>
      </c>
      <c r="Q45" s="38">
        <f>IFERROR(Table3335466[[#This Row],[Min Count]]/Table3335466[[#This Row],[Scalar]],"")</f>
        <v>-3.40282346639E+38</v>
      </c>
      <c r="R45" s="38">
        <f>IFERROR(Table3335466[[#This Row],[Max Count]]/Table3335466[[#This Row],[Scalar]],"")</f>
        <v>3.40282346639E+38</v>
      </c>
      <c r="S45" s="34"/>
      <c r="T45" s="34"/>
      <c r="U45" s="34"/>
      <c r="V45" s="8"/>
      <c r="W45" s="36" t="s">
        <v>9165</v>
      </c>
      <c r="X45" s="8"/>
      <c r="Y45" s="2"/>
      <c r="Z45"/>
      <c r="AD45"/>
      <c r="AE45"/>
      <c r="AF45"/>
      <c r="AG45"/>
    </row>
    <row r="46" spans="1:33" ht="16.149999999999999" customHeight="1" x14ac:dyDescent="0.15">
      <c r="A46" s="6">
        <v>40</v>
      </c>
      <c r="B46" s="18" t="s">
        <v>75</v>
      </c>
      <c r="C46" s="34" t="s">
        <v>2634</v>
      </c>
      <c r="D46" t="s">
        <v>9025</v>
      </c>
      <c r="E46" s="2" t="s">
        <v>3192</v>
      </c>
      <c r="F46" s="19">
        <v>90</v>
      </c>
      <c r="G46" s="6"/>
      <c r="H46" s="19" t="s">
        <v>9236</v>
      </c>
      <c r="I46" s="33"/>
      <c r="J46" s="19"/>
      <c r="K46" s="38"/>
      <c r="L46" s="38"/>
      <c r="M46" s="38" t="s">
        <v>6165</v>
      </c>
      <c r="N46" s="19">
        <v>1</v>
      </c>
      <c r="O46" s="38">
        <v>-3.40282346639E+38</v>
      </c>
      <c r="P46" s="38">
        <v>3.40282346639E+38</v>
      </c>
      <c r="Q46" s="38">
        <f>IFERROR(Table3335466[[#This Row],[Min Count]]/Table3335466[[#This Row],[Scalar]],"")</f>
        <v>-3.40282346639E+38</v>
      </c>
      <c r="R46" s="38">
        <f>IFERROR(Table3335466[[#This Row],[Max Count]]/Table3335466[[#This Row],[Scalar]],"")</f>
        <v>3.40282346639E+38</v>
      </c>
      <c r="S46" s="34"/>
      <c r="T46" s="34"/>
      <c r="U46" s="34"/>
      <c r="V46" s="8"/>
      <c r="W46" s="36" t="s">
        <v>9166</v>
      </c>
      <c r="X46" s="8"/>
      <c r="Y46" s="2"/>
      <c r="Z46"/>
      <c r="AD46"/>
      <c r="AE46"/>
      <c r="AF46"/>
      <c r="AG46"/>
    </row>
    <row r="47" spans="1:33" ht="16.149999999999999" customHeight="1" x14ac:dyDescent="0.15">
      <c r="A47" s="6">
        <v>41</v>
      </c>
      <c r="B47" s="18" t="s">
        <v>75</v>
      </c>
      <c r="C47" s="34" t="s">
        <v>2634</v>
      </c>
      <c r="D47" t="s">
        <v>9026</v>
      </c>
      <c r="E47" s="2" t="s">
        <v>3192</v>
      </c>
      <c r="F47" s="19">
        <v>92</v>
      </c>
      <c r="G47" s="6"/>
      <c r="H47" s="19" t="s">
        <v>9109</v>
      </c>
      <c r="I47" s="8"/>
      <c r="J47" s="19"/>
      <c r="K47" s="38"/>
      <c r="L47" s="38"/>
      <c r="M47" s="38" t="s">
        <v>6111</v>
      </c>
      <c r="N47" s="19">
        <v>1</v>
      </c>
      <c r="O47" s="76">
        <v>-3.40282346639E+38</v>
      </c>
      <c r="P47" s="6">
        <v>3.40282346639E+38</v>
      </c>
      <c r="Q47" s="38">
        <f>IFERROR(Table3335466[[#This Row],[Min Count]]/Table3335466[[#This Row],[Scalar]],"")</f>
        <v>-3.40282346639E+38</v>
      </c>
      <c r="R47" s="38">
        <f>IFERROR(Table3335466[[#This Row],[Max Count]]/Table3335466[[#This Row],[Scalar]],"")</f>
        <v>3.40282346639E+38</v>
      </c>
      <c r="S47" s="34"/>
      <c r="T47" s="34"/>
      <c r="U47" s="34"/>
      <c r="V47" s="8"/>
      <c r="W47" s="36" t="s">
        <v>9167</v>
      </c>
      <c r="X47" s="8"/>
      <c r="Y47" s="2"/>
      <c r="Z47"/>
      <c r="AD47"/>
      <c r="AE47"/>
      <c r="AF47"/>
      <c r="AG47"/>
    </row>
    <row r="48" spans="1:33" ht="16.149999999999999" customHeight="1" x14ac:dyDescent="0.15">
      <c r="A48" s="6">
        <v>42</v>
      </c>
      <c r="B48" s="18" t="s">
        <v>75</v>
      </c>
      <c r="C48" s="34" t="s">
        <v>2634</v>
      </c>
      <c r="D48" t="s">
        <v>3267</v>
      </c>
      <c r="E48" s="2" t="s">
        <v>3192</v>
      </c>
      <c r="F48" s="19">
        <v>94</v>
      </c>
      <c r="G48" s="6"/>
      <c r="H48" s="19" t="s">
        <v>9237</v>
      </c>
      <c r="I48" s="2"/>
      <c r="J48" s="38"/>
      <c r="K48" s="6"/>
      <c r="L48" s="38"/>
      <c r="M48" s="38" t="s">
        <v>8915</v>
      </c>
      <c r="N48" s="19">
        <v>1</v>
      </c>
      <c r="O48" s="76">
        <v>-3.40282346639E+38</v>
      </c>
      <c r="P48" s="6">
        <v>3.40282346639E+38</v>
      </c>
      <c r="Q48" s="102">
        <f>IFERROR(Table3335466[[#This Row],[Min Count]]/Table3335466[[#This Row],[Scalar]],"")</f>
        <v>-3.40282346639E+38</v>
      </c>
      <c r="R48" s="38">
        <f>IFERROR(Table3335466[[#This Row],[Max Count]]/Table3335466[[#This Row],[Scalar]],"")</f>
        <v>3.40282346639E+38</v>
      </c>
      <c r="S48" s="34"/>
      <c r="T48" s="34"/>
      <c r="U48" s="34"/>
      <c r="V48" s="8"/>
      <c r="W48" s="36" t="s">
        <v>3268</v>
      </c>
      <c r="X48" s="8"/>
      <c r="Y48" s="34"/>
      <c r="Z48"/>
      <c r="AD48"/>
      <c r="AE48"/>
      <c r="AF48"/>
      <c r="AG48"/>
    </row>
    <row r="49" spans="1:33" ht="16.149999999999999" customHeight="1" x14ac:dyDescent="0.15">
      <c r="A49" s="6">
        <v>43</v>
      </c>
      <c r="B49" s="18" t="s">
        <v>75</v>
      </c>
      <c r="C49" s="34" t="s">
        <v>2634</v>
      </c>
      <c r="D49" t="s">
        <v>3269</v>
      </c>
      <c r="E49" s="2" t="s">
        <v>3192</v>
      </c>
      <c r="F49" s="19">
        <v>96</v>
      </c>
      <c r="G49" s="6"/>
      <c r="H49" s="19" t="s">
        <v>9110</v>
      </c>
      <c r="I49" s="2"/>
      <c r="J49" s="38"/>
      <c r="K49" s="6"/>
      <c r="L49" s="38"/>
      <c r="M49" s="38" t="s">
        <v>8915</v>
      </c>
      <c r="N49" s="19">
        <v>1</v>
      </c>
      <c r="O49" s="76">
        <v>-3.40282346639E+38</v>
      </c>
      <c r="P49" s="6">
        <v>3.40282346639E+38</v>
      </c>
      <c r="Q49" s="6">
        <f>IFERROR(Table3335466[[#This Row],[Min Count]]/Table3335466[[#This Row],[Scalar]],"")</f>
        <v>-3.40282346639E+38</v>
      </c>
      <c r="R49" s="6">
        <f>IFERROR(Table3335466[[#This Row],[Max Count]]/Table3335466[[#This Row],[Scalar]],"")</f>
        <v>3.40282346639E+38</v>
      </c>
      <c r="S49" s="2"/>
      <c r="T49" s="34"/>
      <c r="U49" s="2"/>
      <c r="V49" s="8"/>
      <c r="W49" s="36" t="s">
        <v>3270</v>
      </c>
      <c r="X49" s="8"/>
      <c r="Y49" s="34"/>
      <c r="Z49"/>
      <c r="AD49"/>
      <c r="AE49"/>
      <c r="AF49"/>
      <c r="AG49"/>
    </row>
    <row r="50" spans="1:33" ht="16.149999999999999" customHeight="1" x14ac:dyDescent="0.15">
      <c r="A50" s="6">
        <v>44</v>
      </c>
      <c r="B50" s="18" t="s">
        <v>75</v>
      </c>
      <c r="C50" s="34" t="s">
        <v>2634</v>
      </c>
      <c r="D50" t="s">
        <v>3271</v>
      </c>
      <c r="E50" s="2" t="s">
        <v>3192</v>
      </c>
      <c r="F50" s="19">
        <v>104</v>
      </c>
      <c r="G50" s="6"/>
      <c r="H50" s="19" t="s">
        <v>9238</v>
      </c>
      <c r="I50" s="2"/>
      <c r="J50" s="38"/>
      <c r="K50" s="6"/>
      <c r="L50" s="38"/>
      <c r="M50" s="38" t="s">
        <v>6180</v>
      </c>
      <c r="N50" s="19">
        <v>1</v>
      </c>
      <c r="O50" s="76">
        <v>-3.40282346639E+38</v>
      </c>
      <c r="P50" s="6">
        <v>3.40282346639E+38</v>
      </c>
      <c r="Q50" s="6">
        <f>IFERROR(Table3335466[[#This Row],[Min Count]]/Table3335466[[#This Row],[Scalar]],"")</f>
        <v>-3.40282346639E+38</v>
      </c>
      <c r="R50" s="6">
        <f>IFERROR(Table3335466[[#This Row],[Max Count]]/Table3335466[[#This Row],[Scalar]],"")</f>
        <v>3.40282346639E+38</v>
      </c>
      <c r="S50" s="2"/>
      <c r="T50" s="34"/>
      <c r="U50" s="2"/>
      <c r="V50" s="8"/>
      <c r="W50" s="36" t="s">
        <v>3272</v>
      </c>
      <c r="X50" s="8"/>
      <c r="Y50" s="2"/>
      <c r="Z50"/>
      <c r="AD50"/>
      <c r="AE50"/>
      <c r="AF50"/>
      <c r="AG50"/>
    </row>
    <row r="51" spans="1:33" ht="16.149999999999999" customHeight="1" x14ac:dyDescent="0.15">
      <c r="A51" s="6">
        <v>45</v>
      </c>
      <c r="B51" s="18" t="s">
        <v>75</v>
      </c>
      <c r="C51" s="34" t="s">
        <v>2634</v>
      </c>
      <c r="D51" t="s">
        <v>3273</v>
      </c>
      <c r="E51" s="2" t="s">
        <v>3192</v>
      </c>
      <c r="F51" s="19">
        <v>106</v>
      </c>
      <c r="G51" s="6"/>
      <c r="H51" s="19" t="s">
        <v>9111</v>
      </c>
      <c r="I51" s="8"/>
      <c r="J51" s="19"/>
      <c r="K51" s="6"/>
      <c r="L51" s="38"/>
      <c r="M51" s="38" t="s">
        <v>6185</v>
      </c>
      <c r="N51" s="19">
        <v>1</v>
      </c>
      <c r="O51" s="76">
        <v>-3.40282346639E+38</v>
      </c>
      <c r="P51" s="6">
        <v>3.40282346639E+38</v>
      </c>
      <c r="Q51" s="6">
        <f>IFERROR(Table3335466[[#This Row],[Min Count]]/Table3335466[[#This Row],[Scalar]],"")</f>
        <v>-3.40282346639E+38</v>
      </c>
      <c r="R51" s="6">
        <f>IFERROR(Table3335466[[#This Row],[Max Count]]/Table3335466[[#This Row],[Scalar]],"")</f>
        <v>3.40282346639E+38</v>
      </c>
      <c r="S51" s="2"/>
      <c r="T51" s="34"/>
      <c r="U51" s="2"/>
      <c r="V51" s="8"/>
      <c r="W51" s="36" t="s">
        <v>3274</v>
      </c>
      <c r="X51" s="8"/>
      <c r="Y51" s="34"/>
      <c r="Z51"/>
      <c r="AD51"/>
      <c r="AE51"/>
      <c r="AF51"/>
      <c r="AG51"/>
    </row>
    <row r="52" spans="1:33" ht="16.149999999999999" customHeight="1" x14ac:dyDescent="0.15">
      <c r="A52" s="6">
        <v>46</v>
      </c>
      <c r="B52" s="18" t="s">
        <v>75</v>
      </c>
      <c r="C52" s="34" t="s">
        <v>2634</v>
      </c>
      <c r="D52" t="s">
        <v>3275</v>
      </c>
      <c r="E52" s="2" t="s">
        <v>3192</v>
      </c>
      <c r="F52" s="19">
        <v>108</v>
      </c>
      <c r="G52" s="103"/>
      <c r="H52" s="19" t="s">
        <v>9239</v>
      </c>
      <c r="I52" s="104"/>
      <c r="J52" s="105"/>
      <c r="K52" s="103"/>
      <c r="L52" s="38"/>
      <c r="M52" s="105" t="s">
        <v>8916</v>
      </c>
      <c r="N52" s="19">
        <v>1</v>
      </c>
      <c r="O52" s="106">
        <v>-3.40282346639E+38</v>
      </c>
      <c r="P52" s="103">
        <v>3.40282346639E+38</v>
      </c>
      <c r="Q52" s="103">
        <f>IFERROR(Table3335466[[#This Row],[Min Count]]/Table3335466[[#This Row],[Scalar]],"")</f>
        <v>-3.40282346639E+38</v>
      </c>
      <c r="R52" s="107">
        <f>IFERROR(Table3335466[[#This Row],[Max Count]]/Table3335466[[#This Row],[Scalar]],"")</f>
        <v>3.40282346639E+38</v>
      </c>
      <c r="S52" s="104"/>
      <c r="T52" s="108"/>
      <c r="U52" s="104"/>
      <c r="V52" s="136"/>
      <c r="W52" s="110" t="s">
        <v>3276</v>
      </c>
      <c r="X52" s="8"/>
      <c r="Y52" s="104"/>
      <c r="Z52"/>
      <c r="AD52"/>
      <c r="AE52"/>
      <c r="AF52"/>
      <c r="AG52"/>
    </row>
    <row r="53" spans="1:33" ht="16.149999999999999" customHeight="1" x14ac:dyDescent="0.15">
      <c r="A53" s="6">
        <v>47</v>
      </c>
      <c r="B53" s="18" t="s">
        <v>75</v>
      </c>
      <c r="C53" s="34" t="s">
        <v>2634</v>
      </c>
      <c r="D53" t="s">
        <v>3277</v>
      </c>
      <c r="E53" s="2" t="s">
        <v>3192</v>
      </c>
      <c r="F53" s="19">
        <v>124</v>
      </c>
      <c r="G53" s="6"/>
      <c r="H53" s="19" t="s">
        <v>9112</v>
      </c>
      <c r="I53" s="2"/>
      <c r="J53" s="38"/>
      <c r="K53" s="6"/>
      <c r="L53" s="38"/>
      <c r="M53" s="38" t="s">
        <v>8915</v>
      </c>
      <c r="N53" s="19">
        <v>1</v>
      </c>
      <c r="O53" s="76">
        <v>-3.40282346639E+38</v>
      </c>
      <c r="P53" s="6">
        <v>3.40282346639E+38</v>
      </c>
      <c r="Q53" s="6">
        <f>IFERROR(Table3335466[[#This Row],[Min Count]]/Table3335466[[#This Row],[Scalar]],"")</f>
        <v>-3.40282346639E+38</v>
      </c>
      <c r="R53" s="6">
        <f>IFERROR(Table3335466[[#This Row],[Max Count]]/Table3335466[[#This Row],[Scalar]],"")</f>
        <v>3.40282346639E+38</v>
      </c>
      <c r="S53" s="2"/>
      <c r="T53" s="34"/>
      <c r="U53" s="2"/>
      <c r="V53" s="8"/>
      <c r="W53" s="36" t="s">
        <v>3278</v>
      </c>
      <c r="X53" s="8"/>
      <c r="Y53" s="34"/>
      <c r="Z53"/>
      <c r="AD53"/>
      <c r="AE53"/>
      <c r="AF53"/>
      <c r="AG53"/>
    </row>
    <row r="54" spans="1:33" ht="16.149999999999999" customHeight="1" x14ac:dyDescent="0.15">
      <c r="A54" s="6">
        <v>48</v>
      </c>
      <c r="B54" s="18" t="s">
        <v>75</v>
      </c>
      <c r="C54" s="34" t="s">
        <v>2634</v>
      </c>
      <c r="D54" t="s">
        <v>3279</v>
      </c>
      <c r="E54" s="2" t="s">
        <v>3192</v>
      </c>
      <c r="F54" s="19">
        <v>126</v>
      </c>
      <c r="G54" s="103"/>
      <c r="H54" s="19" t="s">
        <v>9240</v>
      </c>
      <c r="I54" s="104"/>
      <c r="J54" s="105"/>
      <c r="K54" s="103"/>
      <c r="L54" s="38"/>
      <c r="M54" s="103" t="s">
        <v>8915</v>
      </c>
      <c r="N54" s="19">
        <v>1</v>
      </c>
      <c r="O54" s="103">
        <v>-3.40282346639E+38</v>
      </c>
      <c r="P54" s="103">
        <v>3.40282346639E+38</v>
      </c>
      <c r="Q54" s="103">
        <f>IFERROR(Table3335466[[#This Row],[Min Count]]/Table3335466[[#This Row],[Scalar]],"")</f>
        <v>-3.40282346639E+38</v>
      </c>
      <c r="R54" s="107">
        <f>IFERROR(Table3335466[[#This Row],[Max Count]]/Table3335466[[#This Row],[Scalar]],"")</f>
        <v>3.40282346639E+38</v>
      </c>
      <c r="S54" s="104"/>
      <c r="T54" s="104"/>
      <c r="U54" s="104"/>
      <c r="V54" s="136"/>
      <c r="W54" s="111" t="s">
        <v>3280</v>
      </c>
      <c r="X54" s="8"/>
      <c r="Y54" s="34"/>
      <c r="Z54"/>
      <c r="AD54"/>
      <c r="AE54"/>
      <c r="AF54"/>
      <c r="AG54"/>
    </row>
    <row r="55" spans="1:33" ht="16.149999999999999" customHeight="1" x14ac:dyDescent="0.15">
      <c r="A55" s="6">
        <v>49</v>
      </c>
      <c r="B55" s="18" t="s">
        <v>75</v>
      </c>
      <c r="C55" s="34" t="s">
        <v>2634</v>
      </c>
      <c r="D55" t="s">
        <v>3281</v>
      </c>
      <c r="E55" s="2" t="s">
        <v>3192</v>
      </c>
      <c r="F55" s="19">
        <v>128</v>
      </c>
      <c r="G55" s="6"/>
      <c r="H55" s="19" t="s">
        <v>9113</v>
      </c>
      <c r="I55" s="2"/>
      <c r="J55" s="38"/>
      <c r="K55" s="6"/>
      <c r="L55" s="38"/>
      <c r="M55" s="6" t="s">
        <v>8915</v>
      </c>
      <c r="N55" s="19">
        <v>1</v>
      </c>
      <c r="O55" s="6">
        <v>-3.40282346639E+38</v>
      </c>
      <c r="P55" s="6">
        <v>3.40282346639E+38</v>
      </c>
      <c r="Q55" s="6">
        <f>IFERROR(Table3335466[[#This Row],[Min Count]]/Table3335466[[#This Row],[Scalar]],"")</f>
        <v>-3.40282346639E+38</v>
      </c>
      <c r="R55" s="6">
        <f>IFERROR(Table3335466[[#This Row],[Max Count]]/Table3335466[[#This Row],[Scalar]],"")</f>
        <v>3.40282346639E+38</v>
      </c>
      <c r="S55" s="2"/>
      <c r="T55" s="2"/>
      <c r="U55" s="2"/>
      <c r="V55" s="8"/>
      <c r="W55" s="77" t="s">
        <v>3282</v>
      </c>
      <c r="X55" s="8"/>
      <c r="Y55" s="2"/>
      <c r="Z55"/>
      <c r="AD55"/>
      <c r="AE55"/>
      <c r="AF55"/>
      <c r="AG55"/>
    </row>
    <row r="56" spans="1:33" ht="16.149999999999999" customHeight="1" x14ac:dyDescent="0.15">
      <c r="A56" s="6">
        <v>50</v>
      </c>
      <c r="B56" s="18" t="s">
        <v>75</v>
      </c>
      <c r="C56" s="34" t="s">
        <v>2634</v>
      </c>
      <c r="D56" t="s">
        <v>3283</v>
      </c>
      <c r="E56" s="2" t="s">
        <v>3192</v>
      </c>
      <c r="F56" s="19">
        <v>174</v>
      </c>
      <c r="G56" s="6"/>
      <c r="H56" s="19" t="s">
        <v>9241</v>
      </c>
      <c r="I56" s="2"/>
      <c r="J56" s="38"/>
      <c r="K56" s="6"/>
      <c r="L56" s="38"/>
      <c r="M56" s="6" t="s">
        <v>7375</v>
      </c>
      <c r="N56" s="19">
        <v>1</v>
      </c>
      <c r="O56" s="6">
        <v>-3.40282346639E+38</v>
      </c>
      <c r="P56" s="6">
        <v>3.40282346639E+38</v>
      </c>
      <c r="Q56" s="6">
        <f>IFERROR(Table3335466[[#This Row],[Min Count]]/Table3335466[[#This Row],[Scalar]],"")</f>
        <v>-3.40282346639E+38</v>
      </c>
      <c r="R56" s="6">
        <f>IFERROR(Table3335466[[#This Row],[Max Count]]/Table3335466[[#This Row],[Scalar]],"")</f>
        <v>3.40282346639E+38</v>
      </c>
      <c r="S56" s="2"/>
      <c r="T56" s="2"/>
      <c r="U56" s="2"/>
      <c r="V56" s="8"/>
      <c r="W56" s="77" t="s">
        <v>3284</v>
      </c>
      <c r="X56" s="8"/>
      <c r="Y56" s="2"/>
      <c r="Z56"/>
      <c r="AD56"/>
      <c r="AE56"/>
      <c r="AF56"/>
      <c r="AG56"/>
    </row>
    <row r="57" spans="1:33" ht="16.149999999999999" customHeight="1" x14ac:dyDescent="0.15">
      <c r="A57" s="6">
        <v>51</v>
      </c>
      <c r="B57" s="18" t="s">
        <v>75</v>
      </c>
      <c r="C57" s="34" t="s">
        <v>2634</v>
      </c>
      <c r="D57" t="s">
        <v>9027</v>
      </c>
      <c r="E57" s="2" t="s">
        <v>3192</v>
      </c>
      <c r="F57" s="19">
        <v>176</v>
      </c>
      <c r="G57" s="6"/>
      <c r="H57" s="19" t="s">
        <v>9114</v>
      </c>
      <c r="I57" s="2"/>
      <c r="J57" s="38"/>
      <c r="K57" s="6"/>
      <c r="L57" s="38"/>
      <c r="M57" s="6" t="s">
        <v>7375</v>
      </c>
      <c r="N57" s="19">
        <v>1</v>
      </c>
      <c r="O57" s="6">
        <v>-3.40282346639E+38</v>
      </c>
      <c r="P57" s="6">
        <v>3.40282346639E+38</v>
      </c>
      <c r="Q57" s="6">
        <f>IFERROR(Table3335466[[#This Row],[Min Count]]/Table3335466[[#This Row],[Scalar]],"")</f>
        <v>-3.40282346639E+38</v>
      </c>
      <c r="R57" s="6">
        <f>IFERROR(Table3335466[[#This Row],[Max Count]]/Table3335466[[#This Row],[Scalar]],"")</f>
        <v>3.40282346639E+38</v>
      </c>
      <c r="S57" s="2"/>
      <c r="T57" s="2"/>
      <c r="U57" s="2"/>
      <c r="V57" s="8"/>
      <c r="W57" s="77" t="s">
        <v>9168</v>
      </c>
      <c r="X57" s="8"/>
      <c r="Y57" s="2"/>
      <c r="Z57"/>
      <c r="AD57"/>
      <c r="AE57"/>
      <c r="AF57"/>
      <c r="AG57"/>
    </row>
    <row r="58" spans="1:33" ht="16.149999999999999" customHeight="1" x14ac:dyDescent="0.15">
      <c r="A58" s="6">
        <v>52</v>
      </c>
      <c r="B58" s="18" t="s">
        <v>75</v>
      </c>
      <c r="C58" s="34" t="s">
        <v>2634</v>
      </c>
      <c r="D58" t="s">
        <v>9028</v>
      </c>
      <c r="E58" s="2" t="s">
        <v>3192</v>
      </c>
      <c r="F58" s="19">
        <v>180</v>
      </c>
      <c r="G58" s="6"/>
      <c r="H58" s="19" t="s">
        <v>9242</v>
      </c>
      <c r="I58" s="2"/>
      <c r="J58" s="38"/>
      <c r="K58" s="6"/>
      <c r="L58" s="38"/>
      <c r="M58" s="6" t="s">
        <v>7375</v>
      </c>
      <c r="N58" s="19">
        <v>1</v>
      </c>
      <c r="O58" s="6">
        <v>-3.40282346639E+38</v>
      </c>
      <c r="P58" s="6">
        <v>3.40282346639E+38</v>
      </c>
      <c r="Q58" s="6">
        <f>IFERROR(Table3335466[[#This Row],[Min Count]]/Table3335466[[#This Row],[Scalar]],"")</f>
        <v>-3.40282346639E+38</v>
      </c>
      <c r="R58" s="6">
        <f>IFERROR(Table3335466[[#This Row],[Max Count]]/Table3335466[[#This Row],[Scalar]],"")</f>
        <v>3.40282346639E+38</v>
      </c>
      <c r="S58" s="2"/>
      <c r="T58" s="2"/>
      <c r="U58" s="2"/>
      <c r="V58" s="8"/>
      <c r="W58" s="77" t="s">
        <v>9169</v>
      </c>
      <c r="X58" s="8"/>
      <c r="Y58" s="2"/>
      <c r="Z58"/>
      <c r="AD58"/>
      <c r="AE58"/>
      <c r="AF58"/>
      <c r="AG58"/>
    </row>
    <row r="59" spans="1:33" ht="16.149999999999999" customHeight="1" x14ac:dyDescent="0.15">
      <c r="A59" s="6">
        <v>53</v>
      </c>
      <c r="B59" s="18" t="s">
        <v>75</v>
      </c>
      <c r="C59" s="34" t="s">
        <v>2634</v>
      </c>
      <c r="D59" t="s">
        <v>3287</v>
      </c>
      <c r="E59" s="2" t="s">
        <v>3192</v>
      </c>
      <c r="F59" s="19">
        <v>198</v>
      </c>
      <c r="G59" s="6"/>
      <c r="H59" s="19" t="s">
        <v>9115</v>
      </c>
      <c r="I59" s="2"/>
      <c r="J59" s="38"/>
      <c r="K59" s="6"/>
      <c r="L59" s="38"/>
      <c r="M59" s="38" t="s">
        <v>6121</v>
      </c>
      <c r="N59" s="19">
        <v>1</v>
      </c>
      <c r="O59" s="6">
        <v>-3.40282346639E+38</v>
      </c>
      <c r="P59" s="6">
        <v>3.40282346639E+38</v>
      </c>
      <c r="Q59" s="6">
        <f>IFERROR(Table3335466[[#This Row],[Min Count]]/Table3335466[[#This Row],[Scalar]],"")</f>
        <v>-3.40282346639E+38</v>
      </c>
      <c r="R59" s="6">
        <f>IFERROR(Table3335466[[#This Row],[Max Count]]/Table3335466[[#This Row],[Scalar]],"")</f>
        <v>3.40282346639E+38</v>
      </c>
      <c r="S59" s="2"/>
      <c r="T59" s="2"/>
      <c r="U59" s="2"/>
      <c r="V59" s="8"/>
      <c r="W59" s="77" t="s">
        <v>3288</v>
      </c>
      <c r="X59" s="8"/>
      <c r="Y59" s="2"/>
      <c r="Z59"/>
      <c r="AD59"/>
      <c r="AE59"/>
      <c r="AF59"/>
      <c r="AG59"/>
    </row>
    <row r="60" spans="1:33" ht="16.149999999999999" customHeight="1" x14ac:dyDescent="0.15">
      <c r="A60" s="6">
        <v>54</v>
      </c>
      <c r="B60" s="18" t="s">
        <v>75</v>
      </c>
      <c r="C60" s="34" t="s">
        <v>2634</v>
      </c>
      <c r="D60" t="s">
        <v>3289</v>
      </c>
      <c r="E60" s="2" t="s">
        <v>3192</v>
      </c>
      <c r="F60" s="19">
        <v>200</v>
      </c>
      <c r="G60" s="6"/>
      <c r="H60" s="19" t="s">
        <v>9243</v>
      </c>
      <c r="I60" s="2"/>
      <c r="J60" s="38"/>
      <c r="K60" s="6"/>
      <c r="L60" s="38"/>
      <c r="M60" s="38" t="s">
        <v>6121</v>
      </c>
      <c r="N60" s="19">
        <v>1</v>
      </c>
      <c r="O60" s="6">
        <v>-3.40282346639E+38</v>
      </c>
      <c r="P60" s="6">
        <v>3.40282346639E+38</v>
      </c>
      <c r="Q60" s="6">
        <f>IFERROR(Table3335466[[#This Row],[Min Count]]/Table3335466[[#This Row],[Scalar]],"")</f>
        <v>-3.40282346639E+38</v>
      </c>
      <c r="R60" s="6">
        <f>IFERROR(Table3335466[[#This Row],[Max Count]]/Table3335466[[#This Row],[Scalar]],"")</f>
        <v>3.40282346639E+38</v>
      </c>
      <c r="S60" s="2"/>
      <c r="T60" s="2"/>
      <c r="U60" s="2"/>
      <c r="V60" s="8"/>
      <c r="W60" s="77" t="s">
        <v>3290</v>
      </c>
      <c r="X60" s="8"/>
      <c r="Y60" s="2"/>
      <c r="Z60"/>
      <c r="AD60"/>
      <c r="AE60"/>
      <c r="AF60"/>
      <c r="AG60"/>
    </row>
    <row r="61" spans="1:33" ht="16.149999999999999" customHeight="1" x14ac:dyDescent="0.15">
      <c r="A61" s="6">
        <v>55</v>
      </c>
      <c r="B61" s="18" t="s">
        <v>75</v>
      </c>
      <c r="C61" s="34" t="s">
        <v>2634</v>
      </c>
      <c r="D61" t="s">
        <v>3291</v>
      </c>
      <c r="E61" s="2" t="s">
        <v>3192</v>
      </c>
      <c r="F61" s="19">
        <v>202</v>
      </c>
      <c r="G61" s="6"/>
      <c r="H61" s="19" t="s">
        <v>9116</v>
      </c>
      <c r="I61" s="2"/>
      <c r="J61" s="38"/>
      <c r="K61" s="6"/>
      <c r="L61" s="38"/>
      <c r="M61" s="6" t="s">
        <v>8915</v>
      </c>
      <c r="N61" s="19">
        <v>1</v>
      </c>
      <c r="O61" s="6">
        <v>-3.40282346639E+38</v>
      </c>
      <c r="P61" s="6">
        <v>3.40282346639E+38</v>
      </c>
      <c r="Q61" s="6">
        <f>IFERROR(Table3335466[[#This Row],[Min Count]]/Table3335466[[#This Row],[Scalar]],"")</f>
        <v>-3.40282346639E+38</v>
      </c>
      <c r="R61" s="6">
        <f>IFERROR(Table3335466[[#This Row],[Max Count]]/Table3335466[[#This Row],[Scalar]],"")</f>
        <v>3.40282346639E+38</v>
      </c>
      <c r="S61" s="2"/>
      <c r="T61" s="2"/>
      <c r="U61" s="2"/>
      <c r="V61" s="8"/>
      <c r="W61" s="77" t="s">
        <v>3292</v>
      </c>
      <c r="X61" s="8"/>
      <c r="Y61" s="2"/>
      <c r="Z61"/>
      <c r="AD61"/>
      <c r="AE61"/>
      <c r="AF61"/>
      <c r="AG61"/>
    </row>
    <row r="62" spans="1:33" ht="16.149999999999999" customHeight="1" x14ac:dyDescent="0.15">
      <c r="A62" s="6">
        <v>56</v>
      </c>
      <c r="B62" s="18" t="s">
        <v>75</v>
      </c>
      <c r="C62" s="34" t="s">
        <v>2634</v>
      </c>
      <c r="D62" t="s">
        <v>9029</v>
      </c>
      <c r="E62" s="2" t="s">
        <v>3192</v>
      </c>
      <c r="F62" s="19">
        <v>204</v>
      </c>
      <c r="G62" s="6"/>
      <c r="H62" s="19" t="s">
        <v>9244</v>
      </c>
      <c r="I62" s="2"/>
      <c r="J62" s="38"/>
      <c r="K62" s="6"/>
      <c r="L62" s="38"/>
      <c r="M62" s="38" t="s">
        <v>6121</v>
      </c>
      <c r="N62" s="19">
        <v>1</v>
      </c>
      <c r="O62" s="6">
        <v>-3.40282346639E+38</v>
      </c>
      <c r="P62" s="6">
        <v>3.40282346639E+38</v>
      </c>
      <c r="Q62" s="6">
        <f>IFERROR(Table3335466[[#This Row],[Min Count]]/Table3335466[[#This Row],[Scalar]],"")</f>
        <v>-3.40282346639E+38</v>
      </c>
      <c r="R62" s="6">
        <f>IFERROR(Table3335466[[#This Row],[Max Count]]/Table3335466[[#This Row],[Scalar]],"")</f>
        <v>3.40282346639E+38</v>
      </c>
      <c r="S62" s="2"/>
      <c r="T62" s="2"/>
      <c r="U62" s="2"/>
      <c r="V62" s="8"/>
      <c r="W62" s="77" t="s">
        <v>9170</v>
      </c>
      <c r="X62" s="8"/>
      <c r="Y62" s="2"/>
      <c r="Z62"/>
      <c r="AD62"/>
      <c r="AE62"/>
      <c r="AF62"/>
      <c r="AG62"/>
    </row>
    <row r="63" spans="1:33" ht="16.149999999999999" customHeight="1" x14ac:dyDescent="0.15">
      <c r="A63" s="6">
        <v>57</v>
      </c>
      <c r="B63" s="18" t="s">
        <v>75</v>
      </c>
      <c r="C63" s="34" t="s">
        <v>2634</v>
      </c>
      <c r="D63" t="s">
        <v>9030</v>
      </c>
      <c r="E63" s="2" t="s">
        <v>3192</v>
      </c>
      <c r="F63" s="19">
        <v>206</v>
      </c>
      <c r="G63" s="6"/>
      <c r="H63" s="19" t="s">
        <v>9117</v>
      </c>
      <c r="I63" s="2"/>
      <c r="J63" s="38"/>
      <c r="K63" s="6"/>
      <c r="L63" s="38"/>
      <c r="M63" s="38" t="s">
        <v>6121</v>
      </c>
      <c r="N63" s="19">
        <v>1</v>
      </c>
      <c r="O63" s="6">
        <v>-3.40282346639E+38</v>
      </c>
      <c r="P63" s="6">
        <v>3.40282346639E+38</v>
      </c>
      <c r="Q63" s="6">
        <f>IFERROR(Table3335466[[#This Row],[Min Count]]/Table3335466[[#This Row],[Scalar]],"")</f>
        <v>-3.40282346639E+38</v>
      </c>
      <c r="R63" s="6">
        <f>IFERROR(Table3335466[[#This Row],[Max Count]]/Table3335466[[#This Row],[Scalar]],"")</f>
        <v>3.40282346639E+38</v>
      </c>
      <c r="S63" s="2"/>
      <c r="T63" s="2"/>
      <c r="U63" s="2"/>
      <c r="V63" s="8"/>
      <c r="W63" s="77" t="s">
        <v>9171</v>
      </c>
      <c r="X63" s="8"/>
      <c r="Y63" s="2"/>
      <c r="Z63"/>
      <c r="AD63"/>
      <c r="AE63"/>
      <c r="AF63"/>
      <c r="AG63"/>
    </row>
    <row r="64" spans="1:33" ht="16.149999999999999" customHeight="1" x14ac:dyDescent="0.15">
      <c r="A64" s="6">
        <v>58</v>
      </c>
      <c r="B64" s="18" t="s">
        <v>75</v>
      </c>
      <c r="C64" s="34" t="s">
        <v>2634</v>
      </c>
      <c r="D64" t="s">
        <v>9031</v>
      </c>
      <c r="E64" s="2" t="s">
        <v>3192</v>
      </c>
      <c r="F64" s="19">
        <v>208</v>
      </c>
      <c r="G64" s="6"/>
      <c r="H64" s="19" t="s">
        <v>9245</v>
      </c>
      <c r="I64" s="2"/>
      <c r="J64" s="38"/>
      <c r="K64" s="6"/>
      <c r="L64" s="38"/>
      <c r="M64" s="6" t="s">
        <v>8915</v>
      </c>
      <c r="N64" s="19">
        <v>1</v>
      </c>
      <c r="O64" s="6">
        <v>-3.40282346639E+38</v>
      </c>
      <c r="P64" s="6">
        <v>3.40282346639E+38</v>
      </c>
      <c r="Q64" s="6">
        <f>IFERROR(Table3335466[[#This Row],[Min Count]]/Table3335466[[#This Row],[Scalar]],"")</f>
        <v>-3.40282346639E+38</v>
      </c>
      <c r="R64" s="6">
        <f>IFERROR(Table3335466[[#This Row],[Max Count]]/Table3335466[[#This Row],[Scalar]],"")</f>
        <v>3.40282346639E+38</v>
      </c>
      <c r="S64" s="2"/>
      <c r="T64" s="2"/>
      <c r="U64" s="2"/>
      <c r="V64" s="8"/>
      <c r="W64" s="77" t="s">
        <v>9172</v>
      </c>
      <c r="X64" s="8"/>
      <c r="Y64" s="2"/>
      <c r="Z64"/>
      <c r="AD64"/>
      <c r="AE64"/>
      <c r="AF64"/>
      <c r="AG64"/>
    </row>
    <row r="65" spans="1:33" ht="16.149999999999999" customHeight="1" x14ac:dyDescent="0.15">
      <c r="A65" s="6">
        <v>59</v>
      </c>
      <c r="B65" s="18" t="s">
        <v>75</v>
      </c>
      <c r="C65" s="34" t="s">
        <v>2634</v>
      </c>
      <c r="D65" t="s">
        <v>9032</v>
      </c>
      <c r="E65" s="2" t="s">
        <v>3192</v>
      </c>
      <c r="F65" s="19">
        <v>216</v>
      </c>
      <c r="G65" s="6"/>
      <c r="H65" s="19" t="s">
        <v>9246</v>
      </c>
      <c r="I65" s="2"/>
      <c r="J65" s="38"/>
      <c r="K65" s="6"/>
      <c r="L65" s="38"/>
      <c r="M65" s="38" t="s">
        <v>6121</v>
      </c>
      <c r="N65" s="19">
        <v>1</v>
      </c>
      <c r="O65" s="6">
        <v>-3.40282346639E+38</v>
      </c>
      <c r="P65" s="6">
        <v>3.40282346639E+38</v>
      </c>
      <c r="Q65" s="6">
        <f>IFERROR(Table3335466[[#This Row],[Min Count]]/Table3335466[[#This Row],[Scalar]],"")</f>
        <v>-3.40282346639E+38</v>
      </c>
      <c r="R65" s="6">
        <f>IFERROR(Table3335466[[#This Row],[Max Count]]/Table3335466[[#This Row],[Scalar]],"")</f>
        <v>3.40282346639E+38</v>
      </c>
      <c r="S65" s="2"/>
      <c r="T65" s="2"/>
      <c r="U65" s="2"/>
      <c r="V65" s="8"/>
      <c r="W65" s="77" t="s">
        <v>9173</v>
      </c>
      <c r="X65" s="8"/>
      <c r="Y65" s="2"/>
      <c r="Z65"/>
      <c r="AD65"/>
      <c r="AE65"/>
      <c r="AF65"/>
      <c r="AG65"/>
    </row>
    <row r="66" spans="1:33" ht="16.149999999999999" customHeight="1" x14ac:dyDescent="0.15">
      <c r="A66" s="6">
        <v>60</v>
      </c>
      <c r="B66" s="18" t="s">
        <v>75</v>
      </c>
      <c r="C66" s="34" t="s">
        <v>2634</v>
      </c>
      <c r="D66" t="s">
        <v>9033</v>
      </c>
      <c r="E66" s="2" t="s">
        <v>3192</v>
      </c>
      <c r="F66" s="19">
        <v>218</v>
      </c>
      <c r="G66" s="6"/>
      <c r="H66" s="19" t="s">
        <v>9247</v>
      </c>
      <c r="I66" s="2"/>
      <c r="J66" s="38"/>
      <c r="K66" s="6"/>
      <c r="L66" s="38"/>
      <c r="M66" s="38" t="s">
        <v>6121</v>
      </c>
      <c r="N66" s="19">
        <v>1</v>
      </c>
      <c r="O66" s="6">
        <v>-3.40282346639E+38</v>
      </c>
      <c r="P66" s="6">
        <v>3.40282346639E+38</v>
      </c>
      <c r="Q66" s="6">
        <f>IFERROR(Table3335466[[#This Row],[Min Count]]/Table3335466[[#This Row],[Scalar]],"")</f>
        <v>-3.40282346639E+38</v>
      </c>
      <c r="R66" s="6">
        <f>IFERROR(Table3335466[[#This Row],[Max Count]]/Table3335466[[#This Row],[Scalar]],"")</f>
        <v>3.40282346639E+38</v>
      </c>
      <c r="S66" s="2"/>
      <c r="T66" s="2"/>
      <c r="U66" s="2"/>
      <c r="V66" s="8"/>
      <c r="W66" s="77" t="s">
        <v>9174</v>
      </c>
      <c r="X66" s="8"/>
      <c r="Y66" s="2"/>
      <c r="Z66"/>
      <c r="AD66"/>
      <c r="AE66"/>
      <c r="AF66"/>
      <c r="AG66"/>
    </row>
    <row r="67" spans="1:33" ht="16.149999999999999" customHeight="1" x14ac:dyDescent="0.15">
      <c r="A67" s="6">
        <v>61</v>
      </c>
      <c r="B67" s="18" t="s">
        <v>75</v>
      </c>
      <c r="C67" s="34" t="s">
        <v>2634</v>
      </c>
      <c r="D67" t="s">
        <v>9034</v>
      </c>
      <c r="E67" s="2" t="s">
        <v>3192</v>
      </c>
      <c r="F67" s="19">
        <v>220</v>
      </c>
      <c r="G67" s="6"/>
      <c r="H67" s="19" t="s">
        <v>9248</v>
      </c>
      <c r="I67" s="2"/>
      <c r="J67" s="38"/>
      <c r="K67" s="6"/>
      <c r="L67" s="38"/>
      <c r="M67" s="6" t="s">
        <v>8915</v>
      </c>
      <c r="N67" s="19">
        <v>1</v>
      </c>
      <c r="O67" s="6">
        <v>-3.40282346639E+38</v>
      </c>
      <c r="P67" s="6">
        <v>3.40282346639E+38</v>
      </c>
      <c r="Q67" s="6">
        <f>IFERROR(Table3335466[[#This Row],[Min Count]]/Table3335466[[#This Row],[Scalar]],"")</f>
        <v>-3.40282346639E+38</v>
      </c>
      <c r="R67" s="6">
        <f>IFERROR(Table3335466[[#This Row],[Max Count]]/Table3335466[[#This Row],[Scalar]],"")</f>
        <v>3.40282346639E+38</v>
      </c>
      <c r="S67" s="2"/>
      <c r="T67" s="2"/>
      <c r="U67" s="2"/>
      <c r="V67" s="8"/>
      <c r="W67" s="77" t="s">
        <v>9175</v>
      </c>
      <c r="X67" s="8"/>
      <c r="Y67" s="2"/>
      <c r="Z67"/>
      <c r="AD67"/>
      <c r="AE67"/>
      <c r="AF67"/>
      <c r="AG67"/>
    </row>
    <row r="68" spans="1:33" ht="16.149999999999999" customHeight="1" x14ac:dyDescent="0.15">
      <c r="A68" s="6">
        <v>62</v>
      </c>
      <c r="B68" s="18" t="s">
        <v>75</v>
      </c>
      <c r="C68" s="34" t="s">
        <v>2634</v>
      </c>
      <c r="D68" t="s">
        <v>3299</v>
      </c>
      <c r="E68" s="2" t="s">
        <v>3192</v>
      </c>
      <c r="F68" s="19">
        <v>226</v>
      </c>
      <c r="G68" s="6"/>
      <c r="H68" s="19" t="s">
        <v>9249</v>
      </c>
      <c r="I68" s="2"/>
      <c r="J68" s="38"/>
      <c r="K68" s="6"/>
      <c r="L68" s="38"/>
      <c r="M68" s="6" t="s">
        <v>8915</v>
      </c>
      <c r="N68" s="19">
        <v>1</v>
      </c>
      <c r="O68" s="6">
        <v>-3.40282346639E+38</v>
      </c>
      <c r="P68" s="6">
        <v>3.40282346639E+38</v>
      </c>
      <c r="Q68" s="6">
        <f>IFERROR(Table3335466[[#This Row],[Min Count]]/Table3335466[[#This Row],[Scalar]],"")</f>
        <v>-3.40282346639E+38</v>
      </c>
      <c r="R68" s="6">
        <f>IFERROR(Table3335466[[#This Row],[Max Count]]/Table3335466[[#This Row],[Scalar]],"")</f>
        <v>3.40282346639E+38</v>
      </c>
      <c r="S68" s="2"/>
      <c r="T68" s="2"/>
      <c r="U68" s="2"/>
      <c r="V68" s="8"/>
      <c r="W68" s="77" t="s">
        <v>3300</v>
      </c>
      <c r="X68" s="8"/>
      <c r="Y68" s="2"/>
      <c r="Z68"/>
      <c r="AD68"/>
      <c r="AE68"/>
      <c r="AF68"/>
      <c r="AG68"/>
    </row>
    <row r="69" spans="1:33" ht="16.149999999999999" customHeight="1" x14ac:dyDescent="0.15">
      <c r="A69" s="6">
        <v>63</v>
      </c>
      <c r="B69" s="18" t="s">
        <v>75</v>
      </c>
      <c r="C69" s="34" t="s">
        <v>2634</v>
      </c>
      <c r="D69" t="s">
        <v>3301</v>
      </c>
      <c r="E69" s="2" t="s">
        <v>3192</v>
      </c>
      <c r="F69" s="19">
        <v>228</v>
      </c>
      <c r="G69" s="6"/>
      <c r="H69" s="19" t="s">
        <v>9250</v>
      </c>
      <c r="I69" s="2"/>
      <c r="J69" s="38"/>
      <c r="K69" s="6"/>
      <c r="L69" s="38"/>
      <c r="M69" s="6" t="s">
        <v>8915</v>
      </c>
      <c r="N69" s="19">
        <v>1</v>
      </c>
      <c r="O69" s="6">
        <v>-3.40282346639E+38</v>
      </c>
      <c r="P69" s="6">
        <v>3.40282346639E+38</v>
      </c>
      <c r="Q69" s="6">
        <f>IFERROR(Table3335466[[#This Row],[Min Count]]/Table3335466[[#This Row],[Scalar]],"")</f>
        <v>-3.40282346639E+38</v>
      </c>
      <c r="R69" s="6">
        <f>IFERROR(Table3335466[[#This Row],[Max Count]]/Table3335466[[#This Row],[Scalar]],"")</f>
        <v>3.40282346639E+38</v>
      </c>
      <c r="S69" s="2"/>
      <c r="T69" s="2"/>
      <c r="U69" s="2"/>
      <c r="V69" s="8"/>
      <c r="W69" s="77" t="s">
        <v>3302</v>
      </c>
      <c r="X69" s="8"/>
      <c r="Y69" s="34"/>
      <c r="Z69"/>
      <c r="AD69"/>
      <c r="AE69"/>
      <c r="AF69"/>
      <c r="AG69"/>
    </row>
    <row r="70" spans="1:33" ht="16.149999999999999" customHeight="1" x14ac:dyDescent="0.15">
      <c r="A70" s="6">
        <v>64</v>
      </c>
      <c r="B70" s="18" t="s">
        <v>75</v>
      </c>
      <c r="C70" s="34" t="s">
        <v>2634</v>
      </c>
      <c r="D70" t="s">
        <v>9035</v>
      </c>
      <c r="E70" s="2" t="s">
        <v>3192</v>
      </c>
      <c r="F70" s="19">
        <v>230</v>
      </c>
      <c r="G70" s="6"/>
      <c r="H70" s="19" t="s">
        <v>9251</v>
      </c>
      <c r="I70" s="2"/>
      <c r="J70" s="38"/>
      <c r="K70" s="6"/>
      <c r="L70" s="38"/>
      <c r="M70" s="6" t="s">
        <v>560</v>
      </c>
      <c r="N70" s="19">
        <v>1</v>
      </c>
      <c r="O70" s="6">
        <v>-3.40282346639E+38</v>
      </c>
      <c r="P70" s="6">
        <v>3.40282346639E+38</v>
      </c>
      <c r="Q70" s="6">
        <f>IFERROR(Table3335466[[#This Row],[Min Count]]/Table3335466[[#This Row],[Scalar]],"")</f>
        <v>-3.40282346639E+38</v>
      </c>
      <c r="R70" s="6">
        <f>IFERROR(Table3335466[[#This Row],[Max Count]]/Table3335466[[#This Row],[Scalar]],"")</f>
        <v>3.40282346639E+38</v>
      </c>
      <c r="S70" s="2"/>
      <c r="T70" s="2"/>
      <c r="U70" s="2"/>
      <c r="V70" s="8"/>
      <c r="W70" s="77" t="s">
        <v>9176</v>
      </c>
      <c r="X70" s="8"/>
      <c r="Y70" s="2"/>
      <c r="Z70"/>
      <c r="AD70"/>
      <c r="AE70"/>
      <c r="AF70"/>
      <c r="AG70"/>
    </row>
    <row r="71" spans="1:33" ht="16.149999999999999" customHeight="1" x14ac:dyDescent="0.15">
      <c r="A71" s="6">
        <v>65</v>
      </c>
      <c r="B71" s="18" t="s">
        <v>75</v>
      </c>
      <c r="C71" s="34" t="s">
        <v>2634</v>
      </c>
      <c r="D71" t="s">
        <v>3305</v>
      </c>
      <c r="E71" s="2" t="s">
        <v>3192</v>
      </c>
      <c r="F71" s="19">
        <v>232</v>
      </c>
      <c r="G71" s="6"/>
      <c r="H71" s="19" t="s">
        <v>9118</v>
      </c>
      <c r="I71" s="2"/>
      <c r="J71" s="38"/>
      <c r="K71" s="6"/>
      <c r="L71" s="38"/>
      <c r="M71" s="6" t="s">
        <v>6152</v>
      </c>
      <c r="N71" s="19">
        <v>1</v>
      </c>
      <c r="O71" s="6">
        <v>-3.40282346639E+38</v>
      </c>
      <c r="P71" s="6">
        <v>3.40282346639E+38</v>
      </c>
      <c r="Q71" s="6">
        <f>IFERROR(Table3335466[[#This Row],[Min Count]]/Table3335466[[#This Row],[Scalar]],"")</f>
        <v>-3.40282346639E+38</v>
      </c>
      <c r="R71" s="6">
        <f>IFERROR(Table3335466[[#This Row],[Max Count]]/Table3335466[[#This Row],[Scalar]],"")</f>
        <v>3.40282346639E+38</v>
      </c>
      <c r="S71" s="2"/>
      <c r="T71" s="2"/>
      <c r="U71" s="2"/>
      <c r="V71" s="8"/>
      <c r="W71" s="77" t="s">
        <v>3306</v>
      </c>
      <c r="X71" s="8"/>
      <c r="Y71" s="2"/>
      <c r="Z71"/>
      <c r="AD71"/>
      <c r="AE71"/>
      <c r="AF71"/>
      <c r="AG71"/>
    </row>
    <row r="72" spans="1:33" ht="16.149999999999999" customHeight="1" x14ac:dyDescent="0.15">
      <c r="A72" s="6">
        <v>66</v>
      </c>
      <c r="B72" s="18" t="s">
        <v>75</v>
      </c>
      <c r="C72" s="34" t="s">
        <v>2634</v>
      </c>
      <c r="D72" t="s">
        <v>3307</v>
      </c>
      <c r="E72" s="2" t="s">
        <v>3192</v>
      </c>
      <c r="F72" s="19">
        <v>234</v>
      </c>
      <c r="G72" s="6"/>
      <c r="H72" s="19" t="s">
        <v>9252</v>
      </c>
      <c r="I72" s="2"/>
      <c r="J72" s="38"/>
      <c r="K72" s="6"/>
      <c r="L72" s="38"/>
      <c r="M72" s="6" t="s">
        <v>6152</v>
      </c>
      <c r="N72" s="19">
        <v>1</v>
      </c>
      <c r="O72" s="76">
        <v>-3.40282346639E+38</v>
      </c>
      <c r="P72" s="6">
        <v>3.40282346639E+38</v>
      </c>
      <c r="Q72" s="6">
        <f>IFERROR(Table3335466[[#This Row],[Min Count]]/Table3335466[[#This Row],[Scalar]],"")</f>
        <v>-3.40282346639E+38</v>
      </c>
      <c r="R72" s="6">
        <f>IFERROR(Table3335466[[#This Row],[Max Count]]/Table3335466[[#This Row],[Scalar]],"")</f>
        <v>3.40282346639E+38</v>
      </c>
      <c r="S72" s="2"/>
      <c r="T72" s="2"/>
      <c r="U72" s="2"/>
      <c r="V72" s="33"/>
      <c r="W72" s="77" t="s">
        <v>3308</v>
      </c>
      <c r="X72" s="8"/>
      <c r="Y72" s="34"/>
      <c r="Z72"/>
      <c r="AD72"/>
      <c r="AE72"/>
      <c r="AF72"/>
      <c r="AG72"/>
    </row>
    <row r="73" spans="1:33" ht="16.149999999999999" customHeight="1" x14ac:dyDescent="0.15">
      <c r="A73" s="6">
        <v>67</v>
      </c>
      <c r="B73" s="18" t="s">
        <v>75</v>
      </c>
      <c r="C73" s="34" t="s">
        <v>2634</v>
      </c>
      <c r="D73" t="s">
        <v>9036</v>
      </c>
      <c r="E73" s="2" t="s">
        <v>3192</v>
      </c>
      <c r="F73" s="19">
        <v>236</v>
      </c>
      <c r="G73" s="6"/>
      <c r="H73" s="19" t="s">
        <v>9119</v>
      </c>
      <c r="I73" s="2"/>
      <c r="J73" s="38"/>
      <c r="K73" s="6"/>
      <c r="L73" s="38"/>
      <c r="M73" s="6" t="s">
        <v>7353</v>
      </c>
      <c r="N73" s="19">
        <v>1</v>
      </c>
      <c r="O73" s="6">
        <v>-3.40282346639E+38</v>
      </c>
      <c r="P73" s="6">
        <v>3.40282346639E+38</v>
      </c>
      <c r="Q73" s="6">
        <f>IFERROR(Table3335466[[#This Row],[Min Count]]/Table3335466[[#This Row],[Scalar]],"")</f>
        <v>-3.40282346639E+38</v>
      </c>
      <c r="R73" s="6">
        <f>IFERROR(Table3335466[[#This Row],[Max Count]]/Table3335466[[#This Row],[Scalar]],"")</f>
        <v>3.40282346639E+38</v>
      </c>
      <c r="S73" s="2"/>
      <c r="T73" s="2"/>
      <c r="U73" s="2"/>
      <c r="V73" s="8"/>
      <c r="W73" s="77" t="s">
        <v>9177</v>
      </c>
      <c r="X73" s="8"/>
      <c r="Y73" s="2"/>
      <c r="Z73"/>
      <c r="AD73"/>
      <c r="AE73"/>
      <c r="AF73"/>
      <c r="AG73"/>
    </row>
    <row r="74" spans="1:33" ht="16.149999999999999" customHeight="1" x14ac:dyDescent="0.15">
      <c r="A74" s="6">
        <v>68</v>
      </c>
      <c r="B74" s="18" t="s">
        <v>75</v>
      </c>
      <c r="C74" s="34" t="s">
        <v>2634</v>
      </c>
      <c r="D74" t="s">
        <v>9037</v>
      </c>
      <c r="E74" s="2" t="s">
        <v>3192</v>
      </c>
      <c r="F74" s="19">
        <v>238</v>
      </c>
      <c r="G74" s="6"/>
      <c r="H74" s="19" t="s">
        <v>9253</v>
      </c>
      <c r="I74" s="2"/>
      <c r="J74" s="38"/>
      <c r="K74" s="6"/>
      <c r="L74" s="38"/>
      <c r="M74" s="6" t="s">
        <v>6165</v>
      </c>
      <c r="N74" s="19">
        <v>1</v>
      </c>
      <c r="O74" s="6">
        <v>-3.40282346639E+38</v>
      </c>
      <c r="P74" s="6">
        <v>3.40282346639E+38</v>
      </c>
      <c r="Q74" s="6">
        <f>IFERROR(Table3335466[[#This Row],[Min Count]]/Table3335466[[#This Row],[Scalar]],"")</f>
        <v>-3.40282346639E+38</v>
      </c>
      <c r="R74" s="6">
        <f>IFERROR(Table3335466[[#This Row],[Max Count]]/Table3335466[[#This Row],[Scalar]],"")</f>
        <v>3.40282346639E+38</v>
      </c>
      <c r="S74" s="2"/>
      <c r="T74" s="2"/>
      <c r="U74" s="2"/>
      <c r="V74" s="8"/>
      <c r="W74" s="77" t="s">
        <v>9178</v>
      </c>
      <c r="X74" s="8"/>
      <c r="Y74" s="2"/>
      <c r="Z74"/>
      <c r="AD74"/>
      <c r="AE74"/>
      <c r="AF74"/>
      <c r="AG74"/>
    </row>
    <row r="75" spans="1:33" ht="16.149999999999999" customHeight="1" x14ac:dyDescent="0.15">
      <c r="A75" s="6">
        <v>69</v>
      </c>
      <c r="B75" s="18" t="s">
        <v>75</v>
      </c>
      <c r="C75" s="34" t="s">
        <v>2634</v>
      </c>
      <c r="D75" t="s">
        <v>3313</v>
      </c>
      <c r="E75" s="2" t="s">
        <v>3192</v>
      </c>
      <c r="F75" s="19">
        <v>240</v>
      </c>
      <c r="G75" s="6"/>
      <c r="H75" s="19" t="s">
        <v>9120</v>
      </c>
      <c r="I75" s="2"/>
      <c r="J75" s="38"/>
      <c r="K75" s="6"/>
      <c r="L75" s="38"/>
      <c r="M75" s="6" t="s">
        <v>6165</v>
      </c>
      <c r="N75" s="19">
        <v>1</v>
      </c>
      <c r="O75" s="6">
        <v>-3.40282346639E+38</v>
      </c>
      <c r="P75" s="6">
        <v>3.40282346639E+38</v>
      </c>
      <c r="Q75" s="6">
        <f>IFERROR(Table3335466[[#This Row],[Min Count]]/Table3335466[[#This Row],[Scalar]],"")</f>
        <v>-3.40282346639E+38</v>
      </c>
      <c r="R75" s="6">
        <f>IFERROR(Table3335466[[#This Row],[Max Count]]/Table3335466[[#This Row],[Scalar]],"")</f>
        <v>3.40282346639E+38</v>
      </c>
      <c r="S75" s="2"/>
      <c r="T75" s="2"/>
      <c r="U75" s="2"/>
      <c r="V75" s="8"/>
      <c r="W75" s="77" t="s">
        <v>3314</v>
      </c>
      <c r="X75" s="8"/>
      <c r="Y75" s="2"/>
      <c r="Z75"/>
      <c r="AD75"/>
      <c r="AE75"/>
      <c r="AF75"/>
      <c r="AG75"/>
    </row>
    <row r="76" spans="1:33" ht="16.149999999999999" customHeight="1" x14ac:dyDescent="0.15">
      <c r="A76" s="6">
        <v>70</v>
      </c>
      <c r="B76" s="18" t="s">
        <v>75</v>
      </c>
      <c r="C76" s="34" t="s">
        <v>2634</v>
      </c>
      <c r="D76" t="s">
        <v>9038</v>
      </c>
      <c r="E76" s="2" t="s">
        <v>3192</v>
      </c>
      <c r="F76" s="19">
        <v>242</v>
      </c>
      <c r="G76" s="6"/>
      <c r="H76" s="19" t="s">
        <v>9254</v>
      </c>
      <c r="I76" s="2"/>
      <c r="J76" s="38"/>
      <c r="K76" s="6"/>
      <c r="L76" s="38"/>
      <c r="M76" s="6" t="s">
        <v>6111</v>
      </c>
      <c r="N76" s="19">
        <v>1</v>
      </c>
      <c r="O76" s="6">
        <v>-3.40282346639E+38</v>
      </c>
      <c r="P76" s="6">
        <v>3.40282346639E+38</v>
      </c>
      <c r="Q76" s="6">
        <f>IFERROR(Table3335466[[#This Row],[Min Count]]/Table3335466[[#This Row],[Scalar]],"")</f>
        <v>-3.40282346639E+38</v>
      </c>
      <c r="R76" s="6">
        <f>IFERROR(Table3335466[[#This Row],[Max Count]]/Table3335466[[#This Row],[Scalar]],"")</f>
        <v>3.40282346639E+38</v>
      </c>
      <c r="S76" s="2"/>
      <c r="T76" s="2"/>
      <c r="U76" s="2"/>
      <c r="V76" s="8"/>
      <c r="W76" s="77" t="s">
        <v>9179</v>
      </c>
      <c r="X76" s="8"/>
      <c r="Y76" s="2"/>
      <c r="Z76"/>
      <c r="AD76"/>
      <c r="AE76"/>
      <c r="AF76"/>
      <c r="AG76"/>
    </row>
    <row r="77" spans="1:33" ht="16.149999999999999" customHeight="1" x14ac:dyDescent="0.15">
      <c r="A77" s="6">
        <v>71</v>
      </c>
      <c r="B77" s="18" t="s">
        <v>75</v>
      </c>
      <c r="C77" s="34" t="s">
        <v>2634</v>
      </c>
      <c r="D77" s="43" t="s">
        <v>3317</v>
      </c>
      <c r="E77" s="2" t="s">
        <v>3192</v>
      </c>
      <c r="F77" s="19">
        <v>244</v>
      </c>
      <c r="G77" s="6"/>
      <c r="H77" s="19" t="s">
        <v>9255</v>
      </c>
      <c r="I77" s="2"/>
      <c r="J77" s="38"/>
      <c r="K77" s="6"/>
      <c r="L77" s="38"/>
      <c r="M77" s="6" t="s">
        <v>8915</v>
      </c>
      <c r="N77" s="19">
        <v>1</v>
      </c>
      <c r="O77" s="112">
        <v>-3.40282346639E+38</v>
      </c>
      <c r="P77" s="2">
        <v>3.40282346639E+38</v>
      </c>
      <c r="Q77" s="6">
        <f>IFERROR(Table3335466[[#This Row],[Min Count]]/Table3335466[[#This Row],[Scalar]],"")</f>
        <v>-3.40282346639E+38</v>
      </c>
      <c r="R77" s="77">
        <f>IFERROR(Table3335466[[#This Row],[Max Count]]/Table3335466[[#This Row],[Scalar]],"")</f>
        <v>3.40282346639E+38</v>
      </c>
      <c r="S77" s="2"/>
      <c r="T77" s="2"/>
      <c r="U77" s="2"/>
      <c r="V77" s="33"/>
      <c r="W77" s="33" t="s">
        <v>3318</v>
      </c>
      <c r="X77" s="8"/>
      <c r="Y77" s="33"/>
      <c r="Z77"/>
      <c r="AD77"/>
      <c r="AE77"/>
      <c r="AF77"/>
      <c r="AG77"/>
    </row>
    <row r="78" spans="1:33" ht="16.149999999999999" customHeight="1" x14ac:dyDescent="0.15">
      <c r="A78" s="6">
        <v>72</v>
      </c>
      <c r="B78" s="18" t="s">
        <v>75</v>
      </c>
      <c r="C78" s="34" t="s">
        <v>2634</v>
      </c>
      <c r="D78" s="43" t="s">
        <v>3319</v>
      </c>
      <c r="E78" s="2" t="s">
        <v>3192</v>
      </c>
      <c r="F78" s="19">
        <v>246</v>
      </c>
      <c r="G78" s="6"/>
      <c r="H78" s="19" t="s">
        <v>9256</v>
      </c>
      <c r="I78" s="2"/>
      <c r="J78" s="38"/>
      <c r="K78" s="6"/>
      <c r="L78" s="38"/>
      <c r="M78" s="6" t="s">
        <v>8915</v>
      </c>
      <c r="N78" s="19">
        <v>1</v>
      </c>
      <c r="O78" s="112">
        <v>-3.40282346639E+38</v>
      </c>
      <c r="P78" s="2">
        <v>3.40282346639E+38</v>
      </c>
      <c r="Q78" s="6">
        <f>IFERROR(Table3335466[[#This Row],[Min Count]]/Table3335466[[#This Row],[Scalar]],"")</f>
        <v>-3.40282346639E+38</v>
      </c>
      <c r="R78" s="77">
        <f>IFERROR(Table3335466[[#This Row],[Max Count]]/Table3335466[[#This Row],[Scalar]],"")</f>
        <v>3.40282346639E+38</v>
      </c>
      <c r="S78" s="2"/>
      <c r="T78" s="2"/>
      <c r="U78" s="2"/>
      <c r="V78" s="33"/>
      <c r="W78" s="33" t="s">
        <v>3320</v>
      </c>
      <c r="X78" s="8"/>
      <c r="Y78" s="33"/>
      <c r="Z78"/>
      <c r="AD78"/>
      <c r="AE78"/>
      <c r="AF78"/>
      <c r="AG78"/>
    </row>
    <row r="79" spans="1:33" ht="16.149999999999999" customHeight="1" x14ac:dyDescent="0.15">
      <c r="A79" s="6">
        <v>73</v>
      </c>
      <c r="B79" s="18" t="s">
        <v>75</v>
      </c>
      <c r="C79" s="34" t="s">
        <v>2634</v>
      </c>
      <c r="D79" s="43" t="s">
        <v>3321</v>
      </c>
      <c r="E79" s="2" t="s">
        <v>3192</v>
      </c>
      <c r="F79" s="19">
        <v>254</v>
      </c>
      <c r="G79" s="6"/>
      <c r="H79" s="19" t="s">
        <v>9257</v>
      </c>
      <c r="I79" s="2"/>
      <c r="J79" s="38"/>
      <c r="K79" s="6"/>
      <c r="L79" s="38"/>
      <c r="M79" s="6" t="s">
        <v>6180</v>
      </c>
      <c r="N79" s="19">
        <v>1</v>
      </c>
      <c r="O79" s="112">
        <v>-3.40282346639E+38</v>
      </c>
      <c r="P79" s="2">
        <v>3.40282346639E+38</v>
      </c>
      <c r="Q79" s="6">
        <f>IFERROR(Table3335466[[#This Row],[Min Count]]/Table3335466[[#This Row],[Scalar]],"")</f>
        <v>-3.40282346639E+38</v>
      </c>
      <c r="R79" s="77">
        <f>IFERROR(Table3335466[[#This Row],[Max Count]]/Table3335466[[#This Row],[Scalar]],"")</f>
        <v>3.40282346639E+38</v>
      </c>
      <c r="S79" s="2"/>
      <c r="T79" s="2"/>
      <c r="U79" s="2"/>
      <c r="V79" s="33"/>
      <c r="W79" s="33" t="s">
        <v>3322</v>
      </c>
      <c r="X79" s="8"/>
      <c r="Y79" s="33"/>
      <c r="Z79"/>
      <c r="AD79"/>
      <c r="AE79"/>
      <c r="AF79"/>
      <c r="AG79"/>
    </row>
    <row r="80" spans="1:33" ht="16.149999999999999" customHeight="1" x14ac:dyDescent="0.15">
      <c r="A80" s="6">
        <v>74</v>
      </c>
      <c r="B80" s="18" t="s">
        <v>75</v>
      </c>
      <c r="C80" s="34" t="s">
        <v>2634</v>
      </c>
      <c r="D80" s="43" t="s">
        <v>3323</v>
      </c>
      <c r="E80" s="2" t="s">
        <v>3192</v>
      </c>
      <c r="F80" s="19">
        <v>256</v>
      </c>
      <c r="G80" s="6"/>
      <c r="H80" s="19" t="s">
        <v>9258</v>
      </c>
      <c r="I80" s="2"/>
      <c r="J80" s="38"/>
      <c r="K80" s="6"/>
      <c r="L80" s="38"/>
      <c r="M80" s="6" t="s">
        <v>6185</v>
      </c>
      <c r="N80" s="19">
        <v>1</v>
      </c>
      <c r="O80" s="112">
        <v>-3.40282346639E+38</v>
      </c>
      <c r="P80" s="2">
        <v>3.40282346639E+38</v>
      </c>
      <c r="Q80" s="6">
        <f>IFERROR(Table3335466[[#This Row],[Min Count]]/Table3335466[[#This Row],[Scalar]],"")</f>
        <v>-3.40282346639E+38</v>
      </c>
      <c r="R80" s="77">
        <f>IFERROR(Table3335466[[#This Row],[Max Count]]/Table3335466[[#This Row],[Scalar]],"")</f>
        <v>3.40282346639E+38</v>
      </c>
      <c r="S80" s="2"/>
      <c r="T80" s="2"/>
      <c r="U80" s="2"/>
      <c r="V80" s="33"/>
      <c r="W80" s="33" t="s">
        <v>3324</v>
      </c>
      <c r="X80" s="8"/>
      <c r="Y80" s="33"/>
      <c r="Z80"/>
      <c r="AD80"/>
      <c r="AE80"/>
      <c r="AF80"/>
      <c r="AG80"/>
    </row>
    <row r="81" spans="1:33" ht="16.149999999999999" customHeight="1" x14ac:dyDescent="0.15">
      <c r="A81" s="6">
        <v>75</v>
      </c>
      <c r="B81" s="18" t="s">
        <v>75</v>
      </c>
      <c r="C81" s="34" t="s">
        <v>2634</v>
      </c>
      <c r="D81" s="43" t="s">
        <v>3325</v>
      </c>
      <c r="E81" s="2" t="s">
        <v>3192</v>
      </c>
      <c r="F81" s="19">
        <v>258</v>
      </c>
      <c r="G81" s="6"/>
      <c r="H81" s="19" t="s">
        <v>9121</v>
      </c>
      <c r="I81" s="2"/>
      <c r="J81" s="38"/>
      <c r="K81" s="6"/>
      <c r="L81" s="38"/>
      <c r="M81" s="6" t="s">
        <v>6185</v>
      </c>
      <c r="N81" s="19">
        <v>1</v>
      </c>
      <c r="O81" s="112">
        <v>-3.40282346639E+38</v>
      </c>
      <c r="P81" s="2">
        <v>3.40282346639E+38</v>
      </c>
      <c r="Q81" s="6">
        <f>IFERROR(Table3335466[[#This Row],[Min Count]]/Table3335466[[#This Row],[Scalar]],"")</f>
        <v>-3.40282346639E+38</v>
      </c>
      <c r="R81" s="77">
        <f>IFERROR(Table3335466[[#This Row],[Max Count]]/Table3335466[[#This Row],[Scalar]],"")</f>
        <v>3.40282346639E+38</v>
      </c>
      <c r="S81" s="2"/>
      <c r="T81" s="2"/>
      <c r="U81" s="2"/>
      <c r="V81" s="33"/>
      <c r="W81" s="33" t="s">
        <v>3326</v>
      </c>
      <c r="X81" s="8"/>
      <c r="Y81" s="33"/>
      <c r="Z81"/>
      <c r="AD81"/>
      <c r="AE81"/>
      <c r="AF81"/>
      <c r="AG81"/>
    </row>
    <row r="82" spans="1:33" ht="16.149999999999999" customHeight="1" x14ac:dyDescent="0.15">
      <c r="A82" s="6">
        <v>76</v>
      </c>
      <c r="B82" s="18" t="s">
        <v>75</v>
      </c>
      <c r="C82" s="34" t="s">
        <v>2634</v>
      </c>
      <c r="D82" s="43" t="s">
        <v>3327</v>
      </c>
      <c r="E82" s="2" t="s">
        <v>3192</v>
      </c>
      <c r="F82" s="19">
        <v>274</v>
      </c>
      <c r="G82" s="6"/>
      <c r="H82" s="19" t="s">
        <v>9259</v>
      </c>
      <c r="I82" s="2"/>
      <c r="J82" s="38"/>
      <c r="K82" s="6"/>
      <c r="L82" s="38"/>
      <c r="M82" s="6" t="s">
        <v>8915</v>
      </c>
      <c r="N82" s="19">
        <v>1</v>
      </c>
      <c r="O82" s="112">
        <v>-3.40282346639E+38</v>
      </c>
      <c r="P82" s="2">
        <v>3.40282346639E+38</v>
      </c>
      <c r="Q82" s="6">
        <f>IFERROR(Table3335466[[#This Row],[Min Count]]/Table3335466[[#This Row],[Scalar]],"")</f>
        <v>-3.40282346639E+38</v>
      </c>
      <c r="R82" s="77">
        <f>IFERROR(Table3335466[[#This Row],[Max Count]]/Table3335466[[#This Row],[Scalar]],"")</f>
        <v>3.40282346639E+38</v>
      </c>
      <c r="S82" s="2"/>
      <c r="T82" s="2"/>
      <c r="U82" s="2"/>
      <c r="V82" s="33"/>
      <c r="W82" s="33" t="s">
        <v>3328</v>
      </c>
      <c r="X82" s="8"/>
      <c r="Y82" s="33"/>
      <c r="Z82"/>
      <c r="AD82"/>
      <c r="AE82"/>
      <c r="AF82"/>
      <c r="AG82"/>
    </row>
    <row r="83" spans="1:33" ht="16.149999999999999" customHeight="1" x14ac:dyDescent="0.15">
      <c r="A83" s="6">
        <v>77</v>
      </c>
      <c r="B83" s="18" t="s">
        <v>75</v>
      </c>
      <c r="C83" s="34" t="s">
        <v>2634</v>
      </c>
      <c r="D83" s="43" t="s">
        <v>3329</v>
      </c>
      <c r="E83" s="2" t="s">
        <v>3192</v>
      </c>
      <c r="F83" s="19">
        <v>276</v>
      </c>
      <c r="G83" s="6"/>
      <c r="H83" s="19" t="s">
        <v>9122</v>
      </c>
      <c r="I83" s="2"/>
      <c r="J83" s="38"/>
      <c r="K83" s="6"/>
      <c r="L83" s="38"/>
      <c r="M83" s="6" t="s">
        <v>8915</v>
      </c>
      <c r="N83" s="19">
        <v>1</v>
      </c>
      <c r="O83" s="112">
        <v>-3.40282346639E+38</v>
      </c>
      <c r="P83" s="2">
        <v>3.40282346639E+38</v>
      </c>
      <c r="Q83" s="6">
        <f>IFERROR(Table3335466[[#This Row],[Min Count]]/Table3335466[[#This Row],[Scalar]],"")</f>
        <v>-3.40282346639E+38</v>
      </c>
      <c r="R83" s="77">
        <f>IFERROR(Table3335466[[#This Row],[Max Count]]/Table3335466[[#This Row],[Scalar]],"")</f>
        <v>3.40282346639E+38</v>
      </c>
      <c r="S83" s="2"/>
      <c r="T83" s="2"/>
      <c r="U83" s="2"/>
      <c r="V83" s="33"/>
      <c r="W83" s="33" t="s">
        <v>3330</v>
      </c>
      <c r="X83" s="8"/>
      <c r="Y83" s="33"/>
      <c r="Z83"/>
      <c r="AD83"/>
      <c r="AE83"/>
      <c r="AF83"/>
      <c r="AG83"/>
    </row>
    <row r="84" spans="1:33" ht="16.149999999999999" customHeight="1" x14ac:dyDescent="0.15">
      <c r="A84" s="6">
        <v>78</v>
      </c>
      <c r="B84" s="18" t="s">
        <v>75</v>
      </c>
      <c r="C84" s="34" t="s">
        <v>2634</v>
      </c>
      <c r="D84" s="43" t="s">
        <v>3331</v>
      </c>
      <c r="E84" s="2" t="s">
        <v>3192</v>
      </c>
      <c r="F84" s="19">
        <v>278</v>
      </c>
      <c r="G84" s="6"/>
      <c r="H84" s="19" t="s">
        <v>9260</v>
      </c>
      <c r="I84" s="2"/>
      <c r="J84" s="38"/>
      <c r="K84" s="6"/>
      <c r="L84" s="38"/>
      <c r="M84" s="6" t="s">
        <v>8915</v>
      </c>
      <c r="N84" s="19">
        <v>1</v>
      </c>
      <c r="O84" s="112">
        <v>-3.40282346639E+38</v>
      </c>
      <c r="P84" s="2">
        <v>3.40282346639E+38</v>
      </c>
      <c r="Q84" s="6">
        <f>IFERROR(Table3335466[[#This Row],[Min Count]]/Table3335466[[#This Row],[Scalar]],"")</f>
        <v>-3.40282346639E+38</v>
      </c>
      <c r="R84" s="77">
        <f>IFERROR(Table3335466[[#This Row],[Max Count]]/Table3335466[[#This Row],[Scalar]],"")</f>
        <v>3.40282346639E+38</v>
      </c>
      <c r="S84" s="2"/>
      <c r="T84" s="2"/>
      <c r="U84" s="2"/>
      <c r="V84" s="33"/>
      <c r="W84" s="33" t="s">
        <v>3332</v>
      </c>
      <c r="X84" s="8"/>
      <c r="Y84" s="33"/>
      <c r="Z84"/>
      <c r="AD84"/>
      <c r="AE84"/>
      <c r="AF84"/>
      <c r="AG84"/>
    </row>
    <row r="85" spans="1:33" ht="16.149999999999999" customHeight="1" x14ac:dyDescent="0.15">
      <c r="A85" s="6">
        <v>79</v>
      </c>
      <c r="B85" s="18" t="s">
        <v>75</v>
      </c>
      <c r="C85" s="34" t="s">
        <v>2634</v>
      </c>
      <c r="D85" s="43" t="s">
        <v>3333</v>
      </c>
      <c r="E85" s="2" t="s">
        <v>3192</v>
      </c>
      <c r="F85" s="19">
        <v>324</v>
      </c>
      <c r="G85" s="6"/>
      <c r="H85" s="19" t="s">
        <v>9123</v>
      </c>
      <c r="I85" s="2"/>
      <c r="J85" s="38"/>
      <c r="K85" s="6"/>
      <c r="L85" s="38"/>
      <c r="M85" s="6" t="s">
        <v>7375</v>
      </c>
      <c r="N85" s="19">
        <v>1</v>
      </c>
      <c r="O85" s="112">
        <v>-3.40282346639E+38</v>
      </c>
      <c r="P85" s="2">
        <v>3.40282346639E+38</v>
      </c>
      <c r="Q85" s="6">
        <f>IFERROR(Table3335466[[#This Row],[Min Count]]/Table3335466[[#This Row],[Scalar]],"")</f>
        <v>-3.40282346639E+38</v>
      </c>
      <c r="R85" s="77">
        <f>IFERROR(Table3335466[[#This Row],[Max Count]]/Table3335466[[#This Row],[Scalar]],"")</f>
        <v>3.40282346639E+38</v>
      </c>
      <c r="S85" s="2"/>
      <c r="T85" s="2"/>
      <c r="U85" s="2"/>
      <c r="V85" s="33"/>
      <c r="W85" s="33" t="s">
        <v>3334</v>
      </c>
      <c r="X85" s="8"/>
      <c r="Y85" s="33"/>
      <c r="Z85"/>
      <c r="AD85"/>
      <c r="AE85"/>
      <c r="AF85"/>
      <c r="AG85"/>
    </row>
    <row r="86" spans="1:33" ht="16.149999999999999" customHeight="1" x14ac:dyDescent="0.15">
      <c r="A86" s="6">
        <v>80</v>
      </c>
      <c r="B86" s="18" t="s">
        <v>75</v>
      </c>
      <c r="C86" s="34" t="s">
        <v>2634</v>
      </c>
      <c r="D86" s="43" t="s">
        <v>9039</v>
      </c>
      <c r="E86" s="2" t="s">
        <v>3192</v>
      </c>
      <c r="F86" s="19">
        <v>326</v>
      </c>
      <c r="G86" s="6"/>
      <c r="H86" s="19" t="s">
        <v>9261</v>
      </c>
      <c r="I86" s="2"/>
      <c r="J86" s="38"/>
      <c r="K86" s="6"/>
      <c r="L86" s="38"/>
      <c r="M86" s="6" t="s">
        <v>7375</v>
      </c>
      <c r="N86" s="19">
        <v>1</v>
      </c>
      <c r="O86" s="112">
        <v>-3.40282346639E+38</v>
      </c>
      <c r="P86" s="2">
        <v>3.40282346639E+38</v>
      </c>
      <c r="Q86" s="6">
        <f>IFERROR(Table3335466[[#This Row],[Min Count]]/Table3335466[[#This Row],[Scalar]],"")</f>
        <v>-3.40282346639E+38</v>
      </c>
      <c r="R86" s="77">
        <f>IFERROR(Table3335466[[#This Row],[Max Count]]/Table3335466[[#This Row],[Scalar]],"")</f>
        <v>3.40282346639E+38</v>
      </c>
      <c r="S86" s="2"/>
      <c r="T86" s="2"/>
      <c r="U86" s="2"/>
      <c r="V86" s="33"/>
      <c r="W86" s="33" t="s">
        <v>9180</v>
      </c>
      <c r="X86" s="8"/>
      <c r="Y86" s="33"/>
      <c r="Z86"/>
      <c r="AD86"/>
      <c r="AE86"/>
      <c r="AF86"/>
      <c r="AG86"/>
    </row>
    <row r="87" spans="1:33" ht="16.149999999999999" customHeight="1" x14ac:dyDescent="0.15">
      <c r="A87" s="6">
        <v>81</v>
      </c>
      <c r="B87" s="18" t="s">
        <v>75</v>
      </c>
      <c r="C87" s="34" t="s">
        <v>2634</v>
      </c>
      <c r="D87" s="43" t="s">
        <v>9040</v>
      </c>
      <c r="E87" s="2" t="s">
        <v>3192</v>
      </c>
      <c r="F87" s="19">
        <v>330</v>
      </c>
      <c r="G87" s="6"/>
      <c r="H87" s="19" t="s">
        <v>9124</v>
      </c>
      <c r="I87" s="2"/>
      <c r="J87" s="38"/>
      <c r="K87" s="6"/>
      <c r="L87" s="38"/>
      <c r="M87" s="6" t="s">
        <v>7375</v>
      </c>
      <c r="N87" s="19">
        <v>1</v>
      </c>
      <c r="O87" s="112">
        <v>-3.40282346639E+38</v>
      </c>
      <c r="P87" s="2">
        <v>3.40282346639E+38</v>
      </c>
      <c r="Q87" s="6">
        <f>IFERROR(Table3335466[[#This Row],[Min Count]]/Table3335466[[#This Row],[Scalar]],"")</f>
        <v>-3.40282346639E+38</v>
      </c>
      <c r="R87" s="77">
        <f>IFERROR(Table3335466[[#This Row],[Max Count]]/Table3335466[[#This Row],[Scalar]],"")</f>
        <v>3.40282346639E+38</v>
      </c>
      <c r="S87" s="2"/>
      <c r="T87" s="2"/>
      <c r="U87" s="2"/>
      <c r="V87" s="33"/>
      <c r="W87" s="33" t="s">
        <v>9181</v>
      </c>
      <c r="X87" s="8"/>
      <c r="Y87" s="33"/>
      <c r="Z87"/>
      <c r="AD87"/>
      <c r="AE87"/>
      <c r="AF87"/>
      <c r="AG87"/>
    </row>
    <row r="88" spans="1:33" ht="16.149999999999999" customHeight="1" x14ac:dyDescent="0.15">
      <c r="A88" s="6">
        <v>82</v>
      </c>
      <c r="B88" s="18" t="s">
        <v>75</v>
      </c>
      <c r="C88" s="34" t="s">
        <v>2634</v>
      </c>
      <c r="D88" s="43" t="s">
        <v>3337</v>
      </c>
      <c r="E88" s="2" t="s">
        <v>3192</v>
      </c>
      <c r="F88" s="19">
        <v>350</v>
      </c>
      <c r="G88" s="6"/>
      <c r="H88" s="19" t="s">
        <v>9262</v>
      </c>
      <c r="I88" s="2"/>
      <c r="J88" s="38"/>
      <c r="K88" s="6"/>
      <c r="L88" s="38"/>
      <c r="M88" s="6" t="s">
        <v>560</v>
      </c>
      <c r="N88" s="19">
        <v>1</v>
      </c>
      <c r="O88" s="112">
        <v>-3.40282346639E+38</v>
      </c>
      <c r="P88" s="2">
        <v>3.40282346639E+38</v>
      </c>
      <c r="Q88" s="6">
        <f>IFERROR(Table3335466[[#This Row],[Min Count]]/Table3335466[[#This Row],[Scalar]],"")</f>
        <v>-3.40282346639E+38</v>
      </c>
      <c r="R88" s="77">
        <f>IFERROR(Table3335466[[#This Row],[Max Count]]/Table3335466[[#This Row],[Scalar]],"")</f>
        <v>3.40282346639E+38</v>
      </c>
      <c r="S88" s="2"/>
      <c r="T88" s="2"/>
      <c r="U88" s="2"/>
      <c r="V88" s="33"/>
      <c r="W88" s="33" t="s">
        <v>3338</v>
      </c>
      <c r="X88" s="8"/>
      <c r="Y88" s="33"/>
      <c r="Z88"/>
      <c r="AD88"/>
      <c r="AE88"/>
      <c r="AF88"/>
      <c r="AG88"/>
    </row>
    <row r="89" spans="1:33" ht="16.149999999999999" customHeight="1" x14ac:dyDescent="0.15">
      <c r="A89" s="6">
        <v>83</v>
      </c>
      <c r="B89" s="18" t="s">
        <v>75</v>
      </c>
      <c r="C89" s="34" t="s">
        <v>2634</v>
      </c>
      <c r="D89" s="43" t="s">
        <v>3339</v>
      </c>
      <c r="E89" s="2" t="s">
        <v>3192</v>
      </c>
      <c r="F89" s="19">
        <v>352</v>
      </c>
      <c r="G89" s="6"/>
      <c r="H89" s="19" t="s">
        <v>9125</v>
      </c>
      <c r="I89" s="2"/>
      <c r="J89" s="38"/>
      <c r="K89" s="6"/>
      <c r="L89" s="38"/>
      <c r="M89" s="6" t="s">
        <v>8915</v>
      </c>
      <c r="N89" s="19">
        <v>1</v>
      </c>
      <c r="O89" s="112">
        <v>-3.40282346639E+38</v>
      </c>
      <c r="P89" s="2">
        <v>3.40282346639E+38</v>
      </c>
      <c r="Q89" s="6">
        <f>IFERROR(Table3335466[[#This Row],[Min Count]]/Table3335466[[#This Row],[Scalar]],"")</f>
        <v>-3.40282346639E+38</v>
      </c>
      <c r="R89" s="77">
        <f>IFERROR(Table3335466[[#This Row],[Max Count]]/Table3335466[[#This Row],[Scalar]],"")</f>
        <v>3.40282346639E+38</v>
      </c>
      <c r="S89" s="2"/>
      <c r="T89" s="2"/>
      <c r="U89" s="2"/>
      <c r="V89" s="33"/>
      <c r="W89" s="33" t="s">
        <v>3340</v>
      </c>
      <c r="X89" s="8"/>
      <c r="Y89" s="33"/>
      <c r="Z89"/>
      <c r="AD89"/>
      <c r="AE89"/>
      <c r="AF89"/>
      <c r="AG89"/>
    </row>
    <row r="90" spans="1:33" ht="16.149999999999999" customHeight="1" x14ac:dyDescent="0.15">
      <c r="A90" s="6">
        <v>84</v>
      </c>
      <c r="B90" s="18" t="s">
        <v>75</v>
      </c>
      <c r="C90" s="34" t="s">
        <v>2634</v>
      </c>
      <c r="D90" s="43" t="s">
        <v>3341</v>
      </c>
      <c r="E90" s="2" t="s">
        <v>3192</v>
      </c>
      <c r="F90" s="19">
        <v>354</v>
      </c>
      <c r="G90" s="6"/>
      <c r="H90" s="19" t="s">
        <v>9263</v>
      </c>
      <c r="I90" s="2"/>
      <c r="J90" s="38"/>
      <c r="K90" s="6"/>
      <c r="L90" s="38"/>
      <c r="M90" s="6" t="s">
        <v>7353</v>
      </c>
      <c r="N90" s="19">
        <v>1</v>
      </c>
      <c r="O90" s="112">
        <v>-3.40282346639E+38</v>
      </c>
      <c r="P90" s="2">
        <v>3.40282346639E+38</v>
      </c>
      <c r="Q90" s="6">
        <f>IFERROR(Table3335466[[#This Row],[Min Count]]/Table3335466[[#This Row],[Scalar]],"")</f>
        <v>-3.40282346639E+38</v>
      </c>
      <c r="R90" s="77">
        <f>IFERROR(Table3335466[[#This Row],[Max Count]]/Table3335466[[#This Row],[Scalar]],"")</f>
        <v>3.40282346639E+38</v>
      </c>
      <c r="S90" s="2"/>
      <c r="T90" s="2"/>
      <c r="U90" s="2"/>
      <c r="V90" s="33"/>
      <c r="W90" s="33" t="s">
        <v>3342</v>
      </c>
      <c r="X90" s="8"/>
      <c r="Y90" s="33"/>
      <c r="Z90"/>
      <c r="AD90"/>
      <c r="AE90"/>
      <c r="AF90"/>
      <c r="AG90"/>
    </row>
    <row r="91" spans="1:33" ht="16.149999999999999" customHeight="1" x14ac:dyDescent="0.15">
      <c r="A91" s="6">
        <v>85</v>
      </c>
      <c r="B91" s="18" t="s">
        <v>75</v>
      </c>
      <c r="C91" s="34" t="s">
        <v>2634</v>
      </c>
      <c r="D91" s="43" t="s">
        <v>3343</v>
      </c>
      <c r="E91" s="2" t="s">
        <v>3192</v>
      </c>
      <c r="F91" s="19">
        <v>356</v>
      </c>
      <c r="G91" s="6"/>
      <c r="H91" s="19" t="s">
        <v>9126</v>
      </c>
      <c r="I91" s="2"/>
      <c r="J91" s="38"/>
      <c r="K91" s="6"/>
      <c r="L91" s="38"/>
      <c r="M91" s="6" t="s">
        <v>7383</v>
      </c>
      <c r="N91" s="19">
        <v>1</v>
      </c>
      <c r="O91" s="112">
        <v>-3.40282346639E+38</v>
      </c>
      <c r="P91" s="2">
        <v>3.40282346639E+38</v>
      </c>
      <c r="Q91" s="6">
        <f>IFERROR(Table3335466[[#This Row],[Min Count]]/Table3335466[[#This Row],[Scalar]],"")</f>
        <v>-3.40282346639E+38</v>
      </c>
      <c r="R91" s="77">
        <f>IFERROR(Table3335466[[#This Row],[Max Count]]/Table3335466[[#This Row],[Scalar]],"")</f>
        <v>3.40282346639E+38</v>
      </c>
      <c r="S91" s="2"/>
      <c r="T91" s="2"/>
      <c r="U91" s="2"/>
      <c r="V91" s="33"/>
      <c r="W91" s="33" t="s">
        <v>3344</v>
      </c>
      <c r="X91" s="8"/>
      <c r="Y91" s="33"/>
      <c r="Z91"/>
      <c r="AD91"/>
      <c r="AE91"/>
      <c r="AF91"/>
      <c r="AG91"/>
    </row>
    <row r="92" spans="1:33" ht="16.149999999999999" customHeight="1" x14ac:dyDescent="0.15">
      <c r="A92" s="6">
        <v>86</v>
      </c>
      <c r="B92" s="18" t="s">
        <v>75</v>
      </c>
      <c r="C92" s="34" t="s">
        <v>2634</v>
      </c>
      <c r="D92" t="s">
        <v>3345</v>
      </c>
      <c r="E92" s="2" t="s">
        <v>3192</v>
      </c>
      <c r="F92" s="19">
        <v>358</v>
      </c>
      <c r="G92" s="6"/>
      <c r="H92" s="19" t="s">
        <v>9264</v>
      </c>
      <c r="I92" s="2"/>
      <c r="J92" s="38"/>
      <c r="K92" s="6"/>
      <c r="L92" s="38"/>
      <c r="M92" s="6" t="s">
        <v>123</v>
      </c>
      <c r="N92" s="19">
        <v>1E-3</v>
      </c>
      <c r="O92" s="6">
        <v>-3.40282346639E+38</v>
      </c>
      <c r="P92" s="6">
        <v>3.40282346639E+38</v>
      </c>
      <c r="Q92" s="6">
        <f>IFERROR(Table3335466[[#This Row],[Min Count]]/Table3335466[[#This Row],[Scalar]],"")</f>
        <v>-3.4028234663900001E+41</v>
      </c>
      <c r="R92" s="6">
        <f>IFERROR(Table3335466[[#This Row],[Max Count]]/Table3335466[[#This Row],[Scalar]],"")</f>
        <v>3.4028234663900001E+41</v>
      </c>
      <c r="S92" s="2"/>
      <c r="T92" s="2"/>
      <c r="U92" s="2"/>
      <c r="V92" s="8"/>
      <c r="W92" s="77" t="s">
        <v>9182</v>
      </c>
      <c r="X92" s="8"/>
      <c r="Y92" s="34"/>
      <c r="Z92"/>
      <c r="AD92"/>
      <c r="AE92"/>
      <c r="AF92"/>
      <c r="AG92"/>
    </row>
    <row r="93" spans="1:33" ht="16.149999999999999" customHeight="1" x14ac:dyDescent="0.15">
      <c r="A93" s="6">
        <v>87</v>
      </c>
      <c r="B93" s="18" t="s">
        <v>75</v>
      </c>
      <c r="C93" s="34" t="s">
        <v>2634</v>
      </c>
      <c r="D93" s="43" t="s">
        <v>9041</v>
      </c>
      <c r="E93" s="2" t="s">
        <v>3192</v>
      </c>
      <c r="F93" s="19">
        <v>362</v>
      </c>
      <c r="G93" s="6"/>
      <c r="H93" s="19" t="s">
        <v>9127</v>
      </c>
      <c r="I93" s="2"/>
      <c r="J93" s="38"/>
      <c r="K93" s="6"/>
      <c r="L93" s="38"/>
      <c r="M93" s="6" t="s">
        <v>560</v>
      </c>
      <c r="N93" s="19">
        <v>1</v>
      </c>
      <c r="O93" s="45">
        <v>-3.40282346639E+38</v>
      </c>
      <c r="P93" s="2">
        <v>3.40282346639E+38</v>
      </c>
      <c r="Q93" s="38">
        <f>IFERROR(Table3335466[[#This Row],[Min Count]]/Table3335466[[#This Row],[Scalar]],"")</f>
        <v>-3.40282346639E+38</v>
      </c>
      <c r="R93" s="36">
        <f>IFERROR(Table3335466[[#This Row],[Max Count]]/Table3335466[[#This Row],[Scalar]],"")</f>
        <v>3.40282346639E+38</v>
      </c>
      <c r="S93" s="34"/>
      <c r="T93" s="2"/>
      <c r="U93" s="34"/>
      <c r="V93" s="33"/>
      <c r="W93" s="33" t="s">
        <v>9183</v>
      </c>
      <c r="X93" s="8"/>
      <c r="Y93" s="33"/>
      <c r="Z93"/>
      <c r="AD93"/>
      <c r="AE93"/>
      <c r="AF93"/>
      <c r="AG93"/>
    </row>
    <row r="94" spans="1:33" ht="16.149999999999999" customHeight="1" x14ac:dyDescent="0.15">
      <c r="A94" s="6">
        <v>88</v>
      </c>
      <c r="B94" s="18" t="s">
        <v>75</v>
      </c>
      <c r="C94" s="34" t="s">
        <v>2634</v>
      </c>
      <c r="D94" s="43" t="s">
        <v>9042</v>
      </c>
      <c r="E94" s="2" t="s">
        <v>3192</v>
      </c>
      <c r="F94" s="19">
        <v>364</v>
      </c>
      <c r="G94" s="6"/>
      <c r="H94" s="19" t="s">
        <v>9265</v>
      </c>
      <c r="I94" s="2"/>
      <c r="J94" s="38"/>
      <c r="K94" s="6"/>
      <c r="L94" s="38"/>
      <c r="M94" s="6" t="s">
        <v>8915</v>
      </c>
      <c r="N94" s="19">
        <v>1</v>
      </c>
      <c r="O94" s="45">
        <v>-3.40282346639E+38</v>
      </c>
      <c r="P94" s="2">
        <v>3.40282346639E+38</v>
      </c>
      <c r="Q94" s="38">
        <f>IFERROR(Table3335466[[#This Row],[Min Count]]/Table3335466[[#This Row],[Scalar]],"")</f>
        <v>-3.40282346639E+38</v>
      </c>
      <c r="R94" s="36">
        <f>IFERROR(Table3335466[[#This Row],[Max Count]]/Table3335466[[#This Row],[Scalar]],"")</f>
        <v>3.40282346639E+38</v>
      </c>
      <c r="S94" s="34"/>
      <c r="T94" s="2"/>
      <c r="U94" s="34"/>
      <c r="V94" s="33"/>
      <c r="W94" s="33" t="s">
        <v>9184</v>
      </c>
      <c r="X94" s="8"/>
      <c r="Y94" s="33"/>
      <c r="Z94"/>
      <c r="AD94"/>
      <c r="AE94"/>
      <c r="AF94"/>
      <c r="AG94"/>
    </row>
    <row r="95" spans="1:33" ht="16.149999999999999" customHeight="1" x14ac:dyDescent="0.15">
      <c r="A95" s="6">
        <v>89</v>
      </c>
      <c r="B95" s="18" t="s">
        <v>75</v>
      </c>
      <c r="C95" s="34" t="s">
        <v>2634</v>
      </c>
      <c r="D95" s="43" t="s">
        <v>9043</v>
      </c>
      <c r="E95" s="2" t="s">
        <v>3192</v>
      </c>
      <c r="F95" s="19">
        <v>366</v>
      </c>
      <c r="G95" s="6"/>
      <c r="H95" s="19" t="s">
        <v>9128</v>
      </c>
      <c r="I95" s="2"/>
      <c r="J95" s="38"/>
      <c r="K95" s="6"/>
      <c r="L95" s="38"/>
      <c r="M95" s="6" t="s">
        <v>7353</v>
      </c>
      <c r="N95" s="19">
        <v>1</v>
      </c>
      <c r="O95" s="45">
        <v>-3.40282346639E+38</v>
      </c>
      <c r="P95" s="2">
        <v>3.40282346639E+38</v>
      </c>
      <c r="Q95" s="38">
        <f>IFERROR(Table3335466[[#This Row],[Min Count]]/Table3335466[[#This Row],[Scalar]],"")</f>
        <v>-3.40282346639E+38</v>
      </c>
      <c r="R95" s="36">
        <f>IFERROR(Table3335466[[#This Row],[Max Count]]/Table3335466[[#This Row],[Scalar]],"")</f>
        <v>3.40282346639E+38</v>
      </c>
      <c r="S95" s="34"/>
      <c r="T95" s="2"/>
      <c r="U95" s="34"/>
      <c r="V95" s="33"/>
      <c r="W95" s="33" t="s">
        <v>9185</v>
      </c>
      <c r="X95" s="8"/>
      <c r="Y95" s="33"/>
      <c r="Z95"/>
      <c r="AD95"/>
      <c r="AE95"/>
      <c r="AF95"/>
      <c r="AG95"/>
    </row>
    <row r="96" spans="1:33" ht="16.149999999999999" customHeight="1" x14ac:dyDescent="0.15">
      <c r="A96" s="6">
        <v>90</v>
      </c>
      <c r="B96" s="18" t="s">
        <v>75</v>
      </c>
      <c r="C96" s="34" t="s">
        <v>2634</v>
      </c>
      <c r="D96" s="43" t="s">
        <v>9044</v>
      </c>
      <c r="E96" s="2" t="s">
        <v>3192</v>
      </c>
      <c r="F96" s="19">
        <v>368</v>
      </c>
      <c r="G96" s="6"/>
      <c r="H96" s="19" t="s">
        <v>9266</v>
      </c>
      <c r="I96" s="2"/>
      <c r="J96" s="38"/>
      <c r="K96" s="6"/>
      <c r="L96" s="38"/>
      <c r="M96" s="6" t="s">
        <v>7383</v>
      </c>
      <c r="N96" s="19">
        <v>1</v>
      </c>
      <c r="O96" s="45">
        <v>-3.40282346639E+38</v>
      </c>
      <c r="P96" s="2">
        <v>3.40282346639E+38</v>
      </c>
      <c r="Q96" s="38">
        <f>IFERROR(Table3335466[[#This Row],[Min Count]]/Table3335466[[#This Row],[Scalar]],"")</f>
        <v>-3.40282346639E+38</v>
      </c>
      <c r="R96" s="36">
        <f>IFERROR(Table3335466[[#This Row],[Max Count]]/Table3335466[[#This Row],[Scalar]],"")</f>
        <v>3.40282346639E+38</v>
      </c>
      <c r="S96" s="34"/>
      <c r="T96" s="2"/>
      <c r="U96" s="34"/>
      <c r="V96" s="33"/>
      <c r="W96" s="33" t="s">
        <v>9186</v>
      </c>
      <c r="X96" s="8"/>
      <c r="Y96" s="33"/>
      <c r="Z96"/>
      <c r="AD96"/>
      <c r="AE96"/>
      <c r="AF96"/>
      <c r="AG96"/>
    </row>
    <row r="97" spans="1:33" ht="16.149999999999999" customHeight="1" x14ac:dyDescent="0.15">
      <c r="A97" s="6">
        <v>91</v>
      </c>
      <c r="B97" s="18" t="s">
        <v>75</v>
      </c>
      <c r="C97" s="34" t="s">
        <v>2634</v>
      </c>
      <c r="D97" s="43" t="s">
        <v>9045</v>
      </c>
      <c r="E97" s="2" t="s">
        <v>3192</v>
      </c>
      <c r="F97" s="19">
        <v>370</v>
      </c>
      <c r="G97" s="6"/>
      <c r="H97" s="19" t="s">
        <v>9129</v>
      </c>
      <c r="I97" s="2"/>
      <c r="J97" s="38"/>
      <c r="K97" s="6"/>
      <c r="L97" s="38"/>
      <c r="M97" s="6" t="s">
        <v>123</v>
      </c>
      <c r="N97" s="19">
        <v>1E-3</v>
      </c>
      <c r="O97" s="45">
        <v>-3.40282346639E+38</v>
      </c>
      <c r="P97" s="2">
        <v>3.40282346639E+38</v>
      </c>
      <c r="Q97" s="38">
        <f>IFERROR(Table3335466[[#This Row],[Min Count]]/Table3335466[[#This Row],[Scalar]],"")</f>
        <v>-3.4028234663900001E+41</v>
      </c>
      <c r="R97" s="36">
        <f>IFERROR(Table3335466[[#This Row],[Max Count]]/Table3335466[[#This Row],[Scalar]],"")</f>
        <v>3.4028234663900001E+41</v>
      </c>
      <c r="S97" s="34"/>
      <c r="T97" s="2"/>
      <c r="U97" s="34"/>
      <c r="V97" s="33"/>
      <c r="W97" s="33" t="s">
        <v>9187</v>
      </c>
      <c r="X97" s="8"/>
      <c r="Y97" s="33"/>
      <c r="Z97"/>
      <c r="AD97"/>
      <c r="AE97"/>
      <c r="AF97"/>
      <c r="AG97"/>
    </row>
    <row r="98" spans="1:33" ht="16.149999999999999" customHeight="1" x14ac:dyDescent="0.15">
      <c r="A98" s="6">
        <v>92</v>
      </c>
      <c r="B98" s="18" t="s">
        <v>75</v>
      </c>
      <c r="C98" s="34" t="s">
        <v>2634</v>
      </c>
      <c r="D98" s="43" t="s">
        <v>9046</v>
      </c>
      <c r="E98" s="2" t="s">
        <v>3192</v>
      </c>
      <c r="F98" s="19">
        <v>386</v>
      </c>
      <c r="G98" s="6"/>
      <c r="H98" s="19" t="s">
        <v>9267</v>
      </c>
      <c r="I98" s="2"/>
      <c r="J98" s="38"/>
      <c r="K98" s="6"/>
      <c r="L98" s="38"/>
      <c r="M98" s="6" t="s">
        <v>560</v>
      </c>
      <c r="N98" s="19">
        <v>1</v>
      </c>
      <c r="O98" s="45">
        <v>-3.40282346639E+38</v>
      </c>
      <c r="P98" s="2">
        <v>3.40282346639E+38</v>
      </c>
      <c r="Q98" s="38">
        <f>IFERROR(Table3335466[[#This Row],[Min Count]]/Table3335466[[#This Row],[Scalar]],"")</f>
        <v>-3.40282346639E+38</v>
      </c>
      <c r="R98" s="36">
        <f>IFERROR(Table3335466[[#This Row],[Max Count]]/Table3335466[[#This Row],[Scalar]],"")</f>
        <v>3.40282346639E+38</v>
      </c>
      <c r="S98" s="34"/>
      <c r="T98" s="2"/>
      <c r="U98" s="34"/>
      <c r="V98" s="33"/>
      <c r="W98" s="33" t="s">
        <v>9188</v>
      </c>
      <c r="X98" s="8"/>
      <c r="Y98" s="33"/>
      <c r="Z98"/>
      <c r="AD98"/>
      <c r="AE98"/>
      <c r="AF98"/>
      <c r="AG98"/>
    </row>
    <row r="99" spans="1:33" ht="16.149999999999999" customHeight="1" x14ac:dyDescent="0.15">
      <c r="A99" s="6">
        <v>93</v>
      </c>
      <c r="B99" s="18" t="s">
        <v>75</v>
      </c>
      <c r="C99" s="34" t="s">
        <v>2634</v>
      </c>
      <c r="D99" s="43" t="s">
        <v>9047</v>
      </c>
      <c r="E99" s="2" t="s">
        <v>3192</v>
      </c>
      <c r="F99" s="19">
        <v>388</v>
      </c>
      <c r="G99" s="6"/>
      <c r="H99" s="19" t="s">
        <v>9130</v>
      </c>
      <c r="I99" s="2"/>
      <c r="J99" s="38"/>
      <c r="K99" s="6"/>
      <c r="L99" s="38"/>
      <c r="M99" s="6" t="s">
        <v>8915</v>
      </c>
      <c r="N99" s="19">
        <v>1</v>
      </c>
      <c r="O99" s="45">
        <v>-3.40282346639E+38</v>
      </c>
      <c r="P99" s="2">
        <v>3.40282346639E+38</v>
      </c>
      <c r="Q99" s="38">
        <f>IFERROR(Table3335466[[#This Row],[Min Count]]/Table3335466[[#This Row],[Scalar]],"")</f>
        <v>-3.40282346639E+38</v>
      </c>
      <c r="R99" s="36">
        <f>IFERROR(Table3335466[[#This Row],[Max Count]]/Table3335466[[#This Row],[Scalar]],"")</f>
        <v>3.40282346639E+38</v>
      </c>
      <c r="S99" s="34"/>
      <c r="T99" s="2"/>
      <c r="U99" s="34"/>
      <c r="V99" s="33"/>
      <c r="W99" s="33" t="s">
        <v>9189</v>
      </c>
      <c r="X99" s="8"/>
      <c r="Y99" s="33"/>
      <c r="Z99"/>
      <c r="AD99"/>
      <c r="AE99"/>
      <c r="AF99"/>
      <c r="AG99"/>
    </row>
    <row r="100" spans="1:33" ht="16.149999999999999" customHeight="1" x14ac:dyDescent="0.15">
      <c r="A100" s="6">
        <v>94</v>
      </c>
      <c r="B100" s="18" t="s">
        <v>75</v>
      </c>
      <c r="C100" s="34" t="s">
        <v>2634</v>
      </c>
      <c r="D100" s="43" t="s">
        <v>9048</v>
      </c>
      <c r="E100" s="2" t="s">
        <v>3192</v>
      </c>
      <c r="F100" s="19">
        <v>390</v>
      </c>
      <c r="G100" s="6"/>
      <c r="H100" s="19" t="s">
        <v>9268</v>
      </c>
      <c r="I100" s="2"/>
      <c r="J100" s="38"/>
      <c r="K100" s="6"/>
      <c r="L100" s="38"/>
      <c r="M100" s="6" t="s">
        <v>7353</v>
      </c>
      <c r="N100" s="19">
        <v>1</v>
      </c>
      <c r="O100" s="45">
        <v>-3.40282346639E+38</v>
      </c>
      <c r="P100" s="2">
        <v>3.40282346639E+38</v>
      </c>
      <c r="Q100" s="38">
        <f>IFERROR(Table3335466[[#This Row],[Min Count]]/Table3335466[[#This Row],[Scalar]],"")</f>
        <v>-3.40282346639E+38</v>
      </c>
      <c r="R100" s="36">
        <f>IFERROR(Table3335466[[#This Row],[Max Count]]/Table3335466[[#This Row],[Scalar]],"")</f>
        <v>3.40282346639E+38</v>
      </c>
      <c r="S100" s="34"/>
      <c r="T100" s="2"/>
      <c r="U100" s="34"/>
      <c r="V100" s="33"/>
      <c r="W100" s="33" t="s">
        <v>9190</v>
      </c>
      <c r="X100" s="8"/>
      <c r="Y100" s="33"/>
      <c r="Z100"/>
      <c r="AD100"/>
      <c r="AE100"/>
      <c r="AF100"/>
      <c r="AG100"/>
    </row>
    <row r="101" spans="1:33" ht="16.149999999999999" customHeight="1" x14ac:dyDescent="0.15">
      <c r="A101" s="6">
        <v>95</v>
      </c>
      <c r="B101" s="18" t="s">
        <v>75</v>
      </c>
      <c r="C101" s="34" t="s">
        <v>2634</v>
      </c>
      <c r="D101" s="43" t="s">
        <v>9049</v>
      </c>
      <c r="E101" s="2" t="s">
        <v>3192</v>
      </c>
      <c r="F101" s="19">
        <v>392</v>
      </c>
      <c r="G101" s="6"/>
      <c r="H101" s="19" t="s">
        <v>9131</v>
      </c>
      <c r="I101" s="2"/>
      <c r="J101" s="38"/>
      <c r="K101" s="6"/>
      <c r="L101" s="38"/>
      <c r="M101" s="6" t="s">
        <v>7383</v>
      </c>
      <c r="N101" s="19">
        <v>1</v>
      </c>
      <c r="O101" s="45">
        <v>-3.40282346639E+38</v>
      </c>
      <c r="P101" s="2">
        <v>3.40282346639E+38</v>
      </c>
      <c r="Q101" s="38">
        <f>IFERROR(Table3335466[[#This Row],[Min Count]]/Table3335466[[#This Row],[Scalar]],"")</f>
        <v>-3.40282346639E+38</v>
      </c>
      <c r="R101" s="36">
        <f>IFERROR(Table3335466[[#This Row],[Max Count]]/Table3335466[[#This Row],[Scalar]],"")</f>
        <v>3.40282346639E+38</v>
      </c>
      <c r="S101" s="34"/>
      <c r="T101" s="2"/>
      <c r="U101" s="34"/>
      <c r="V101" s="33"/>
      <c r="W101" s="33" t="s">
        <v>9191</v>
      </c>
      <c r="X101" s="8"/>
      <c r="Y101" s="33"/>
      <c r="Z101"/>
      <c r="AD101"/>
      <c r="AE101"/>
      <c r="AF101"/>
      <c r="AG101"/>
    </row>
    <row r="102" spans="1:33" ht="16.149999999999999" customHeight="1" x14ac:dyDescent="0.15">
      <c r="A102" s="6">
        <v>96</v>
      </c>
      <c r="B102" s="18" t="s">
        <v>75</v>
      </c>
      <c r="C102" s="34" t="s">
        <v>2634</v>
      </c>
      <c r="D102" s="43" t="s">
        <v>9050</v>
      </c>
      <c r="E102" s="2" t="s">
        <v>3192</v>
      </c>
      <c r="F102" s="19">
        <v>394</v>
      </c>
      <c r="G102" s="6"/>
      <c r="H102" s="19" t="s">
        <v>9269</v>
      </c>
      <c r="I102" s="2"/>
      <c r="J102" s="38"/>
      <c r="K102" s="6"/>
      <c r="L102" s="38"/>
      <c r="M102" s="6" t="s">
        <v>123</v>
      </c>
      <c r="N102" s="19">
        <v>1E-3</v>
      </c>
      <c r="O102" s="45">
        <v>-3.40282346639E+38</v>
      </c>
      <c r="P102" s="2">
        <v>3.40282346639E+38</v>
      </c>
      <c r="Q102" s="38">
        <f>IFERROR(Table3335466[[#This Row],[Min Count]]/Table3335466[[#This Row],[Scalar]],"")</f>
        <v>-3.4028234663900001E+41</v>
      </c>
      <c r="R102" s="36">
        <f>IFERROR(Table3335466[[#This Row],[Max Count]]/Table3335466[[#This Row],[Scalar]],"")</f>
        <v>3.4028234663900001E+41</v>
      </c>
      <c r="S102" s="34"/>
      <c r="T102" s="2"/>
      <c r="U102" s="34"/>
      <c r="V102" s="33"/>
      <c r="W102" s="33" t="s">
        <v>9192</v>
      </c>
      <c r="X102" s="8"/>
      <c r="Y102" s="33"/>
      <c r="Z102"/>
      <c r="AD102"/>
      <c r="AE102"/>
      <c r="AF102"/>
      <c r="AG102"/>
    </row>
    <row r="103" spans="1:33" ht="16.149999999999999" customHeight="1" x14ac:dyDescent="0.15">
      <c r="A103" s="6">
        <v>97</v>
      </c>
      <c r="B103" s="18" t="s">
        <v>75</v>
      </c>
      <c r="C103" s="34" t="s">
        <v>2634</v>
      </c>
      <c r="D103" s="43" t="s">
        <v>3198</v>
      </c>
      <c r="E103" s="2" t="s">
        <v>3192</v>
      </c>
      <c r="F103" s="19">
        <v>404</v>
      </c>
      <c r="G103" s="6"/>
      <c r="H103" s="19" t="s">
        <v>9132</v>
      </c>
      <c r="I103" s="2"/>
      <c r="J103" s="38"/>
      <c r="K103" s="6"/>
      <c r="L103" s="38"/>
      <c r="M103" s="6" t="s">
        <v>8917</v>
      </c>
      <c r="N103" s="19">
        <v>1</v>
      </c>
      <c r="O103" s="45">
        <v>-3.40282346639E+38</v>
      </c>
      <c r="P103" s="2">
        <v>3.40282346639E+38</v>
      </c>
      <c r="Q103" s="38">
        <f>IFERROR(Table3335466[[#This Row],[Min Count]]/Table3335466[[#This Row],[Scalar]],"")</f>
        <v>-3.40282346639E+38</v>
      </c>
      <c r="R103" s="36">
        <f>IFERROR(Table3335466[[#This Row],[Max Count]]/Table3335466[[#This Row],[Scalar]],"")</f>
        <v>3.40282346639E+38</v>
      </c>
      <c r="S103" s="34"/>
      <c r="T103" s="2"/>
      <c r="U103" s="34"/>
      <c r="V103" s="33"/>
      <c r="W103" s="33" t="s">
        <v>3357</v>
      </c>
      <c r="X103" s="8"/>
      <c r="Y103" s="33"/>
      <c r="Z103"/>
      <c r="AD103"/>
      <c r="AE103"/>
      <c r="AF103"/>
      <c r="AG103"/>
    </row>
    <row r="104" spans="1:33" ht="16.149999999999999" customHeight="1" x14ac:dyDescent="0.15">
      <c r="A104" s="6">
        <v>98</v>
      </c>
      <c r="B104" s="18" t="s">
        <v>75</v>
      </c>
      <c r="C104" s="34" t="s">
        <v>2634</v>
      </c>
      <c r="D104" s="43" t="s">
        <v>3358</v>
      </c>
      <c r="E104" s="2" t="s">
        <v>3192</v>
      </c>
      <c r="F104" s="19">
        <v>472</v>
      </c>
      <c r="G104" s="6"/>
      <c r="H104" s="19" t="s">
        <v>9270</v>
      </c>
      <c r="I104" s="2"/>
      <c r="J104" s="38"/>
      <c r="K104" s="6"/>
      <c r="L104" s="38"/>
      <c r="M104" s="6" t="s">
        <v>8917</v>
      </c>
      <c r="N104" s="19">
        <v>1</v>
      </c>
      <c r="O104" s="45">
        <v>-3.40282346639E+38</v>
      </c>
      <c r="P104" s="2">
        <v>3.40282346639E+38</v>
      </c>
      <c r="Q104" s="38">
        <f>IFERROR(Table3335466[[#This Row],[Min Count]]/Table3335466[[#This Row],[Scalar]],"")</f>
        <v>-3.40282346639E+38</v>
      </c>
      <c r="R104" s="36">
        <f>IFERROR(Table3335466[[#This Row],[Max Count]]/Table3335466[[#This Row],[Scalar]],"")</f>
        <v>3.40282346639E+38</v>
      </c>
      <c r="S104" s="34"/>
      <c r="T104" s="2"/>
      <c r="U104" s="34"/>
      <c r="V104" s="33"/>
      <c r="W104" s="33" t="s">
        <v>3359</v>
      </c>
      <c r="X104" s="8"/>
      <c r="Y104" s="33"/>
      <c r="Z104"/>
      <c r="AD104"/>
      <c r="AE104"/>
      <c r="AF104"/>
      <c r="AG104"/>
    </row>
    <row r="105" spans="1:33" ht="16.149999999999999" customHeight="1" x14ac:dyDescent="0.15">
      <c r="A105" s="6">
        <v>99</v>
      </c>
      <c r="B105" s="18" t="s">
        <v>75</v>
      </c>
      <c r="C105" s="34" t="s">
        <v>2634</v>
      </c>
      <c r="D105" t="s">
        <v>3249</v>
      </c>
      <c r="E105" s="2" t="s">
        <v>3192</v>
      </c>
      <c r="F105" s="19">
        <v>474</v>
      </c>
      <c r="G105" s="6"/>
      <c r="H105" s="19" t="s">
        <v>9271</v>
      </c>
      <c r="I105" s="2"/>
      <c r="J105" s="38"/>
      <c r="K105" s="6"/>
      <c r="L105" s="38"/>
      <c r="M105" s="6" t="s">
        <v>8917</v>
      </c>
      <c r="N105" s="19">
        <v>1</v>
      </c>
      <c r="O105" s="38">
        <v>-3.40282346639E+38</v>
      </c>
      <c r="P105" s="38">
        <v>3.40282346639E+38</v>
      </c>
      <c r="Q105" s="38">
        <f>IFERROR(Table3335466[[#This Row],[Min Count]]/Table3335466[[#This Row],[Scalar]],"")</f>
        <v>-3.40282346639E+38</v>
      </c>
      <c r="R105" s="38">
        <f>IFERROR(Table3335466[[#This Row],[Max Count]]/Table3335466[[#This Row],[Scalar]],"")</f>
        <v>3.40282346639E+38</v>
      </c>
      <c r="S105" s="34"/>
      <c r="T105" s="2"/>
      <c r="U105" s="34"/>
      <c r="V105" s="34"/>
      <c r="W105" s="77" t="s">
        <v>3360</v>
      </c>
      <c r="X105" s="8"/>
      <c r="Y105" s="2"/>
      <c r="Z105"/>
      <c r="AD105"/>
      <c r="AE105"/>
      <c r="AF105"/>
      <c r="AG105"/>
    </row>
    <row r="106" spans="1:33" ht="16.149999999999999" customHeight="1" x14ac:dyDescent="0.15">
      <c r="A106" s="6">
        <v>100</v>
      </c>
      <c r="B106" s="18" t="s">
        <v>75</v>
      </c>
      <c r="C106" s="34" t="s">
        <v>2634</v>
      </c>
      <c r="D106" t="s">
        <v>3253</v>
      </c>
      <c r="E106" s="2" t="s">
        <v>3192</v>
      </c>
      <c r="F106" s="19">
        <v>478</v>
      </c>
      <c r="G106" s="6"/>
      <c r="H106" s="19" t="s">
        <v>9272</v>
      </c>
      <c r="I106" s="2"/>
      <c r="J106" s="38"/>
      <c r="K106" s="6"/>
      <c r="L106" s="38"/>
      <c r="M106" s="6" t="s">
        <v>7051</v>
      </c>
      <c r="N106" s="19">
        <v>1</v>
      </c>
      <c r="O106" s="38">
        <v>-3.40282346639E+38</v>
      </c>
      <c r="P106" s="38">
        <v>3.40282346639E+38</v>
      </c>
      <c r="Q106" s="38">
        <f>IFERROR(Table3335466[[#This Row],[Min Count]]/Table3335466[[#This Row],[Scalar]],"")</f>
        <v>-3.40282346639E+38</v>
      </c>
      <c r="R106" s="38">
        <f>IFERROR(Table3335466[[#This Row],[Max Count]]/Table3335466[[#This Row],[Scalar]],"")</f>
        <v>3.40282346639E+38</v>
      </c>
      <c r="S106" s="34"/>
      <c r="T106" s="2"/>
      <c r="U106" s="34"/>
      <c r="V106" s="34"/>
      <c r="W106" s="77" t="s">
        <v>3361</v>
      </c>
      <c r="X106" s="8"/>
      <c r="Y106" s="2"/>
      <c r="Z106"/>
      <c r="AD106"/>
      <c r="AE106"/>
      <c r="AF106"/>
      <c r="AG106"/>
    </row>
    <row r="107" spans="1:33" ht="16.149999999999999" customHeight="1" x14ac:dyDescent="0.15">
      <c r="A107" s="6">
        <v>101</v>
      </c>
      <c r="B107" s="18" t="s">
        <v>75</v>
      </c>
      <c r="C107" s="34" t="s">
        <v>2634</v>
      </c>
      <c r="D107" t="s">
        <v>3255</v>
      </c>
      <c r="E107" s="2" t="s">
        <v>3192</v>
      </c>
      <c r="F107" s="19">
        <v>480</v>
      </c>
      <c r="G107" s="6"/>
      <c r="H107" s="19" t="s">
        <v>9273</v>
      </c>
      <c r="I107" s="2"/>
      <c r="J107" s="38"/>
      <c r="K107" s="6"/>
      <c r="L107" s="38"/>
      <c r="M107" s="6" t="s">
        <v>7051</v>
      </c>
      <c r="N107" s="19">
        <v>1</v>
      </c>
      <c r="O107" s="38">
        <v>-3.40282346639E+38</v>
      </c>
      <c r="P107" s="38">
        <v>3.40282346639E+38</v>
      </c>
      <c r="Q107" s="38">
        <f>IFERROR(Table3335466[[#This Row],[Min Count]]/Table3335466[[#This Row],[Scalar]],"")</f>
        <v>-3.40282346639E+38</v>
      </c>
      <c r="R107" s="38">
        <f>IFERROR(Table3335466[[#This Row],[Max Count]]/Table3335466[[#This Row],[Scalar]],"")</f>
        <v>3.40282346639E+38</v>
      </c>
      <c r="S107" s="34"/>
      <c r="T107" s="2"/>
      <c r="U107" s="34"/>
      <c r="V107" s="34"/>
      <c r="W107" s="77" t="s">
        <v>3362</v>
      </c>
      <c r="X107" s="8"/>
      <c r="Y107" s="2"/>
      <c r="Z107"/>
      <c r="AD107"/>
      <c r="AE107"/>
      <c r="AF107"/>
      <c r="AG107"/>
    </row>
    <row r="108" spans="1:33" ht="16.149999999999999" customHeight="1" x14ac:dyDescent="0.15">
      <c r="A108" s="6">
        <v>102</v>
      </c>
      <c r="B108" s="18" t="s">
        <v>75</v>
      </c>
      <c r="C108" s="34" t="s">
        <v>2634</v>
      </c>
      <c r="D108" s="43" t="s">
        <v>9051</v>
      </c>
      <c r="E108" s="2" t="s">
        <v>3192</v>
      </c>
      <c r="F108" s="19">
        <v>486</v>
      </c>
      <c r="G108" s="6"/>
      <c r="H108" s="19" t="s">
        <v>9274</v>
      </c>
      <c r="I108" s="2"/>
      <c r="J108" s="38"/>
      <c r="K108" s="6"/>
      <c r="L108" s="38"/>
      <c r="M108" s="6" t="s">
        <v>8918</v>
      </c>
      <c r="N108" s="19">
        <v>1</v>
      </c>
      <c r="O108" s="45">
        <v>-3.40282346639E+38</v>
      </c>
      <c r="P108" s="2">
        <v>3.40282346639E+38</v>
      </c>
      <c r="Q108" s="38">
        <f>IFERROR(Table3335466[[#This Row],[Min Count]]/Table3335466[[#This Row],[Scalar]],"")</f>
        <v>-3.40282346639E+38</v>
      </c>
      <c r="R108" s="36">
        <f>IFERROR(Table3335466[[#This Row],[Max Count]]/Table3335466[[#This Row],[Scalar]],"")</f>
        <v>3.40282346639E+38</v>
      </c>
      <c r="S108" s="34"/>
      <c r="T108" s="2"/>
      <c r="U108" s="34"/>
      <c r="V108" s="33"/>
      <c r="W108" s="33" t="s">
        <v>9193</v>
      </c>
      <c r="X108" s="8"/>
      <c r="Y108" s="33"/>
      <c r="Z108"/>
      <c r="AD108"/>
      <c r="AE108"/>
      <c r="AF108"/>
      <c r="AG108"/>
    </row>
    <row r="109" spans="1:33" ht="16.149999999999999" customHeight="1" x14ac:dyDescent="0.15">
      <c r="A109" s="6">
        <v>103</v>
      </c>
      <c r="B109" s="18" t="s">
        <v>75</v>
      </c>
      <c r="C109" s="34" t="s">
        <v>2634</v>
      </c>
      <c r="D109" s="43" t="s">
        <v>9052</v>
      </c>
      <c r="E109" s="2" t="s">
        <v>3192</v>
      </c>
      <c r="F109" s="19">
        <v>488</v>
      </c>
      <c r="G109" s="6"/>
      <c r="H109" s="19" t="s">
        <v>9275</v>
      </c>
      <c r="I109" s="2"/>
      <c r="J109" s="38"/>
      <c r="K109" s="6"/>
      <c r="L109" s="38"/>
      <c r="M109" s="6" t="s">
        <v>8918</v>
      </c>
      <c r="N109" s="19">
        <v>1</v>
      </c>
      <c r="O109" s="45">
        <v>-3.40282346639E+38</v>
      </c>
      <c r="P109" s="2">
        <v>3.40282346639E+38</v>
      </c>
      <c r="Q109" s="38">
        <f>IFERROR(Table3335466[[#This Row],[Min Count]]/Table3335466[[#This Row],[Scalar]],"")</f>
        <v>-3.40282346639E+38</v>
      </c>
      <c r="R109" s="36">
        <f>IFERROR(Table3335466[[#This Row],[Max Count]]/Table3335466[[#This Row],[Scalar]],"")</f>
        <v>3.40282346639E+38</v>
      </c>
      <c r="S109" s="34"/>
      <c r="T109" s="2"/>
      <c r="U109" s="34"/>
      <c r="V109" s="33"/>
      <c r="W109" s="33" t="s">
        <v>9194</v>
      </c>
      <c r="X109" s="8"/>
      <c r="Y109" s="33"/>
      <c r="Z109"/>
      <c r="AD109"/>
      <c r="AE109"/>
      <c r="AF109"/>
      <c r="AG109"/>
    </row>
    <row r="110" spans="1:33" ht="16.149999999999999" customHeight="1" x14ac:dyDescent="0.15">
      <c r="A110" s="6">
        <v>104</v>
      </c>
      <c r="B110" s="18" t="s">
        <v>75</v>
      </c>
      <c r="C110" s="34" t="s">
        <v>2634</v>
      </c>
      <c r="D110" s="43" t="s">
        <v>3271</v>
      </c>
      <c r="E110" s="2" t="s">
        <v>3192</v>
      </c>
      <c r="F110" s="19">
        <v>502</v>
      </c>
      <c r="G110" s="6"/>
      <c r="H110" s="19" t="s">
        <v>9276</v>
      </c>
      <c r="I110" s="2"/>
      <c r="J110" s="38"/>
      <c r="K110" s="6"/>
      <c r="L110" s="38"/>
      <c r="M110" s="6" t="s">
        <v>7052</v>
      </c>
      <c r="N110" s="19">
        <v>1</v>
      </c>
      <c r="O110" s="45">
        <v>-3.40282346639E+38</v>
      </c>
      <c r="P110" s="2">
        <v>3.40282346639E+38</v>
      </c>
      <c r="Q110" s="38">
        <f>IFERROR(Table3335466[[#This Row],[Min Count]]/Table3335466[[#This Row],[Scalar]],"")</f>
        <v>-3.40282346639E+38</v>
      </c>
      <c r="R110" s="36">
        <f>IFERROR(Table3335466[[#This Row],[Max Count]]/Table3335466[[#This Row],[Scalar]],"")</f>
        <v>3.40282346639E+38</v>
      </c>
      <c r="S110" s="34"/>
      <c r="T110" s="2"/>
      <c r="U110" s="34"/>
      <c r="V110" s="33"/>
      <c r="W110" s="33" t="s">
        <v>3367</v>
      </c>
      <c r="X110" s="8"/>
      <c r="Y110" s="33"/>
      <c r="Z110"/>
      <c r="AD110"/>
      <c r="AE110"/>
      <c r="AF110"/>
      <c r="AG110"/>
    </row>
    <row r="111" spans="1:33" ht="16.149999999999999" customHeight="1" x14ac:dyDescent="0.15">
      <c r="A111" s="6">
        <v>105</v>
      </c>
      <c r="B111" s="18" t="s">
        <v>75</v>
      </c>
      <c r="C111" s="34" t="s">
        <v>2634</v>
      </c>
      <c r="D111" s="43" t="s">
        <v>3273</v>
      </c>
      <c r="E111" s="2" t="s">
        <v>3192</v>
      </c>
      <c r="F111" s="19">
        <v>504</v>
      </c>
      <c r="G111" s="6"/>
      <c r="H111" s="19" t="s">
        <v>9133</v>
      </c>
      <c r="I111" s="2"/>
      <c r="J111" s="38"/>
      <c r="K111" s="6"/>
      <c r="L111" s="38"/>
      <c r="M111" s="6" t="s">
        <v>8919</v>
      </c>
      <c r="N111" s="19">
        <v>1</v>
      </c>
      <c r="O111" s="45">
        <v>-3.40282346639E+38</v>
      </c>
      <c r="P111" s="2">
        <v>3.40282346639E+38</v>
      </c>
      <c r="Q111" s="38">
        <f>IFERROR(Table3335466[[#This Row],[Min Count]]/Table3335466[[#This Row],[Scalar]],"")</f>
        <v>-3.40282346639E+38</v>
      </c>
      <c r="R111" s="36">
        <f>IFERROR(Table3335466[[#This Row],[Max Count]]/Table3335466[[#This Row],[Scalar]],"")</f>
        <v>3.40282346639E+38</v>
      </c>
      <c r="S111" s="34"/>
      <c r="T111" s="2"/>
      <c r="U111" s="34"/>
      <c r="V111" s="33"/>
      <c r="W111" s="33" t="s">
        <v>3368</v>
      </c>
      <c r="X111" s="8"/>
      <c r="Y111" s="33"/>
      <c r="Z111"/>
      <c r="AD111"/>
      <c r="AE111"/>
      <c r="AF111"/>
      <c r="AG111"/>
    </row>
    <row r="112" spans="1:33" ht="16.149999999999999" customHeight="1" x14ac:dyDescent="0.15">
      <c r="A112" s="6">
        <v>106</v>
      </c>
      <c r="B112" s="18" t="s">
        <v>75</v>
      </c>
      <c r="C112" s="34" t="s">
        <v>2634</v>
      </c>
      <c r="D112" s="43" t="s">
        <v>3275</v>
      </c>
      <c r="E112" s="2" t="s">
        <v>3192</v>
      </c>
      <c r="F112" s="19">
        <v>506</v>
      </c>
      <c r="G112" s="6"/>
      <c r="H112" s="19" t="s">
        <v>9277</v>
      </c>
      <c r="I112" s="2"/>
      <c r="J112" s="38"/>
      <c r="K112" s="6"/>
      <c r="L112" s="38"/>
      <c r="M112" s="6" t="s">
        <v>8920</v>
      </c>
      <c r="N112" s="19">
        <v>1</v>
      </c>
      <c r="O112" s="45">
        <v>-3.40282346639E+38</v>
      </c>
      <c r="P112" s="2">
        <v>3.40282346639E+38</v>
      </c>
      <c r="Q112" s="38">
        <f>IFERROR(Table3335466[[#This Row],[Min Count]]/Table3335466[[#This Row],[Scalar]],"")</f>
        <v>-3.40282346639E+38</v>
      </c>
      <c r="R112" s="36">
        <f>IFERROR(Table3335466[[#This Row],[Max Count]]/Table3335466[[#This Row],[Scalar]],"")</f>
        <v>3.40282346639E+38</v>
      </c>
      <c r="S112" s="34"/>
      <c r="T112" s="2"/>
      <c r="U112" s="34"/>
      <c r="V112" s="33"/>
      <c r="W112" s="33" t="s">
        <v>3369</v>
      </c>
      <c r="X112" s="8"/>
      <c r="Y112" s="33"/>
      <c r="Z112"/>
      <c r="AD112"/>
      <c r="AE112"/>
      <c r="AF112"/>
      <c r="AG112"/>
    </row>
    <row r="113" spans="1:33" ht="16.149999999999999" customHeight="1" x14ac:dyDescent="0.15">
      <c r="A113" s="6">
        <v>107</v>
      </c>
      <c r="B113" s="18" t="s">
        <v>75</v>
      </c>
      <c r="C113" s="34" t="s">
        <v>2634</v>
      </c>
      <c r="D113" s="43" t="s">
        <v>3277</v>
      </c>
      <c r="E113" s="2" t="s">
        <v>3192</v>
      </c>
      <c r="F113" s="19">
        <v>522</v>
      </c>
      <c r="G113" s="6"/>
      <c r="H113" s="19" t="s">
        <v>9134</v>
      </c>
      <c r="I113" s="2"/>
      <c r="J113" s="38"/>
      <c r="K113" s="6"/>
      <c r="L113" s="38"/>
      <c r="M113" s="6" t="s">
        <v>8917</v>
      </c>
      <c r="N113" s="19">
        <v>1</v>
      </c>
      <c r="O113" s="45">
        <v>-3.40282346639E+38</v>
      </c>
      <c r="P113" s="2">
        <v>3.40282346639E+38</v>
      </c>
      <c r="Q113" s="38">
        <f>IFERROR(Table3335466[[#This Row],[Min Count]]/Table3335466[[#This Row],[Scalar]],"")</f>
        <v>-3.40282346639E+38</v>
      </c>
      <c r="R113" s="36">
        <f>IFERROR(Table3335466[[#This Row],[Max Count]]/Table3335466[[#This Row],[Scalar]],"")</f>
        <v>3.40282346639E+38</v>
      </c>
      <c r="S113" s="34"/>
      <c r="T113" s="2"/>
      <c r="U113" s="34"/>
      <c r="V113" s="33"/>
      <c r="W113" s="33" t="s">
        <v>3370</v>
      </c>
      <c r="X113" s="8"/>
      <c r="Y113" s="33"/>
      <c r="Z113"/>
      <c r="AD113"/>
      <c r="AE113"/>
      <c r="AF113"/>
      <c r="AG113"/>
    </row>
    <row r="114" spans="1:33" ht="16.149999999999999" customHeight="1" x14ac:dyDescent="0.15">
      <c r="A114" s="6">
        <v>108</v>
      </c>
      <c r="B114" s="18" t="s">
        <v>75</v>
      </c>
      <c r="C114" s="34" t="s">
        <v>2634</v>
      </c>
      <c r="D114" t="s">
        <v>3279</v>
      </c>
      <c r="E114" s="2" t="s">
        <v>3192</v>
      </c>
      <c r="F114" s="19">
        <v>524</v>
      </c>
      <c r="G114" s="6"/>
      <c r="H114" s="19" t="s">
        <v>9278</v>
      </c>
      <c r="I114" s="2"/>
      <c r="J114" s="38"/>
      <c r="K114" s="6"/>
      <c r="L114" s="38"/>
      <c r="M114" s="6" t="s">
        <v>8917</v>
      </c>
      <c r="N114" s="19">
        <v>1</v>
      </c>
      <c r="O114" s="38">
        <v>-3.40282346639E+38</v>
      </c>
      <c r="P114" s="38">
        <v>3.40282346639E+38</v>
      </c>
      <c r="Q114" s="38">
        <f>IFERROR(Table3335466[[#This Row],[Min Count]]/Table3335466[[#This Row],[Scalar]],"")</f>
        <v>-3.40282346639E+38</v>
      </c>
      <c r="R114" s="38">
        <f>IFERROR(Table3335466[[#This Row],[Max Count]]/Table3335466[[#This Row],[Scalar]],"")</f>
        <v>3.40282346639E+38</v>
      </c>
      <c r="S114" s="34"/>
      <c r="T114" s="2"/>
      <c r="U114" s="34"/>
      <c r="V114" s="34"/>
      <c r="W114" s="77" t="s">
        <v>3371</v>
      </c>
      <c r="X114" s="8"/>
      <c r="Y114" s="2"/>
      <c r="Z114"/>
      <c r="AD114"/>
      <c r="AE114"/>
      <c r="AF114"/>
      <c r="AG114"/>
    </row>
    <row r="115" spans="1:33" ht="16.149999999999999" customHeight="1" x14ac:dyDescent="0.15">
      <c r="A115" s="6">
        <v>109</v>
      </c>
      <c r="B115" s="18" t="s">
        <v>75</v>
      </c>
      <c r="C115" s="34" t="s">
        <v>2634</v>
      </c>
      <c r="D115" s="43" t="s">
        <v>3281</v>
      </c>
      <c r="E115" s="2" t="s">
        <v>3192</v>
      </c>
      <c r="F115" s="19">
        <v>526</v>
      </c>
      <c r="G115" s="6"/>
      <c r="H115" s="19" t="s">
        <v>9135</v>
      </c>
      <c r="I115" s="2"/>
      <c r="J115" s="38"/>
      <c r="K115" s="6"/>
      <c r="L115" s="38"/>
      <c r="M115" s="6" t="s">
        <v>8917</v>
      </c>
      <c r="N115" s="19">
        <v>1</v>
      </c>
      <c r="O115" s="45">
        <v>-3.40282346639E+38</v>
      </c>
      <c r="P115" s="2">
        <v>3.40282346639E+38</v>
      </c>
      <c r="Q115" s="38">
        <f>IFERROR(Table3335466[[#This Row],[Min Count]]/Table3335466[[#This Row],[Scalar]],"")</f>
        <v>-3.40282346639E+38</v>
      </c>
      <c r="R115" s="36">
        <f>IFERROR(Table3335466[[#This Row],[Max Count]]/Table3335466[[#This Row],[Scalar]],"")</f>
        <v>3.40282346639E+38</v>
      </c>
      <c r="S115" s="34"/>
      <c r="T115" s="2"/>
      <c r="U115" s="34"/>
      <c r="V115" s="33"/>
      <c r="W115" s="33" t="s">
        <v>3372</v>
      </c>
      <c r="X115" s="8"/>
      <c r="Y115" s="33"/>
      <c r="Z115"/>
      <c r="AD115"/>
      <c r="AE115"/>
      <c r="AF115"/>
      <c r="AG115"/>
    </row>
    <row r="116" spans="1:33" ht="16.149999999999999" customHeight="1" x14ac:dyDescent="0.15">
      <c r="A116" s="6">
        <v>110</v>
      </c>
      <c r="B116" s="18" t="s">
        <v>75</v>
      </c>
      <c r="C116" s="34" t="s">
        <v>2634</v>
      </c>
      <c r="D116" s="43" t="s">
        <v>3389</v>
      </c>
      <c r="E116" s="2" t="s">
        <v>3192</v>
      </c>
      <c r="F116" s="19">
        <v>798</v>
      </c>
      <c r="G116" s="6"/>
      <c r="H116" s="19" t="s">
        <v>9279</v>
      </c>
      <c r="I116" s="2"/>
      <c r="J116" s="38"/>
      <c r="K116" s="6"/>
      <c r="L116" s="38"/>
      <c r="M116" s="6" t="s">
        <v>6121</v>
      </c>
      <c r="N116" s="19">
        <v>1</v>
      </c>
      <c r="O116" s="45">
        <v>-3.40282346639E+38</v>
      </c>
      <c r="P116" s="2">
        <v>3.40282346639E+38</v>
      </c>
      <c r="Q116" s="38">
        <f>IFERROR(Table3335466[[#This Row],[Min Count]]/Table3335466[[#This Row],[Scalar]],"")</f>
        <v>-3.40282346639E+38</v>
      </c>
      <c r="R116" s="36">
        <f>IFERROR(Table3335466[[#This Row],[Max Count]]/Table3335466[[#This Row],[Scalar]],"")</f>
        <v>3.40282346639E+38</v>
      </c>
      <c r="S116" s="34"/>
      <c r="T116" s="2"/>
      <c r="U116" s="34"/>
      <c r="V116" s="33"/>
      <c r="W116" s="33" t="s">
        <v>3390</v>
      </c>
      <c r="X116" s="8"/>
      <c r="Y116" s="33"/>
      <c r="Z116"/>
      <c r="AD116"/>
      <c r="AE116"/>
      <c r="AF116"/>
      <c r="AG116"/>
    </row>
    <row r="117" spans="1:33" ht="16.149999999999999" customHeight="1" x14ac:dyDescent="0.15">
      <c r="A117" s="6">
        <v>111</v>
      </c>
      <c r="B117" s="18" t="s">
        <v>75</v>
      </c>
      <c r="C117" s="34" t="s">
        <v>2634</v>
      </c>
      <c r="D117" t="s">
        <v>3391</v>
      </c>
      <c r="E117" s="2" t="s">
        <v>3192</v>
      </c>
      <c r="F117" s="19">
        <v>800</v>
      </c>
      <c r="G117" s="6"/>
      <c r="H117" s="19" t="s">
        <v>9280</v>
      </c>
      <c r="I117" s="2"/>
      <c r="J117" s="38"/>
      <c r="K117" s="6"/>
      <c r="L117" s="38"/>
      <c r="M117" s="6" t="s">
        <v>6121</v>
      </c>
      <c r="N117" s="19">
        <v>1</v>
      </c>
      <c r="O117" s="38">
        <v>-3.40282346639E+38</v>
      </c>
      <c r="P117" s="38">
        <v>3.40282346639E+38</v>
      </c>
      <c r="Q117" s="38">
        <f>IFERROR(Table3335466[[#This Row],[Min Count]]/Table3335466[[#This Row],[Scalar]],"")</f>
        <v>-3.40282346639E+38</v>
      </c>
      <c r="R117" s="38">
        <f>IFERROR(Table3335466[[#This Row],[Max Count]]/Table3335466[[#This Row],[Scalar]],"")</f>
        <v>3.40282346639E+38</v>
      </c>
      <c r="S117" s="34"/>
      <c r="T117" s="2"/>
      <c r="U117" s="34"/>
      <c r="V117" s="34"/>
      <c r="W117" s="77" t="s">
        <v>3392</v>
      </c>
      <c r="X117" s="8"/>
      <c r="Y117" s="2"/>
      <c r="Z117"/>
      <c r="AD117"/>
      <c r="AE117"/>
      <c r="AF117"/>
      <c r="AG117"/>
    </row>
    <row r="118" spans="1:33" ht="16.149999999999999" customHeight="1" x14ac:dyDescent="0.15">
      <c r="A118" s="6">
        <v>112</v>
      </c>
      <c r="B118" s="18" t="s">
        <v>75</v>
      </c>
      <c r="C118" s="34" t="s">
        <v>2634</v>
      </c>
      <c r="D118" s="43" t="s">
        <v>3393</v>
      </c>
      <c r="E118" s="2" t="s">
        <v>3192</v>
      </c>
      <c r="F118" s="19">
        <v>802</v>
      </c>
      <c r="G118" s="6"/>
      <c r="H118" s="19" t="s">
        <v>9281</v>
      </c>
      <c r="I118" s="2"/>
      <c r="J118" s="38"/>
      <c r="K118" s="6"/>
      <c r="L118" s="38"/>
      <c r="M118" s="6" t="s">
        <v>6121</v>
      </c>
      <c r="N118" s="19">
        <v>1</v>
      </c>
      <c r="O118" s="45">
        <v>-3.40282346639E+38</v>
      </c>
      <c r="P118" s="2">
        <v>3.40282346639E+38</v>
      </c>
      <c r="Q118" s="38">
        <f>IFERROR(Table3335466[[#This Row],[Min Count]]/Table3335466[[#This Row],[Scalar]],"")</f>
        <v>-3.40282346639E+38</v>
      </c>
      <c r="R118" s="36">
        <f>IFERROR(Table3335466[[#This Row],[Max Count]]/Table3335466[[#This Row],[Scalar]],"")</f>
        <v>3.40282346639E+38</v>
      </c>
      <c r="S118" s="34"/>
      <c r="T118" s="2"/>
      <c r="U118" s="34"/>
      <c r="V118" s="33"/>
      <c r="W118" s="33" t="s">
        <v>3394</v>
      </c>
      <c r="X118" s="8"/>
      <c r="Y118" s="33"/>
      <c r="Z118"/>
      <c r="AD118"/>
      <c r="AE118"/>
      <c r="AF118"/>
      <c r="AG118"/>
    </row>
    <row r="119" spans="1:33" ht="16.149999999999999" customHeight="1" x14ac:dyDescent="0.15">
      <c r="A119" s="6">
        <v>113</v>
      </c>
      <c r="B119" s="18" t="s">
        <v>75</v>
      </c>
      <c r="C119" s="34" t="s">
        <v>2634</v>
      </c>
      <c r="D119" s="43" t="s">
        <v>3395</v>
      </c>
      <c r="E119" s="2" t="s">
        <v>3192</v>
      </c>
      <c r="F119" s="19">
        <v>804</v>
      </c>
      <c r="G119" s="6"/>
      <c r="H119" s="19" t="s">
        <v>9282</v>
      </c>
      <c r="I119" s="2"/>
      <c r="J119" s="38"/>
      <c r="K119" s="6"/>
      <c r="L119" s="38"/>
      <c r="M119" s="6" t="s">
        <v>6121</v>
      </c>
      <c r="N119" s="19">
        <v>1</v>
      </c>
      <c r="O119" s="45">
        <v>-3.40282346639E+38</v>
      </c>
      <c r="P119" s="2">
        <v>3.40282346639E+38</v>
      </c>
      <c r="Q119" s="38">
        <f>IFERROR(Table3335466[[#This Row],[Min Count]]/Table3335466[[#This Row],[Scalar]],"")</f>
        <v>-3.40282346639E+38</v>
      </c>
      <c r="R119" s="36">
        <f>IFERROR(Table3335466[[#This Row],[Max Count]]/Table3335466[[#This Row],[Scalar]],"")</f>
        <v>3.40282346639E+38</v>
      </c>
      <c r="S119" s="34"/>
      <c r="T119" s="2"/>
      <c r="U119" s="34"/>
      <c r="V119" s="33"/>
      <c r="W119" s="33" t="s">
        <v>9195</v>
      </c>
      <c r="X119" s="8"/>
      <c r="Y119" s="33"/>
      <c r="Z119"/>
      <c r="AD119"/>
      <c r="AE119"/>
      <c r="AF119"/>
      <c r="AG119"/>
    </row>
    <row r="120" spans="1:33" ht="16.149999999999999" customHeight="1" x14ac:dyDescent="0.15">
      <c r="A120" s="6">
        <v>114</v>
      </c>
      <c r="B120" s="18" t="s">
        <v>75</v>
      </c>
      <c r="C120" s="34" t="s">
        <v>2634</v>
      </c>
      <c r="D120" s="43" t="s">
        <v>3405</v>
      </c>
      <c r="E120" s="77" t="s">
        <v>3406</v>
      </c>
      <c r="F120" s="19">
        <v>2000</v>
      </c>
      <c r="G120" s="6"/>
      <c r="H120" s="19" t="s">
        <v>9283</v>
      </c>
      <c r="I120" s="2"/>
      <c r="J120" s="38" t="s">
        <v>171</v>
      </c>
      <c r="K120" s="6" t="s">
        <v>177</v>
      </c>
      <c r="L120" s="38" t="s">
        <v>173</v>
      </c>
      <c r="M120" s="2"/>
      <c r="N120" s="113"/>
      <c r="O120" s="45" t="s">
        <v>62</v>
      </c>
      <c r="P120" s="2" t="s">
        <v>62</v>
      </c>
      <c r="Q120" s="38" t="str">
        <f>IFERROR(Table3335466[[#This Row],[Min Count]]/Table3335466[[#This Row],[Scalar]],"")</f>
        <v/>
      </c>
      <c r="R120" s="36" t="str">
        <f>IFERROR(Table3335466[[#This Row],[Max Count]]/Table3335466[[#This Row],[Scalar]],"")</f>
        <v/>
      </c>
      <c r="S120" s="34"/>
      <c r="T120" s="2"/>
      <c r="U120" s="34"/>
      <c r="V120" s="33"/>
      <c r="W120" s="33" t="s">
        <v>3407</v>
      </c>
      <c r="X120" s="8"/>
      <c r="Y120" s="33"/>
      <c r="Z120"/>
      <c r="AD120"/>
      <c r="AE120"/>
      <c r="AF120"/>
      <c r="AG120"/>
    </row>
    <row r="121" spans="1:33" ht="16.149999999999999" customHeight="1" x14ac:dyDescent="0.15">
      <c r="A121" s="6">
        <v>115</v>
      </c>
      <c r="B121" s="18" t="s">
        <v>75</v>
      </c>
      <c r="C121" s="34" t="s">
        <v>2634</v>
      </c>
      <c r="D121" s="43" t="s">
        <v>3408</v>
      </c>
      <c r="E121" s="77" t="s">
        <v>3406</v>
      </c>
      <c r="F121" s="19">
        <v>2002</v>
      </c>
      <c r="G121" s="6"/>
      <c r="H121" s="19" t="s">
        <v>9284</v>
      </c>
      <c r="I121" s="2"/>
      <c r="J121" s="38"/>
      <c r="K121" s="6"/>
      <c r="L121" s="38"/>
      <c r="M121" s="2" t="s">
        <v>61</v>
      </c>
      <c r="N121" s="113">
        <v>1</v>
      </c>
      <c r="O121" s="45" t="s">
        <v>62</v>
      </c>
      <c r="P121" s="2" t="s">
        <v>62</v>
      </c>
      <c r="Q121" s="38" t="str">
        <f>IFERROR(Table3335466[[#This Row],[Min Count]]/Table3335466[[#This Row],[Scalar]],"")</f>
        <v/>
      </c>
      <c r="R121" s="36" t="str">
        <f>IFERROR(Table3335466[[#This Row],[Max Count]]/Table3335466[[#This Row],[Scalar]],"")</f>
        <v/>
      </c>
      <c r="S121" s="34"/>
      <c r="T121" s="2"/>
      <c r="U121" s="34"/>
      <c r="V121" s="33"/>
      <c r="W121" s="33" t="s">
        <v>3409</v>
      </c>
      <c r="X121" s="8"/>
      <c r="Y121" s="33"/>
      <c r="Z121"/>
      <c r="AD121"/>
      <c r="AE121"/>
      <c r="AF121"/>
      <c r="AG121"/>
    </row>
    <row r="122" spans="1:33" ht="16.149999999999999" customHeight="1" x14ac:dyDescent="0.15">
      <c r="A122" s="6">
        <v>116</v>
      </c>
      <c r="B122" s="18" t="s">
        <v>75</v>
      </c>
      <c r="C122" s="34" t="s">
        <v>2634</v>
      </c>
      <c r="D122" s="43" t="s">
        <v>3410</v>
      </c>
      <c r="E122" s="77" t="s">
        <v>169</v>
      </c>
      <c r="F122" s="19">
        <v>2002</v>
      </c>
      <c r="G122" s="6">
        <v>0</v>
      </c>
      <c r="H122" s="19" t="s">
        <v>9285</v>
      </c>
      <c r="I122" s="2"/>
      <c r="J122" s="38" t="s">
        <v>171</v>
      </c>
      <c r="K122" s="6" t="s">
        <v>177</v>
      </c>
      <c r="L122" s="38" t="s">
        <v>173</v>
      </c>
      <c r="M122" s="2"/>
      <c r="N122" s="113"/>
      <c r="O122" s="45" t="s">
        <v>62</v>
      </c>
      <c r="P122" s="2" t="s">
        <v>62</v>
      </c>
      <c r="Q122" s="38" t="str">
        <f>IFERROR(Table3335466[[#This Row],[Min Count]]/Table3335466[[#This Row],[Scalar]],"")</f>
        <v/>
      </c>
      <c r="R122" s="36" t="str">
        <f>IFERROR(Table3335466[[#This Row],[Max Count]]/Table3335466[[#This Row],[Scalar]],"")</f>
        <v/>
      </c>
      <c r="S122" s="34"/>
      <c r="T122" s="2"/>
      <c r="U122" s="34"/>
      <c r="V122" s="33"/>
      <c r="W122" s="33" t="s">
        <v>3411</v>
      </c>
      <c r="X122" s="8"/>
      <c r="Y122" s="33"/>
      <c r="Z122"/>
      <c r="AD122"/>
      <c r="AE122"/>
      <c r="AF122"/>
      <c r="AG122"/>
    </row>
    <row r="123" spans="1:33" ht="16.149999999999999" customHeight="1" x14ac:dyDescent="0.15">
      <c r="A123" s="6">
        <v>117</v>
      </c>
      <c r="B123" s="18" t="s">
        <v>75</v>
      </c>
      <c r="C123" s="34" t="s">
        <v>2634</v>
      </c>
      <c r="D123" s="43" t="s">
        <v>3412</v>
      </c>
      <c r="E123" s="77" t="s">
        <v>169</v>
      </c>
      <c r="F123" s="19">
        <v>2002</v>
      </c>
      <c r="G123" s="6">
        <v>1</v>
      </c>
      <c r="H123" s="19" t="s">
        <v>9286</v>
      </c>
      <c r="I123" s="2"/>
      <c r="J123" s="38" t="s">
        <v>171</v>
      </c>
      <c r="K123" s="6" t="s">
        <v>177</v>
      </c>
      <c r="L123" s="38" t="s">
        <v>173</v>
      </c>
      <c r="M123" s="2"/>
      <c r="N123" s="113"/>
      <c r="O123" s="45" t="s">
        <v>62</v>
      </c>
      <c r="P123" s="2" t="s">
        <v>62</v>
      </c>
      <c r="Q123" s="38" t="str">
        <f>IFERROR(Table3335466[[#This Row],[Min Count]]/Table3335466[[#This Row],[Scalar]],"")</f>
        <v/>
      </c>
      <c r="R123" s="36" t="str">
        <f>IFERROR(Table3335466[[#This Row],[Max Count]]/Table3335466[[#This Row],[Scalar]],"")</f>
        <v/>
      </c>
      <c r="S123" s="34"/>
      <c r="T123" s="2"/>
      <c r="U123" s="34"/>
      <c r="V123" s="33"/>
      <c r="W123" s="33" t="s">
        <v>3413</v>
      </c>
      <c r="X123" s="8"/>
      <c r="Y123" s="33"/>
      <c r="Z123"/>
      <c r="AD123"/>
      <c r="AE123"/>
      <c r="AF123"/>
      <c r="AG123"/>
    </row>
    <row r="124" spans="1:33" ht="16.149999999999999" customHeight="1" x14ac:dyDescent="0.15">
      <c r="A124" s="6">
        <v>118</v>
      </c>
      <c r="B124" s="18" t="s">
        <v>75</v>
      </c>
      <c r="C124" s="34" t="s">
        <v>2634</v>
      </c>
      <c r="D124" s="43" t="s">
        <v>3414</v>
      </c>
      <c r="E124" s="77" t="s">
        <v>169</v>
      </c>
      <c r="F124" s="19">
        <v>2002</v>
      </c>
      <c r="G124" s="6">
        <v>2</v>
      </c>
      <c r="H124" s="19" t="s">
        <v>9287</v>
      </c>
      <c r="I124" s="2"/>
      <c r="J124" s="38" t="s">
        <v>171</v>
      </c>
      <c r="K124" s="6" t="s">
        <v>177</v>
      </c>
      <c r="L124" s="38" t="s">
        <v>173</v>
      </c>
      <c r="M124" s="2"/>
      <c r="N124" s="113"/>
      <c r="O124" s="45" t="s">
        <v>62</v>
      </c>
      <c r="P124" s="2" t="s">
        <v>62</v>
      </c>
      <c r="Q124" s="38" t="str">
        <f>IFERROR(Table3335466[[#This Row],[Min Count]]/Table3335466[[#This Row],[Scalar]],"")</f>
        <v/>
      </c>
      <c r="R124" s="36" t="str">
        <f>IFERROR(Table3335466[[#This Row],[Max Count]]/Table3335466[[#This Row],[Scalar]],"")</f>
        <v/>
      </c>
      <c r="S124" s="34"/>
      <c r="T124" s="2"/>
      <c r="U124" s="34"/>
      <c r="V124" s="33"/>
      <c r="W124" s="33" t="s">
        <v>3415</v>
      </c>
      <c r="X124" s="8"/>
      <c r="Y124" s="33"/>
      <c r="Z124"/>
      <c r="AD124"/>
      <c r="AE124"/>
      <c r="AF124"/>
      <c r="AG124"/>
    </row>
    <row r="125" spans="1:33" ht="16.149999999999999" customHeight="1" x14ac:dyDescent="0.15">
      <c r="A125" s="6">
        <v>119</v>
      </c>
      <c r="B125" s="18" t="s">
        <v>75</v>
      </c>
      <c r="C125" s="34" t="s">
        <v>2634</v>
      </c>
      <c r="D125" s="43" t="s">
        <v>3416</v>
      </c>
      <c r="E125" s="77" t="s">
        <v>169</v>
      </c>
      <c r="F125" s="19">
        <v>2002</v>
      </c>
      <c r="G125" s="6">
        <v>3</v>
      </c>
      <c r="H125" s="19" t="s">
        <v>9288</v>
      </c>
      <c r="I125" s="2"/>
      <c r="J125" s="38" t="s">
        <v>171</v>
      </c>
      <c r="K125" s="6" t="s">
        <v>177</v>
      </c>
      <c r="L125" s="38" t="s">
        <v>173</v>
      </c>
      <c r="M125" s="2"/>
      <c r="N125" s="113"/>
      <c r="O125" s="45" t="s">
        <v>62</v>
      </c>
      <c r="P125" s="2" t="s">
        <v>62</v>
      </c>
      <c r="Q125" s="38" t="str">
        <f>IFERROR(Table3335466[[#This Row],[Min Count]]/Table3335466[[#This Row],[Scalar]],"")</f>
        <v/>
      </c>
      <c r="R125" s="36" t="str">
        <f>IFERROR(Table3335466[[#This Row],[Max Count]]/Table3335466[[#This Row],[Scalar]],"")</f>
        <v/>
      </c>
      <c r="S125" s="34"/>
      <c r="T125" s="2"/>
      <c r="U125" s="34"/>
      <c r="V125" s="33"/>
      <c r="W125" s="33" t="s">
        <v>3417</v>
      </c>
      <c r="X125" s="8"/>
      <c r="Y125" s="33"/>
      <c r="Z125"/>
      <c r="AD125"/>
      <c r="AE125"/>
      <c r="AF125"/>
      <c r="AG125"/>
    </row>
    <row r="126" spans="1:33" ht="16.149999999999999" customHeight="1" x14ac:dyDescent="0.15">
      <c r="A126" s="6">
        <v>120</v>
      </c>
      <c r="B126" s="18" t="s">
        <v>75</v>
      </c>
      <c r="C126" s="34" t="s">
        <v>2634</v>
      </c>
      <c r="D126" s="43" t="s">
        <v>3418</v>
      </c>
      <c r="E126" s="77" t="s">
        <v>169</v>
      </c>
      <c r="F126" s="19">
        <v>2002</v>
      </c>
      <c r="G126" s="6">
        <v>4</v>
      </c>
      <c r="H126" s="19" t="s">
        <v>9289</v>
      </c>
      <c r="I126" s="2"/>
      <c r="J126" s="38" t="s">
        <v>171</v>
      </c>
      <c r="K126" s="6" t="s">
        <v>177</v>
      </c>
      <c r="L126" s="38" t="s">
        <v>173</v>
      </c>
      <c r="M126" s="2"/>
      <c r="N126" s="113"/>
      <c r="O126" s="45" t="s">
        <v>62</v>
      </c>
      <c r="P126" s="2" t="s">
        <v>62</v>
      </c>
      <c r="Q126" s="38" t="str">
        <f>IFERROR(Table3335466[[#This Row],[Min Count]]/Table3335466[[#This Row],[Scalar]],"")</f>
        <v/>
      </c>
      <c r="R126" s="36" t="str">
        <f>IFERROR(Table3335466[[#This Row],[Max Count]]/Table3335466[[#This Row],[Scalar]],"")</f>
        <v/>
      </c>
      <c r="S126" s="34"/>
      <c r="T126" s="2"/>
      <c r="U126" s="34"/>
      <c r="V126" s="33"/>
      <c r="W126" s="33" t="s">
        <v>3419</v>
      </c>
      <c r="X126" s="8"/>
      <c r="Y126" s="33"/>
      <c r="Z126"/>
      <c r="AD126"/>
      <c r="AE126"/>
      <c r="AF126"/>
      <c r="AG126"/>
    </row>
    <row r="127" spans="1:33" ht="16.149999999999999" customHeight="1" x14ac:dyDescent="0.15">
      <c r="A127" s="6">
        <v>121</v>
      </c>
      <c r="B127" s="18" t="s">
        <v>75</v>
      </c>
      <c r="C127" s="34" t="s">
        <v>2634</v>
      </c>
      <c r="D127" s="43" t="s">
        <v>3420</v>
      </c>
      <c r="E127" s="77" t="s">
        <v>169</v>
      </c>
      <c r="F127" s="19">
        <v>2002</v>
      </c>
      <c r="G127" s="6">
        <v>5</v>
      </c>
      <c r="H127" s="19" t="s">
        <v>9290</v>
      </c>
      <c r="I127" s="2"/>
      <c r="J127" s="38" t="s">
        <v>171</v>
      </c>
      <c r="K127" s="6" t="s">
        <v>177</v>
      </c>
      <c r="L127" s="38" t="s">
        <v>173</v>
      </c>
      <c r="M127" s="2"/>
      <c r="N127" s="113"/>
      <c r="O127" s="45" t="s">
        <v>62</v>
      </c>
      <c r="P127" s="2" t="s">
        <v>62</v>
      </c>
      <c r="Q127" s="38" t="str">
        <f>IFERROR(Table3335466[[#This Row],[Min Count]]/Table3335466[[#This Row],[Scalar]],"")</f>
        <v/>
      </c>
      <c r="R127" s="36" t="str">
        <f>IFERROR(Table3335466[[#This Row],[Max Count]]/Table3335466[[#This Row],[Scalar]],"")</f>
        <v/>
      </c>
      <c r="S127" s="34"/>
      <c r="T127" s="2"/>
      <c r="U127" s="34"/>
      <c r="V127" s="33"/>
      <c r="W127" s="33" t="s">
        <v>3421</v>
      </c>
      <c r="X127" s="8"/>
      <c r="Y127" s="33"/>
      <c r="Z127"/>
      <c r="AD127"/>
      <c r="AE127"/>
      <c r="AF127"/>
      <c r="AG127"/>
    </row>
    <row r="128" spans="1:33" ht="16.149999999999999" customHeight="1" x14ac:dyDescent="0.15">
      <c r="A128" s="6">
        <v>122</v>
      </c>
      <c r="B128" s="18" t="s">
        <v>75</v>
      </c>
      <c r="C128" s="34" t="s">
        <v>2634</v>
      </c>
      <c r="D128" s="43" t="s">
        <v>3422</v>
      </c>
      <c r="E128" s="77" t="s">
        <v>169</v>
      </c>
      <c r="F128" s="19">
        <v>2002</v>
      </c>
      <c r="G128" s="6">
        <v>8</v>
      </c>
      <c r="H128" s="19" t="s">
        <v>9291</v>
      </c>
      <c r="I128" s="2"/>
      <c r="J128" s="38" t="s">
        <v>171</v>
      </c>
      <c r="K128" s="6" t="s">
        <v>177</v>
      </c>
      <c r="L128" s="38" t="s">
        <v>173</v>
      </c>
      <c r="M128" s="2"/>
      <c r="N128" s="113"/>
      <c r="O128" s="45" t="s">
        <v>62</v>
      </c>
      <c r="P128" s="2" t="s">
        <v>62</v>
      </c>
      <c r="Q128" s="38" t="str">
        <f>IFERROR(Table3335466[[#This Row],[Min Count]]/Table3335466[[#This Row],[Scalar]],"")</f>
        <v/>
      </c>
      <c r="R128" s="36" t="str">
        <f>IFERROR(Table3335466[[#This Row],[Max Count]]/Table3335466[[#This Row],[Scalar]],"")</f>
        <v/>
      </c>
      <c r="S128" s="34"/>
      <c r="T128" s="2"/>
      <c r="U128" s="34"/>
      <c r="V128" s="33"/>
      <c r="W128" s="33" t="s">
        <v>3423</v>
      </c>
      <c r="X128" s="8"/>
      <c r="Y128" s="33"/>
      <c r="Z128"/>
      <c r="AD128"/>
      <c r="AE128"/>
      <c r="AF128"/>
      <c r="AG128"/>
    </row>
    <row r="129" spans="1:33" ht="16.149999999999999" customHeight="1" x14ac:dyDescent="0.15">
      <c r="A129" s="6">
        <v>123</v>
      </c>
      <c r="B129" s="18" t="s">
        <v>75</v>
      </c>
      <c r="C129" s="34" t="s">
        <v>2634</v>
      </c>
      <c r="D129" s="43" t="s">
        <v>3424</v>
      </c>
      <c r="E129" s="77" t="s">
        <v>169</v>
      </c>
      <c r="F129" s="19">
        <v>2002</v>
      </c>
      <c r="G129" s="6">
        <v>9</v>
      </c>
      <c r="H129" s="19" t="s">
        <v>9292</v>
      </c>
      <c r="I129" s="2"/>
      <c r="J129" s="38" t="s">
        <v>171</v>
      </c>
      <c r="K129" s="6" t="s">
        <v>177</v>
      </c>
      <c r="L129" s="38" t="s">
        <v>173</v>
      </c>
      <c r="M129" s="2"/>
      <c r="N129" s="113"/>
      <c r="O129" s="45" t="s">
        <v>62</v>
      </c>
      <c r="P129" s="2" t="s">
        <v>62</v>
      </c>
      <c r="Q129" s="38" t="str">
        <f>IFERROR(Table3335466[[#This Row],[Min Count]]/Table3335466[[#This Row],[Scalar]],"")</f>
        <v/>
      </c>
      <c r="R129" s="36" t="str">
        <f>IFERROR(Table3335466[[#This Row],[Max Count]]/Table3335466[[#This Row],[Scalar]],"")</f>
        <v/>
      </c>
      <c r="S129" s="34"/>
      <c r="T129" s="2"/>
      <c r="U129" s="34"/>
      <c r="V129" s="33"/>
      <c r="W129" s="33" t="s">
        <v>3425</v>
      </c>
      <c r="X129" s="8"/>
      <c r="Y129" s="33"/>
      <c r="Z129"/>
      <c r="AD129"/>
      <c r="AE129"/>
      <c r="AF129"/>
      <c r="AG129"/>
    </row>
    <row r="130" spans="1:33" ht="16.149999999999999" customHeight="1" x14ac:dyDescent="0.15">
      <c r="A130" s="6">
        <v>124</v>
      </c>
      <c r="B130" s="18" t="s">
        <v>75</v>
      </c>
      <c r="C130" s="34" t="s">
        <v>2634</v>
      </c>
      <c r="D130" s="43" t="s">
        <v>3426</v>
      </c>
      <c r="E130" s="77" t="s">
        <v>169</v>
      </c>
      <c r="F130" s="19">
        <v>2002</v>
      </c>
      <c r="G130" s="6">
        <v>10</v>
      </c>
      <c r="H130" s="19" t="s">
        <v>9293</v>
      </c>
      <c r="I130" s="2"/>
      <c r="J130" s="38" t="s">
        <v>171</v>
      </c>
      <c r="K130" s="6" t="s">
        <v>177</v>
      </c>
      <c r="L130" s="38" t="s">
        <v>173</v>
      </c>
      <c r="M130" s="2"/>
      <c r="N130" s="113"/>
      <c r="O130" s="45" t="s">
        <v>62</v>
      </c>
      <c r="P130" s="2" t="s">
        <v>62</v>
      </c>
      <c r="Q130" s="38" t="str">
        <f>IFERROR(Table3335466[[#This Row],[Min Count]]/Table3335466[[#This Row],[Scalar]],"")</f>
        <v/>
      </c>
      <c r="R130" s="36" t="str">
        <f>IFERROR(Table3335466[[#This Row],[Max Count]]/Table3335466[[#This Row],[Scalar]],"")</f>
        <v/>
      </c>
      <c r="S130" s="34"/>
      <c r="T130" s="2"/>
      <c r="U130" s="34"/>
      <c r="V130" s="33"/>
      <c r="W130" s="33" t="s">
        <v>3427</v>
      </c>
      <c r="X130" s="8"/>
      <c r="Y130" s="33"/>
      <c r="Z130"/>
      <c r="AD130"/>
      <c r="AE130"/>
      <c r="AF130"/>
      <c r="AG130"/>
    </row>
    <row r="131" spans="1:33" ht="16.149999999999999" customHeight="1" x14ac:dyDescent="0.15">
      <c r="A131" s="6">
        <v>125</v>
      </c>
      <c r="B131" s="18" t="s">
        <v>75</v>
      </c>
      <c r="C131" s="34" t="s">
        <v>2634</v>
      </c>
      <c r="D131" s="43" t="s">
        <v>3428</v>
      </c>
      <c r="E131" s="77" t="s">
        <v>169</v>
      </c>
      <c r="F131" s="19">
        <v>2002</v>
      </c>
      <c r="G131" s="6">
        <v>16</v>
      </c>
      <c r="H131" s="19" t="s">
        <v>9136</v>
      </c>
      <c r="I131" s="2"/>
      <c r="J131" s="38" t="s">
        <v>171</v>
      </c>
      <c r="K131" s="6" t="s">
        <v>177</v>
      </c>
      <c r="L131" s="38" t="s">
        <v>173</v>
      </c>
      <c r="M131" s="2"/>
      <c r="N131" s="113"/>
      <c r="O131" s="45" t="s">
        <v>62</v>
      </c>
      <c r="P131" s="2" t="s">
        <v>62</v>
      </c>
      <c r="Q131" s="38" t="str">
        <f>IFERROR(Table3335466[[#This Row],[Min Count]]/Table3335466[[#This Row],[Scalar]],"")</f>
        <v/>
      </c>
      <c r="R131" s="36" t="str">
        <f>IFERROR(Table3335466[[#This Row],[Max Count]]/Table3335466[[#This Row],[Scalar]],"")</f>
        <v/>
      </c>
      <c r="S131" s="34"/>
      <c r="T131" s="2"/>
      <c r="U131" s="34"/>
      <c r="V131" s="33"/>
      <c r="W131" s="33" t="s">
        <v>3429</v>
      </c>
      <c r="X131" s="8"/>
      <c r="Y131" s="33"/>
      <c r="Z131"/>
      <c r="AD131"/>
      <c r="AE131"/>
      <c r="AF131"/>
      <c r="AG131"/>
    </row>
    <row r="132" spans="1:33" ht="16.149999999999999" customHeight="1" x14ac:dyDescent="0.15">
      <c r="A132" s="6">
        <v>126</v>
      </c>
      <c r="B132" s="18" t="s">
        <v>75</v>
      </c>
      <c r="C132" s="34" t="s">
        <v>2634</v>
      </c>
      <c r="D132" s="43" t="s">
        <v>3430</v>
      </c>
      <c r="E132" s="77" t="s">
        <v>169</v>
      </c>
      <c r="F132" s="19">
        <v>2002</v>
      </c>
      <c r="G132" s="6">
        <v>17</v>
      </c>
      <c r="H132" s="19" t="s">
        <v>9294</v>
      </c>
      <c r="I132" s="2"/>
      <c r="J132" s="38" t="s">
        <v>171</v>
      </c>
      <c r="K132" s="6" t="s">
        <v>177</v>
      </c>
      <c r="L132" s="38" t="s">
        <v>173</v>
      </c>
      <c r="M132" s="2"/>
      <c r="N132" s="113"/>
      <c r="O132" s="45" t="s">
        <v>62</v>
      </c>
      <c r="P132" s="2" t="s">
        <v>62</v>
      </c>
      <c r="Q132" s="38" t="str">
        <f>IFERROR(Table3335466[[#This Row],[Min Count]]/Table3335466[[#This Row],[Scalar]],"")</f>
        <v/>
      </c>
      <c r="R132" s="36" t="str">
        <f>IFERROR(Table3335466[[#This Row],[Max Count]]/Table3335466[[#This Row],[Scalar]],"")</f>
        <v/>
      </c>
      <c r="S132" s="34"/>
      <c r="T132" s="2"/>
      <c r="U132" s="34"/>
      <c r="V132" s="33"/>
      <c r="W132" s="33" t="s">
        <v>3431</v>
      </c>
      <c r="X132" s="8"/>
      <c r="Y132" s="33"/>
      <c r="Z132"/>
      <c r="AD132"/>
      <c r="AE132"/>
      <c r="AF132"/>
      <c r="AG132"/>
    </row>
    <row r="133" spans="1:33" ht="16.149999999999999" customHeight="1" x14ac:dyDescent="0.15">
      <c r="A133" s="6">
        <v>127</v>
      </c>
      <c r="B133" s="18" t="s">
        <v>75</v>
      </c>
      <c r="C133" s="34" t="s">
        <v>2634</v>
      </c>
      <c r="D133" s="43" t="s">
        <v>3432</v>
      </c>
      <c r="E133" s="77" t="s">
        <v>169</v>
      </c>
      <c r="F133" s="19">
        <v>2002</v>
      </c>
      <c r="G133" s="6">
        <v>18</v>
      </c>
      <c r="H133" s="19" t="s">
        <v>9137</v>
      </c>
      <c r="I133" s="2"/>
      <c r="J133" s="38" t="s">
        <v>171</v>
      </c>
      <c r="K133" s="6" t="s">
        <v>177</v>
      </c>
      <c r="L133" s="38" t="s">
        <v>173</v>
      </c>
      <c r="M133" s="2"/>
      <c r="N133" s="113"/>
      <c r="O133" s="45" t="s">
        <v>62</v>
      </c>
      <c r="P133" s="2" t="s">
        <v>62</v>
      </c>
      <c r="Q133" s="38" t="str">
        <f>IFERROR(Table3335466[[#This Row],[Min Count]]/Table3335466[[#This Row],[Scalar]],"")</f>
        <v/>
      </c>
      <c r="R133" s="36" t="str">
        <f>IFERROR(Table3335466[[#This Row],[Max Count]]/Table3335466[[#This Row],[Scalar]],"")</f>
        <v/>
      </c>
      <c r="S133" s="34"/>
      <c r="T133" s="2"/>
      <c r="U133" s="34"/>
      <c r="V133" s="33"/>
      <c r="W133" s="33" t="s">
        <v>3433</v>
      </c>
      <c r="X133" s="8"/>
      <c r="Y133" s="33"/>
      <c r="Z133"/>
      <c r="AD133"/>
      <c r="AE133"/>
      <c r="AF133"/>
      <c r="AG133"/>
    </row>
    <row r="134" spans="1:33" ht="16.149999999999999" customHeight="1" x14ac:dyDescent="0.15">
      <c r="A134" s="6">
        <v>128</v>
      </c>
      <c r="B134" s="18" t="s">
        <v>75</v>
      </c>
      <c r="C134" s="34" t="s">
        <v>2634</v>
      </c>
      <c r="D134" s="43" t="s">
        <v>3434</v>
      </c>
      <c r="E134" s="77" t="s">
        <v>169</v>
      </c>
      <c r="F134" s="19">
        <v>2002</v>
      </c>
      <c r="G134" s="6">
        <v>19</v>
      </c>
      <c r="H134" s="19" t="s">
        <v>9295</v>
      </c>
      <c r="I134" s="2"/>
      <c r="J134" s="38" t="s">
        <v>171</v>
      </c>
      <c r="K134" s="6" t="s">
        <v>177</v>
      </c>
      <c r="L134" s="38" t="s">
        <v>173</v>
      </c>
      <c r="M134" s="2"/>
      <c r="N134" s="113"/>
      <c r="O134" s="45" t="s">
        <v>62</v>
      </c>
      <c r="P134" s="2" t="s">
        <v>62</v>
      </c>
      <c r="Q134" s="38" t="str">
        <f>IFERROR(Table3335466[[#This Row],[Min Count]]/Table3335466[[#This Row],[Scalar]],"")</f>
        <v/>
      </c>
      <c r="R134" s="36" t="str">
        <f>IFERROR(Table3335466[[#This Row],[Max Count]]/Table3335466[[#This Row],[Scalar]],"")</f>
        <v/>
      </c>
      <c r="S134" s="34"/>
      <c r="T134" s="2"/>
      <c r="U134" s="34"/>
      <c r="V134" s="33"/>
      <c r="W134" s="33" t="s">
        <v>3435</v>
      </c>
      <c r="X134" s="8"/>
      <c r="Y134" s="33"/>
      <c r="Z134"/>
      <c r="AD134"/>
      <c r="AE134"/>
      <c r="AF134"/>
      <c r="AG134"/>
    </row>
    <row r="135" spans="1:33" ht="16.149999999999999" customHeight="1" x14ac:dyDescent="0.15">
      <c r="A135" s="6">
        <v>129</v>
      </c>
      <c r="B135" s="18" t="s">
        <v>75</v>
      </c>
      <c r="C135" s="34" t="s">
        <v>2634</v>
      </c>
      <c r="D135" s="43" t="s">
        <v>3436</v>
      </c>
      <c r="E135" s="77" t="s">
        <v>169</v>
      </c>
      <c r="F135" s="19">
        <v>2002</v>
      </c>
      <c r="G135" s="6">
        <v>24</v>
      </c>
      <c r="H135" s="19" t="s">
        <v>9138</v>
      </c>
      <c r="I135" s="2"/>
      <c r="J135" s="38" t="s">
        <v>171</v>
      </c>
      <c r="K135" s="6" t="s">
        <v>177</v>
      </c>
      <c r="L135" s="38" t="s">
        <v>173</v>
      </c>
      <c r="M135" s="2"/>
      <c r="N135" s="113"/>
      <c r="O135" s="45" t="s">
        <v>62</v>
      </c>
      <c r="P135" s="2" t="s">
        <v>62</v>
      </c>
      <c r="Q135" s="38" t="str">
        <f>IFERROR(Table3335466[[#This Row],[Min Count]]/Table3335466[[#This Row],[Scalar]],"")</f>
        <v/>
      </c>
      <c r="R135" s="36" t="str">
        <f>IFERROR(Table3335466[[#This Row],[Max Count]]/Table3335466[[#This Row],[Scalar]],"")</f>
        <v/>
      </c>
      <c r="S135" s="34"/>
      <c r="T135" s="2"/>
      <c r="U135" s="34"/>
      <c r="V135" s="33"/>
      <c r="W135" s="33" t="s">
        <v>3437</v>
      </c>
      <c r="X135" s="8"/>
      <c r="Y135" s="33"/>
      <c r="Z135"/>
      <c r="AD135"/>
      <c r="AE135"/>
      <c r="AF135"/>
      <c r="AG135"/>
    </row>
    <row r="136" spans="1:33" ht="16.149999999999999" customHeight="1" x14ac:dyDescent="0.15">
      <c r="A136" s="6">
        <v>130</v>
      </c>
      <c r="B136" s="18" t="s">
        <v>75</v>
      </c>
      <c r="C136" s="34" t="s">
        <v>2634</v>
      </c>
      <c r="D136" s="43" t="s">
        <v>3438</v>
      </c>
      <c r="E136" s="77" t="s">
        <v>169</v>
      </c>
      <c r="F136" s="19">
        <v>2002</v>
      </c>
      <c r="G136" s="6">
        <v>25</v>
      </c>
      <c r="H136" s="19" t="s">
        <v>9296</v>
      </c>
      <c r="I136" s="2"/>
      <c r="J136" s="38" t="s">
        <v>171</v>
      </c>
      <c r="K136" s="6" t="s">
        <v>177</v>
      </c>
      <c r="L136" s="38" t="s">
        <v>173</v>
      </c>
      <c r="M136" s="2"/>
      <c r="N136" s="113"/>
      <c r="O136" s="45" t="s">
        <v>62</v>
      </c>
      <c r="P136" s="2" t="s">
        <v>62</v>
      </c>
      <c r="Q136" s="38" t="str">
        <f>IFERROR(Table3335466[[#This Row],[Min Count]]/Table3335466[[#This Row],[Scalar]],"")</f>
        <v/>
      </c>
      <c r="R136" s="36" t="str">
        <f>IFERROR(Table3335466[[#This Row],[Max Count]]/Table3335466[[#This Row],[Scalar]],"")</f>
        <v/>
      </c>
      <c r="S136" s="34"/>
      <c r="T136" s="2"/>
      <c r="U136" s="34"/>
      <c r="V136" s="33"/>
      <c r="W136" s="33" t="s">
        <v>3439</v>
      </c>
      <c r="X136" s="8"/>
      <c r="Y136" s="33"/>
      <c r="Z136"/>
      <c r="AD136"/>
      <c r="AE136"/>
      <c r="AF136"/>
      <c r="AG136"/>
    </row>
    <row r="137" spans="1:33" ht="16.149999999999999" customHeight="1" x14ac:dyDescent="0.15">
      <c r="A137" s="6">
        <v>131</v>
      </c>
      <c r="B137" s="18" t="s">
        <v>75</v>
      </c>
      <c r="C137" s="34" t="s">
        <v>2634</v>
      </c>
      <c r="D137" s="43" t="s">
        <v>3440</v>
      </c>
      <c r="E137" s="77" t="s">
        <v>169</v>
      </c>
      <c r="F137" s="19">
        <v>2002</v>
      </c>
      <c r="G137" s="6">
        <v>26</v>
      </c>
      <c r="H137" s="19" t="s">
        <v>9297</v>
      </c>
      <c r="I137" s="2"/>
      <c r="J137" s="38" t="s">
        <v>171</v>
      </c>
      <c r="K137" s="6" t="s">
        <v>177</v>
      </c>
      <c r="L137" s="38" t="s">
        <v>173</v>
      </c>
      <c r="M137" s="2"/>
      <c r="N137" s="113"/>
      <c r="O137" s="45" t="s">
        <v>62</v>
      </c>
      <c r="P137" s="2" t="s">
        <v>62</v>
      </c>
      <c r="Q137" s="38" t="str">
        <f>IFERROR(Table3335466[[#This Row],[Min Count]]/Table3335466[[#This Row],[Scalar]],"")</f>
        <v/>
      </c>
      <c r="R137" s="36" t="str">
        <f>IFERROR(Table3335466[[#This Row],[Max Count]]/Table3335466[[#This Row],[Scalar]],"")</f>
        <v/>
      </c>
      <c r="S137" s="34"/>
      <c r="T137" s="2"/>
      <c r="U137" s="34"/>
      <c r="V137" s="33"/>
      <c r="W137" s="33" t="s">
        <v>3441</v>
      </c>
      <c r="X137" s="8"/>
      <c r="Y137" s="33"/>
      <c r="Z137"/>
      <c r="AD137"/>
      <c r="AE137"/>
      <c r="AF137"/>
      <c r="AG137"/>
    </row>
    <row r="138" spans="1:33" ht="16.149999999999999" customHeight="1" x14ac:dyDescent="0.15">
      <c r="A138" s="6">
        <v>132</v>
      </c>
      <c r="B138" s="18" t="s">
        <v>75</v>
      </c>
      <c r="C138" s="34" t="s">
        <v>2634</v>
      </c>
      <c r="D138" s="43" t="s">
        <v>3442</v>
      </c>
      <c r="E138" s="77" t="s">
        <v>3406</v>
      </c>
      <c r="F138" s="19">
        <v>2004</v>
      </c>
      <c r="G138" s="6"/>
      <c r="H138" s="19" t="s">
        <v>9298</v>
      </c>
      <c r="I138" s="2"/>
      <c r="J138" s="38"/>
      <c r="K138" s="6"/>
      <c r="L138" s="38"/>
      <c r="M138" s="2" t="s">
        <v>61</v>
      </c>
      <c r="N138" s="113">
        <v>1</v>
      </c>
      <c r="O138" s="45" t="s">
        <v>62</v>
      </c>
      <c r="P138" s="2" t="s">
        <v>62</v>
      </c>
      <c r="Q138" s="38" t="str">
        <f>IFERROR(Table3335466[[#This Row],[Min Count]]/Table3335466[[#This Row],[Scalar]],"")</f>
        <v/>
      </c>
      <c r="R138" s="36" t="str">
        <f>IFERROR(Table3335466[[#This Row],[Max Count]]/Table3335466[[#This Row],[Scalar]],"")</f>
        <v/>
      </c>
      <c r="S138" s="34"/>
      <c r="T138" s="2"/>
      <c r="U138" s="34"/>
      <c r="V138" s="33"/>
      <c r="W138" s="33" t="s">
        <v>3443</v>
      </c>
      <c r="X138" s="8"/>
      <c r="Y138" s="33"/>
      <c r="Z138"/>
      <c r="AD138"/>
      <c r="AE138"/>
      <c r="AF138"/>
      <c r="AG138"/>
    </row>
    <row r="139" spans="1:33" ht="16.149999999999999" customHeight="1" x14ac:dyDescent="0.15">
      <c r="A139" s="6">
        <v>133</v>
      </c>
      <c r="B139" s="18" t="s">
        <v>75</v>
      </c>
      <c r="C139" s="34" t="s">
        <v>2634</v>
      </c>
      <c r="D139" s="43" t="s">
        <v>3444</v>
      </c>
      <c r="E139" s="77" t="s">
        <v>169</v>
      </c>
      <c r="F139" s="19">
        <v>2004</v>
      </c>
      <c r="G139" s="6">
        <v>0</v>
      </c>
      <c r="H139" s="19" t="s">
        <v>9299</v>
      </c>
      <c r="I139" s="2"/>
      <c r="J139" s="38" t="s">
        <v>171</v>
      </c>
      <c r="K139" s="6" t="s">
        <v>177</v>
      </c>
      <c r="L139" s="38" t="s">
        <v>173</v>
      </c>
      <c r="M139" s="6"/>
      <c r="N139" s="38"/>
      <c r="O139" s="38" t="s">
        <v>62</v>
      </c>
      <c r="P139" s="38" t="s">
        <v>62</v>
      </c>
      <c r="Q139" s="38" t="str">
        <f>IFERROR(Table3335466[[#This Row],[Min Count]]/Table3335466[[#This Row],[Scalar]],"")</f>
        <v/>
      </c>
      <c r="R139" s="38" t="str">
        <f>IFERROR(Table3335466[[#This Row],[Max Count]]/Table3335466[[#This Row],[Scalar]],"")</f>
        <v/>
      </c>
      <c r="S139" s="34"/>
      <c r="T139" s="2"/>
      <c r="U139" s="34"/>
      <c r="V139" s="34"/>
      <c r="W139" s="77" t="s">
        <v>3445</v>
      </c>
      <c r="X139" s="8"/>
      <c r="Y139" s="2"/>
      <c r="Z139"/>
      <c r="AD139"/>
      <c r="AE139"/>
      <c r="AF139"/>
      <c r="AG139"/>
    </row>
    <row r="140" spans="1:33" ht="16.149999999999999" customHeight="1" x14ac:dyDescent="0.15">
      <c r="A140" s="6">
        <v>134</v>
      </c>
      <c r="B140" s="18" t="s">
        <v>75</v>
      </c>
      <c r="C140" s="34" t="s">
        <v>2634</v>
      </c>
      <c r="D140" t="s">
        <v>3446</v>
      </c>
      <c r="E140" s="77" t="s">
        <v>169</v>
      </c>
      <c r="F140" s="19">
        <v>2004</v>
      </c>
      <c r="G140" s="6">
        <v>8</v>
      </c>
      <c r="H140" s="19" t="s">
        <v>9300</v>
      </c>
      <c r="I140" s="2"/>
      <c r="J140" s="38" t="s">
        <v>171</v>
      </c>
      <c r="K140" s="6" t="s">
        <v>177</v>
      </c>
      <c r="L140" s="38" t="s">
        <v>173</v>
      </c>
      <c r="M140" s="2"/>
      <c r="N140" s="113"/>
      <c r="O140" s="45" t="s">
        <v>62</v>
      </c>
      <c r="P140" s="2" t="s">
        <v>62</v>
      </c>
      <c r="Q140" s="38" t="str">
        <f>IFERROR(Table3335466[[#This Row],[Min Count]]/Table3335466[[#This Row],[Scalar]],"")</f>
        <v/>
      </c>
      <c r="R140" s="36" t="str">
        <f>IFERROR(Table3335466[[#This Row],[Max Count]]/Table3335466[[#This Row],[Scalar]],"")</f>
        <v/>
      </c>
      <c r="S140" s="34"/>
      <c r="T140" s="2"/>
      <c r="U140" s="34"/>
      <c r="V140" s="33"/>
      <c r="W140" s="33" t="s">
        <v>3447</v>
      </c>
      <c r="X140" s="8"/>
      <c r="Y140" s="33"/>
      <c r="Z140"/>
      <c r="AD140"/>
      <c r="AE140"/>
      <c r="AF140"/>
      <c r="AG140"/>
    </row>
    <row r="141" spans="1:33" ht="16.149999999999999" customHeight="1" x14ac:dyDescent="0.15">
      <c r="A141" s="6">
        <v>135</v>
      </c>
      <c r="B141" s="18" t="s">
        <v>75</v>
      </c>
      <c r="C141" s="34" t="s">
        <v>2634</v>
      </c>
      <c r="D141" s="43" t="s">
        <v>3448</v>
      </c>
      <c r="E141" s="77" t="s">
        <v>169</v>
      </c>
      <c r="F141" s="19">
        <v>2004</v>
      </c>
      <c r="G141" s="6">
        <v>9</v>
      </c>
      <c r="H141" s="19" t="s">
        <v>9301</v>
      </c>
      <c r="I141" s="2"/>
      <c r="J141" s="38" t="s">
        <v>171</v>
      </c>
      <c r="K141" s="6" t="s">
        <v>177</v>
      </c>
      <c r="L141" s="38" t="s">
        <v>173</v>
      </c>
      <c r="M141" s="2"/>
      <c r="N141" s="113"/>
      <c r="O141" s="45" t="s">
        <v>62</v>
      </c>
      <c r="P141" s="2" t="s">
        <v>62</v>
      </c>
      <c r="Q141" s="38" t="str">
        <f>IFERROR(Table3335466[[#This Row],[Min Count]]/Table3335466[[#This Row],[Scalar]],"")</f>
        <v/>
      </c>
      <c r="R141" s="36" t="str">
        <f>IFERROR(Table3335466[[#This Row],[Max Count]]/Table3335466[[#This Row],[Scalar]],"")</f>
        <v/>
      </c>
      <c r="S141" s="34"/>
      <c r="T141" s="2"/>
      <c r="U141" s="34"/>
      <c r="V141" s="33"/>
      <c r="W141" s="33" t="s">
        <v>3449</v>
      </c>
      <c r="X141" s="8"/>
      <c r="Y141" s="33"/>
      <c r="Z141"/>
      <c r="AD141"/>
      <c r="AE141"/>
      <c r="AF141"/>
      <c r="AG141"/>
    </row>
    <row r="142" spans="1:33" ht="16.149999999999999" customHeight="1" x14ac:dyDescent="0.15">
      <c r="A142" s="6">
        <v>136</v>
      </c>
      <c r="B142" s="18" t="s">
        <v>75</v>
      </c>
      <c r="C142" s="34" t="s">
        <v>2634</v>
      </c>
      <c r="D142" s="43" t="s">
        <v>3450</v>
      </c>
      <c r="E142" s="77" t="s">
        <v>169</v>
      </c>
      <c r="F142" s="19">
        <v>2004</v>
      </c>
      <c r="G142" s="6">
        <v>10</v>
      </c>
      <c r="H142" s="19" t="s">
        <v>9302</v>
      </c>
      <c r="I142" s="2"/>
      <c r="J142" s="38" t="s">
        <v>171</v>
      </c>
      <c r="K142" s="6" t="s">
        <v>177</v>
      </c>
      <c r="L142" s="38" t="s">
        <v>173</v>
      </c>
      <c r="M142" s="2"/>
      <c r="N142" s="113"/>
      <c r="O142" s="45" t="s">
        <v>62</v>
      </c>
      <c r="P142" s="2" t="s">
        <v>62</v>
      </c>
      <c r="Q142" s="38" t="str">
        <f>IFERROR(Table3335466[[#This Row],[Min Count]]/Table3335466[[#This Row],[Scalar]],"")</f>
        <v/>
      </c>
      <c r="R142" s="36" t="str">
        <f>IFERROR(Table3335466[[#This Row],[Max Count]]/Table3335466[[#This Row],[Scalar]],"")</f>
        <v/>
      </c>
      <c r="S142" s="34"/>
      <c r="T142" s="2"/>
      <c r="U142" s="34"/>
      <c r="V142" s="33"/>
      <c r="W142" s="33" t="s">
        <v>3451</v>
      </c>
      <c r="X142" s="8"/>
      <c r="Y142" s="33"/>
      <c r="Z142"/>
      <c r="AD142"/>
      <c r="AE142"/>
      <c r="AF142"/>
      <c r="AG142"/>
    </row>
    <row r="143" spans="1:33" ht="16.149999999999999" customHeight="1" x14ac:dyDescent="0.15">
      <c r="A143" s="6">
        <v>137</v>
      </c>
      <c r="B143" s="18" t="s">
        <v>75</v>
      </c>
      <c r="C143" s="34" t="s">
        <v>2634</v>
      </c>
      <c r="D143" s="43" t="s">
        <v>3452</v>
      </c>
      <c r="E143" s="77" t="s">
        <v>169</v>
      </c>
      <c r="F143" s="19">
        <v>2004</v>
      </c>
      <c r="G143" s="6">
        <v>11</v>
      </c>
      <c r="H143" s="19" t="s">
        <v>9303</v>
      </c>
      <c r="I143" s="2"/>
      <c r="J143" s="38" t="s">
        <v>171</v>
      </c>
      <c r="K143" s="6" t="s">
        <v>177</v>
      </c>
      <c r="L143" s="38" t="s">
        <v>173</v>
      </c>
      <c r="M143" s="2"/>
      <c r="N143" s="113"/>
      <c r="O143" s="45" t="s">
        <v>62</v>
      </c>
      <c r="P143" s="2" t="s">
        <v>62</v>
      </c>
      <c r="Q143" s="38" t="str">
        <f>IFERROR(Table3335466[[#This Row],[Min Count]]/Table3335466[[#This Row],[Scalar]],"")</f>
        <v/>
      </c>
      <c r="R143" s="36" t="str">
        <f>IFERROR(Table3335466[[#This Row],[Max Count]]/Table3335466[[#This Row],[Scalar]],"")</f>
        <v/>
      </c>
      <c r="S143" s="34"/>
      <c r="T143" s="2"/>
      <c r="U143" s="34"/>
      <c r="V143" s="33"/>
      <c r="W143" s="33" t="s">
        <v>3453</v>
      </c>
      <c r="X143" s="8"/>
      <c r="Y143" s="33"/>
      <c r="Z143"/>
      <c r="AD143"/>
      <c r="AE143"/>
      <c r="AF143"/>
      <c r="AG143"/>
    </row>
    <row r="144" spans="1:33" ht="16.149999999999999" customHeight="1" x14ac:dyDescent="0.15">
      <c r="A144" s="6">
        <v>138</v>
      </c>
      <c r="B144" s="18" t="s">
        <v>75</v>
      </c>
      <c r="C144" s="34" t="s">
        <v>2634</v>
      </c>
      <c r="D144" s="43" t="s">
        <v>3454</v>
      </c>
      <c r="E144" s="77" t="s">
        <v>169</v>
      </c>
      <c r="F144" s="19">
        <v>2004</v>
      </c>
      <c r="G144" s="6">
        <v>16</v>
      </c>
      <c r="H144" s="19" t="s">
        <v>9304</v>
      </c>
      <c r="I144" s="2"/>
      <c r="J144" s="38" t="s">
        <v>171</v>
      </c>
      <c r="K144" s="6" t="s">
        <v>177</v>
      </c>
      <c r="L144" s="38" t="s">
        <v>173</v>
      </c>
      <c r="M144" s="2"/>
      <c r="N144" s="113"/>
      <c r="O144" s="45" t="s">
        <v>62</v>
      </c>
      <c r="P144" s="2" t="s">
        <v>62</v>
      </c>
      <c r="Q144" s="38" t="str">
        <f>IFERROR(Table3335466[[#This Row],[Min Count]]/Table3335466[[#This Row],[Scalar]],"")</f>
        <v/>
      </c>
      <c r="R144" s="36" t="str">
        <f>IFERROR(Table3335466[[#This Row],[Max Count]]/Table3335466[[#This Row],[Scalar]],"")</f>
        <v/>
      </c>
      <c r="S144" s="34"/>
      <c r="T144" s="2"/>
      <c r="U144" s="34"/>
      <c r="V144" s="33"/>
      <c r="W144" s="33" t="s">
        <v>3455</v>
      </c>
      <c r="X144" s="8"/>
      <c r="Y144" s="33"/>
      <c r="Z144"/>
      <c r="AD144"/>
      <c r="AE144"/>
      <c r="AF144"/>
      <c r="AG144"/>
    </row>
    <row r="145" spans="1:33" ht="16.149999999999999" customHeight="1" x14ac:dyDescent="0.15">
      <c r="A145" s="6">
        <v>139</v>
      </c>
      <c r="B145" s="18" t="s">
        <v>75</v>
      </c>
      <c r="C145" s="34" t="s">
        <v>2634</v>
      </c>
      <c r="D145" s="43" t="s">
        <v>3456</v>
      </c>
      <c r="E145" s="77" t="s">
        <v>169</v>
      </c>
      <c r="F145" s="19">
        <v>2004</v>
      </c>
      <c r="G145" s="6">
        <v>17</v>
      </c>
      <c r="H145" s="19" t="s">
        <v>9305</v>
      </c>
      <c r="I145" s="2"/>
      <c r="J145" s="38" t="s">
        <v>171</v>
      </c>
      <c r="K145" s="6" t="s">
        <v>177</v>
      </c>
      <c r="L145" s="38" t="s">
        <v>173</v>
      </c>
      <c r="M145" s="6"/>
      <c r="N145" s="38"/>
      <c r="O145" s="38" t="s">
        <v>62</v>
      </c>
      <c r="P145" s="38" t="s">
        <v>62</v>
      </c>
      <c r="Q145" s="38" t="str">
        <f>IFERROR(Table3335466[[#This Row],[Min Count]]/Table3335466[[#This Row],[Scalar]],"")</f>
        <v/>
      </c>
      <c r="R145" s="38" t="str">
        <f>IFERROR(Table3335466[[#This Row],[Max Count]]/Table3335466[[#This Row],[Scalar]],"")</f>
        <v/>
      </c>
      <c r="S145" s="34"/>
      <c r="T145" s="2"/>
      <c r="U145" s="34"/>
      <c r="V145" s="34"/>
      <c r="W145" s="77" t="s">
        <v>3457</v>
      </c>
      <c r="X145" s="8"/>
      <c r="Y145" s="2"/>
      <c r="Z145"/>
      <c r="AD145"/>
      <c r="AE145"/>
      <c r="AF145"/>
      <c r="AG145"/>
    </row>
    <row r="146" spans="1:33" ht="16.149999999999999" customHeight="1" x14ac:dyDescent="0.15">
      <c r="A146" s="6">
        <v>140</v>
      </c>
      <c r="B146" s="18" t="s">
        <v>75</v>
      </c>
      <c r="C146" s="34" t="s">
        <v>2634</v>
      </c>
      <c r="D146" t="s">
        <v>3458</v>
      </c>
      <c r="E146" s="77" t="s">
        <v>169</v>
      </c>
      <c r="F146" s="19">
        <v>2004</v>
      </c>
      <c r="G146" s="6">
        <v>18</v>
      </c>
      <c r="H146" s="19" t="s">
        <v>9306</v>
      </c>
      <c r="I146" s="2"/>
      <c r="J146" s="38" t="s">
        <v>171</v>
      </c>
      <c r="K146" s="6" t="s">
        <v>177</v>
      </c>
      <c r="L146" s="38" t="s">
        <v>173</v>
      </c>
      <c r="M146" s="6"/>
      <c r="N146" s="38"/>
      <c r="O146" s="38" t="s">
        <v>62</v>
      </c>
      <c r="P146" s="38" t="s">
        <v>62</v>
      </c>
      <c r="Q146" s="38" t="str">
        <f>IFERROR(Table3335466[[#This Row],[Min Count]]/Table3335466[[#This Row],[Scalar]],"")</f>
        <v/>
      </c>
      <c r="R146" s="38" t="str">
        <f>IFERROR(Table3335466[[#This Row],[Max Count]]/Table3335466[[#This Row],[Scalar]],"")</f>
        <v/>
      </c>
      <c r="S146" s="34"/>
      <c r="T146" s="2"/>
      <c r="U146" s="34"/>
      <c r="V146" s="34"/>
      <c r="W146" s="77" t="s">
        <v>3459</v>
      </c>
      <c r="X146" s="8"/>
      <c r="Y146" s="34"/>
      <c r="Z146"/>
      <c r="AD146"/>
      <c r="AE146"/>
      <c r="AF146"/>
      <c r="AG146"/>
    </row>
    <row r="147" spans="1:33" ht="16.149999999999999" customHeight="1" x14ac:dyDescent="0.15">
      <c r="A147" s="6">
        <v>141</v>
      </c>
      <c r="B147" s="18" t="s">
        <v>75</v>
      </c>
      <c r="C147" s="34" t="s">
        <v>2634</v>
      </c>
      <c r="D147" t="s">
        <v>3460</v>
      </c>
      <c r="E147" s="77" t="s">
        <v>3406</v>
      </c>
      <c r="F147" s="19">
        <v>2006</v>
      </c>
      <c r="G147" s="6"/>
      <c r="H147" s="19" t="s">
        <v>9307</v>
      </c>
      <c r="I147" s="2"/>
      <c r="J147" s="38" t="s">
        <v>171</v>
      </c>
      <c r="K147" s="6" t="s">
        <v>177</v>
      </c>
      <c r="L147" s="38" t="s">
        <v>173</v>
      </c>
      <c r="M147" s="6"/>
      <c r="N147" s="38"/>
      <c r="O147" s="38" t="s">
        <v>62</v>
      </c>
      <c r="P147" s="38" t="s">
        <v>62</v>
      </c>
      <c r="Q147" s="38" t="str">
        <f>IFERROR(Table3335466[[#This Row],[Min Count]]/Table3335466[[#This Row],[Scalar]],"")</f>
        <v/>
      </c>
      <c r="R147" s="38" t="str">
        <f>IFERROR(Table3335466[[#This Row],[Max Count]]/Table3335466[[#This Row],[Scalar]],"")</f>
        <v/>
      </c>
      <c r="S147" s="34"/>
      <c r="T147" s="2"/>
      <c r="U147" s="34"/>
      <c r="V147" s="34"/>
      <c r="W147" s="77" t="s">
        <v>3461</v>
      </c>
      <c r="X147" s="8"/>
      <c r="Y147" s="2"/>
      <c r="Z147"/>
      <c r="AD147"/>
      <c r="AE147"/>
      <c r="AF147"/>
      <c r="AG147"/>
    </row>
    <row r="148" spans="1:33" ht="16.149999999999999" customHeight="1" x14ac:dyDescent="0.15">
      <c r="A148" s="6">
        <v>142</v>
      </c>
      <c r="B148" s="18" t="s">
        <v>75</v>
      </c>
      <c r="C148" s="34" t="s">
        <v>2634</v>
      </c>
      <c r="D148" t="s">
        <v>3462</v>
      </c>
      <c r="E148" s="77" t="s">
        <v>169</v>
      </c>
      <c r="F148" s="19">
        <v>2006</v>
      </c>
      <c r="G148" s="6">
        <v>0</v>
      </c>
      <c r="H148" s="19" t="s">
        <v>9308</v>
      </c>
      <c r="I148" s="2"/>
      <c r="J148" s="38" t="s">
        <v>171</v>
      </c>
      <c r="K148" s="6" t="s">
        <v>177</v>
      </c>
      <c r="L148" s="38" t="s">
        <v>173</v>
      </c>
      <c r="M148" s="6"/>
      <c r="N148" s="38"/>
      <c r="O148" s="38" t="s">
        <v>62</v>
      </c>
      <c r="P148" s="38" t="s">
        <v>62</v>
      </c>
      <c r="Q148" s="38" t="str">
        <f>IFERROR(Table3335466[[#This Row],[Min Count]]/Table3335466[[#This Row],[Scalar]],"")</f>
        <v/>
      </c>
      <c r="R148" s="38" t="str">
        <f>IFERROR(Table3335466[[#This Row],[Max Count]]/Table3335466[[#This Row],[Scalar]],"")</f>
        <v/>
      </c>
      <c r="S148" s="34"/>
      <c r="T148" s="2"/>
      <c r="U148" s="34"/>
      <c r="V148" s="34"/>
      <c r="W148" s="77" t="s">
        <v>3463</v>
      </c>
      <c r="X148" s="8"/>
      <c r="Y148" s="2"/>
      <c r="Z148"/>
      <c r="AD148"/>
      <c r="AE148"/>
      <c r="AF148"/>
      <c r="AG148"/>
    </row>
    <row r="149" spans="1:33" ht="16.149999999999999" customHeight="1" x14ac:dyDescent="0.15">
      <c r="A149" s="6">
        <v>143</v>
      </c>
      <c r="B149" s="18" t="s">
        <v>75</v>
      </c>
      <c r="C149" s="34" t="s">
        <v>2634</v>
      </c>
      <c r="D149" t="s">
        <v>3464</v>
      </c>
      <c r="E149" s="77" t="s">
        <v>169</v>
      </c>
      <c r="F149" s="19">
        <v>2006</v>
      </c>
      <c r="G149" s="6">
        <v>1</v>
      </c>
      <c r="H149" s="19" t="s">
        <v>9309</v>
      </c>
      <c r="I149" s="2"/>
      <c r="J149" s="38" t="s">
        <v>171</v>
      </c>
      <c r="K149" s="6" t="s">
        <v>177</v>
      </c>
      <c r="L149" s="38" t="s">
        <v>173</v>
      </c>
      <c r="M149" s="6"/>
      <c r="N149" s="38"/>
      <c r="O149" s="38" t="s">
        <v>62</v>
      </c>
      <c r="P149" s="38" t="s">
        <v>62</v>
      </c>
      <c r="Q149" s="38" t="str">
        <f>IFERROR(Table3335466[[#This Row],[Min Count]]/Table3335466[[#This Row],[Scalar]],"")</f>
        <v/>
      </c>
      <c r="R149" s="38" t="str">
        <f>IFERROR(Table3335466[[#This Row],[Max Count]]/Table3335466[[#This Row],[Scalar]],"")</f>
        <v/>
      </c>
      <c r="S149" s="34"/>
      <c r="T149" s="2"/>
      <c r="U149" s="34"/>
      <c r="V149" s="34"/>
      <c r="W149" s="77" t="s">
        <v>3465</v>
      </c>
      <c r="X149" s="8"/>
      <c r="Y149" s="2"/>
      <c r="Z149"/>
      <c r="AD149"/>
      <c r="AE149"/>
      <c r="AF149"/>
      <c r="AG149"/>
    </row>
    <row r="150" spans="1:33" ht="16.149999999999999" customHeight="1" x14ac:dyDescent="0.15">
      <c r="A150" s="6">
        <v>144</v>
      </c>
      <c r="B150" s="18" t="s">
        <v>75</v>
      </c>
      <c r="C150" s="34" t="s">
        <v>2634</v>
      </c>
      <c r="D150" t="s">
        <v>3466</v>
      </c>
      <c r="E150" s="77" t="s">
        <v>169</v>
      </c>
      <c r="F150" s="19">
        <v>2006</v>
      </c>
      <c r="G150" s="6">
        <v>8</v>
      </c>
      <c r="H150" s="19" t="s">
        <v>9310</v>
      </c>
      <c r="I150" s="2"/>
      <c r="J150" s="38" t="s">
        <v>171</v>
      </c>
      <c r="K150" s="6" t="s">
        <v>177</v>
      </c>
      <c r="L150" s="38" t="s">
        <v>173</v>
      </c>
      <c r="M150" s="6"/>
      <c r="N150" s="38"/>
      <c r="O150" s="38" t="s">
        <v>62</v>
      </c>
      <c r="P150" s="38" t="s">
        <v>62</v>
      </c>
      <c r="Q150" s="38" t="str">
        <f>IFERROR(Table3335466[[#This Row],[Min Count]]/Table3335466[[#This Row],[Scalar]],"")</f>
        <v/>
      </c>
      <c r="R150" s="38" t="str">
        <f>IFERROR(Table3335466[[#This Row],[Max Count]]/Table3335466[[#This Row],[Scalar]],"")</f>
        <v/>
      </c>
      <c r="S150" s="34"/>
      <c r="T150" s="2"/>
      <c r="U150" s="34"/>
      <c r="V150" s="34"/>
      <c r="W150" s="77" t="s">
        <v>3467</v>
      </c>
      <c r="X150" s="8"/>
      <c r="Y150" s="2"/>
      <c r="Z150"/>
      <c r="AD150"/>
      <c r="AE150"/>
      <c r="AF150"/>
      <c r="AG150"/>
    </row>
    <row r="151" spans="1:33" ht="16.149999999999999" customHeight="1" x14ac:dyDescent="0.15">
      <c r="A151" s="6">
        <v>145</v>
      </c>
      <c r="B151" s="18" t="s">
        <v>75</v>
      </c>
      <c r="C151" s="34" t="s">
        <v>2634</v>
      </c>
      <c r="D151" t="s">
        <v>3468</v>
      </c>
      <c r="E151" s="77" t="s">
        <v>169</v>
      </c>
      <c r="F151" s="19">
        <v>2006</v>
      </c>
      <c r="G151" s="6">
        <v>9</v>
      </c>
      <c r="H151" s="19" t="s">
        <v>9311</v>
      </c>
      <c r="I151" s="2"/>
      <c r="J151" s="38" t="s">
        <v>171</v>
      </c>
      <c r="K151" s="6" t="s">
        <v>177</v>
      </c>
      <c r="L151" s="38" t="s">
        <v>173</v>
      </c>
      <c r="M151" s="38"/>
      <c r="N151" s="38"/>
      <c r="O151" s="38" t="s">
        <v>62</v>
      </c>
      <c r="P151" s="38" t="s">
        <v>62</v>
      </c>
      <c r="Q151" s="38" t="str">
        <f>IFERROR(Table3335466[[#This Row],[Min Count]]/Table3335466[[#This Row],[Scalar]],"")</f>
        <v/>
      </c>
      <c r="R151" s="38" t="str">
        <f>IFERROR(Table3335466[[#This Row],[Max Count]]/Table3335466[[#This Row],[Scalar]],"")</f>
        <v/>
      </c>
      <c r="S151" s="34"/>
      <c r="T151" s="2"/>
      <c r="U151" s="34"/>
      <c r="V151" s="34"/>
      <c r="W151" s="36" t="s">
        <v>3469</v>
      </c>
      <c r="X151" s="8"/>
      <c r="Y151" s="2"/>
      <c r="Z151"/>
      <c r="AD151"/>
      <c r="AE151"/>
      <c r="AF151"/>
      <c r="AG151"/>
    </row>
    <row r="152" spans="1:33" ht="16.149999999999999" customHeight="1" x14ac:dyDescent="0.15">
      <c r="A152" s="6">
        <v>146</v>
      </c>
      <c r="B152" s="18" t="s">
        <v>75</v>
      </c>
      <c r="C152" s="34" t="s">
        <v>2634</v>
      </c>
      <c r="D152" t="s">
        <v>3470</v>
      </c>
      <c r="E152" s="77" t="s">
        <v>169</v>
      </c>
      <c r="F152" s="19">
        <v>2006</v>
      </c>
      <c r="G152" s="6">
        <v>16</v>
      </c>
      <c r="H152" s="19" t="s">
        <v>9312</v>
      </c>
      <c r="I152" s="2"/>
      <c r="J152" s="38" t="s">
        <v>171</v>
      </c>
      <c r="K152" s="6" t="s">
        <v>177</v>
      </c>
      <c r="L152" s="38" t="s">
        <v>173</v>
      </c>
      <c r="M152" s="38"/>
      <c r="N152" s="38"/>
      <c r="O152" s="38" t="s">
        <v>62</v>
      </c>
      <c r="P152" s="38" t="s">
        <v>62</v>
      </c>
      <c r="Q152" s="38" t="str">
        <f>IFERROR(Table3335466[[#This Row],[Min Count]]/Table3335466[[#This Row],[Scalar]],"")</f>
        <v/>
      </c>
      <c r="R152" s="38" t="str">
        <f>IFERROR(Table3335466[[#This Row],[Max Count]]/Table3335466[[#This Row],[Scalar]],"")</f>
        <v/>
      </c>
      <c r="S152" s="34"/>
      <c r="T152" s="34"/>
      <c r="U152" s="34"/>
      <c r="V152" s="34"/>
      <c r="W152" s="36" t="s">
        <v>3471</v>
      </c>
      <c r="X152" s="8"/>
      <c r="Y152" s="2"/>
      <c r="Z152"/>
      <c r="AD152"/>
      <c r="AE152"/>
      <c r="AF152"/>
      <c r="AG152"/>
    </row>
    <row r="153" spans="1:33" ht="16.149999999999999" customHeight="1" x14ac:dyDescent="0.15">
      <c r="A153" s="6">
        <v>147</v>
      </c>
      <c r="B153" s="18" t="s">
        <v>75</v>
      </c>
      <c r="C153" s="34" t="s">
        <v>2634</v>
      </c>
      <c r="D153" t="s">
        <v>3472</v>
      </c>
      <c r="E153" s="77" t="s">
        <v>169</v>
      </c>
      <c r="F153" s="19">
        <v>2006</v>
      </c>
      <c r="G153" s="6">
        <v>17</v>
      </c>
      <c r="H153" s="19" t="s">
        <v>9313</v>
      </c>
      <c r="I153" s="2"/>
      <c r="J153" s="38" t="s">
        <v>171</v>
      </c>
      <c r="K153" s="6" t="s">
        <v>177</v>
      </c>
      <c r="L153" s="38" t="s">
        <v>173</v>
      </c>
      <c r="M153" s="38"/>
      <c r="N153" s="38"/>
      <c r="O153" s="38" t="s">
        <v>62</v>
      </c>
      <c r="P153" s="38" t="s">
        <v>62</v>
      </c>
      <c r="Q153" s="38" t="str">
        <f>IFERROR(Table3335466[[#This Row],[Min Count]]/Table3335466[[#This Row],[Scalar]],"")</f>
        <v/>
      </c>
      <c r="R153" s="38" t="str">
        <f>IFERROR(Table3335466[[#This Row],[Max Count]]/Table3335466[[#This Row],[Scalar]],"")</f>
        <v/>
      </c>
      <c r="S153" s="34"/>
      <c r="T153" s="34"/>
      <c r="U153" s="34"/>
      <c r="V153" s="34"/>
      <c r="W153" s="36" t="s">
        <v>3473</v>
      </c>
      <c r="X153" s="8"/>
      <c r="Y153" s="2"/>
      <c r="Z153"/>
      <c r="AD153"/>
      <c r="AE153"/>
      <c r="AF153"/>
      <c r="AG153"/>
    </row>
    <row r="154" spans="1:33" ht="16.149999999999999" customHeight="1" x14ac:dyDescent="0.15">
      <c r="A154" s="6">
        <v>148</v>
      </c>
      <c r="B154" s="18" t="s">
        <v>75</v>
      </c>
      <c r="C154" s="34" t="s">
        <v>2634</v>
      </c>
      <c r="D154" t="s">
        <v>3474</v>
      </c>
      <c r="E154" s="77" t="s">
        <v>169</v>
      </c>
      <c r="F154" s="19">
        <v>2006</v>
      </c>
      <c r="G154" s="6">
        <v>18</v>
      </c>
      <c r="H154" s="19" t="s">
        <v>9314</v>
      </c>
      <c r="I154" s="2"/>
      <c r="J154" s="38" t="s">
        <v>171</v>
      </c>
      <c r="K154" s="6" t="s">
        <v>177</v>
      </c>
      <c r="L154" s="38" t="s">
        <v>173</v>
      </c>
      <c r="M154" s="38"/>
      <c r="N154" s="38"/>
      <c r="O154" s="38" t="s">
        <v>62</v>
      </c>
      <c r="P154" s="38" t="s">
        <v>62</v>
      </c>
      <c r="Q154" s="38" t="str">
        <f>IFERROR(Table3335466[[#This Row],[Min Count]]/Table3335466[[#This Row],[Scalar]],"")</f>
        <v/>
      </c>
      <c r="R154" s="38" t="str">
        <f>IFERROR(Table3335466[[#This Row],[Max Count]]/Table3335466[[#This Row],[Scalar]],"")</f>
        <v/>
      </c>
      <c r="S154" s="34"/>
      <c r="T154" s="34"/>
      <c r="U154" s="34"/>
      <c r="V154" s="34"/>
      <c r="W154" s="36" t="s">
        <v>3475</v>
      </c>
      <c r="X154" s="8"/>
      <c r="Y154" s="2"/>
      <c r="Z154"/>
      <c r="AD154"/>
      <c r="AE154"/>
      <c r="AF154"/>
      <c r="AG154"/>
    </row>
    <row r="155" spans="1:33" ht="16.149999999999999" customHeight="1" x14ac:dyDescent="0.15">
      <c r="A155" s="6">
        <v>149</v>
      </c>
      <c r="B155" s="18" t="s">
        <v>75</v>
      </c>
      <c r="C155" s="34" t="s">
        <v>2634</v>
      </c>
      <c r="D155" t="s">
        <v>3476</v>
      </c>
      <c r="E155" s="77" t="s">
        <v>3406</v>
      </c>
      <c r="F155" s="19">
        <v>2018</v>
      </c>
      <c r="G155" s="6"/>
      <c r="H155" s="19" t="s">
        <v>9315</v>
      </c>
      <c r="I155" s="2"/>
      <c r="J155" s="38"/>
      <c r="K155" s="38"/>
      <c r="L155" s="38"/>
      <c r="M155" s="2" t="s">
        <v>61</v>
      </c>
      <c r="N155" s="113">
        <v>1</v>
      </c>
      <c r="O155" s="38" t="s">
        <v>62</v>
      </c>
      <c r="P155" s="38" t="s">
        <v>62</v>
      </c>
      <c r="Q155" s="38" t="str">
        <f>IFERROR(Table3335466[[#This Row],[Min Count]]/Table3335466[[#This Row],[Scalar]],"")</f>
        <v/>
      </c>
      <c r="R155" s="38" t="str">
        <f>IFERROR(Table3335466[[#This Row],[Max Count]]/Table3335466[[#This Row],[Scalar]],"")</f>
        <v/>
      </c>
      <c r="S155" s="34"/>
      <c r="T155" s="34"/>
      <c r="U155" s="34"/>
      <c r="V155" s="34"/>
      <c r="W155" s="36" t="s">
        <v>9196</v>
      </c>
      <c r="X155" s="8"/>
      <c r="Y155" s="2"/>
      <c r="Z155"/>
      <c r="AD155"/>
      <c r="AE155"/>
      <c r="AF155"/>
      <c r="AG155"/>
    </row>
    <row r="156" spans="1:33" ht="16.149999999999999" customHeight="1" x14ac:dyDescent="0.15">
      <c r="A156" s="6">
        <v>150</v>
      </c>
      <c r="B156" s="18" t="s">
        <v>75</v>
      </c>
      <c r="C156" s="34" t="s">
        <v>2634</v>
      </c>
      <c r="D156" t="s">
        <v>3478</v>
      </c>
      <c r="E156" s="77" t="s">
        <v>169</v>
      </c>
      <c r="F156" s="19">
        <v>2018</v>
      </c>
      <c r="G156" s="6">
        <v>0</v>
      </c>
      <c r="H156" s="19" t="s">
        <v>9316</v>
      </c>
      <c r="I156" s="2"/>
      <c r="J156" s="38" t="s">
        <v>171</v>
      </c>
      <c r="K156" s="6" t="s">
        <v>177</v>
      </c>
      <c r="L156" s="38" t="s">
        <v>173</v>
      </c>
      <c r="M156" s="38"/>
      <c r="N156" s="38"/>
      <c r="O156" s="38" t="s">
        <v>62</v>
      </c>
      <c r="P156" s="38" t="s">
        <v>62</v>
      </c>
      <c r="Q156" s="38" t="str">
        <f>IFERROR(Table3335466[[#This Row],[Min Count]]/Table3335466[[#This Row],[Scalar]],"")</f>
        <v/>
      </c>
      <c r="R156" s="38" t="str">
        <f>IFERROR(Table3335466[[#This Row],[Max Count]]/Table3335466[[#This Row],[Scalar]],"")</f>
        <v/>
      </c>
      <c r="S156" s="34"/>
      <c r="T156" s="34"/>
      <c r="U156" s="34"/>
      <c r="V156" s="34"/>
      <c r="W156" s="36" t="s">
        <v>9197</v>
      </c>
      <c r="X156" s="8"/>
      <c r="Y156" s="2"/>
      <c r="Z156"/>
      <c r="AD156"/>
      <c r="AE156"/>
      <c r="AF156"/>
      <c r="AG156"/>
    </row>
    <row r="157" spans="1:33" ht="16.149999999999999" customHeight="1" x14ac:dyDescent="0.15">
      <c r="A157" s="6">
        <v>151</v>
      </c>
      <c r="B157" s="18" t="s">
        <v>75</v>
      </c>
      <c r="C157" s="34" t="s">
        <v>2634</v>
      </c>
      <c r="D157" t="s">
        <v>3480</v>
      </c>
      <c r="E157" s="77" t="s">
        <v>169</v>
      </c>
      <c r="F157" s="19">
        <v>2018</v>
      </c>
      <c r="G157" s="6">
        <v>1</v>
      </c>
      <c r="H157" s="19" t="s">
        <v>9317</v>
      </c>
      <c r="I157" s="2"/>
      <c r="J157" s="38" t="s">
        <v>171</v>
      </c>
      <c r="K157" s="6" t="s">
        <v>177</v>
      </c>
      <c r="L157" s="38" t="s">
        <v>173</v>
      </c>
      <c r="M157" s="38"/>
      <c r="N157" s="38"/>
      <c r="O157" s="38" t="s">
        <v>62</v>
      </c>
      <c r="P157" s="38" t="s">
        <v>62</v>
      </c>
      <c r="Q157" s="38" t="str">
        <f>IFERROR(Table3335466[[#This Row],[Min Count]]/Table3335466[[#This Row],[Scalar]],"")</f>
        <v/>
      </c>
      <c r="R157" s="38" t="str">
        <f>IFERROR(Table3335466[[#This Row],[Max Count]]/Table3335466[[#This Row],[Scalar]],"")</f>
        <v/>
      </c>
      <c r="S157" s="34"/>
      <c r="T157" s="34"/>
      <c r="U157" s="34"/>
      <c r="V157" s="34"/>
      <c r="W157" s="36" t="s">
        <v>9198</v>
      </c>
      <c r="X157" s="8"/>
      <c r="Y157" s="2"/>
      <c r="Z157"/>
      <c r="AD157"/>
      <c r="AE157"/>
      <c r="AF157"/>
      <c r="AG157"/>
    </row>
    <row r="158" spans="1:33" ht="16.149999999999999" customHeight="1" x14ac:dyDescent="0.15">
      <c r="A158" s="6">
        <v>152</v>
      </c>
      <c r="B158" s="18" t="s">
        <v>75</v>
      </c>
      <c r="C158" s="34" t="s">
        <v>2634</v>
      </c>
      <c r="D158" t="s">
        <v>3482</v>
      </c>
      <c r="E158" s="77" t="s">
        <v>169</v>
      </c>
      <c r="F158" s="19">
        <v>2018</v>
      </c>
      <c r="G158" s="6">
        <v>2</v>
      </c>
      <c r="H158" s="19" t="s">
        <v>9318</v>
      </c>
      <c r="I158" s="2"/>
      <c r="J158" s="38" t="s">
        <v>171</v>
      </c>
      <c r="K158" s="6" t="s">
        <v>177</v>
      </c>
      <c r="L158" s="38" t="s">
        <v>173</v>
      </c>
      <c r="M158" s="38"/>
      <c r="N158" s="38"/>
      <c r="O158" s="38" t="s">
        <v>62</v>
      </c>
      <c r="P158" s="38" t="s">
        <v>62</v>
      </c>
      <c r="Q158" s="38" t="str">
        <f>IFERROR(Table3335466[[#This Row],[Min Count]]/Table3335466[[#This Row],[Scalar]],"")</f>
        <v/>
      </c>
      <c r="R158" s="38" t="str">
        <f>IFERROR(Table3335466[[#This Row],[Max Count]]/Table3335466[[#This Row],[Scalar]],"")</f>
        <v/>
      </c>
      <c r="S158" s="34"/>
      <c r="T158" s="34"/>
      <c r="U158" s="34"/>
      <c r="V158" s="34"/>
      <c r="W158" s="36" t="s">
        <v>9199</v>
      </c>
      <c r="X158" s="8"/>
      <c r="Y158" s="2"/>
      <c r="Z158"/>
      <c r="AD158"/>
      <c r="AE158"/>
      <c r="AF158"/>
      <c r="AG158"/>
    </row>
    <row r="159" spans="1:33" ht="16.149999999999999" customHeight="1" x14ac:dyDescent="0.15">
      <c r="A159" s="6">
        <v>153</v>
      </c>
      <c r="B159" s="18" t="s">
        <v>75</v>
      </c>
      <c r="C159" s="34" t="s">
        <v>2634</v>
      </c>
      <c r="D159" t="s">
        <v>3484</v>
      </c>
      <c r="E159" s="77" t="s">
        <v>169</v>
      </c>
      <c r="F159" s="19">
        <v>2018</v>
      </c>
      <c r="G159" s="6">
        <v>8</v>
      </c>
      <c r="H159" s="19" t="s">
        <v>9319</v>
      </c>
      <c r="I159" s="2"/>
      <c r="J159" s="38" t="s">
        <v>171</v>
      </c>
      <c r="K159" s="6" t="s">
        <v>177</v>
      </c>
      <c r="L159" s="38" t="s">
        <v>173</v>
      </c>
      <c r="M159" s="38"/>
      <c r="N159" s="38"/>
      <c r="O159" s="38" t="s">
        <v>62</v>
      </c>
      <c r="P159" s="38" t="s">
        <v>62</v>
      </c>
      <c r="Q159" s="38" t="str">
        <f>IFERROR(Table3335466[[#This Row],[Min Count]]/Table3335466[[#This Row],[Scalar]],"")</f>
        <v/>
      </c>
      <c r="R159" s="38" t="str">
        <f>IFERROR(Table3335466[[#This Row],[Max Count]]/Table3335466[[#This Row],[Scalar]],"")</f>
        <v/>
      </c>
      <c r="S159" s="34"/>
      <c r="T159" s="34"/>
      <c r="U159" s="34"/>
      <c r="V159" s="34"/>
      <c r="W159" s="36" t="s">
        <v>9200</v>
      </c>
      <c r="X159" s="8"/>
      <c r="Y159" s="2"/>
      <c r="Z159"/>
      <c r="AD159"/>
      <c r="AE159"/>
      <c r="AF159"/>
      <c r="AG159"/>
    </row>
    <row r="160" spans="1:33" ht="16.149999999999999" customHeight="1" x14ac:dyDescent="0.15">
      <c r="A160" s="6">
        <v>154</v>
      </c>
      <c r="B160" s="18" t="s">
        <v>75</v>
      </c>
      <c r="C160" s="34" t="s">
        <v>2634</v>
      </c>
      <c r="D160" t="s">
        <v>3486</v>
      </c>
      <c r="E160" s="77" t="s">
        <v>169</v>
      </c>
      <c r="F160" s="19">
        <v>2018</v>
      </c>
      <c r="G160" s="6">
        <v>9</v>
      </c>
      <c r="H160" s="19" t="s">
        <v>9320</v>
      </c>
      <c r="I160" s="2"/>
      <c r="J160" s="38" t="s">
        <v>171</v>
      </c>
      <c r="K160" s="6" t="s">
        <v>177</v>
      </c>
      <c r="L160" s="38" t="s">
        <v>173</v>
      </c>
      <c r="M160" s="38"/>
      <c r="N160" s="38"/>
      <c r="O160" s="38" t="s">
        <v>62</v>
      </c>
      <c r="P160" s="38" t="s">
        <v>62</v>
      </c>
      <c r="Q160" s="38" t="str">
        <f>IFERROR(Table3335466[[#This Row],[Min Count]]/Table3335466[[#This Row],[Scalar]],"")</f>
        <v/>
      </c>
      <c r="R160" s="38" t="str">
        <f>IFERROR(Table3335466[[#This Row],[Max Count]]/Table3335466[[#This Row],[Scalar]],"")</f>
        <v/>
      </c>
      <c r="S160" s="34"/>
      <c r="T160" s="34"/>
      <c r="U160" s="34"/>
      <c r="V160" s="34"/>
      <c r="W160" s="36" t="s">
        <v>9201</v>
      </c>
      <c r="X160" s="8"/>
      <c r="Y160" s="2"/>
      <c r="Z160"/>
      <c r="AD160"/>
      <c r="AE160"/>
      <c r="AF160"/>
      <c r="AG160"/>
    </row>
    <row r="161" spans="1:33" ht="16.149999999999999" customHeight="1" x14ac:dyDescent="0.15">
      <c r="A161" s="6">
        <v>155</v>
      </c>
      <c r="B161" s="18" t="s">
        <v>75</v>
      </c>
      <c r="C161" s="34" t="s">
        <v>2634</v>
      </c>
      <c r="D161" t="s">
        <v>3488</v>
      </c>
      <c r="E161" s="77" t="s">
        <v>169</v>
      </c>
      <c r="F161" s="19">
        <v>2018</v>
      </c>
      <c r="G161" s="6">
        <v>10</v>
      </c>
      <c r="H161" s="19" t="s">
        <v>9321</v>
      </c>
      <c r="I161" s="2"/>
      <c r="J161" s="38" t="s">
        <v>171</v>
      </c>
      <c r="K161" s="6" t="s">
        <v>177</v>
      </c>
      <c r="L161" s="38" t="s">
        <v>173</v>
      </c>
      <c r="M161" s="38"/>
      <c r="N161" s="38"/>
      <c r="O161" s="38" t="s">
        <v>62</v>
      </c>
      <c r="P161" s="38" t="s">
        <v>62</v>
      </c>
      <c r="Q161" s="38" t="str">
        <f>IFERROR(Table3335466[[#This Row],[Min Count]]/Table3335466[[#This Row],[Scalar]],"")</f>
        <v/>
      </c>
      <c r="R161" s="38" t="str">
        <f>IFERROR(Table3335466[[#This Row],[Max Count]]/Table3335466[[#This Row],[Scalar]],"")</f>
        <v/>
      </c>
      <c r="S161" s="34"/>
      <c r="T161" s="34"/>
      <c r="U161" s="34"/>
      <c r="V161" s="34"/>
      <c r="W161" s="36" t="s">
        <v>9202</v>
      </c>
      <c r="X161" s="8"/>
      <c r="Y161" s="2"/>
      <c r="Z161"/>
      <c r="AD161"/>
      <c r="AE161"/>
      <c r="AF161"/>
      <c r="AG161"/>
    </row>
    <row r="162" spans="1:33" ht="16.149999999999999" customHeight="1" x14ac:dyDescent="0.15">
      <c r="A162" s="6">
        <v>156</v>
      </c>
      <c r="B162" s="18" t="s">
        <v>75</v>
      </c>
      <c r="C162" s="34" t="s">
        <v>2634</v>
      </c>
      <c r="D162" t="s">
        <v>3490</v>
      </c>
      <c r="E162" s="77" t="s">
        <v>169</v>
      </c>
      <c r="F162" s="19">
        <v>2018</v>
      </c>
      <c r="G162" s="6">
        <v>16</v>
      </c>
      <c r="H162" s="19" t="s">
        <v>9322</v>
      </c>
      <c r="I162" s="2"/>
      <c r="J162" s="38" t="s">
        <v>171</v>
      </c>
      <c r="K162" s="6" t="s">
        <v>177</v>
      </c>
      <c r="L162" s="38" t="s">
        <v>173</v>
      </c>
      <c r="M162" s="38"/>
      <c r="N162" s="38"/>
      <c r="O162" s="38" t="s">
        <v>62</v>
      </c>
      <c r="P162" s="38" t="s">
        <v>62</v>
      </c>
      <c r="Q162" s="38" t="str">
        <f>IFERROR(Table3335466[[#This Row],[Min Count]]/Table3335466[[#This Row],[Scalar]],"")</f>
        <v/>
      </c>
      <c r="R162" s="38" t="str">
        <f>IFERROR(Table3335466[[#This Row],[Max Count]]/Table3335466[[#This Row],[Scalar]],"")</f>
        <v/>
      </c>
      <c r="S162" s="34"/>
      <c r="T162" s="34"/>
      <c r="U162" s="34"/>
      <c r="V162" s="34"/>
      <c r="W162" s="36" t="s">
        <v>9203</v>
      </c>
      <c r="X162" s="8"/>
      <c r="Y162" s="2"/>
      <c r="Z162"/>
      <c r="AD162"/>
      <c r="AE162"/>
      <c r="AF162"/>
      <c r="AG162"/>
    </row>
    <row r="163" spans="1:33" ht="16.149999999999999" customHeight="1" x14ac:dyDescent="0.15">
      <c r="A163" s="6">
        <v>157</v>
      </c>
      <c r="B163" s="18" t="s">
        <v>75</v>
      </c>
      <c r="C163" s="34" t="s">
        <v>2634</v>
      </c>
      <c r="D163" t="s">
        <v>3492</v>
      </c>
      <c r="E163" s="77" t="s">
        <v>169</v>
      </c>
      <c r="F163" s="19">
        <v>2018</v>
      </c>
      <c r="G163" s="6">
        <v>17</v>
      </c>
      <c r="H163" s="19" t="s">
        <v>9323</v>
      </c>
      <c r="I163" s="2"/>
      <c r="J163" s="38" t="s">
        <v>171</v>
      </c>
      <c r="K163" s="6" t="s">
        <v>177</v>
      </c>
      <c r="L163" s="38" t="s">
        <v>173</v>
      </c>
      <c r="M163" s="38"/>
      <c r="N163" s="38"/>
      <c r="O163" s="38" t="s">
        <v>62</v>
      </c>
      <c r="P163" s="38" t="s">
        <v>62</v>
      </c>
      <c r="Q163" s="38" t="str">
        <f>IFERROR(Table3335466[[#This Row],[Min Count]]/Table3335466[[#This Row],[Scalar]],"")</f>
        <v/>
      </c>
      <c r="R163" s="38" t="str">
        <f>IFERROR(Table3335466[[#This Row],[Max Count]]/Table3335466[[#This Row],[Scalar]],"")</f>
        <v/>
      </c>
      <c r="S163" s="34"/>
      <c r="T163" s="34"/>
      <c r="U163" s="34"/>
      <c r="V163" s="34"/>
      <c r="W163" s="36" t="s">
        <v>9204</v>
      </c>
      <c r="X163" s="8"/>
      <c r="Y163" s="2"/>
      <c r="Z163"/>
      <c r="AD163"/>
      <c r="AE163"/>
      <c r="AF163"/>
      <c r="AG163"/>
    </row>
    <row r="164" spans="1:33" ht="16.149999999999999" customHeight="1" x14ac:dyDescent="0.15">
      <c r="A164" s="6">
        <v>158</v>
      </c>
      <c r="B164" s="18" t="s">
        <v>75</v>
      </c>
      <c r="C164" s="34" t="s">
        <v>2634</v>
      </c>
      <c r="D164" t="s">
        <v>3494</v>
      </c>
      <c r="E164" s="77" t="s">
        <v>169</v>
      </c>
      <c r="F164" s="19">
        <v>2018</v>
      </c>
      <c r="G164" s="6">
        <v>18</v>
      </c>
      <c r="H164" s="19" t="s">
        <v>9324</v>
      </c>
      <c r="I164" s="2"/>
      <c r="J164" s="38" t="s">
        <v>171</v>
      </c>
      <c r="K164" s="6" t="s">
        <v>177</v>
      </c>
      <c r="L164" s="38" t="s">
        <v>173</v>
      </c>
      <c r="M164" s="38"/>
      <c r="N164" s="38"/>
      <c r="O164" s="38" t="s">
        <v>62</v>
      </c>
      <c r="P164" s="38" t="s">
        <v>62</v>
      </c>
      <c r="Q164" s="38" t="str">
        <f>IFERROR(Table3335466[[#This Row],[Min Count]]/Table3335466[[#This Row],[Scalar]],"")</f>
        <v/>
      </c>
      <c r="R164" s="38" t="str">
        <f>IFERROR(Table3335466[[#This Row],[Max Count]]/Table3335466[[#This Row],[Scalar]],"")</f>
        <v/>
      </c>
      <c r="S164" s="34"/>
      <c r="T164" s="34"/>
      <c r="U164" s="34"/>
      <c r="V164" s="34"/>
      <c r="W164" s="36" t="s">
        <v>9205</v>
      </c>
      <c r="X164" s="8"/>
      <c r="Y164" s="2"/>
      <c r="Z164"/>
      <c r="AD164"/>
      <c r="AE164"/>
      <c r="AF164"/>
      <c r="AG164"/>
    </row>
    <row r="165" spans="1:33" ht="16.149999999999999" customHeight="1" x14ac:dyDescent="0.15">
      <c r="A165" s="6">
        <v>159</v>
      </c>
      <c r="B165" s="18" t="s">
        <v>75</v>
      </c>
      <c r="C165" s="34" t="s">
        <v>2634</v>
      </c>
      <c r="D165" t="s">
        <v>3496</v>
      </c>
      <c r="E165" s="77" t="s">
        <v>3406</v>
      </c>
      <c r="F165" s="19">
        <v>2020</v>
      </c>
      <c r="G165" s="6"/>
      <c r="H165" s="19" t="s">
        <v>9325</v>
      </c>
      <c r="I165" s="2"/>
      <c r="J165" s="6"/>
      <c r="K165" s="6"/>
      <c r="L165" s="38"/>
      <c r="M165" s="2" t="s">
        <v>61</v>
      </c>
      <c r="N165" s="113">
        <v>1</v>
      </c>
      <c r="O165" s="38" t="s">
        <v>62</v>
      </c>
      <c r="P165" s="38" t="s">
        <v>62</v>
      </c>
      <c r="Q165" s="38" t="str">
        <f>IFERROR(Table3335466[[#This Row],[Min Count]]/Table3335466[[#This Row],[Scalar]],"")</f>
        <v/>
      </c>
      <c r="R165" s="38" t="str">
        <f>IFERROR(Table3335466[[#This Row],[Max Count]]/Table3335466[[#This Row],[Scalar]],"")</f>
        <v/>
      </c>
      <c r="S165" s="34"/>
      <c r="T165" s="2"/>
      <c r="U165" s="34"/>
      <c r="V165" s="34"/>
      <c r="W165" s="77" t="s">
        <v>3497</v>
      </c>
      <c r="X165" s="8"/>
      <c r="Y165" s="34"/>
      <c r="Z165"/>
      <c r="AD165"/>
      <c r="AE165"/>
      <c r="AF165"/>
      <c r="AG165"/>
    </row>
    <row r="166" spans="1:33" ht="16.149999999999999" customHeight="1" x14ac:dyDescent="0.15">
      <c r="A166" s="6">
        <v>160</v>
      </c>
      <c r="B166" s="18" t="s">
        <v>75</v>
      </c>
      <c r="C166" s="34" t="s">
        <v>2634</v>
      </c>
      <c r="D166" t="s">
        <v>3498</v>
      </c>
      <c r="E166" s="77" t="s">
        <v>169</v>
      </c>
      <c r="F166" s="19">
        <v>2020</v>
      </c>
      <c r="G166" s="6">
        <v>0</v>
      </c>
      <c r="H166" s="19" t="s">
        <v>9326</v>
      </c>
      <c r="I166" s="2"/>
      <c r="J166" s="38" t="s">
        <v>171</v>
      </c>
      <c r="K166" s="6" t="s">
        <v>177</v>
      </c>
      <c r="L166" s="38" t="s">
        <v>173</v>
      </c>
      <c r="M166" s="6"/>
      <c r="N166" s="38"/>
      <c r="O166" s="38" t="s">
        <v>62</v>
      </c>
      <c r="P166" s="38" t="s">
        <v>62</v>
      </c>
      <c r="Q166" s="38" t="str">
        <f>IFERROR(Table3335466[[#This Row],[Min Count]]/Table3335466[[#This Row],[Scalar]],"")</f>
        <v/>
      </c>
      <c r="R166" s="38" t="str">
        <f>IFERROR(Table3335466[[#This Row],[Max Count]]/Table3335466[[#This Row],[Scalar]],"")</f>
        <v/>
      </c>
      <c r="S166" s="34"/>
      <c r="T166" s="2"/>
      <c r="U166" s="34"/>
      <c r="V166" s="34"/>
      <c r="W166" s="77" t="s">
        <v>3499</v>
      </c>
      <c r="X166" s="8"/>
      <c r="Y166" s="34"/>
      <c r="Z166"/>
      <c r="AD166"/>
      <c r="AE166"/>
      <c r="AF166"/>
      <c r="AG166"/>
    </row>
    <row r="167" spans="1:33" ht="16.149999999999999" customHeight="1" x14ac:dyDescent="0.15">
      <c r="A167" s="6">
        <v>161</v>
      </c>
      <c r="B167" s="18" t="s">
        <v>75</v>
      </c>
      <c r="C167" s="34" t="s">
        <v>2634</v>
      </c>
      <c r="D167" t="s">
        <v>3500</v>
      </c>
      <c r="E167" s="77" t="s">
        <v>169</v>
      </c>
      <c r="F167" s="19">
        <v>2020</v>
      </c>
      <c r="G167" s="6">
        <v>1</v>
      </c>
      <c r="H167" s="19" t="s">
        <v>9327</v>
      </c>
      <c r="I167" s="2"/>
      <c r="J167" s="38" t="s">
        <v>171</v>
      </c>
      <c r="K167" s="6" t="s">
        <v>177</v>
      </c>
      <c r="L167" s="38" t="s">
        <v>173</v>
      </c>
      <c r="M167" s="6"/>
      <c r="N167" s="38"/>
      <c r="O167" s="38" t="s">
        <v>62</v>
      </c>
      <c r="P167" s="38" t="s">
        <v>62</v>
      </c>
      <c r="Q167" s="102" t="str">
        <f>IFERROR(Table3335466[[#This Row],[Min Count]]/Table3335466[[#This Row],[Scalar]],"")</f>
        <v/>
      </c>
      <c r="R167" s="38" t="str">
        <f>IFERROR(Table3335466[[#This Row],[Max Count]]/Table3335466[[#This Row],[Scalar]],"")</f>
        <v/>
      </c>
      <c r="S167" s="34"/>
      <c r="T167" s="2"/>
      <c r="U167" s="34"/>
      <c r="V167" s="34"/>
      <c r="W167" s="77" t="s">
        <v>3501</v>
      </c>
      <c r="X167" s="8"/>
      <c r="Y167" s="34"/>
      <c r="Z167"/>
      <c r="AD167"/>
      <c r="AE167"/>
      <c r="AF167"/>
      <c r="AG167"/>
    </row>
    <row r="168" spans="1:33" ht="16.149999999999999" customHeight="1" x14ac:dyDescent="0.15">
      <c r="A168" s="6">
        <v>162</v>
      </c>
      <c r="B168" s="18" t="s">
        <v>75</v>
      </c>
      <c r="C168" s="34" t="s">
        <v>2634</v>
      </c>
      <c r="D168" t="s">
        <v>3502</v>
      </c>
      <c r="E168" s="77" t="s">
        <v>169</v>
      </c>
      <c r="F168" s="19">
        <v>2020</v>
      </c>
      <c r="G168" s="6">
        <v>2</v>
      </c>
      <c r="H168" s="19" t="s">
        <v>9328</v>
      </c>
      <c r="I168" s="2"/>
      <c r="J168" s="38" t="s">
        <v>171</v>
      </c>
      <c r="K168" s="6" t="s">
        <v>177</v>
      </c>
      <c r="L168" s="38" t="s">
        <v>173</v>
      </c>
      <c r="M168" s="6"/>
      <c r="N168" s="38"/>
      <c r="O168" s="38" t="s">
        <v>62</v>
      </c>
      <c r="P168" s="38" t="s">
        <v>62</v>
      </c>
      <c r="Q168" s="38" t="str">
        <f>IFERROR(Table3335466[[#This Row],[Min Count]]/Table3335466[[#This Row],[Scalar]],"")</f>
        <v/>
      </c>
      <c r="R168" s="38" t="str">
        <f>IFERROR(Table3335466[[#This Row],[Max Count]]/Table3335466[[#This Row],[Scalar]],"")</f>
        <v/>
      </c>
      <c r="S168" s="34"/>
      <c r="T168" s="2"/>
      <c r="U168" s="34"/>
      <c r="V168" s="34"/>
      <c r="W168" s="77" t="s">
        <v>3503</v>
      </c>
      <c r="X168" s="8"/>
      <c r="Y168" s="34"/>
      <c r="Z168"/>
      <c r="AD168"/>
      <c r="AE168"/>
      <c r="AF168"/>
      <c r="AG168"/>
    </row>
    <row r="169" spans="1:33" ht="16.149999999999999" customHeight="1" x14ac:dyDescent="0.15">
      <c r="A169" s="6">
        <v>163</v>
      </c>
      <c r="B169" s="18" t="s">
        <v>75</v>
      </c>
      <c r="C169" s="34" t="s">
        <v>2634</v>
      </c>
      <c r="D169" t="s">
        <v>3504</v>
      </c>
      <c r="E169" s="77" t="s">
        <v>169</v>
      </c>
      <c r="F169" s="19">
        <v>2020</v>
      </c>
      <c r="G169" s="6">
        <v>8</v>
      </c>
      <c r="H169" s="19" t="s">
        <v>9329</v>
      </c>
      <c r="I169" s="2"/>
      <c r="J169" s="38" t="s">
        <v>171</v>
      </c>
      <c r="K169" s="6" t="s">
        <v>177</v>
      </c>
      <c r="L169" s="38" t="s">
        <v>173</v>
      </c>
      <c r="M169" s="6"/>
      <c r="N169" s="38"/>
      <c r="O169" s="38" t="s">
        <v>62</v>
      </c>
      <c r="P169" s="38" t="s">
        <v>62</v>
      </c>
      <c r="Q169" s="38" t="str">
        <f>IFERROR(Table3335466[[#This Row],[Min Count]]/Table3335466[[#This Row],[Scalar]],"")</f>
        <v/>
      </c>
      <c r="R169" s="38" t="str">
        <f>IFERROR(Table3335466[[#This Row],[Max Count]]/Table3335466[[#This Row],[Scalar]],"")</f>
        <v/>
      </c>
      <c r="S169" s="34"/>
      <c r="T169" s="2"/>
      <c r="U169" s="34"/>
      <c r="V169" s="34"/>
      <c r="W169" s="77" t="s">
        <v>3505</v>
      </c>
      <c r="X169" s="8"/>
      <c r="Y169" s="34"/>
      <c r="Z169"/>
      <c r="AD169"/>
      <c r="AE169"/>
      <c r="AF169"/>
      <c r="AG169"/>
    </row>
    <row r="170" spans="1:33" ht="16.149999999999999" customHeight="1" x14ac:dyDescent="0.15">
      <c r="A170" s="6">
        <v>164</v>
      </c>
      <c r="B170" s="18" t="s">
        <v>75</v>
      </c>
      <c r="C170" s="34" t="s">
        <v>2634</v>
      </c>
      <c r="D170" t="s">
        <v>3506</v>
      </c>
      <c r="E170" s="77" t="s">
        <v>169</v>
      </c>
      <c r="F170" s="19">
        <v>2020</v>
      </c>
      <c r="G170" s="6">
        <v>9</v>
      </c>
      <c r="H170" s="19" t="s">
        <v>9330</v>
      </c>
      <c r="I170" s="2"/>
      <c r="J170" s="38" t="s">
        <v>171</v>
      </c>
      <c r="K170" s="6" t="s">
        <v>177</v>
      </c>
      <c r="L170" s="38" t="s">
        <v>173</v>
      </c>
      <c r="M170" s="6"/>
      <c r="N170" s="38"/>
      <c r="O170" s="38" t="s">
        <v>62</v>
      </c>
      <c r="P170" s="38" t="s">
        <v>62</v>
      </c>
      <c r="Q170" s="38" t="str">
        <f>IFERROR(Table3335466[[#This Row],[Min Count]]/Table3335466[[#This Row],[Scalar]],"")</f>
        <v/>
      </c>
      <c r="R170" s="38" t="str">
        <f>IFERROR(Table3335466[[#This Row],[Max Count]]/Table3335466[[#This Row],[Scalar]],"")</f>
        <v/>
      </c>
      <c r="S170" s="34"/>
      <c r="T170" s="2"/>
      <c r="U170" s="34"/>
      <c r="V170" s="34"/>
      <c r="W170" s="77" t="s">
        <v>3507</v>
      </c>
      <c r="X170" s="8"/>
      <c r="Y170" s="2"/>
      <c r="Z170"/>
      <c r="AD170"/>
      <c r="AE170"/>
      <c r="AF170"/>
      <c r="AG170"/>
    </row>
    <row r="171" spans="1:33" ht="16.149999999999999" customHeight="1" x14ac:dyDescent="0.15">
      <c r="A171" s="6">
        <v>165</v>
      </c>
      <c r="B171" s="18" t="s">
        <v>75</v>
      </c>
      <c r="C171" s="34" t="s">
        <v>2634</v>
      </c>
      <c r="D171" t="s">
        <v>3508</v>
      </c>
      <c r="E171" s="77" t="s">
        <v>169</v>
      </c>
      <c r="F171" s="19">
        <v>2020</v>
      </c>
      <c r="G171" s="6">
        <v>10</v>
      </c>
      <c r="H171" s="19" t="s">
        <v>9331</v>
      </c>
      <c r="I171" s="2"/>
      <c r="J171" s="38" t="s">
        <v>171</v>
      </c>
      <c r="K171" s="6" t="s">
        <v>177</v>
      </c>
      <c r="L171" s="38" t="s">
        <v>173</v>
      </c>
      <c r="M171" s="2"/>
      <c r="N171" s="113"/>
      <c r="O171" s="45" t="s">
        <v>62</v>
      </c>
      <c r="P171" s="2" t="s">
        <v>62</v>
      </c>
      <c r="Q171" s="38" t="str">
        <f>IFERROR(Table3335466[[#This Row],[Min Count]]/Table3335466[[#This Row],[Scalar]],"")</f>
        <v/>
      </c>
      <c r="R171" s="36" t="str">
        <f>IFERROR(Table3335466[[#This Row],[Max Count]]/Table3335466[[#This Row],[Scalar]],"")</f>
        <v/>
      </c>
      <c r="S171" s="34"/>
      <c r="T171" s="2"/>
      <c r="U171" s="34"/>
      <c r="V171" s="33"/>
      <c r="W171" s="33" t="s">
        <v>3509</v>
      </c>
      <c r="X171" s="8"/>
      <c r="Y171" s="33"/>
      <c r="Z171"/>
      <c r="AD171"/>
      <c r="AE171"/>
      <c r="AF171"/>
      <c r="AG171"/>
    </row>
    <row r="172" spans="1:33" ht="16.149999999999999" customHeight="1" x14ac:dyDescent="0.15">
      <c r="A172" s="6">
        <v>166</v>
      </c>
      <c r="B172" s="18" t="s">
        <v>75</v>
      </c>
      <c r="C172" s="34" t="s">
        <v>2634</v>
      </c>
      <c r="D172" s="113" t="s">
        <v>3510</v>
      </c>
      <c r="E172" s="77" t="s">
        <v>169</v>
      </c>
      <c r="F172" s="19">
        <v>2020</v>
      </c>
      <c r="G172" s="6">
        <v>16</v>
      </c>
      <c r="H172" s="19" t="s">
        <v>9332</v>
      </c>
      <c r="I172" s="2"/>
      <c r="J172" s="38" t="s">
        <v>171</v>
      </c>
      <c r="K172" s="6" t="s">
        <v>177</v>
      </c>
      <c r="L172" s="38" t="s">
        <v>173</v>
      </c>
      <c r="M172" s="2"/>
      <c r="N172" s="113"/>
      <c r="O172" s="45" t="s">
        <v>62</v>
      </c>
      <c r="P172" s="2" t="s">
        <v>62</v>
      </c>
      <c r="Q172" s="38" t="str">
        <f>IFERROR(Table3335466[[#This Row],[Min Count]]/Table3335466[[#This Row],[Scalar]],"")</f>
        <v/>
      </c>
      <c r="R172" s="36" t="str">
        <f>IFERROR(Table3335466[[#This Row],[Max Count]]/Table3335466[[#This Row],[Scalar]],"")</f>
        <v/>
      </c>
      <c r="S172" s="34"/>
      <c r="T172" s="2"/>
      <c r="U172" s="34"/>
      <c r="V172" s="33"/>
      <c r="W172" s="33" t="s">
        <v>3511</v>
      </c>
      <c r="X172" s="8"/>
      <c r="Y172" s="33"/>
      <c r="Z172"/>
      <c r="AD172"/>
      <c r="AE172"/>
      <c r="AF172"/>
      <c r="AG172"/>
    </row>
    <row r="173" spans="1:33" ht="16.149999999999999" customHeight="1" x14ac:dyDescent="0.15">
      <c r="A173" s="6">
        <v>167</v>
      </c>
      <c r="B173" s="18" t="s">
        <v>75</v>
      </c>
      <c r="C173" s="34" t="s">
        <v>2634</v>
      </c>
      <c r="D173" s="113" t="s">
        <v>3512</v>
      </c>
      <c r="E173" s="77" t="s">
        <v>169</v>
      </c>
      <c r="F173" s="19">
        <v>2020</v>
      </c>
      <c r="G173" s="6">
        <v>17</v>
      </c>
      <c r="H173" s="19" t="s">
        <v>9333</v>
      </c>
      <c r="I173" s="2"/>
      <c r="J173" s="38" t="s">
        <v>171</v>
      </c>
      <c r="K173" s="6" t="s">
        <v>177</v>
      </c>
      <c r="L173" s="38" t="s">
        <v>173</v>
      </c>
      <c r="M173" s="2"/>
      <c r="N173" s="113"/>
      <c r="O173" s="45" t="s">
        <v>62</v>
      </c>
      <c r="P173" s="2" t="s">
        <v>62</v>
      </c>
      <c r="Q173" s="38" t="str">
        <f>IFERROR(Table3335466[[#This Row],[Min Count]]/Table3335466[[#This Row],[Scalar]],"")</f>
        <v/>
      </c>
      <c r="R173" s="36" t="str">
        <f>IFERROR(Table3335466[[#This Row],[Max Count]]/Table3335466[[#This Row],[Scalar]],"")</f>
        <v/>
      </c>
      <c r="S173" s="34"/>
      <c r="T173" s="2"/>
      <c r="U173" s="34"/>
      <c r="V173" s="33"/>
      <c r="W173" s="33" t="s">
        <v>3513</v>
      </c>
      <c r="X173" s="8"/>
      <c r="Y173" s="33"/>
      <c r="Z173"/>
      <c r="AD173"/>
      <c r="AE173"/>
      <c r="AF173"/>
      <c r="AG173"/>
    </row>
    <row r="174" spans="1:33" ht="16.149999999999999" customHeight="1" x14ac:dyDescent="0.15">
      <c r="A174" s="6">
        <v>168</v>
      </c>
      <c r="B174" s="18" t="s">
        <v>75</v>
      </c>
      <c r="C174" s="34" t="s">
        <v>2634</v>
      </c>
      <c r="D174" s="113" t="s">
        <v>3514</v>
      </c>
      <c r="E174" s="77" t="s">
        <v>169</v>
      </c>
      <c r="F174" s="19">
        <v>2020</v>
      </c>
      <c r="G174" s="6">
        <v>18</v>
      </c>
      <c r="H174" s="19" t="s">
        <v>9334</v>
      </c>
      <c r="I174" s="2"/>
      <c r="J174" s="38" t="s">
        <v>171</v>
      </c>
      <c r="K174" s="6" t="s">
        <v>177</v>
      </c>
      <c r="L174" s="38" t="s">
        <v>173</v>
      </c>
      <c r="M174" s="2"/>
      <c r="N174" s="113"/>
      <c r="O174" s="45" t="s">
        <v>62</v>
      </c>
      <c r="P174" s="2" t="s">
        <v>62</v>
      </c>
      <c r="Q174" s="38" t="str">
        <f>IFERROR(Table3335466[[#This Row],[Min Count]]/Table3335466[[#This Row],[Scalar]],"")</f>
        <v/>
      </c>
      <c r="R174" s="36" t="str">
        <f>IFERROR(Table3335466[[#This Row],[Max Count]]/Table3335466[[#This Row],[Scalar]],"")</f>
        <v/>
      </c>
      <c r="S174" s="34"/>
      <c r="T174" s="2"/>
      <c r="U174" s="34"/>
      <c r="V174" s="33"/>
      <c r="W174" s="33" t="s">
        <v>3515</v>
      </c>
      <c r="X174" s="8"/>
      <c r="Y174" s="33"/>
      <c r="Z174"/>
      <c r="AD174"/>
      <c r="AE174"/>
      <c r="AF174"/>
      <c r="AG174"/>
    </row>
    <row r="175" spans="1:33" ht="16.149999999999999" customHeight="1" x14ac:dyDescent="0.15">
      <c r="A175" s="6">
        <v>169</v>
      </c>
      <c r="B175" s="18" t="s">
        <v>75</v>
      </c>
      <c r="C175" s="34" t="s">
        <v>2634</v>
      </c>
      <c r="D175" t="s">
        <v>9053</v>
      </c>
      <c r="E175" s="77" t="s">
        <v>3406</v>
      </c>
      <c r="F175" s="19">
        <v>2022</v>
      </c>
      <c r="G175" s="6"/>
      <c r="H175" s="19" t="s">
        <v>9335</v>
      </c>
      <c r="I175" s="2"/>
      <c r="J175" s="38"/>
      <c r="K175" s="38"/>
      <c r="L175" s="38"/>
      <c r="M175" s="2" t="s">
        <v>61</v>
      </c>
      <c r="N175" s="113">
        <v>1</v>
      </c>
      <c r="O175" s="38" t="s">
        <v>62</v>
      </c>
      <c r="P175" s="38" t="s">
        <v>62</v>
      </c>
      <c r="Q175" s="38" t="str">
        <f>IFERROR(Table3335466[[#This Row],[Min Count]]/Table3335466[[#This Row],[Scalar]],"")</f>
        <v/>
      </c>
      <c r="R175" s="38" t="str">
        <f>IFERROR(Table3335466[[#This Row],[Max Count]]/Table3335466[[#This Row],[Scalar]],"")</f>
        <v/>
      </c>
      <c r="S175" s="34"/>
      <c r="T175" s="34"/>
      <c r="U175" s="34"/>
      <c r="V175" s="34"/>
      <c r="W175" s="36" t="s">
        <v>9206</v>
      </c>
      <c r="X175" s="8"/>
      <c r="Y175" s="2"/>
      <c r="Z175"/>
      <c r="AD175"/>
      <c r="AE175"/>
      <c r="AF175"/>
      <c r="AG175"/>
    </row>
    <row r="176" spans="1:33" ht="16.149999999999999" customHeight="1" x14ac:dyDescent="0.15">
      <c r="A176" s="6">
        <v>170</v>
      </c>
      <c r="B176" s="18" t="s">
        <v>75</v>
      </c>
      <c r="C176" s="34" t="s">
        <v>2634</v>
      </c>
      <c r="D176" t="s">
        <v>9054</v>
      </c>
      <c r="E176" s="77" t="s">
        <v>169</v>
      </c>
      <c r="F176" s="19">
        <v>2022</v>
      </c>
      <c r="G176" s="6">
        <v>0</v>
      </c>
      <c r="H176" s="19" t="s">
        <v>9336</v>
      </c>
      <c r="I176" s="2"/>
      <c r="J176" s="38" t="s">
        <v>171</v>
      </c>
      <c r="K176" s="6" t="s">
        <v>177</v>
      </c>
      <c r="L176" s="38" t="s">
        <v>173</v>
      </c>
      <c r="M176" s="38"/>
      <c r="N176" s="38"/>
      <c r="O176" s="38" t="s">
        <v>62</v>
      </c>
      <c r="P176" s="38" t="s">
        <v>62</v>
      </c>
      <c r="Q176" s="38" t="str">
        <f>IFERROR(Table3335466[[#This Row],[Min Count]]/Table3335466[[#This Row],[Scalar]],"")</f>
        <v/>
      </c>
      <c r="R176" s="38" t="str">
        <f>IFERROR(Table3335466[[#This Row],[Max Count]]/Table3335466[[#This Row],[Scalar]],"")</f>
        <v/>
      </c>
      <c r="S176" s="34"/>
      <c r="T176" s="34"/>
      <c r="U176" s="34"/>
      <c r="V176" s="34"/>
      <c r="W176" s="36" t="s">
        <v>9207</v>
      </c>
      <c r="X176" s="8"/>
      <c r="Y176" s="2"/>
      <c r="Z176"/>
      <c r="AD176"/>
      <c r="AE176"/>
      <c r="AF176"/>
      <c r="AG176"/>
    </row>
    <row r="177" spans="1:33" ht="16.149999999999999" customHeight="1" x14ac:dyDescent="0.15">
      <c r="A177" s="6">
        <v>171</v>
      </c>
      <c r="B177" s="18" t="s">
        <v>75</v>
      </c>
      <c r="C177" s="34" t="s">
        <v>2634</v>
      </c>
      <c r="D177" t="s">
        <v>9055</v>
      </c>
      <c r="E177" s="77" t="s">
        <v>169</v>
      </c>
      <c r="F177" s="19">
        <v>2022</v>
      </c>
      <c r="G177" s="6">
        <v>1</v>
      </c>
      <c r="H177" s="19" t="s">
        <v>9337</v>
      </c>
      <c r="I177" s="2"/>
      <c r="J177" s="38" t="s">
        <v>171</v>
      </c>
      <c r="K177" s="6" t="s">
        <v>177</v>
      </c>
      <c r="L177" s="38" t="s">
        <v>173</v>
      </c>
      <c r="M177" s="38"/>
      <c r="N177" s="38"/>
      <c r="O177" s="38" t="s">
        <v>62</v>
      </c>
      <c r="P177" s="38" t="s">
        <v>62</v>
      </c>
      <c r="Q177" s="38" t="str">
        <f>IFERROR(Table3335466[[#This Row],[Min Count]]/Table3335466[[#This Row],[Scalar]],"")</f>
        <v/>
      </c>
      <c r="R177" s="38" t="str">
        <f>IFERROR(Table3335466[[#This Row],[Max Count]]/Table3335466[[#This Row],[Scalar]],"")</f>
        <v/>
      </c>
      <c r="S177" s="34"/>
      <c r="T177" s="34"/>
      <c r="U177" s="34"/>
      <c r="V177" s="34"/>
      <c r="W177" s="36" t="s">
        <v>9208</v>
      </c>
      <c r="X177" s="8"/>
      <c r="Y177" s="2"/>
      <c r="Z177"/>
      <c r="AD177"/>
      <c r="AE177"/>
      <c r="AF177"/>
      <c r="AG177"/>
    </row>
    <row r="178" spans="1:33" ht="16.149999999999999" customHeight="1" x14ac:dyDescent="0.15">
      <c r="A178" s="6">
        <v>172</v>
      </c>
      <c r="B178" s="18" t="s">
        <v>75</v>
      </c>
      <c r="C178" s="34" t="s">
        <v>2634</v>
      </c>
      <c r="D178" t="s">
        <v>9056</v>
      </c>
      <c r="E178" s="77" t="s">
        <v>169</v>
      </c>
      <c r="F178" s="19">
        <v>2022</v>
      </c>
      <c r="G178" s="6">
        <v>2</v>
      </c>
      <c r="H178" s="19" t="s">
        <v>9338</v>
      </c>
      <c r="I178" s="2"/>
      <c r="J178" s="38" t="s">
        <v>171</v>
      </c>
      <c r="K178" s="6" t="s">
        <v>177</v>
      </c>
      <c r="L178" s="38" t="s">
        <v>173</v>
      </c>
      <c r="M178" s="38"/>
      <c r="N178" s="38"/>
      <c r="O178" s="38" t="s">
        <v>62</v>
      </c>
      <c r="P178" s="38" t="s">
        <v>62</v>
      </c>
      <c r="Q178" s="38" t="str">
        <f>IFERROR(Table3335466[[#This Row],[Min Count]]/Table3335466[[#This Row],[Scalar]],"")</f>
        <v/>
      </c>
      <c r="R178" s="38" t="str">
        <f>IFERROR(Table3335466[[#This Row],[Max Count]]/Table3335466[[#This Row],[Scalar]],"")</f>
        <v/>
      </c>
      <c r="S178" s="34"/>
      <c r="T178" s="34"/>
      <c r="U178" s="34"/>
      <c r="V178" s="34"/>
      <c r="W178" s="36" t="s">
        <v>9209</v>
      </c>
      <c r="X178" s="8"/>
      <c r="Y178" s="2"/>
      <c r="Z178"/>
      <c r="AD178"/>
      <c r="AE178"/>
      <c r="AF178"/>
      <c r="AG178"/>
    </row>
    <row r="179" spans="1:33" ht="16.149999999999999" customHeight="1" x14ac:dyDescent="0.15">
      <c r="A179" s="6">
        <v>173</v>
      </c>
      <c r="B179" s="18" t="s">
        <v>75</v>
      </c>
      <c r="C179" s="34" t="s">
        <v>2634</v>
      </c>
      <c r="D179" t="s">
        <v>9057</v>
      </c>
      <c r="E179" s="77" t="s">
        <v>169</v>
      </c>
      <c r="F179" s="19">
        <v>2022</v>
      </c>
      <c r="G179" s="6">
        <v>8</v>
      </c>
      <c r="H179" s="19" t="s">
        <v>9339</v>
      </c>
      <c r="I179" s="2"/>
      <c r="J179" s="38" t="s">
        <v>171</v>
      </c>
      <c r="K179" s="6" t="s">
        <v>177</v>
      </c>
      <c r="L179" s="38" t="s">
        <v>173</v>
      </c>
      <c r="M179" s="38"/>
      <c r="N179" s="38"/>
      <c r="O179" s="38" t="s">
        <v>62</v>
      </c>
      <c r="P179" s="38" t="s">
        <v>62</v>
      </c>
      <c r="Q179" s="38" t="str">
        <f>IFERROR(Table3335466[[#This Row],[Min Count]]/Table3335466[[#This Row],[Scalar]],"")</f>
        <v/>
      </c>
      <c r="R179" s="38" t="str">
        <f>IFERROR(Table3335466[[#This Row],[Max Count]]/Table3335466[[#This Row],[Scalar]],"")</f>
        <v/>
      </c>
      <c r="S179" s="34"/>
      <c r="T179" s="34"/>
      <c r="U179" s="34"/>
      <c r="V179" s="34"/>
      <c r="W179" s="36" t="s">
        <v>9210</v>
      </c>
      <c r="X179" s="8"/>
      <c r="Y179" s="2"/>
      <c r="Z179"/>
      <c r="AD179"/>
      <c r="AE179"/>
      <c r="AF179"/>
      <c r="AG179"/>
    </row>
    <row r="180" spans="1:33" ht="16.149999999999999" customHeight="1" x14ac:dyDescent="0.15">
      <c r="A180" s="6">
        <v>174</v>
      </c>
      <c r="B180" s="18" t="s">
        <v>75</v>
      </c>
      <c r="C180" s="34" t="s">
        <v>2634</v>
      </c>
      <c r="D180" t="s">
        <v>9058</v>
      </c>
      <c r="E180" s="77" t="s">
        <v>169</v>
      </c>
      <c r="F180" s="19">
        <v>2022</v>
      </c>
      <c r="G180" s="6">
        <v>9</v>
      </c>
      <c r="H180" s="19" t="s">
        <v>9340</v>
      </c>
      <c r="I180" s="2"/>
      <c r="J180" s="38" t="s">
        <v>171</v>
      </c>
      <c r="K180" s="6" t="s">
        <v>177</v>
      </c>
      <c r="L180" s="38" t="s">
        <v>173</v>
      </c>
      <c r="M180" s="38"/>
      <c r="N180" s="38"/>
      <c r="O180" s="38" t="s">
        <v>62</v>
      </c>
      <c r="P180" s="38" t="s">
        <v>62</v>
      </c>
      <c r="Q180" s="38" t="str">
        <f>IFERROR(Table3335466[[#This Row],[Min Count]]/Table3335466[[#This Row],[Scalar]],"")</f>
        <v/>
      </c>
      <c r="R180" s="38" t="str">
        <f>IFERROR(Table3335466[[#This Row],[Max Count]]/Table3335466[[#This Row],[Scalar]],"")</f>
        <v/>
      </c>
      <c r="S180" s="34"/>
      <c r="T180" s="34"/>
      <c r="U180" s="34"/>
      <c r="V180" s="34"/>
      <c r="W180" s="36" t="s">
        <v>9211</v>
      </c>
      <c r="X180" s="8"/>
      <c r="Y180" s="2"/>
      <c r="Z180"/>
      <c r="AD180"/>
      <c r="AE180"/>
      <c r="AF180"/>
      <c r="AG180"/>
    </row>
    <row r="181" spans="1:33" ht="16.149999999999999" customHeight="1" x14ac:dyDescent="0.15">
      <c r="A181" s="6">
        <v>175</v>
      </c>
      <c r="B181" s="18" t="s">
        <v>75</v>
      </c>
      <c r="C181" s="34" t="s">
        <v>2634</v>
      </c>
      <c r="D181" t="s">
        <v>9059</v>
      </c>
      <c r="E181" s="77" t="s">
        <v>169</v>
      </c>
      <c r="F181" s="19">
        <v>2022</v>
      </c>
      <c r="G181" s="6">
        <v>10</v>
      </c>
      <c r="H181" s="19" t="s">
        <v>9139</v>
      </c>
      <c r="I181" s="2"/>
      <c r="J181" s="38" t="s">
        <v>171</v>
      </c>
      <c r="K181" s="6" t="s">
        <v>177</v>
      </c>
      <c r="L181" s="38" t="s">
        <v>173</v>
      </c>
      <c r="M181" s="38"/>
      <c r="N181" s="38"/>
      <c r="O181" s="38" t="s">
        <v>62</v>
      </c>
      <c r="P181" s="38" t="s">
        <v>62</v>
      </c>
      <c r="Q181" s="38" t="str">
        <f>IFERROR(Table3335466[[#This Row],[Min Count]]/Table3335466[[#This Row],[Scalar]],"")</f>
        <v/>
      </c>
      <c r="R181" s="38" t="str">
        <f>IFERROR(Table3335466[[#This Row],[Max Count]]/Table3335466[[#This Row],[Scalar]],"")</f>
        <v/>
      </c>
      <c r="S181" s="34"/>
      <c r="T181" s="34"/>
      <c r="U181" s="34"/>
      <c r="V181" s="34"/>
      <c r="W181" s="36" t="s">
        <v>9212</v>
      </c>
      <c r="X181" s="8"/>
      <c r="Y181" s="2"/>
      <c r="Z181"/>
      <c r="AD181"/>
      <c r="AE181"/>
      <c r="AF181"/>
      <c r="AG181"/>
    </row>
    <row r="182" spans="1:33" ht="16.149999999999999" customHeight="1" x14ac:dyDescent="0.15">
      <c r="A182" s="6">
        <v>176</v>
      </c>
      <c r="B182" s="18" t="s">
        <v>75</v>
      </c>
      <c r="C182" s="34" t="s">
        <v>2634</v>
      </c>
      <c r="D182" t="s">
        <v>9060</v>
      </c>
      <c r="E182" s="77" t="s">
        <v>169</v>
      </c>
      <c r="F182" s="19">
        <v>2022</v>
      </c>
      <c r="G182" s="6">
        <v>16</v>
      </c>
      <c r="H182" s="19" t="s">
        <v>9341</v>
      </c>
      <c r="I182" s="2"/>
      <c r="J182" s="38" t="s">
        <v>171</v>
      </c>
      <c r="K182" s="6" t="s">
        <v>177</v>
      </c>
      <c r="L182" s="38" t="s">
        <v>173</v>
      </c>
      <c r="M182" s="38"/>
      <c r="N182" s="38"/>
      <c r="O182" s="38" t="s">
        <v>62</v>
      </c>
      <c r="P182" s="38" t="s">
        <v>62</v>
      </c>
      <c r="Q182" s="38" t="str">
        <f>IFERROR(Table3335466[[#This Row],[Min Count]]/Table3335466[[#This Row],[Scalar]],"")</f>
        <v/>
      </c>
      <c r="R182" s="38" t="str">
        <f>IFERROR(Table3335466[[#This Row],[Max Count]]/Table3335466[[#This Row],[Scalar]],"")</f>
        <v/>
      </c>
      <c r="S182" s="34"/>
      <c r="T182" s="34"/>
      <c r="U182" s="34"/>
      <c r="V182" s="34"/>
      <c r="W182" s="36" t="s">
        <v>9213</v>
      </c>
      <c r="X182" s="8"/>
      <c r="Y182" s="2"/>
      <c r="Z182"/>
      <c r="AD182"/>
      <c r="AE182"/>
      <c r="AF182"/>
      <c r="AG182"/>
    </row>
    <row r="183" spans="1:33" ht="16.149999999999999" customHeight="1" x14ac:dyDescent="0.15">
      <c r="A183" s="6">
        <v>177</v>
      </c>
      <c r="B183" s="18" t="s">
        <v>75</v>
      </c>
      <c r="C183" s="34" t="s">
        <v>2634</v>
      </c>
      <c r="D183" t="s">
        <v>9061</v>
      </c>
      <c r="E183" s="77" t="s">
        <v>169</v>
      </c>
      <c r="F183" s="19">
        <v>2022</v>
      </c>
      <c r="G183" s="6">
        <v>17</v>
      </c>
      <c r="H183" s="19" t="s">
        <v>9140</v>
      </c>
      <c r="I183" s="2"/>
      <c r="J183" s="38" t="s">
        <v>171</v>
      </c>
      <c r="K183" s="6" t="s">
        <v>177</v>
      </c>
      <c r="L183" s="38" t="s">
        <v>173</v>
      </c>
      <c r="M183" s="38"/>
      <c r="N183" s="38"/>
      <c r="O183" s="38" t="s">
        <v>62</v>
      </c>
      <c r="P183" s="38" t="s">
        <v>62</v>
      </c>
      <c r="Q183" s="38" t="str">
        <f>IFERROR(Table3335466[[#This Row],[Min Count]]/Table3335466[[#This Row],[Scalar]],"")</f>
        <v/>
      </c>
      <c r="R183" s="38" t="str">
        <f>IFERROR(Table3335466[[#This Row],[Max Count]]/Table3335466[[#This Row],[Scalar]],"")</f>
        <v/>
      </c>
      <c r="S183" s="34"/>
      <c r="T183" s="34"/>
      <c r="U183" s="34"/>
      <c r="V183" s="34"/>
      <c r="W183" s="36" t="s">
        <v>9214</v>
      </c>
      <c r="X183" s="8"/>
      <c r="Y183" s="2"/>
      <c r="Z183"/>
      <c r="AD183"/>
      <c r="AE183"/>
      <c r="AF183"/>
      <c r="AG183"/>
    </row>
    <row r="184" spans="1:33" ht="16.149999999999999" customHeight="1" x14ac:dyDescent="0.15">
      <c r="A184" s="6">
        <v>178</v>
      </c>
      <c r="B184" s="18" t="s">
        <v>75</v>
      </c>
      <c r="C184" s="34" t="s">
        <v>2634</v>
      </c>
      <c r="D184" t="s">
        <v>9062</v>
      </c>
      <c r="E184" s="77" t="s">
        <v>169</v>
      </c>
      <c r="F184" s="19">
        <v>2022</v>
      </c>
      <c r="G184" s="6">
        <v>18</v>
      </c>
      <c r="H184" s="19" t="s">
        <v>9342</v>
      </c>
      <c r="I184" s="2"/>
      <c r="J184" s="38" t="s">
        <v>171</v>
      </c>
      <c r="K184" s="6" t="s">
        <v>177</v>
      </c>
      <c r="L184" s="38" t="s">
        <v>173</v>
      </c>
      <c r="M184" s="38"/>
      <c r="N184" s="38"/>
      <c r="O184" s="38" t="s">
        <v>62</v>
      </c>
      <c r="P184" s="38" t="s">
        <v>62</v>
      </c>
      <c r="Q184" s="38" t="str">
        <f>IFERROR(Table3335466[[#This Row],[Min Count]]/Table3335466[[#This Row],[Scalar]],"")</f>
        <v/>
      </c>
      <c r="R184" s="38" t="str">
        <f>IFERROR(Table3335466[[#This Row],[Max Count]]/Table3335466[[#This Row],[Scalar]],"")</f>
        <v/>
      </c>
      <c r="S184" s="34"/>
      <c r="T184" s="34"/>
      <c r="U184" s="34"/>
      <c r="V184" s="34"/>
      <c r="W184" s="36" t="s">
        <v>9215</v>
      </c>
      <c r="X184" s="8"/>
      <c r="Y184" s="2"/>
      <c r="Z184"/>
      <c r="AD184"/>
      <c r="AE184"/>
      <c r="AF184"/>
      <c r="AG184"/>
    </row>
    <row r="185" spans="1:33" ht="16.149999999999999" customHeight="1" x14ac:dyDescent="0.15">
      <c r="A185" s="6">
        <v>179</v>
      </c>
      <c r="B185" s="18" t="s">
        <v>75</v>
      </c>
      <c r="C185" s="34" t="s">
        <v>2634</v>
      </c>
      <c r="D185" s="113" t="s">
        <v>3516</v>
      </c>
      <c r="E185" s="77" t="s">
        <v>3406</v>
      </c>
      <c r="F185" s="19">
        <v>2038</v>
      </c>
      <c r="G185" s="6"/>
      <c r="H185" s="19" t="s">
        <v>9343</v>
      </c>
      <c r="I185" s="2"/>
      <c r="J185" s="6"/>
      <c r="K185" s="6"/>
      <c r="L185" s="38"/>
      <c r="M185" s="2" t="s">
        <v>61</v>
      </c>
      <c r="N185" s="113">
        <v>1</v>
      </c>
      <c r="O185" s="45" t="s">
        <v>62</v>
      </c>
      <c r="P185" s="2" t="s">
        <v>62</v>
      </c>
      <c r="Q185" s="38" t="str">
        <f>IFERROR(Table3335466[[#This Row],[Min Count]]/Table3335466[[#This Row],[Scalar]],"")</f>
        <v/>
      </c>
      <c r="R185" s="36" t="str">
        <f>IFERROR(Table3335466[[#This Row],[Max Count]]/Table3335466[[#This Row],[Scalar]],"")</f>
        <v/>
      </c>
      <c r="S185" s="34"/>
      <c r="T185" s="2"/>
      <c r="U185" s="34"/>
      <c r="V185" s="33"/>
      <c r="W185" s="33" t="s">
        <v>3517</v>
      </c>
      <c r="X185" s="8"/>
      <c r="Y185" s="33"/>
      <c r="Z185"/>
      <c r="AD185"/>
      <c r="AE185"/>
      <c r="AF185"/>
      <c r="AG185"/>
    </row>
    <row r="186" spans="1:33" ht="16.149999999999999" customHeight="1" x14ac:dyDescent="0.15">
      <c r="A186" s="6">
        <v>180</v>
      </c>
      <c r="B186" s="18" t="s">
        <v>75</v>
      </c>
      <c r="C186" s="34" t="s">
        <v>2634</v>
      </c>
      <c r="D186" s="113" t="s">
        <v>3518</v>
      </c>
      <c r="E186" s="77" t="s">
        <v>169</v>
      </c>
      <c r="F186" s="19">
        <v>2038</v>
      </c>
      <c r="G186" s="6">
        <v>0</v>
      </c>
      <c r="H186" s="19" t="s">
        <v>9344</v>
      </c>
      <c r="I186" s="2"/>
      <c r="J186" s="38" t="s">
        <v>171</v>
      </c>
      <c r="K186" s="6" t="s">
        <v>177</v>
      </c>
      <c r="L186" s="38" t="s">
        <v>173</v>
      </c>
      <c r="M186" s="2"/>
      <c r="N186" s="113"/>
      <c r="O186" s="45" t="s">
        <v>62</v>
      </c>
      <c r="P186" s="2" t="s">
        <v>62</v>
      </c>
      <c r="Q186" s="38" t="str">
        <f>IFERROR(Table3335466[[#This Row],[Min Count]]/Table3335466[[#This Row],[Scalar]],"")</f>
        <v/>
      </c>
      <c r="R186" s="36" t="str">
        <f>IFERROR(Table3335466[[#This Row],[Max Count]]/Table3335466[[#This Row],[Scalar]],"")</f>
        <v/>
      </c>
      <c r="S186" s="34"/>
      <c r="T186" s="2"/>
      <c r="U186" s="34"/>
      <c r="V186" s="33"/>
      <c r="W186" s="33" t="s">
        <v>3519</v>
      </c>
      <c r="X186" s="8"/>
      <c r="Y186" s="33"/>
      <c r="Z186"/>
      <c r="AD186"/>
      <c r="AE186"/>
      <c r="AF186"/>
      <c r="AG186"/>
    </row>
    <row r="187" spans="1:33" ht="16.149999999999999" customHeight="1" x14ac:dyDescent="0.15">
      <c r="A187" s="6">
        <v>181</v>
      </c>
      <c r="B187" s="18" t="s">
        <v>75</v>
      </c>
      <c r="C187" s="34" t="s">
        <v>2634</v>
      </c>
      <c r="D187" s="113" t="s">
        <v>3520</v>
      </c>
      <c r="E187" s="77" t="s">
        <v>169</v>
      </c>
      <c r="F187" s="19">
        <v>2038</v>
      </c>
      <c r="G187" s="6">
        <v>1</v>
      </c>
      <c r="H187" s="19" t="s">
        <v>9141</v>
      </c>
      <c r="I187" s="2"/>
      <c r="J187" s="38" t="s">
        <v>171</v>
      </c>
      <c r="K187" s="6" t="s">
        <v>177</v>
      </c>
      <c r="L187" s="38" t="s">
        <v>173</v>
      </c>
      <c r="M187" s="2"/>
      <c r="N187" s="113"/>
      <c r="O187" s="45" t="s">
        <v>62</v>
      </c>
      <c r="P187" s="2" t="s">
        <v>62</v>
      </c>
      <c r="Q187" s="38" t="str">
        <f>IFERROR(Table3335466[[#This Row],[Min Count]]/Table3335466[[#This Row],[Scalar]],"")</f>
        <v/>
      </c>
      <c r="R187" s="36" t="str">
        <f>IFERROR(Table3335466[[#This Row],[Max Count]]/Table3335466[[#This Row],[Scalar]],"")</f>
        <v/>
      </c>
      <c r="S187" s="34"/>
      <c r="T187" s="2"/>
      <c r="U187" s="34"/>
      <c r="V187" s="33"/>
      <c r="W187" s="33" t="s">
        <v>3521</v>
      </c>
      <c r="X187" s="8"/>
      <c r="Y187" s="33"/>
      <c r="Z187"/>
      <c r="AD187"/>
      <c r="AE187"/>
      <c r="AF187"/>
      <c r="AG187"/>
    </row>
    <row r="188" spans="1:33" ht="16.149999999999999" customHeight="1" x14ac:dyDescent="0.15">
      <c r="A188" s="6">
        <v>182</v>
      </c>
      <c r="B188" s="18" t="s">
        <v>75</v>
      </c>
      <c r="C188" s="34" t="s">
        <v>2634</v>
      </c>
      <c r="D188" s="113" t="s">
        <v>3522</v>
      </c>
      <c r="E188" s="77" t="s">
        <v>169</v>
      </c>
      <c r="F188" s="19">
        <v>2038</v>
      </c>
      <c r="G188" s="6">
        <v>2</v>
      </c>
      <c r="H188" s="19" t="s">
        <v>9345</v>
      </c>
      <c r="I188" s="2"/>
      <c r="J188" s="38" t="s">
        <v>171</v>
      </c>
      <c r="K188" s="6" t="s">
        <v>177</v>
      </c>
      <c r="L188" s="38" t="s">
        <v>173</v>
      </c>
      <c r="M188" s="2"/>
      <c r="N188" s="113"/>
      <c r="O188" s="45" t="s">
        <v>62</v>
      </c>
      <c r="P188" s="2" t="s">
        <v>62</v>
      </c>
      <c r="Q188" s="38" t="str">
        <f>IFERROR(Table3335466[[#This Row],[Min Count]]/Table3335466[[#This Row],[Scalar]],"")</f>
        <v/>
      </c>
      <c r="R188" s="36" t="str">
        <f>IFERROR(Table3335466[[#This Row],[Max Count]]/Table3335466[[#This Row],[Scalar]],"")</f>
        <v/>
      </c>
      <c r="S188" s="34"/>
      <c r="T188" s="2"/>
      <c r="U188" s="34"/>
      <c r="V188" s="33"/>
      <c r="W188" s="33" t="s">
        <v>3523</v>
      </c>
      <c r="X188" s="8"/>
      <c r="Y188" s="33"/>
      <c r="Z188"/>
      <c r="AD188"/>
      <c r="AE188"/>
      <c r="AF188"/>
      <c r="AG188"/>
    </row>
    <row r="189" spans="1:33" ht="16.149999999999999" customHeight="1" x14ac:dyDescent="0.15">
      <c r="A189" s="6">
        <v>183</v>
      </c>
      <c r="B189" s="18" t="s">
        <v>75</v>
      </c>
      <c r="C189" s="34" t="s">
        <v>2634</v>
      </c>
      <c r="D189" s="113" t="s">
        <v>3524</v>
      </c>
      <c r="E189" s="77" t="s">
        <v>169</v>
      </c>
      <c r="F189" s="19">
        <v>2038</v>
      </c>
      <c r="G189" s="6">
        <v>3</v>
      </c>
      <c r="H189" s="19" t="s">
        <v>9346</v>
      </c>
      <c r="I189" s="2"/>
      <c r="J189" s="38" t="s">
        <v>171</v>
      </c>
      <c r="K189" s="6" t="s">
        <v>177</v>
      </c>
      <c r="L189" s="38" t="s">
        <v>173</v>
      </c>
      <c r="M189" s="2"/>
      <c r="N189" s="113"/>
      <c r="O189" s="45" t="s">
        <v>62</v>
      </c>
      <c r="P189" s="2" t="s">
        <v>62</v>
      </c>
      <c r="Q189" s="38" t="str">
        <f>IFERROR(Table3335466[[#This Row],[Min Count]]/Table3335466[[#This Row],[Scalar]],"")</f>
        <v/>
      </c>
      <c r="R189" s="36" t="str">
        <f>IFERROR(Table3335466[[#This Row],[Max Count]]/Table3335466[[#This Row],[Scalar]],"")</f>
        <v/>
      </c>
      <c r="S189" s="34"/>
      <c r="T189" s="2"/>
      <c r="U189" s="34"/>
      <c r="V189" s="33"/>
      <c r="W189" s="33" t="s">
        <v>3525</v>
      </c>
      <c r="X189" s="8"/>
      <c r="Y189" s="33"/>
      <c r="Z189"/>
      <c r="AD189"/>
      <c r="AE189"/>
      <c r="AF189"/>
      <c r="AG189"/>
    </row>
    <row r="190" spans="1:33" ht="16.149999999999999" customHeight="1" x14ac:dyDescent="0.15">
      <c r="A190" s="6">
        <v>184</v>
      </c>
      <c r="B190" s="18" t="s">
        <v>75</v>
      </c>
      <c r="C190" s="34" t="s">
        <v>2634</v>
      </c>
      <c r="D190" s="113" t="s">
        <v>3526</v>
      </c>
      <c r="E190" s="77" t="s">
        <v>169</v>
      </c>
      <c r="F190" s="19">
        <v>2038</v>
      </c>
      <c r="G190" s="6">
        <v>4</v>
      </c>
      <c r="H190" s="19" t="s">
        <v>9347</v>
      </c>
      <c r="I190" s="2"/>
      <c r="J190" s="38" t="s">
        <v>171</v>
      </c>
      <c r="K190" s="6" t="s">
        <v>177</v>
      </c>
      <c r="L190" s="38" t="s">
        <v>173</v>
      </c>
      <c r="M190" s="2"/>
      <c r="N190" s="113"/>
      <c r="O190" s="45" t="s">
        <v>62</v>
      </c>
      <c r="P190" s="2" t="s">
        <v>62</v>
      </c>
      <c r="Q190" s="38" t="str">
        <f>IFERROR(Table3335466[[#This Row],[Min Count]]/Table3335466[[#This Row],[Scalar]],"")</f>
        <v/>
      </c>
      <c r="R190" s="36" t="str">
        <f>IFERROR(Table3335466[[#This Row],[Max Count]]/Table3335466[[#This Row],[Scalar]],"")</f>
        <v/>
      </c>
      <c r="S190" s="34"/>
      <c r="T190" s="2"/>
      <c r="U190" s="34"/>
      <c r="V190" s="33"/>
      <c r="W190" s="33" t="s">
        <v>3527</v>
      </c>
      <c r="X190" s="8"/>
      <c r="Y190" s="33"/>
      <c r="Z190"/>
      <c r="AD190"/>
      <c r="AE190"/>
      <c r="AF190"/>
      <c r="AG190"/>
    </row>
    <row r="191" spans="1:33" ht="16.149999999999999" customHeight="1" x14ac:dyDescent="0.15">
      <c r="A191" s="6">
        <v>185</v>
      </c>
      <c r="B191" s="18" t="s">
        <v>75</v>
      </c>
      <c r="C191" s="34" t="s">
        <v>2634</v>
      </c>
      <c r="D191" s="113" t="s">
        <v>3528</v>
      </c>
      <c r="E191" s="77" t="s">
        <v>169</v>
      </c>
      <c r="F191" s="19">
        <v>2038</v>
      </c>
      <c r="G191" s="6">
        <v>5</v>
      </c>
      <c r="H191" s="19" t="s">
        <v>9348</v>
      </c>
      <c r="I191" s="2"/>
      <c r="J191" s="38" t="s">
        <v>171</v>
      </c>
      <c r="K191" s="6" t="s">
        <v>177</v>
      </c>
      <c r="L191" s="38" t="s">
        <v>173</v>
      </c>
      <c r="M191" s="2"/>
      <c r="N191" s="113"/>
      <c r="O191" s="45" t="s">
        <v>62</v>
      </c>
      <c r="P191" s="2" t="s">
        <v>62</v>
      </c>
      <c r="Q191" s="38" t="str">
        <f>IFERROR(Table3335466[[#This Row],[Min Count]]/Table3335466[[#This Row],[Scalar]],"")</f>
        <v/>
      </c>
      <c r="R191" s="36" t="str">
        <f>IFERROR(Table3335466[[#This Row],[Max Count]]/Table3335466[[#This Row],[Scalar]],"")</f>
        <v/>
      </c>
      <c r="S191" s="34"/>
      <c r="T191" s="2"/>
      <c r="U191" s="34"/>
      <c r="V191" s="33"/>
      <c r="W191" s="33" t="s">
        <v>3529</v>
      </c>
      <c r="X191" s="8"/>
      <c r="Y191" s="33"/>
      <c r="Z191"/>
      <c r="AD191"/>
      <c r="AE191"/>
      <c r="AF191"/>
      <c r="AG191"/>
    </row>
    <row r="192" spans="1:33" ht="16.149999999999999" customHeight="1" x14ac:dyDescent="0.15">
      <c r="A192" s="6">
        <v>186</v>
      </c>
      <c r="B192" s="18" t="s">
        <v>75</v>
      </c>
      <c r="C192" s="34" t="s">
        <v>2634</v>
      </c>
      <c r="D192" s="113" t="s">
        <v>3530</v>
      </c>
      <c r="E192" s="77" t="s">
        <v>169</v>
      </c>
      <c r="F192" s="19">
        <v>2038</v>
      </c>
      <c r="G192" s="6">
        <v>8</v>
      </c>
      <c r="H192" s="19" t="s">
        <v>9349</v>
      </c>
      <c r="I192" s="2"/>
      <c r="J192" s="38" t="s">
        <v>171</v>
      </c>
      <c r="K192" s="6" t="s">
        <v>177</v>
      </c>
      <c r="L192" s="38" t="s">
        <v>173</v>
      </c>
      <c r="M192" s="2"/>
      <c r="N192" s="113"/>
      <c r="O192" s="45" t="s">
        <v>62</v>
      </c>
      <c r="P192" s="2" t="s">
        <v>62</v>
      </c>
      <c r="Q192" s="38" t="str">
        <f>IFERROR(Table3335466[[#This Row],[Min Count]]/Table3335466[[#This Row],[Scalar]],"")</f>
        <v/>
      </c>
      <c r="R192" s="36" t="str">
        <f>IFERROR(Table3335466[[#This Row],[Max Count]]/Table3335466[[#This Row],[Scalar]],"")</f>
        <v/>
      </c>
      <c r="S192" s="34"/>
      <c r="T192" s="2"/>
      <c r="U192" s="34"/>
      <c r="V192" s="33"/>
      <c r="W192" s="33" t="s">
        <v>3531</v>
      </c>
      <c r="X192" s="8"/>
      <c r="Y192" s="33"/>
      <c r="Z192"/>
      <c r="AD192"/>
      <c r="AE192"/>
      <c r="AF192"/>
      <c r="AG192"/>
    </row>
    <row r="193" spans="1:33" ht="16.149999999999999" customHeight="1" x14ac:dyDescent="0.15">
      <c r="A193" s="6">
        <v>187</v>
      </c>
      <c r="B193" s="18" t="s">
        <v>75</v>
      </c>
      <c r="C193" s="34" t="s">
        <v>2634</v>
      </c>
      <c r="D193" s="113" t="s">
        <v>3532</v>
      </c>
      <c r="E193" s="77" t="s">
        <v>169</v>
      </c>
      <c r="F193" s="19">
        <v>2038</v>
      </c>
      <c r="G193" s="6">
        <v>9</v>
      </c>
      <c r="H193" s="19" t="s">
        <v>9350</v>
      </c>
      <c r="I193" s="2"/>
      <c r="J193" s="38" t="s">
        <v>171</v>
      </c>
      <c r="K193" s="6" t="s">
        <v>177</v>
      </c>
      <c r="L193" s="38" t="s">
        <v>173</v>
      </c>
      <c r="M193" s="2"/>
      <c r="N193" s="113"/>
      <c r="O193" s="45" t="s">
        <v>62</v>
      </c>
      <c r="P193" s="2" t="s">
        <v>62</v>
      </c>
      <c r="Q193" s="38" t="str">
        <f>IFERROR(Table3335466[[#This Row],[Min Count]]/Table3335466[[#This Row],[Scalar]],"")</f>
        <v/>
      </c>
      <c r="R193" s="36" t="str">
        <f>IFERROR(Table3335466[[#This Row],[Max Count]]/Table3335466[[#This Row],[Scalar]],"")</f>
        <v/>
      </c>
      <c r="S193" s="34"/>
      <c r="T193" s="2"/>
      <c r="U193" s="34"/>
      <c r="V193" s="33"/>
      <c r="W193" s="33" t="s">
        <v>3533</v>
      </c>
      <c r="X193" s="8"/>
      <c r="Y193" s="33"/>
      <c r="Z193"/>
      <c r="AD193"/>
      <c r="AE193"/>
      <c r="AF193"/>
      <c r="AG193"/>
    </row>
    <row r="194" spans="1:33" ht="16.149999999999999" customHeight="1" x14ac:dyDescent="0.15">
      <c r="A194" s="6">
        <v>188</v>
      </c>
      <c r="B194" s="18" t="s">
        <v>75</v>
      </c>
      <c r="C194" s="34" t="s">
        <v>2634</v>
      </c>
      <c r="D194" s="113" t="s">
        <v>3534</v>
      </c>
      <c r="E194" s="77" t="s">
        <v>169</v>
      </c>
      <c r="F194" s="19">
        <v>2038</v>
      </c>
      <c r="G194" s="6">
        <v>10</v>
      </c>
      <c r="H194" s="19" t="s">
        <v>9351</v>
      </c>
      <c r="I194" s="2"/>
      <c r="J194" s="38" t="s">
        <v>171</v>
      </c>
      <c r="K194" s="6" t="s">
        <v>177</v>
      </c>
      <c r="L194" s="38" t="s">
        <v>173</v>
      </c>
      <c r="M194" s="2"/>
      <c r="N194" s="113"/>
      <c r="O194" s="45" t="s">
        <v>62</v>
      </c>
      <c r="P194" s="2" t="s">
        <v>62</v>
      </c>
      <c r="Q194" s="38" t="str">
        <f>IFERROR(Table3335466[[#This Row],[Min Count]]/Table3335466[[#This Row],[Scalar]],"")</f>
        <v/>
      </c>
      <c r="R194" s="36" t="str">
        <f>IFERROR(Table3335466[[#This Row],[Max Count]]/Table3335466[[#This Row],[Scalar]],"")</f>
        <v/>
      </c>
      <c r="S194" s="34"/>
      <c r="T194" s="2"/>
      <c r="U194" s="34"/>
      <c r="V194" s="33"/>
      <c r="W194" s="33" t="s">
        <v>3535</v>
      </c>
      <c r="X194" s="8"/>
      <c r="Y194" s="33"/>
      <c r="Z194"/>
      <c r="AD194"/>
      <c r="AE194"/>
      <c r="AF194"/>
      <c r="AG194"/>
    </row>
    <row r="195" spans="1:33" ht="16.149999999999999" customHeight="1" x14ac:dyDescent="0.15">
      <c r="A195" s="6">
        <v>189</v>
      </c>
      <c r="B195" s="18" t="s">
        <v>75</v>
      </c>
      <c r="C195" s="34" t="s">
        <v>2634</v>
      </c>
      <c r="D195" s="113" t="s">
        <v>3536</v>
      </c>
      <c r="E195" s="77" t="s">
        <v>169</v>
      </c>
      <c r="F195" s="19">
        <v>2038</v>
      </c>
      <c r="G195" s="6">
        <v>16</v>
      </c>
      <c r="H195" s="19" t="s">
        <v>9352</v>
      </c>
      <c r="I195" s="2"/>
      <c r="J195" s="38" t="s">
        <v>171</v>
      </c>
      <c r="K195" s="6" t="s">
        <v>177</v>
      </c>
      <c r="L195" s="38" t="s">
        <v>173</v>
      </c>
      <c r="M195" s="2"/>
      <c r="N195" s="113"/>
      <c r="O195" s="45" t="s">
        <v>62</v>
      </c>
      <c r="P195" s="2" t="s">
        <v>62</v>
      </c>
      <c r="Q195" s="38" t="str">
        <f>IFERROR(Table3335466[[#This Row],[Min Count]]/Table3335466[[#This Row],[Scalar]],"")</f>
        <v/>
      </c>
      <c r="R195" s="36" t="str">
        <f>IFERROR(Table3335466[[#This Row],[Max Count]]/Table3335466[[#This Row],[Scalar]],"")</f>
        <v/>
      </c>
      <c r="S195" s="34"/>
      <c r="T195" s="2"/>
      <c r="U195" s="34"/>
      <c r="V195" s="33"/>
      <c r="W195" s="33" t="s">
        <v>3537</v>
      </c>
      <c r="X195" s="8"/>
      <c r="Y195" s="33"/>
      <c r="Z195"/>
      <c r="AD195"/>
      <c r="AE195"/>
      <c r="AF195"/>
      <c r="AG195"/>
    </row>
    <row r="196" spans="1:33" ht="16.149999999999999" customHeight="1" x14ac:dyDescent="0.15">
      <c r="A196" s="6">
        <v>190</v>
      </c>
      <c r="B196" s="18" t="s">
        <v>75</v>
      </c>
      <c r="C196" s="34" t="s">
        <v>2634</v>
      </c>
      <c r="D196" s="113" t="s">
        <v>3538</v>
      </c>
      <c r="E196" s="77" t="s">
        <v>169</v>
      </c>
      <c r="F196" s="19">
        <v>2038</v>
      </c>
      <c r="G196" s="6">
        <v>17</v>
      </c>
      <c r="H196" s="19" t="s">
        <v>9353</v>
      </c>
      <c r="I196" s="2"/>
      <c r="J196" s="38" t="s">
        <v>171</v>
      </c>
      <c r="K196" s="6" t="s">
        <v>177</v>
      </c>
      <c r="L196" s="38" t="s">
        <v>173</v>
      </c>
      <c r="M196" s="2"/>
      <c r="N196" s="113"/>
      <c r="O196" s="45" t="s">
        <v>62</v>
      </c>
      <c r="P196" s="2" t="s">
        <v>62</v>
      </c>
      <c r="Q196" s="38" t="str">
        <f>IFERROR(Table3335466[[#This Row],[Min Count]]/Table3335466[[#This Row],[Scalar]],"")</f>
        <v/>
      </c>
      <c r="R196" s="36" t="str">
        <f>IFERROR(Table3335466[[#This Row],[Max Count]]/Table3335466[[#This Row],[Scalar]],"")</f>
        <v/>
      </c>
      <c r="S196" s="34"/>
      <c r="T196" s="2"/>
      <c r="U196" s="34"/>
      <c r="V196" s="33"/>
      <c r="W196" s="33" t="s">
        <v>3539</v>
      </c>
      <c r="X196" s="8"/>
      <c r="Y196" s="33"/>
      <c r="Z196"/>
      <c r="AD196"/>
      <c r="AE196"/>
      <c r="AF196"/>
      <c r="AG196"/>
    </row>
    <row r="197" spans="1:33" ht="16.149999999999999" customHeight="1" x14ac:dyDescent="0.15">
      <c r="A197" s="6">
        <v>191</v>
      </c>
      <c r="B197" s="18" t="s">
        <v>75</v>
      </c>
      <c r="C197" s="34" t="s">
        <v>2634</v>
      </c>
      <c r="D197" s="113" t="s">
        <v>3540</v>
      </c>
      <c r="E197" s="77" t="s">
        <v>169</v>
      </c>
      <c r="F197" s="19">
        <v>2038</v>
      </c>
      <c r="G197" s="6">
        <v>18</v>
      </c>
      <c r="H197" s="19" t="s">
        <v>9354</v>
      </c>
      <c r="I197" s="2"/>
      <c r="J197" s="38" t="s">
        <v>171</v>
      </c>
      <c r="K197" s="6" t="s">
        <v>177</v>
      </c>
      <c r="L197" s="38" t="s">
        <v>173</v>
      </c>
      <c r="M197" s="2"/>
      <c r="N197" s="113"/>
      <c r="O197" s="45" t="s">
        <v>62</v>
      </c>
      <c r="P197" s="2" t="s">
        <v>62</v>
      </c>
      <c r="Q197" s="38" t="str">
        <f>IFERROR(Table3335466[[#This Row],[Min Count]]/Table3335466[[#This Row],[Scalar]],"")</f>
        <v/>
      </c>
      <c r="R197" s="36" t="str">
        <f>IFERROR(Table3335466[[#This Row],[Max Count]]/Table3335466[[#This Row],[Scalar]],"")</f>
        <v/>
      </c>
      <c r="S197" s="34"/>
      <c r="T197" s="2"/>
      <c r="U197" s="34"/>
      <c r="V197" s="33"/>
      <c r="W197" s="33" t="s">
        <v>3541</v>
      </c>
      <c r="X197" s="8"/>
      <c r="Y197" s="33"/>
      <c r="Z197"/>
      <c r="AD197"/>
      <c r="AE197"/>
      <c r="AF197"/>
      <c r="AG197"/>
    </row>
    <row r="198" spans="1:33" ht="16.149999999999999" customHeight="1" x14ac:dyDescent="0.15">
      <c r="A198" s="6">
        <v>192</v>
      </c>
      <c r="B198" s="18" t="s">
        <v>75</v>
      </c>
      <c r="C198" s="34" t="s">
        <v>2634</v>
      </c>
      <c r="D198" s="113" t="s">
        <v>3542</v>
      </c>
      <c r="E198" s="77" t="s">
        <v>169</v>
      </c>
      <c r="F198" s="19">
        <v>2038</v>
      </c>
      <c r="G198" s="6">
        <v>24</v>
      </c>
      <c r="H198" s="19" t="s">
        <v>9355</v>
      </c>
      <c r="I198" s="2"/>
      <c r="J198" s="38" t="s">
        <v>171</v>
      </c>
      <c r="K198" s="6" t="s">
        <v>177</v>
      </c>
      <c r="L198" s="38" t="s">
        <v>173</v>
      </c>
      <c r="M198" s="2"/>
      <c r="N198" s="113"/>
      <c r="O198" s="45" t="s">
        <v>62</v>
      </c>
      <c r="P198" s="2" t="s">
        <v>62</v>
      </c>
      <c r="Q198" s="38" t="str">
        <f>IFERROR(Table3335466[[#This Row],[Min Count]]/Table3335466[[#This Row],[Scalar]],"")</f>
        <v/>
      </c>
      <c r="R198" s="36" t="str">
        <f>IFERROR(Table3335466[[#This Row],[Max Count]]/Table3335466[[#This Row],[Scalar]],"")</f>
        <v/>
      </c>
      <c r="S198" s="34"/>
      <c r="T198" s="2"/>
      <c r="U198" s="34"/>
      <c r="V198" s="33"/>
      <c r="W198" s="33" t="s">
        <v>3543</v>
      </c>
      <c r="X198" s="8"/>
      <c r="Y198" s="33"/>
      <c r="Z198"/>
      <c r="AD198"/>
      <c r="AE198"/>
      <c r="AF198"/>
      <c r="AG198"/>
    </row>
    <row r="199" spans="1:33" ht="16.149999999999999" customHeight="1" x14ac:dyDescent="0.15">
      <c r="A199" s="6">
        <v>193</v>
      </c>
      <c r="B199" s="18" t="s">
        <v>75</v>
      </c>
      <c r="C199" s="34" t="s">
        <v>2634</v>
      </c>
      <c r="D199" s="113" t="s">
        <v>3544</v>
      </c>
      <c r="E199" s="77" t="s">
        <v>169</v>
      </c>
      <c r="F199" s="19">
        <v>2038</v>
      </c>
      <c r="G199" s="6">
        <v>25</v>
      </c>
      <c r="H199" s="19" t="s">
        <v>9356</v>
      </c>
      <c r="I199" s="2"/>
      <c r="J199" s="38" t="s">
        <v>171</v>
      </c>
      <c r="K199" s="6" t="s">
        <v>177</v>
      </c>
      <c r="L199" s="38" t="s">
        <v>173</v>
      </c>
      <c r="M199" s="2"/>
      <c r="N199" s="113"/>
      <c r="O199" s="45" t="s">
        <v>62</v>
      </c>
      <c r="P199" s="2" t="s">
        <v>62</v>
      </c>
      <c r="Q199" s="38" t="str">
        <f>IFERROR(Table3335466[[#This Row],[Min Count]]/Table3335466[[#This Row],[Scalar]],"")</f>
        <v/>
      </c>
      <c r="R199" s="36" t="str">
        <f>IFERROR(Table3335466[[#This Row],[Max Count]]/Table3335466[[#This Row],[Scalar]],"")</f>
        <v/>
      </c>
      <c r="S199" s="34"/>
      <c r="T199" s="2"/>
      <c r="U199" s="34"/>
      <c r="V199" s="33"/>
      <c r="W199" s="33" t="s">
        <v>3545</v>
      </c>
      <c r="X199" s="8"/>
      <c r="Y199" s="33"/>
      <c r="Z199"/>
      <c r="AD199"/>
      <c r="AE199"/>
      <c r="AF199"/>
      <c r="AG199"/>
    </row>
    <row r="200" spans="1:33" ht="16.149999999999999" customHeight="1" x14ac:dyDescent="0.15">
      <c r="A200" s="6">
        <v>194</v>
      </c>
      <c r="B200" s="18" t="s">
        <v>75</v>
      </c>
      <c r="C200" s="34" t="s">
        <v>2634</v>
      </c>
      <c r="D200" s="113" t="s">
        <v>3546</v>
      </c>
      <c r="E200" s="77" t="s">
        <v>169</v>
      </c>
      <c r="F200" s="19">
        <v>2038</v>
      </c>
      <c r="G200" s="6">
        <v>26</v>
      </c>
      <c r="H200" s="19" t="s">
        <v>9357</v>
      </c>
      <c r="I200" s="2"/>
      <c r="J200" s="38" t="s">
        <v>171</v>
      </c>
      <c r="K200" s="6" t="s">
        <v>177</v>
      </c>
      <c r="L200" s="38" t="s">
        <v>173</v>
      </c>
      <c r="M200" s="2"/>
      <c r="N200" s="113"/>
      <c r="O200" s="45" t="s">
        <v>62</v>
      </c>
      <c r="P200" s="2" t="s">
        <v>62</v>
      </c>
      <c r="Q200" s="38" t="str">
        <f>IFERROR(Table3335466[[#This Row],[Min Count]]/Table3335466[[#This Row],[Scalar]],"")</f>
        <v/>
      </c>
      <c r="R200" s="36" t="str">
        <f>IFERROR(Table3335466[[#This Row],[Max Count]]/Table3335466[[#This Row],[Scalar]],"")</f>
        <v/>
      </c>
      <c r="S200" s="34"/>
      <c r="T200" s="2"/>
      <c r="U200" s="34"/>
      <c r="V200" s="33"/>
      <c r="W200" s="33" t="s">
        <v>3547</v>
      </c>
      <c r="X200" s="8"/>
      <c r="Y200" s="33"/>
      <c r="Z200"/>
      <c r="AD200"/>
      <c r="AE200"/>
      <c r="AF200"/>
      <c r="AG200"/>
    </row>
    <row r="201" spans="1:33" ht="16.149999999999999" customHeight="1" x14ac:dyDescent="0.15">
      <c r="A201" s="6">
        <v>195</v>
      </c>
      <c r="B201" s="18" t="s">
        <v>75</v>
      </c>
      <c r="C201" s="34" t="s">
        <v>2634</v>
      </c>
      <c r="D201" s="113" t="s">
        <v>3548</v>
      </c>
      <c r="E201" s="77" t="s">
        <v>3406</v>
      </c>
      <c r="F201" s="19">
        <v>2040</v>
      </c>
      <c r="G201" s="6"/>
      <c r="H201" s="19" t="s">
        <v>9358</v>
      </c>
      <c r="I201" s="2"/>
      <c r="J201" s="6"/>
      <c r="K201" s="6"/>
      <c r="L201" s="38"/>
      <c r="M201" s="2" t="s">
        <v>61</v>
      </c>
      <c r="N201" s="113">
        <v>1</v>
      </c>
      <c r="O201" s="45" t="s">
        <v>62</v>
      </c>
      <c r="P201" s="2" t="s">
        <v>62</v>
      </c>
      <c r="Q201" s="38" t="str">
        <f>IFERROR(Table3335466[[#This Row],[Min Count]]/Table3335466[[#This Row],[Scalar]],"")</f>
        <v/>
      </c>
      <c r="R201" s="36" t="str">
        <f>IFERROR(Table3335466[[#This Row],[Max Count]]/Table3335466[[#This Row],[Scalar]],"")</f>
        <v/>
      </c>
      <c r="S201" s="34"/>
      <c r="T201" s="2"/>
      <c r="U201" s="34"/>
      <c r="V201" s="33"/>
      <c r="W201" s="33" t="s">
        <v>3549</v>
      </c>
      <c r="X201" s="8"/>
      <c r="Y201" s="33"/>
      <c r="Z201"/>
      <c r="AD201"/>
      <c r="AE201"/>
      <c r="AF201"/>
      <c r="AG201"/>
    </row>
    <row r="202" spans="1:33" ht="16.149999999999999" customHeight="1" x14ac:dyDescent="0.15">
      <c r="A202" s="6">
        <v>196</v>
      </c>
      <c r="B202" s="18" t="s">
        <v>75</v>
      </c>
      <c r="C202" s="34" t="s">
        <v>2634</v>
      </c>
      <c r="D202" s="113" t="s">
        <v>3550</v>
      </c>
      <c r="E202" s="77" t="s">
        <v>169</v>
      </c>
      <c r="F202" s="19">
        <v>2040</v>
      </c>
      <c r="G202" s="6">
        <v>0</v>
      </c>
      <c r="H202" s="19" t="s">
        <v>9359</v>
      </c>
      <c r="I202" s="2"/>
      <c r="J202" s="38" t="s">
        <v>171</v>
      </c>
      <c r="K202" s="6" t="s">
        <v>177</v>
      </c>
      <c r="L202" s="38" t="s">
        <v>173</v>
      </c>
      <c r="M202" s="2"/>
      <c r="N202" s="113"/>
      <c r="O202" s="45" t="s">
        <v>62</v>
      </c>
      <c r="P202" s="2" t="s">
        <v>62</v>
      </c>
      <c r="Q202" s="38" t="str">
        <f>IFERROR(Table3335466[[#This Row],[Min Count]]/Table3335466[[#This Row],[Scalar]],"")</f>
        <v/>
      </c>
      <c r="R202" s="36" t="str">
        <f>IFERROR(Table3335466[[#This Row],[Max Count]]/Table3335466[[#This Row],[Scalar]],"")</f>
        <v/>
      </c>
      <c r="S202" s="34"/>
      <c r="T202" s="2"/>
      <c r="U202" s="34"/>
      <c r="V202" s="33"/>
      <c r="W202" s="33" t="s">
        <v>3551</v>
      </c>
      <c r="X202" s="8"/>
      <c r="Y202" s="33"/>
      <c r="Z202"/>
      <c r="AD202"/>
      <c r="AE202"/>
      <c r="AF202"/>
      <c r="AG202"/>
    </row>
    <row r="203" spans="1:33" ht="16.149999999999999" customHeight="1" x14ac:dyDescent="0.15">
      <c r="A203" s="6">
        <v>197</v>
      </c>
      <c r="B203" s="18" t="s">
        <v>75</v>
      </c>
      <c r="C203" s="34" t="s">
        <v>2634</v>
      </c>
      <c r="D203" s="113" t="s">
        <v>3552</v>
      </c>
      <c r="E203" s="77" t="s">
        <v>169</v>
      </c>
      <c r="F203" s="19">
        <v>2040</v>
      </c>
      <c r="G203" s="6">
        <v>1</v>
      </c>
      <c r="H203" s="19" t="s">
        <v>9360</v>
      </c>
      <c r="I203" s="2"/>
      <c r="J203" s="38" t="s">
        <v>171</v>
      </c>
      <c r="K203" s="6" t="s">
        <v>177</v>
      </c>
      <c r="L203" s="38" t="s">
        <v>173</v>
      </c>
      <c r="M203" s="2"/>
      <c r="N203" s="113"/>
      <c r="O203" s="45" t="s">
        <v>62</v>
      </c>
      <c r="P203" s="2" t="s">
        <v>62</v>
      </c>
      <c r="Q203" s="38" t="str">
        <f>IFERROR(Table3335466[[#This Row],[Min Count]]/Table3335466[[#This Row],[Scalar]],"")</f>
        <v/>
      </c>
      <c r="R203" s="36" t="str">
        <f>IFERROR(Table3335466[[#This Row],[Max Count]]/Table3335466[[#This Row],[Scalar]],"")</f>
        <v/>
      </c>
      <c r="S203" s="34"/>
      <c r="T203" s="2"/>
      <c r="U203" s="34"/>
      <c r="V203" s="33"/>
      <c r="W203" s="33" t="s">
        <v>3553</v>
      </c>
      <c r="X203" s="8"/>
      <c r="Y203" s="33"/>
      <c r="Z203"/>
      <c r="AD203"/>
      <c r="AE203"/>
      <c r="AF203"/>
      <c r="AG203"/>
    </row>
    <row r="204" spans="1:33" ht="16.149999999999999" customHeight="1" x14ac:dyDescent="0.15">
      <c r="A204" s="6">
        <v>198</v>
      </c>
      <c r="B204" s="18" t="s">
        <v>75</v>
      </c>
      <c r="C204" s="34" t="s">
        <v>2634</v>
      </c>
      <c r="D204" s="113" t="s">
        <v>3554</v>
      </c>
      <c r="E204" s="77" t="s">
        <v>169</v>
      </c>
      <c r="F204" s="19">
        <v>2040</v>
      </c>
      <c r="G204" s="6">
        <v>2</v>
      </c>
      <c r="H204" s="19" t="s">
        <v>9361</v>
      </c>
      <c r="I204" s="2"/>
      <c r="J204" s="38" t="s">
        <v>171</v>
      </c>
      <c r="K204" s="6" t="s">
        <v>177</v>
      </c>
      <c r="L204" s="38" t="s">
        <v>173</v>
      </c>
      <c r="M204" s="2"/>
      <c r="N204" s="113"/>
      <c r="O204" s="45" t="s">
        <v>62</v>
      </c>
      <c r="P204" s="2" t="s">
        <v>62</v>
      </c>
      <c r="Q204" s="38" t="str">
        <f>IFERROR(Table3335466[[#This Row],[Min Count]]/Table3335466[[#This Row],[Scalar]],"")</f>
        <v/>
      </c>
      <c r="R204" s="36" t="str">
        <f>IFERROR(Table3335466[[#This Row],[Max Count]]/Table3335466[[#This Row],[Scalar]],"")</f>
        <v/>
      </c>
      <c r="S204" s="34"/>
      <c r="T204" s="2"/>
      <c r="U204" s="34"/>
      <c r="V204" s="33"/>
      <c r="W204" s="33" t="s">
        <v>3555</v>
      </c>
      <c r="X204" s="8"/>
      <c r="Y204" s="33"/>
      <c r="Z204"/>
      <c r="AD204"/>
      <c r="AE204"/>
      <c r="AF204"/>
      <c r="AG204"/>
    </row>
    <row r="205" spans="1:33" ht="16.149999999999999" customHeight="1" x14ac:dyDescent="0.15">
      <c r="A205" s="6">
        <v>199</v>
      </c>
      <c r="B205" s="18" t="s">
        <v>75</v>
      </c>
      <c r="C205" s="34" t="s">
        <v>2634</v>
      </c>
      <c r="D205" s="113" t="s">
        <v>3556</v>
      </c>
      <c r="E205" s="77" t="s">
        <v>169</v>
      </c>
      <c r="F205" s="19">
        <v>2040</v>
      </c>
      <c r="G205" s="6">
        <v>3</v>
      </c>
      <c r="H205" s="19" t="s">
        <v>9142</v>
      </c>
      <c r="I205" s="2"/>
      <c r="J205" s="38" t="s">
        <v>171</v>
      </c>
      <c r="K205" s="6" t="s">
        <v>177</v>
      </c>
      <c r="L205" s="38" t="s">
        <v>173</v>
      </c>
      <c r="M205" s="2"/>
      <c r="N205" s="113"/>
      <c r="O205" s="45" t="s">
        <v>62</v>
      </c>
      <c r="P205" s="2" t="s">
        <v>62</v>
      </c>
      <c r="Q205" s="38" t="str">
        <f>IFERROR(Table3335466[[#This Row],[Min Count]]/Table3335466[[#This Row],[Scalar]],"")</f>
        <v/>
      </c>
      <c r="R205" s="36" t="str">
        <f>IFERROR(Table3335466[[#This Row],[Max Count]]/Table3335466[[#This Row],[Scalar]],"")</f>
        <v/>
      </c>
      <c r="S205" s="34"/>
      <c r="T205" s="2"/>
      <c r="U205" s="34"/>
      <c r="V205" s="33"/>
      <c r="W205" s="33" t="s">
        <v>3557</v>
      </c>
      <c r="X205" s="8"/>
      <c r="Y205" s="33"/>
      <c r="Z205"/>
      <c r="AD205"/>
      <c r="AE205"/>
      <c r="AF205"/>
      <c r="AG205"/>
    </row>
    <row r="206" spans="1:33" ht="16.149999999999999" customHeight="1" x14ac:dyDescent="0.15">
      <c r="A206" s="6">
        <v>200</v>
      </c>
      <c r="B206" s="18" t="s">
        <v>75</v>
      </c>
      <c r="C206" s="34" t="s">
        <v>2634</v>
      </c>
      <c r="D206" s="113" t="s">
        <v>3558</v>
      </c>
      <c r="E206" s="77" t="s">
        <v>169</v>
      </c>
      <c r="F206" s="19">
        <v>2040</v>
      </c>
      <c r="G206" s="6">
        <v>4</v>
      </c>
      <c r="H206" s="19" t="s">
        <v>9362</v>
      </c>
      <c r="I206" s="2"/>
      <c r="J206" s="38" t="s">
        <v>171</v>
      </c>
      <c r="K206" s="6" t="s">
        <v>177</v>
      </c>
      <c r="L206" s="38" t="s">
        <v>173</v>
      </c>
      <c r="M206" s="2"/>
      <c r="N206" s="113"/>
      <c r="O206" s="45" t="s">
        <v>62</v>
      </c>
      <c r="P206" s="2" t="s">
        <v>62</v>
      </c>
      <c r="Q206" s="38" t="str">
        <f>IFERROR(Table3335466[[#This Row],[Min Count]]/Table3335466[[#This Row],[Scalar]],"")</f>
        <v/>
      </c>
      <c r="R206" s="36" t="str">
        <f>IFERROR(Table3335466[[#This Row],[Max Count]]/Table3335466[[#This Row],[Scalar]],"")</f>
        <v/>
      </c>
      <c r="S206" s="34"/>
      <c r="T206" s="2"/>
      <c r="U206" s="34"/>
      <c r="V206" s="33"/>
      <c r="W206" s="33" t="s">
        <v>3559</v>
      </c>
      <c r="X206" s="8"/>
      <c r="Y206" s="33"/>
      <c r="Z206"/>
      <c r="AD206"/>
      <c r="AE206"/>
      <c r="AF206"/>
      <c r="AG206"/>
    </row>
    <row r="207" spans="1:33" ht="16.149999999999999" customHeight="1" x14ac:dyDescent="0.15">
      <c r="A207" s="6">
        <v>201</v>
      </c>
      <c r="B207" s="18" t="s">
        <v>75</v>
      </c>
      <c r="C207" s="34" t="s">
        <v>2634</v>
      </c>
      <c r="D207" s="113" t="s">
        <v>3560</v>
      </c>
      <c r="E207" s="77" t="s">
        <v>169</v>
      </c>
      <c r="F207" s="19">
        <v>2040</v>
      </c>
      <c r="G207" s="6">
        <v>5</v>
      </c>
      <c r="H207" s="19" t="s">
        <v>9143</v>
      </c>
      <c r="I207" s="2"/>
      <c r="J207" s="38" t="s">
        <v>171</v>
      </c>
      <c r="K207" s="6" t="s">
        <v>177</v>
      </c>
      <c r="L207" s="38" t="s">
        <v>173</v>
      </c>
      <c r="M207" s="2"/>
      <c r="N207" s="113"/>
      <c r="O207" s="45" t="s">
        <v>62</v>
      </c>
      <c r="P207" s="2" t="s">
        <v>62</v>
      </c>
      <c r="Q207" s="38" t="str">
        <f>IFERROR(Table3335466[[#This Row],[Min Count]]/Table3335466[[#This Row],[Scalar]],"")</f>
        <v/>
      </c>
      <c r="R207" s="36" t="str">
        <f>IFERROR(Table3335466[[#This Row],[Max Count]]/Table3335466[[#This Row],[Scalar]],"")</f>
        <v/>
      </c>
      <c r="S207" s="34"/>
      <c r="T207" s="2"/>
      <c r="U207" s="34"/>
      <c r="V207" s="33"/>
      <c r="W207" s="33" t="s">
        <v>3561</v>
      </c>
      <c r="X207" s="8"/>
      <c r="Y207" s="33"/>
      <c r="Z207"/>
      <c r="AD207"/>
      <c r="AE207"/>
      <c r="AF207"/>
      <c r="AG207"/>
    </row>
    <row r="208" spans="1:33" ht="16.149999999999999" customHeight="1" x14ac:dyDescent="0.15">
      <c r="A208" s="6">
        <v>202</v>
      </c>
      <c r="B208" s="18" t="s">
        <v>75</v>
      </c>
      <c r="C208" s="34" t="s">
        <v>2634</v>
      </c>
      <c r="D208" s="113" t="s">
        <v>3562</v>
      </c>
      <c r="E208" s="77" t="s">
        <v>169</v>
      </c>
      <c r="F208" s="19">
        <v>2040</v>
      </c>
      <c r="G208" s="6">
        <v>8</v>
      </c>
      <c r="H208" s="19" t="s">
        <v>9363</v>
      </c>
      <c r="I208" s="2"/>
      <c r="J208" s="38" t="s">
        <v>171</v>
      </c>
      <c r="K208" s="6" t="s">
        <v>177</v>
      </c>
      <c r="L208" s="38" t="s">
        <v>173</v>
      </c>
      <c r="M208" s="2"/>
      <c r="N208" s="113"/>
      <c r="O208" s="45" t="s">
        <v>62</v>
      </c>
      <c r="P208" s="2" t="s">
        <v>62</v>
      </c>
      <c r="Q208" s="38" t="str">
        <f>IFERROR(Table3335466[[#This Row],[Min Count]]/Table3335466[[#This Row],[Scalar]],"")</f>
        <v/>
      </c>
      <c r="R208" s="36" t="str">
        <f>IFERROR(Table3335466[[#This Row],[Max Count]]/Table3335466[[#This Row],[Scalar]],"")</f>
        <v/>
      </c>
      <c r="S208" s="34"/>
      <c r="T208" s="2"/>
      <c r="U208" s="34"/>
      <c r="V208" s="33"/>
      <c r="W208" s="33" t="s">
        <v>3563</v>
      </c>
      <c r="X208" s="8"/>
      <c r="Y208" s="33"/>
      <c r="Z208"/>
      <c r="AD208"/>
      <c r="AE208"/>
      <c r="AF208"/>
      <c r="AG208"/>
    </row>
    <row r="209" spans="1:33" ht="16.149999999999999" customHeight="1" x14ac:dyDescent="0.15">
      <c r="A209" s="6">
        <v>203</v>
      </c>
      <c r="B209" s="18" t="s">
        <v>75</v>
      </c>
      <c r="C209" s="34" t="s">
        <v>2634</v>
      </c>
      <c r="D209" s="113" t="s">
        <v>3564</v>
      </c>
      <c r="E209" s="77" t="s">
        <v>169</v>
      </c>
      <c r="F209" s="19">
        <v>2040</v>
      </c>
      <c r="G209" s="6">
        <v>9</v>
      </c>
      <c r="H209" s="19" t="s">
        <v>9144</v>
      </c>
      <c r="I209" s="2"/>
      <c r="J209" s="38" t="s">
        <v>171</v>
      </c>
      <c r="K209" s="6" t="s">
        <v>177</v>
      </c>
      <c r="L209" s="38" t="s">
        <v>173</v>
      </c>
      <c r="M209" s="6"/>
      <c r="N209" s="114"/>
      <c r="O209" s="38" t="s">
        <v>62</v>
      </c>
      <c r="P209" s="38" t="s">
        <v>62</v>
      </c>
      <c r="Q209" s="38" t="str">
        <f>IFERROR(Table3335466[[#This Row],[Min Count]]/Table3335466[[#This Row],[Scalar]],"")</f>
        <v/>
      </c>
      <c r="R209" s="38" t="str">
        <f>IFERROR(Table3335466[[#This Row],[Max Count]]/Table3335466[[#This Row],[Scalar]],"")</f>
        <v/>
      </c>
      <c r="S209" s="34"/>
      <c r="T209" s="2"/>
      <c r="U209" s="34"/>
      <c r="V209" s="34"/>
      <c r="W209" s="77" t="s">
        <v>3565</v>
      </c>
      <c r="X209" s="8"/>
      <c r="Y209" s="2"/>
      <c r="Z209"/>
      <c r="AD209"/>
      <c r="AE209"/>
      <c r="AF209"/>
      <c r="AG209"/>
    </row>
    <row r="210" spans="1:33" ht="16.149999999999999" customHeight="1" x14ac:dyDescent="0.15">
      <c r="A210" s="6">
        <v>204</v>
      </c>
      <c r="B210" s="18" t="s">
        <v>75</v>
      </c>
      <c r="C210" s="34" t="s">
        <v>2634</v>
      </c>
      <c r="D210" t="s">
        <v>3566</v>
      </c>
      <c r="E210" s="77" t="s">
        <v>169</v>
      </c>
      <c r="F210" s="19">
        <v>2040</v>
      </c>
      <c r="G210" s="6">
        <v>10</v>
      </c>
      <c r="H210" s="19" t="s">
        <v>9364</v>
      </c>
      <c r="I210" s="2"/>
      <c r="J210" s="38" t="s">
        <v>171</v>
      </c>
      <c r="K210" s="6" t="s">
        <v>177</v>
      </c>
      <c r="L210" s="38" t="s">
        <v>173</v>
      </c>
      <c r="M210" s="2"/>
      <c r="N210" s="113"/>
      <c r="O210" s="45" t="s">
        <v>62</v>
      </c>
      <c r="P210" s="2" t="s">
        <v>62</v>
      </c>
      <c r="Q210" s="38" t="str">
        <f>IFERROR(Table3335466[[#This Row],[Min Count]]/Table3335466[[#This Row],[Scalar]],"")</f>
        <v/>
      </c>
      <c r="R210" s="36" t="str">
        <f>IFERROR(Table3335466[[#This Row],[Max Count]]/Table3335466[[#This Row],[Scalar]],"")</f>
        <v/>
      </c>
      <c r="S210" s="34"/>
      <c r="T210" s="2"/>
      <c r="U210" s="34"/>
      <c r="V210" s="33"/>
      <c r="W210" s="33" t="s">
        <v>3567</v>
      </c>
      <c r="X210" s="8"/>
      <c r="Y210" s="33"/>
      <c r="Z210"/>
      <c r="AD210"/>
      <c r="AE210"/>
      <c r="AF210"/>
      <c r="AG210"/>
    </row>
    <row r="211" spans="1:33" ht="16.149999999999999" customHeight="1" x14ac:dyDescent="0.15">
      <c r="A211" s="6">
        <v>205</v>
      </c>
      <c r="B211" s="18" t="s">
        <v>75</v>
      </c>
      <c r="C211" s="34" t="s">
        <v>2634</v>
      </c>
      <c r="D211" s="43" t="s">
        <v>3568</v>
      </c>
      <c r="E211" s="77" t="s">
        <v>169</v>
      </c>
      <c r="F211" s="19">
        <v>2040</v>
      </c>
      <c r="G211" s="6">
        <v>16</v>
      </c>
      <c r="H211" s="19" t="s">
        <v>9145</v>
      </c>
      <c r="I211" s="2"/>
      <c r="J211" s="38" t="s">
        <v>171</v>
      </c>
      <c r="K211" s="6" t="s">
        <v>177</v>
      </c>
      <c r="L211" s="38" t="s">
        <v>173</v>
      </c>
      <c r="M211" s="2"/>
      <c r="N211" s="113"/>
      <c r="O211" s="45" t="s">
        <v>62</v>
      </c>
      <c r="P211" s="2" t="s">
        <v>62</v>
      </c>
      <c r="Q211" s="38" t="str">
        <f>IFERROR(Table3335466[[#This Row],[Min Count]]/Table3335466[[#This Row],[Scalar]],"")</f>
        <v/>
      </c>
      <c r="R211" s="36" t="str">
        <f>IFERROR(Table3335466[[#This Row],[Max Count]]/Table3335466[[#This Row],[Scalar]],"")</f>
        <v/>
      </c>
      <c r="S211" s="34"/>
      <c r="T211" s="2"/>
      <c r="U211" s="34"/>
      <c r="V211" s="33"/>
      <c r="W211" s="33" t="s">
        <v>3569</v>
      </c>
      <c r="X211" s="8"/>
      <c r="Y211" s="33"/>
      <c r="Z211"/>
      <c r="AD211"/>
      <c r="AE211"/>
      <c r="AF211"/>
      <c r="AG211"/>
    </row>
    <row r="212" spans="1:33" ht="16.149999999999999" customHeight="1" x14ac:dyDescent="0.15">
      <c r="A212" s="6">
        <v>206</v>
      </c>
      <c r="B212" s="18" t="s">
        <v>75</v>
      </c>
      <c r="C212" s="34" t="s">
        <v>2634</v>
      </c>
      <c r="D212" s="43" t="s">
        <v>3570</v>
      </c>
      <c r="E212" s="77" t="s">
        <v>169</v>
      </c>
      <c r="F212" s="19">
        <v>2040</v>
      </c>
      <c r="G212" s="6">
        <v>17</v>
      </c>
      <c r="H212" s="19" t="s">
        <v>9365</v>
      </c>
      <c r="I212" s="2"/>
      <c r="J212" s="38" t="s">
        <v>171</v>
      </c>
      <c r="K212" s="6" t="s">
        <v>177</v>
      </c>
      <c r="L212" s="38" t="s">
        <v>173</v>
      </c>
      <c r="M212" s="2"/>
      <c r="N212" s="113"/>
      <c r="O212" s="45" t="s">
        <v>62</v>
      </c>
      <c r="P212" s="2" t="s">
        <v>62</v>
      </c>
      <c r="Q212" s="38" t="str">
        <f>IFERROR(Table3335466[[#This Row],[Min Count]]/Table3335466[[#This Row],[Scalar]],"")</f>
        <v/>
      </c>
      <c r="R212" s="36" t="str">
        <f>IFERROR(Table3335466[[#This Row],[Max Count]]/Table3335466[[#This Row],[Scalar]],"")</f>
        <v/>
      </c>
      <c r="S212" s="34"/>
      <c r="T212" s="2"/>
      <c r="U212" s="34"/>
      <c r="V212" s="33"/>
      <c r="W212" s="33" t="s">
        <v>3571</v>
      </c>
      <c r="X212" s="8"/>
      <c r="Y212" s="33"/>
      <c r="Z212"/>
      <c r="AD212"/>
      <c r="AE212"/>
      <c r="AF212"/>
      <c r="AG212"/>
    </row>
    <row r="213" spans="1:33" ht="16.149999999999999" customHeight="1" x14ac:dyDescent="0.15">
      <c r="A213" s="6">
        <v>207</v>
      </c>
      <c r="B213" s="18" t="s">
        <v>75</v>
      </c>
      <c r="C213" s="34" t="s">
        <v>2634</v>
      </c>
      <c r="D213" s="43" t="s">
        <v>3572</v>
      </c>
      <c r="E213" s="77" t="s">
        <v>169</v>
      </c>
      <c r="F213" s="19">
        <v>2040</v>
      </c>
      <c r="G213" s="6">
        <v>18</v>
      </c>
      <c r="H213" s="19" t="s">
        <v>9146</v>
      </c>
      <c r="I213" s="2"/>
      <c r="J213" s="38" t="s">
        <v>171</v>
      </c>
      <c r="K213" s="6" t="s">
        <v>177</v>
      </c>
      <c r="L213" s="38" t="s">
        <v>173</v>
      </c>
      <c r="M213" s="2"/>
      <c r="N213" s="113"/>
      <c r="O213" s="45" t="s">
        <v>62</v>
      </c>
      <c r="P213" s="2" t="s">
        <v>62</v>
      </c>
      <c r="Q213" s="38" t="str">
        <f>IFERROR(Table3335466[[#This Row],[Min Count]]/Table3335466[[#This Row],[Scalar]],"")</f>
        <v/>
      </c>
      <c r="R213" s="36" t="str">
        <f>IFERROR(Table3335466[[#This Row],[Max Count]]/Table3335466[[#This Row],[Scalar]],"")</f>
        <v/>
      </c>
      <c r="S213" s="34"/>
      <c r="T213" s="2"/>
      <c r="U213" s="34"/>
      <c r="V213" s="33"/>
      <c r="W213" s="33" t="s">
        <v>3573</v>
      </c>
      <c r="X213" s="8"/>
      <c r="Y213" s="33"/>
      <c r="Z213"/>
      <c r="AD213"/>
      <c r="AE213"/>
      <c r="AF213"/>
      <c r="AG213"/>
    </row>
    <row r="214" spans="1:33" ht="16.149999999999999" customHeight="1" x14ac:dyDescent="0.15">
      <c r="A214" s="6">
        <v>208</v>
      </c>
      <c r="B214" s="18" t="s">
        <v>75</v>
      </c>
      <c r="C214" s="34" t="s">
        <v>2634</v>
      </c>
      <c r="D214" s="43" t="s">
        <v>3574</v>
      </c>
      <c r="E214" s="77" t="s">
        <v>169</v>
      </c>
      <c r="F214" s="19">
        <v>2040</v>
      </c>
      <c r="G214" s="6">
        <v>24</v>
      </c>
      <c r="H214" s="19" t="s">
        <v>9366</v>
      </c>
      <c r="I214" s="2"/>
      <c r="J214" s="38" t="s">
        <v>171</v>
      </c>
      <c r="K214" s="6" t="s">
        <v>177</v>
      </c>
      <c r="L214" s="38" t="s">
        <v>173</v>
      </c>
      <c r="M214" s="2"/>
      <c r="N214" s="113"/>
      <c r="O214" s="45" t="s">
        <v>62</v>
      </c>
      <c r="P214" s="2" t="s">
        <v>62</v>
      </c>
      <c r="Q214" s="38" t="str">
        <f>IFERROR(Table3335466[[#This Row],[Min Count]]/Table3335466[[#This Row],[Scalar]],"")</f>
        <v/>
      </c>
      <c r="R214" s="36" t="str">
        <f>IFERROR(Table3335466[[#This Row],[Max Count]]/Table3335466[[#This Row],[Scalar]],"")</f>
        <v/>
      </c>
      <c r="S214" s="34"/>
      <c r="T214" s="2"/>
      <c r="U214" s="34"/>
      <c r="V214" s="33"/>
      <c r="W214" s="33" t="s">
        <v>3575</v>
      </c>
      <c r="X214" s="8"/>
      <c r="Y214" s="33"/>
      <c r="Z214"/>
      <c r="AD214"/>
      <c r="AE214"/>
      <c r="AF214"/>
      <c r="AG214"/>
    </row>
    <row r="215" spans="1:33" ht="16.149999999999999" customHeight="1" x14ac:dyDescent="0.15">
      <c r="A215" s="6">
        <v>209</v>
      </c>
      <c r="B215" s="18" t="s">
        <v>75</v>
      </c>
      <c r="C215" s="34" t="s">
        <v>2634</v>
      </c>
      <c r="D215" s="43" t="s">
        <v>3576</v>
      </c>
      <c r="E215" s="77" t="s">
        <v>169</v>
      </c>
      <c r="F215" s="19">
        <v>2040</v>
      </c>
      <c r="G215" s="6">
        <v>25</v>
      </c>
      <c r="H215" s="19" t="s">
        <v>9147</v>
      </c>
      <c r="I215" s="2"/>
      <c r="J215" s="38" t="s">
        <v>171</v>
      </c>
      <c r="K215" s="6" t="s">
        <v>177</v>
      </c>
      <c r="L215" s="38" t="s">
        <v>173</v>
      </c>
      <c r="M215" s="2"/>
      <c r="N215" s="113"/>
      <c r="O215" s="45" t="s">
        <v>62</v>
      </c>
      <c r="P215" s="2" t="s">
        <v>62</v>
      </c>
      <c r="Q215" s="38" t="str">
        <f>IFERROR(Table3335466[[#This Row],[Min Count]]/Table3335466[[#This Row],[Scalar]],"")</f>
        <v/>
      </c>
      <c r="R215" s="36" t="str">
        <f>IFERROR(Table3335466[[#This Row],[Max Count]]/Table3335466[[#This Row],[Scalar]],"")</f>
        <v/>
      </c>
      <c r="S215" s="34"/>
      <c r="T215" s="2"/>
      <c r="U215" s="34"/>
      <c r="V215" s="33"/>
      <c r="W215" s="33" t="s">
        <v>3577</v>
      </c>
      <c r="X215" s="8"/>
      <c r="Y215" s="33"/>
      <c r="Z215"/>
      <c r="AD215"/>
      <c r="AE215"/>
      <c r="AF215"/>
      <c r="AG215"/>
    </row>
    <row r="216" spans="1:33" ht="16.149999999999999" customHeight="1" x14ac:dyDescent="0.15">
      <c r="A216" s="6">
        <v>210</v>
      </c>
      <c r="B216" s="18" t="s">
        <v>75</v>
      </c>
      <c r="C216" s="34" t="s">
        <v>2634</v>
      </c>
      <c r="D216" s="43" t="s">
        <v>3578</v>
      </c>
      <c r="E216" s="77" t="s">
        <v>169</v>
      </c>
      <c r="F216" s="19">
        <v>2040</v>
      </c>
      <c r="G216" s="6">
        <v>26</v>
      </c>
      <c r="H216" s="19" t="s">
        <v>9367</v>
      </c>
      <c r="I216" s="2"/>
      <c r="J216" s="38" t="s">
        <v>171</v>
      </c>
      <c r="K216" s="6" t="s">
        <v>177</v>
      </c>
      <c r="L216" s="38" t="s">
        <v>173</v>
      </c>
      <c r="M216" s="2"/>
      <c r="N216" s="113"/>
      <c r="O216" s="45" t="s">
        <v>62</v>
      </c>
      <c r="P216" s="2" t="s">
        <v>62</v>
      </c>
      <c r="Q216" s="38" t="str">
        <f>IFERROR(Table3335466[[#This Row],[Min Count]]/Table3335466[[#This Row],[Scalar]],"")</f>
        <v/>
      </c>
      <c r="R216" s="36" t="str">
        <f>IFERROR(Table3335466[[#This Row],[Max Count]]/Table3335466[[#This Row],[Scalar]],"")</f>
        <v/>
      </c>
      <c r="S216" s="34"/>
      <c r="T216" s="2"/>
      <c r="U216" s="34"/>
      <c r="V216" s="33"/>
      <c r="W216" s="33" t="s">
        <v>3579</v>
      </c>
      <c r="X216" s="8"/>
      <c r="Y216" s="33"/>
      <c r="Z216"/>
      <c r="AD216"/>
      <c r="AE216"/>
      <c r="AF216"/>
      <c r="AG216"/>
    </row>
    <row r="217" spans="1:33" ht="16.149999999999999" customHeight="1" x14ac:dyDescent="0.15">
      <c r="A217" s="6">
        <v>211</v>
      </c>
      <c r="B217" s="18" t="s">
        <v>75</v>
      </c>
      <c r="C217" s="34" t="s">
        <v>2634</v>
      </c>
      <c r="D217" s="43" t="s">
        <v>3580</v>
      </c>
      <c r="E217" s="77" t="s">
        <v>3406</v>
      </c>
      <c r="F217" s="19">
        <v>2042</v>
      </c>
      <c r="G217" s="6"/>
      <c r="H217" s="19" t="s">
        <v>9368</v>
      </c>
      <c r="I217" s="2"/>
      <c r="J217" s="6"/>
      <c r="K217" s="6"/>
      <c r="L217" s="38"/>
      <c r="M217" s="2" t="s">
        <v>61</v>
      </c>
      <c r="N217" s="113">
        <v>1</v>
      </c>
      <c r="O217" s="45" t="s">
        <v>62</v>
      </c>
      <c r="P217" s="2" t="s">
        <v>62</v>
      </c>
      <c r="Q217" s="38" t="str">
        <f>IFERROR(Table3335466[[#This Row],[Min Count]]/Table3335466[[#This Row],[Scalar]],"")</f>
        <v/>
      </c>
      <c r="R217" s="36" t="str">
        <f>IFERROR(Table3335466[[#This Row],[Max Count]]/Table3335466[[#This Row],[Scalar]],"")</f>
        <v/>
      </c>
      <c r="S217" s="34"/>
      <c r="T217" s="2"/>
      <c r="U217" s="34"/>
      <c r="V217" s="33"/>
      <c r="W217" s="33" t="s">
        <v>3581</v>
      </c>
      <c r="X217" s="8"/>
      <c r="Y217" s="33"/>
      <c r="Z217"/>
      <c r="AD217"/>
      <c r="AE217"/>
      <c r="AF217"/>
      <c r="AG217"/>
    </row>
    <row r="218" spans="1:33" ht="16.149999999999999" customHeight="1" x14ac:dyDescent="0.15">
      <c r="A218" s="6">
        <v>212</v>
      </c>
      <c r="B218" s="18" t="s">
        <v>75</v>
      </c>
      <c r="C218" s="34" t="s">
        <v>2634</v>
      </c>
      <c r="D218" s="43" t="s">
        <v>3582</v>
      </c>
      <c r="E218" s="77" t="s">
        <v>169</v>
      </c>
      <c r="F218" s="19">
        <v>2042</v>
      </c>
      <c r="G218" s="6">
        <v>0</v>
      </c>
      <c r="H218" s="19" t="s">
        <v>9369</v>
      </c>
      <c r="I218" s="2"/>
      <c r="J218" s="38" t="s">
        <v>171</v>
      </c>
      <c r="K218" s="6" t="s">
        <v>177</v>
      </c>
      <c r="L218" s="38" t="s">
        <v>173</v>
      </c>
      <c r="M218" s="2"/>
      <c r="N218" s="113"/>
      <c r="O218" s="45" t="s">
        <v>62</v>
      </c>
      <c r="P218" s="2" t="s">
        <v>62</v>
      </c>
      <c r="Q218" s="38" t="str">
        <f>IFERROR(Table3335466[[#This Row],[Min Count]]/Table3335466[[#This Row],[Scalar]],"")</f>
        <v/>
      </c>
      <c r="R218" s="36" t="str">
        <f>IFERROR(Table3335466[[#This Row],[Max Count]]/Table3335466[[#This Row],[Scalar]],"")</f>
        <v/>
      </c>
      <c r="S218" s="34"/>
      <c r="T218" s="2"/>
      <c r="U218" s="34"/>
      <c r="V218" s="33"/>
      <c r="W218" s="33" t="s">
        <v>3583</v>
      </c>
      <c r="X218" s="8"/>
      <c r="Y218" s="33"/>
      <c r="Z218"/>
      <c r="AD218"/>
      <c r="AE218"/>
      <c r="AF218"/>
      <c r="AG218"/>
    </row>
    <row r="219" spans="1:33" ht="16.149999999999999" customHeight="1" x14ac:dyDescent="0.15">
      <c r="A219" s="6">
        <v>213</v>
      </c>
      <c r="B219" s="18" t="s">
        <v>75</v>
      </c>
      <c r="C219" s="34" t="s">
        <v>2634</v>
      </c>
      <c r="D219" s="43" t="s">
        <v>3584</v>
      </c>
      <c r="E219" s="77" t="s">
        <v>169</v>
      </c>
      <c r="F219" s="19">
        <v>2042</v>
      </c>
      <c r="G219" s="6">
        <v>1</v>
      </c>
      <c r="H219" s="19" t="s">
        <v>9370</v>
      </c>
      <c r="I219" s="2"/>
      <c r="J219" s="38" t="s">
        <v>171</v>
      </c>
      <c r="K219" s="6" t="s">
        <v>177</v>
      </c>
      <c r="L219" s="38" t="s">
        <v>173</v>
      </c>
      <c r="M219" s="2"/>
      <c r="N219" s="113"/>
      <c r="O219" s="45" t="s">
        <v>62</v>
      </c>
      <c r="P219" s="2" t="s">
        <v>62</v>
      </c>
      <c r="Q219" s="38" t="str">
        <f>IFERROR(Table3335466[[#This Row],[Min Count]]/Table3335466[[#This Row],[Scalar]],"")</f>
        <v/>
      </c>
      <c r="R219" s="36" t="str">
        <f>IFERROR(Table3335466[[#This Row],[Max Count]]/Table3335466[[#This Row],[Scalar]],"")</f>
        <v/>
      </c>
      <c r="S219" s="34"/>
      <c r="T219" s="2"/>
      <c r="U219" s="34"/>
      <c r="V219" s="33"/>
      <c r="W219" s="33" t="s">
        <v>3585</v>
      </c>
      <c r="X219" s="8"/>
      <c r="Y219" s="33"/>
      <c r="Z219"/>
      <c r="AD219"/>
      <c r="AE219"/>
      <c r="AF219"/>
      <c r="AG219"/>
    </row>
    <row r="220" spans="1:33" ht="16.149999999999999" customHeight="1" x14ac:dyDescent="0.15">
      <c r="A220" s="6">
        <v>214</v>
      </c>
      <c r="B220" s="18" t="s">
        <v>75</v>
      </c>
      <c r="C220" s="34" t="s">
        <v>2634</v>
      </c>
      <c r="D220" s="43" t="s">
        <v>3586</v>
      </c>
      <c r="E220" s="77" t="s">
        <v>169</v>
      </c>
      <c r="F220" s="19">
        <v>2042</v>
      </c>
      <c r="G220" s="6">
        <v>2</v>
      </c>
      <c r="H220" s="19" t="s">
        <v>9371</v>
      </c>
      <c r="I220" s="2"/>
      <c r="J220" s="38" t="s">
        <v>171</v>
      </c>
      <c r="K220" s="6" t="s">
        <v>177</v>
      </c>
      <c r="L220" s="38" t="s">
        <v>173</v>
      </c>
      <c r="M220" s="2"/>
      <c r="N220" s="113"/>
      <c r="O220" s="45" t="s">
        <v>62</v>
      </c>
      <c r="P220" s="2" t="s">
        <v>62</v>
      </c>
      <c r="Q220" s="38" t="str">
        <f>IFERROR(Table3335466[[#This Row],[Min Count]]/Table3335466[[#This Row],[Scalar]],"")</f>
        <v/>
      </c>
      <c r="R220" s="36" t="str">
        <f>IFERROR(Table3335466[[#This Row],[Max Count]]/Table3335466[[#This Row],[Scalar]],"")</f>
        <v/>
      </c>
      <c r="S220" s="34"/>
      <c r="T220" s="2"/>
      <c r="U220" s="34"/>
      <c r="V220" s="33"/>
      <c r="W220" s="33" t="s">
        <v>3587</v>
      </c>
      <c r="X220" s="8"/>
      <c r="Y220" s="33"/>
      <c r="Z220"/>
      <c r="AD220"/>
      <c r="AE220"/>
      <c r="AF220"/>
      <c r="AG220"/>
    </row>
    <row r="221" spans="1:33" ht="16.149999999999999" customHeight="1" x14ac:dyDescent="0.15">
      <c r="A221" s="6">
        <v>215</v>
      </c>
      <c r="B221" s="18" t="s">
        <v>75</v>
      </c>
      <c r="C221" s="34" t="s">
        <v>2634</v>
      </c>
      <c r="D221" s="43" t="s">
        <v>3588</v>
      </c>
      <c r="E221" s="77" t="s">
        <v>169</v>
      </c>
      <c r="F221" s="19">
        <v>2042</v>
      </c>
      <c r="G221" s="6">
        <v>8</v>
      </c>
      <c r="H221" s="19" t="s">
        <v>9372</v>
      </c>
      <c r="I221" s="2"/>
      <c r="J221" s="38" t="s">
        <v>171</v>
      </c>
      <c r="K221" s="6" t="s">
        <v>177</v>
      </c>
      <c r="L221" s="38" t="s">
        <v>173</v>
      </c>
      <c r="M221" s="2"/>
      <c r="N221" s="113"/>
      <c r="O221" s="45" t="s">
        <v>62</v>
      </c>
      <c r="P221" s="2" t="s">
        <v>62</v>
      </c>
      <c r="Q221" s="38" t="str">
        <f>IFERROR(Table3335466[[#This Row],[Min Count]]/Table3335466[[#This Row],[Scalar]],"")</f>
        <v/>
      </c>
      <c r="R221" s="36" t="str">
        <f>IFERROR(Table3335466[[#This Row],[Max Count]]/Table3335466[[#This Row],[Scalar]],"")</f>
        <v/>
      </c>
      <c r="S221" s="34"/>
      <c r="T221" s="2"/>
      <c r="U221" s="34"/>
      <c r="V221" s="33"/>
      <c r="W221" s="33" t="s">
        <v>3589</v>
      </c>
      <c r="X221" s="8"/>
      <c r="Y221" s="33"/>
      <c r="Z221"/>
      <c r="AD221"/>
      <c r="AE221"/>
      <c r="AF221"/>
      <c r="AG221"/>
    </row>
    <row r="222" spans="1:33" ht="16.149999999999999" customHeight="1" x14ac:dyDescent="0.15">
      <c r="A222" s="6">
        <v>216</v>
      </c>
      <c r="B222" s="18" t="s">
        <v>75</v>
      </c>
      <c r="C222" s="34" t="s">
        <v>2634</v>
      </c>
      <c r="D222" s="43" t="s">
        <v>3590</v>
      </c>
      <c r="E222" s="77" t="s">
        <v>169</v>
      </c>
      <c r="F222" s="19">
        <v>2042</v>
      </c>
      <c r="G222" s="6">
        <v>9</v>
      </c>
      <c r="H222" s="19" t="s">
        <v>9373</v>
      </c>
      <c r="I222" s="2"/>
      <c r="J222" s="38" t="s">
        <v>171</v>
      </c>
      <c r="K222" s="6" t="s">
        <v>177</v>
      </c>
      <c r="L222" s="38" t="s">
        <v>173</v>
      </c>
      <c r="M222" s="2"/>
      <c r="N222" s="113"/>
      <c r="O222" s="45" t="s">
        <v>62</v>
      </c>
      <c r="P222" s="2" t="s">
        <v>62</v>
      </c>
      <c r="Q222" s="38" t="str">
        <f>IFERROR(Table3335466[[#This Row],[Min Count]]/Table3335466[[#This Row],[Scalar]],"")</f>
        <v/>
      </c>
      <c r="R222" s="36" t="str">
        <f>IFERROR(Table3335466[[#This Row],[Max Count]]/Table3335466[[#This Row],[Scalar]],"")</f>
        <v/>
      </c>
      <c r="S222" s="34"/>
      <c r="T222" s="2"/>
      <c r="U222" s="34"/>
      <c r="V222" s="33"/>
      <c r="W222" s="33" t="s">
        <v>3591</v>
      </c>
      <c r="X222" s="8"/>
      <c r="Y222" s="33"/>
      <c r="Z222"/>
      <c r="AD222"/>
      <c r="AE222"/>
      <c r="AF222"/>
      <c r="AG222"/>
    </row>
    <row r="223" spans="1:33" ht="16.149999999999999" customHeight="1" x14ac:dyDescent="0.15">
      <c r="A223" s="6">
        <v>217</v>
      </c>
      <c r="B223" s="18" t="s">
        <v>75</v>
      </c>
      <c r="C223" s="34" t="s">
        <v>2634</v>
      </c>
      <c r="D223" s="43" t="s">
        <v>3592</v>
      </c>
      <c r="E223" s="77" t="s">
        <v>169</v>
      </c>
      <c r="F223" s="19">
        <v>2042</v>
      </c>
      <c r="G223" s="6">
        <v>10</v>
      </c>
      <c r="H223" s="19" t="s">
        <v>9148</v>
      </c>
      <c r="I223" s="2"/>
      <c r="J223" s="38" t="s">
        <v>171</v>
      </c>
      <c r="K223" s="6" t="s">
        <v>177</v>
      </c>
      <c r="L223" s="38" t="s">
        <v>173</v>
      </c>
      <c r="M223" s="2"/>
      <c r="N223" s="113"/>
      <c r="O223" s="45" t="s">
        <v>62</v>
      </c>
      <c r="P223" s="2" t="s">
        <v>62</v>
      </c>
      <c r="Q223" s="38" t="str">
        <f>IFERROR(Table3335466[[#This Row],[Min Count]]/Table3335466[[#This Row],[Scalar]],"")</f>
        <v/>
      </c>
      <c r="R223" s="36" t="str">
        <f>IFERROR(Table3335466[[#This Row],[Max Count]]/Table3335466[[#This Row],[Scalar]],"")</f>
        <v/>
      </c>
      <c r="S223" s="34"/>
      <c r="T223" s="2"/>
      <c r="U223" s="34"/>
      <c r="V223" s="33"/>
      <c r="W223" s="33" t="s">
        <v>3593</v>
      </c>
      <c r="X223" s="8"/>
      <c r="Y223" s="33"/>
      <c r="Z223"/>
      <c r="AD223"/>
      <c r="AE223"/>
      <c r="AF223"/>
      <c r="AG223"/>
    </row>
    <row r="224" spans="1:33" ht="16.149999999999999" customHeight="1" x14ac:dyDescent="0.15">
      <c r="A224" s="6">
        <v>218</v>
      </c>
      <c r="B224" s="18" t="s">
        <v>75</v>
      </c>
      <c r="C224" s="34" t="s">
        <v>2634</v>
      </c>
      <c r="D224" s="43" t="s">
        <v>3594</v>
      </c>
      <c r="E224" s="77" t="s">
        <v>169</v>
      </c>
      <c r="F224" s="19">
        <v>2042</v>
      </c>
      <c r="G224" s="6">
        <v>16</v>
      </c>
      <c r="H224" s="19" t="s">
        <v>9374</v>
      </c>
      <c r="I224" s="2"/>
      <c r="J224" s="38" t="s">
        <v>171</v>
      </c>
      <c r="K224" s="6" t="s">
        <v>177</v>
      </c>
      <c r="L224" s="38" t="s">
        <v>173</v>
      </c>
      <c r="M224" s="2"/>
      <c r="N224" s="113"/>
      <c r="O224" s="45" t="s">
        <v>62</v>
      </c>
      <c r="P224" s="2" t="s">
        <v>62</v>
      </c>
      <c r="Q224" s="38" t="str">
        <f>IFERROR(Table3335466[[#This Row],[Min Count]]/Table3335466[[#This Row],[Scalar]],"")</f>
        <v/>
      </c>
      <c r="R224" s="36" t="str">
        <f>IFERROR(Table3335466[[#This Row],[Max Count]]/Table3335466[[#This Row],[Scalar]],"")</f>
        <v/>
      </c>
      <c r="S224" s="34"/>
      <c r="T224" s="2"/>
      <c r="U224" s="34"/>
      <c r="V224" s="33"/>
      <c r="W224" s="33" t="s">
        <v>3595</v>
      </c>
      <c r="X224" s="8"/>
      <c r="Y224" s="33"/>
      <c r="Z224"/>
      <c r="AD224"/>
      <c r="AE224"/>
      <c r="AF224"/>
      <c r="AG224"/>
    </row>
    <row r="225" spans="1:33" ht="16.149999999999999" customHeight="1" x14ac:dyDescent="0.15">
      <c r="A225" s="6">
        <v>219</v>
      </c>
      <c r="B225" s="18" t="s">
        <v>75</v>
      </c>
      <c r="C225" s="34" t="s">
        <v>2634</v>
      </c>
      <c r="D225" s="43" t="s">
        <v>3596</v>
      </c>
      <c r="E225" s="77" t="s">
        <v>169</v>
      </c>
      <c r="F225" s="19">
        <v>2042</v>
      </c>
      <c r="G225" s="6">
        <v>17</v>
      </c>
      <c r="H225" s="19" t="s">
        <v>9149</v>
      </c>
      <c r="I225" s="2"/>
      <c r="J225" s="38" t="s">
        <v>171</v>
      </c>
      <c r="K225" s="6" t="s">
        <v>177</v>
      </c>
      <c r="L225" s="38" t="s">
        <v>173</v>
      </c>
      <c r="M225" s="2"/>
      <c r="N225" s="113"/>
      <c r="O225" s="45" t="s">
        <v>62</v>
      </c>
      <c r="P225" s="2" t="s">
        <v>62</v>
      </c>
      <c r="Q225" s="38" t="str">
        <f>IFERROR(Table3335466[[#This Row],[Min Count]]/Table3335466[[#This Row],[Scalar]],"")</f>
        <v/>
      </c>
      <c r="R225" s="36" t="str">
        <f>IFERROR(Table3335466[[#This Row],[Max Count]]/Table3335466[[#This Row],[Scalar]],"")</f>
        <v/>
      </c>
      <c r="S225" s="34"/>
      <c r="T225" s="2"/>
      <c r="U225" s="34"/>
      <c r="V225" s="33"/>
      <c r="W225" s="33" t="s">
        <v>3597</v>
      </c>
      <c r="X225" s="8"/>
      <c r="Y225" s="33"/>
      <c r="Z225"/>
      <c r="AD225"/>
      <c r="AE225"/>
      <c r="AF225"/>
      <c r="AG225"/>
    </row>
    <row r="226" spans="1:33" ht="16.149999999999999" customHeight="1" x14ac:dyDescent="0.15">
      <c r="A226" s="6">
        <v>220</v>
      </c>
      <c r="B226" s="18" t="s">
        <v>75</v>
      </c>
      <c r="C226" s="34" t="s">
        <v>2634</v>
      </c>
      <c r="D226" s="43" t="s">
        <v>3598</v>
      </c>
      <c r="E226" s="77" t="s">
        <v>169</v>
      </c>
      <c r="F226" s="19">
        <v>2042</v>
      </c>
      <c r="G226" s="6">
        <v>18</v>
      </c>
      <c r="H226" s="19" t="s">
        <v>9375</v>
      </c>
      <c r="I226" s="2"/>
      <c r="J226" s="38" t="s">
        <v>171</v>
      </c>
      <c r="K226" s="6" t="s">
        <v>177</v>
      </c>
      <c r="L226" s="38" t="s">
        <v>173</v>
      </c>
      <c r="M226" s="2"/>
      <c r="N226" s="113"/>
      <c r="O226" s="45" t="s">
        <v>62</v>
      </c>
      <c r="P226" s="2" t="s">
        <v>62</v>
      </c>
      <c r="Q226" s="38" t="str">
        <f>IFERROR(Table3335466[[#This Row],[Min Count]]/Table3335466[[#This Row],[Scalar]],"")</f>
        <v/>
      </c>
      <c r="R226" s="36" t="str">
        <f>IFERROR(Table3335466[[#This Row],[Max Count]]/Table3335466[[#This Row],[Scalar]],"")</f>
        <v/>
      </c>
      <c r="S226" s="34"/>
      <c r="T226" s="2"/>
      <c r="U226" s="34"/>
      <c r="V226" s="33"/>
      <c r="W226" s="33" t="s">
        <v>3599</v>
      </c>
      <c r="X226" s="8"/>
      <c r="Y226" s="33"/>
      <c r="Z226"/>
      <c r="AD226"/>
      <c r="AE226"/>
      <c r="AF226"/>
      <c r="AG226"/>
    </row>
    <row r="227" spans="1:33" ht="16.149999999999999" customHeight="1" x14ac:dyDescent="0.15">
      <c r="A227" s="6">
        <v>221</v>
      </c>
      <c r="B227" s="18" t="s">
        <v>75</v>
      </c>
      <c r="C227" s="34" t="s">
        <v>2634</v>
      </c>
      <c r="D227" s="43" t="s">
        <v>3620</v>
      </c>
      <c r="E227" s="77" t="s">
        <v>3406</v>
      </c>
      <c r="F227" s="19">
        <v>2058</v>
      </c>
      <c r="G227" s="6"/>
      <c r="H227" s="19" t="s">
        <v>9150</v>
      </c>
      <c r="I227" s="2"/>
      <c r="J227" s="6"/>
      <c r="K227" s="6"/>
      <c r="L227" s="38"/>
      <c r="M227" s="2" t="s">
        <v>61</v>
      </c>
      <c r="N227" s="113">
        <v>1</v>
      </c>
      <c r="O227" s="45" t="s">
        <v>62</v>
      </c>
      <c r="P227" s="2" t="s">
        <v>62</v>
      </c>
      <c r="Q227" s="38" t="str">
        <f>IFERROR(Table3335466[[#This Row],[Min Count]]/Table3335466[[#This Row],[Scalar]],"")</f>
        <v/>
      </c>
      <c r="R227" s="36" t="str">
        <f>IFERROR(Table3335466[[#This Row],[Max Count]]/Table3335466[[#This Row],[Scalar]],"")</f>
        <v/>
      </c>
      <c r="S227" s="34"/>
      <c r="T227" s="2"/>
      <c r="U227" s="34"/>
      <c r="V227" s="33"/>
      <c r="W227" s="33" t="s">
        <v>3621</v>
      </c>
      <c r="X227" s="8"/>
      <c r="Y227" s="33"/>
      <c r="Z227"/>
      <c r="AD227"/>
      <c r="AE227"/>
      <c r="AF227"/>
      <c r="AG227"/>
    </row>
    <row r="228" spans="1:33" ht="16.149999999999999" customHeight="1" x14ac:dyDescent="0.15">
      <c r="A228" s="6">
        <v>222</v>
      </c>
      <c r="B228" s="18" t="s">
        <v>75</v>
      </c>
      <c r="C228" s="34" t="s">
        <v>2634</v>
      </c>
      <c r="D228" s="43" t="s">
        <v>3622</v>
      </c>
      <c r="E228" s="77" t="s">
        <v>169</v>
      </c>
      <c r="F228" s="19">
        <v>2058</v>
      </c>
      <c r="G228" s="6">
        <v>0</v>
      </c>
      <c r="H228" s="19" t="s">
        <v>9376</v>
      </c>
      <c r="I228" s="2"/>
      <c r="J228" s="38" t="s">
        <v>171</v>
      </c>
      <c r="K228" s="6" t="s">
        <v>177</v>
      </c>
      <c r="L228" s="38" t="s">
        <v>173</v>
      </c>
      <c r="M228" s="2"/>
      <c r="N228" s="113"/>
      <c r="O228" s="45" t="s">
        <v>62</v>
      </c>
      <c r="P228" s="2" t="s">
        <v>62</v>
      </c>
      <c r="Q228" s="38" t="str">
        <f>IFERROR(Table3335466[[#This Row],[Min Count]]/Table3335466[[#This Row],[Scalar]],"")</f>
        <v/>
      </c>
      <c r="R228" s="36" t="str">
        <f>IFERROR(Table3335466[[#This Row],[Max Count]]/Table3335466[[#This Row],[Scalar]],"")</f>
        <v/>
      </c>
      <c r="S228" s="34"/>
      <c r="T228" s="2"/>
      <c r="U228" s="34"/>
      <c r="V228" s="33"/>
      <c r="W228" s="33" t="s">
        <v>3623</v>
      </c>
      <c r="X228" s="8"/>
      <c r="Y228" s="33"/>
      <c r="Z228"/>
      <c r="AD228"/>
      <c r="AE228"/>
      <c r="AF228"/>
      <c r="AG228"/>
    </row>
    <row r="229" spans="1:33" ht="16.149999999999999" customHeight="1" x14ac:dyDescent="0.15">
      <c r="A229" s="6">
        <v>223</v>
      </c>
      <c r="B229" s="18" t="s">
        <v>75</v>
      </c>
      <c r="C229" s="34" t="s">
        <v>2634</v>
      </c>
      <c r="D229" s="43" t="s">
        <v>3624</v>
      </c>
      <c r="E229" s="77" t="s">
        <v>169</v>
      </c>
      <c r="F229" s="19">
        <v>2058</v>
      </c>
      <c r="G229" s="6">
        <v>1</v>
      </c>
      <c r="H229" s="19" t="s">
        <v>9377</v>
      </c>
      <c r="I229" s="2"/>
      <c r="J229" s="38" t="s">
        <v>171</v>
      </c>
      <c r="K229" s="6" t="s">
        <v>177</v>
      </c>
      <c r="L229" s="38" t="s">
        <v>173</v>
      </c>
      <c r="M229" s="2"/>
      <c r="N229" s="113"/>
      <c r="O229" s="45" t="s">
        <v>62</v>
      </c>
      <c r="P229" s="2" t="s">
        <v>62</v>
      </c>
      <c r="Q229" s="38" t="str">
        <f>IFERROR(Table3335466[[#This Row],[Min Count]]/Table3335466[[#This Row],[Scalar]],"")</f>
        <v/>
      </c>
      <c r="R229" s="36" t="str">
        <f>IFERROR(Table3335466[[#This Row],[Max Count]]/Table3335466[[#This Row],[Scalar]],"")</f>
        <v/>
      </c>
      <c r="S229" s="34"/>
      <c r="T229" s="2"/>
      <c r="U229" s="34"/>
      <c r="V229" s="33"/>
      <c r="W229" s="33" t="s">
        <v>3625</v>
      </c>
      <c r="X229" s="8"/>
      <c r="Y229" s="33"/>
      <c r="Z229"/>
      <c r="AD229"/>
      <c r="AE229"/>
      <c r="AF229"/>
      <c r="AG229"/>
    </row>
    <row r="230" spans="1:33" ht="16.149999999999999" customHeight="1" x14ac:dyDescent="0.15">
      <c r="A230" s="6">
        <v>224</v>
      </c>
      <c r="B230" s="18" t="s">
        <v>75</v>
      </c>
      <c r="C230" s="34" t="s">
        <v>2634</v>
      </c>
      <c r="D230" s="43" t="s">
        <v>3626</v>
      </c>
      <c r="E230" s="77" t="s">
        <v>169</v>
      </c>
      <c r="F230" s="19">
        <v>2058</v>
      </c>
      <c r="G230" s="6">
        <v>2</v>
      </c>
      <c r="H230" s="19" t="s">
        <v>9378</v>
      </c>
      <c r="I230" s="2"/>
      <c r="J230" s="38" t="s">
        <v>171</v>
      </c>
      <c r="K230" s="6" t="s">
        <v>177</v>
      </c>
      <c r="L230" s="38" t="s">
        <v>173</v>
      </c>
      <c r="M230" s="2"/>
      <c r="N230" s="113"/>
      <c r="O230" s="45" t="s">
        <v>62</v>
      </c>
      <c r="P230" s="2" t="s">
        <v>62</v>
      </c>
      <c r="Q230" s="38" t="str">
        <f>IFERROR(Table3335466[[#This Row],[Min Count]]/Table3335466[[#This Row],[Scalar]],"")</f>
        <v/>
      </c>
      <c r="R230" s="36" t="str">
        <f>IFERROR(Table3335466[[#This Row],[Max Count]]/Table3335466[[#This Row],[Scalar]],"")</f>
        <v/>
      </c>
      <c r="S230" s="34"/>
      <c r="T230" s="2"/>
      <c r="U230" s="34"/>
      <c r="V230" s="33"/>
      <c r="W230" s="33" t="s">
        <v>3627</v>
      </c>
      <c r="X230" s="8"/>
      <c r="Y230" s="33"/>
      <c r="Z230"/>
      <c r="AD230"/>
      <c r="AE230"/>
      <c r="AF230"/>
      <c r="AG230"/>
    </row>
    <row r="231" spans="1:33" ht="16.149999999999999" customHeight="1" x14ac:dyDescent="0.15">
      <c r="A231" s="6">
        <v>225</v>
      </c>
      <c r="B231" s="18" t="s">
        <v>75</v>
      </c>
      <c r="C231" s="34" t="s">
        <v>2634</v>
      </c>
      <c r="D231" s="43" t="s">
        <v>3628</v>
      </c>
      <c r="E231" s="77" t="s">
        <v>3406</v>
      </c>
      <c r="F231" s="19">
        <v>2060</v>
      </c>
      <c r="G231" s="6"/>
      <c r="H231" s="19" t="s">
        <v>9379</v>
      </c>
      <c r="I231" s="2"/>
      <c r="J231" s="38"/>
      <c r="K231" s="6"/>
      <c r="L231" s="38"/>
      <c r="M231" s="2" t="s">
        <v>61</v>
      </c>
      <c r="N231" s="113">
        <v>1</v>
      </c>
      <c r="O231" s="45" t="s">
        <v>62</v>
      </c>
      <c r="P231" s="2" t="s">
        <v>62</v>
      </c>
      <c r="Q231" s="38" t="str">
        <f>IFERROR(Table3335466[[#This Row],[Min Count]]/Table3335466[[#This Row],[Scalar]],"")</f>
        <v/>
      </c>
      <c r="R231" s="36" t="str">
        <f>IFERROR(Table3335466[[#This Row],[Max Count]]/Table3335466[[#This Row],[Scalar]],"")</f>
        <v/>
      </c>
      <c r="S231" s="34"/>
      <c r="T231" s="2"/>
      <c r="U231" s="34"/>
      <c r="V231" s="33"/>
      <c r="W231" s="33" t="s">
        <v>3629</v>
      </c>
      <c r="X231" s="33"/>
      <c r="Y231" s="33"/>
      <c r="Z231"/>
      <c r="AD231"/>
      <c r="AE231"/>
      <c r="AF231"/>
      <c r="AG231"/>
    </row>
    <row r="232" spans="1:33" ht="16.149999999999999" customHeight="1" x14ac:dyDescent="0.15">
      <c r="A232" s="6">
        <v>226</v>
      </c>
      <c r="B232" s="18" t="s">
        <v>75</v>
      </c>
      <c r="C232" s="34" t="s">
        <v>2634</v>
      </c>
      <c r="D232" s="43" t="s">
        <v>3630</v>
      </c>
      <c r="E232" s="77" t="s">
        <v>169</v>
      </c>
      <c r="F232" s="19">
        <v>2060</v>
      </c>
      <c r="G232" s="6">
        <v>0</v>
      </c>
      <c r="H232" s="19" t="s">
        <v>9380</v>
      </c>
      <c r="I232" s="2"/>
      <c r="J232" s="38" t="s">
        <v>171</v>
      </c>
      <c r="K232" s="6" t="s">
        <v>177</v>
      </c>
      <c r="L232" s="38" t="s">
        <v>173</v>
      </c>
      <c r="M232" s="2"/>
      <c r="N232" s="113"/>
      <c r="O232" s="45" t="s">
        <v>62</v>
      </c>
      <c r="P232" s="2" t="s">
        <v>62</v>
      </c>
      <c r="Q232" s="38" t="str">
        <f>IFERROR(Table3335466[[#This Row],[Min Count]]/Table3335466[[#This Row],[Scalar]],"")</f>
        <v/>
      </c>
      <c r="R232" s="36" t="str">
        <f>IFERROR(Table3335466[[#This Row],[Max Count]]/Table3335466[[#This Row],[Scalar]],"")</f>
        <v/>
      </c>
      <c r="S232" s="34"/>
      <c r="T232" s="2"/>
      <c r="U232" s="34"/>
      <c r="V232" s="33"/>
      <c r="W232" s="33" t="s">
        <v>3631</v>
      </c>
      <c r="X232" s="8"/>
      <c r="Y232" s="33"/>
      <c r="Z232"/>
      <c r="AD232"/>
      <c r="AE232"/>
      <c r="AF232"/>
      <c r="AG232"/>
    </row>
    <row r="233" spans="1:33" ht="16.149999999999999" customHeight="1" x14ac:dyDescent="0.15">
      <c r="A233" s="6">
        <v>227</v>
      </c>
      <c r="B233" s="18" t="s">
        <v>75</v>
      </c>
      <c r="C233" s="34" t="s">
        <v>2634</v>
      </c>
      <c r="D233" s="43" t="s">
        <v>3632</v>
      </c>
      <c r="E233" s="77" t="s">
        <v>169</v>
      </c>
      <c r="F233" s="19">
        <v>2060</v>
      </c>
      <c r="G233" s="6">
        <v>1</v>
      </c>
      <c r="H233" s="19" t="s">
        <v>9151</v>
      </c>
      <c r="I233" s="2"/>
      <c r="J233" s="38" t="s">
        <v>171</v>
      </c>
      <c r="K233" s="6" t="s">
        <v>177</v>
      </c>
      <c r="L233" s="38" t="s">
        <v>173</v>
      </c>
      <c r="M233" s="2"/>
      <c r="N233" s="113"/>
      <c r="O233" s="45" t="s">
        <v>62</v>
      </c>
      <c r="P233" s="2" t="s">
        <v>62</v>
      </c>
      <c r="Q233" s="38" t="str">
        <f>IFERROR(Table3335466[[#This Row],[Min Count]]/Table3335466[[#This Row],[Scalar]],"")</f>
        <v/>
      </c>
      <c r="R233" s="36" t="str">
        <f>IFERROR(Table3335466[[#This Row],[Max Count]]/Table3335466[[#This Row],[Scalar]],"")</f>
        <v/>
      </c>
      <c r="S233" s="34"/>
      <c r="T233" s="2"/>
      <c r="U233" s="34"/>
      <c r="V233" s="33"/>
      <c r="W233" s="33" t="s">
        <v>3633</v>
      </c>
      <c r="X233" s="8"/>
      <c r="Y233" s="33"/>
      <c r="Z233"/>
      <c r="AD233"/>
      <c r="AE233"/>
      <c r="AF233"/>
      <c r="AG233"/>
    </row>
    <row r="234" spans="1:33" ht="16.149999999999999" customHeight="1" x14ac:dyDescent="0.15">
      <c r="A234" s="6">
        <v>228</v>
      </c>
      <c r="B234" s="18" t="s">
        <v>75</v>
      </c>
      <c r="C234" s="34" t="s">
        <v>2634</v>
      </c>
      <c r="D234" s="43" t="s">
        <v>3634</v>
      </c>
      <c r="E234" s="77" t="s">
        <v>169</v>
      </c>
      <c r="F234" s="19">
        <v>2060</v>
      </c>
      <c r="G234" s="6">
        <v>2</v>
      </c>
      <c r="H234" s="19" t="s">
        <v>9381</v>
      </c>
      <c r="I234" s="2"/>
      <c r="J234" s="38" t="s">
        <v>171</v>
      </c>
      <c r="K234" s="6" t="s">
        <v>177</v>
      </c>
      <c r="L234" s="38" t="s">
        <v>173</v>
      </c>
      <c r="M234" s="2"/>
      <c r="N234" s="113"/>
      <c r="O234" s="45" t="s">
        <v>62</v>
      </c>
      <c r="P234" s="2" t="s">
        <v>62</v>
      </c>
      <c r="Q234" s="38" t="str">
        <f>IFERROR(Table3335466[[#This Row],[Min Count]]/Table3335466[[#This Row],[Scalar]],"")</f>
        <v/>
      </c>
      <c r="R234" s="36" t="str">
        <f>IFERROR(Table3335466[[#This Row],[Max Count]]/Table3335466[[#This Row],[Scalar]],"")</f>
        <v/>
      </c>
      <c r="S234" s="34"/>
      <c r="T234" s="2"/>
      <c r="U234" s="34"/>
      <c r="V234" s="33"/>
      <c r="W234" s="33" t="s">
        <v>3635</v>
      </c>
      <c r="X234" s="8"/>
      <c r="Y234" s="33"/>
      <c r="Z234"/>
      <c r="AD234"/>
      <c r="AE234"/>
      <c r="AF234"/>
      <c r="AG234"/>
    </row>
    <row r="235" spans="1:33" ht="16.149999999999999" customHeight="1" x14ac:dyDescent="0.15">
      <c r="A235" s="6">
        <v>229</v>
      </c>
      <c r="B235" s="18" t="s">
        <v>75</v>
      </c>
      <c r="C235" s="34" t="s">
        <v>2634</v>
      </c>
      <c r="D235" s="43" t="s">
        <v>3636</v>
      </c>
      <c r="E235" s="77" t="s">
        <v>3406</v>
      </c>
      <c r="F235" s="19">
        <v>2062</v>
      </c>
      <c r="G235" s="6"/>
      <c r="H235" s="19" t="s">
        <v>9152</v>
      </c>
      <c r="I235" s="2"/>
      <c r="J235" s="38"/>
      <c r="K235" s="6"/>
      <c r="L235" s="38"/>
      <c r="M235" s="2" t="s">
        <v>61</v>
      </c>
      <c r="N235" s="113">
        <v>1</v>
      </c>
      <c r="O235" s="45" t="s">
        <v>62</v>
      </c>
      <c r="P235" s="2" t="s">
        <v>62</v>
      </c>
      <c r="Q235" s="38" t="str">
        <f>IFERROR(Table3335466[[#This Row],[Min Count]]/Table3335466[[#This Row],[Scalar]],"")</f>
        <v/>
      </c>
      <c r="R235" s="36" t="str">
        <f>IFERROR(Table3335466[[#This Row],[Max Count]]/Table3335466[[#This Row],[Scalar]],"")</f>
        <v/>
      </c>
      <c r="S235" s="34"/>
      <c r="T235" s="2"/>
      <c r="U235" s="34"/>
      <c r="V235" s="33"/>
      <c r="W235" s="33" t="s">
        <v>3637</v>
      </c>
      <c r="X235" s="33"/>
      <c r="Y235" s="33"/>
      <c r="Z235"/>
      <c r="AD235"/>
      <c r="AE235"/>
      <c r="AF235"/>
      <c r="AG235"/>
    </row>
    <row r="236" spans="1:33" ht="16.149999999999999" customHeight="1" x14ac:dyDescent="0.15">
      <c r="A236" s="6">
        <v>230</v>
      </c>
      <c r="B236" s="18" t="s">
        <v>75</v>
      </c>
      <c r="C236" s="34" t="s">
        <v>2634</v>
      </c>
      <c r="D236" s="43" t="s">
        <v>3638</v>
      </c>
      <c r="E236" s="77" t="s">
        <v>169</v>
      </c>
      <c r="F236" s="19">
        <v>2062</v>
      </c>
      <c r="G236" s="6">
        <v>0</v>
      </c>
      <c r="H236" s="19" t="s">
        <v>9382</v>
      </c>
      <c r="I236" s="2"/>
      <c r="J236" s="38" t="s">
        <v>171</v>
      </c>
      <c r="K236" s="6" t="s">
        <v>177</v>
      </c>
      <c r="L236" s="38" t="s">
        <v>173</v>
      </c>
      <c r="M236" s="2"/>
      <c r="N236" s="113"/>
      <c r="O236" s="45" t="s">
        <v>62</v>
      </c>
      <c r="P236" s="2" t="s">
        <v>62</v>
      </c>
      <c r="Q236" s="38" t="str">
        <f>IFERROR(Table3335466[[#This Row],[Min Count]]/Table3335466[[#This Row],[Scalar]],"")</f>
        <v/>
      </c>
      <c r="R236" s="36" t="str">
        <f>IFERROR(Table3335466[[#This Row],[Max Count]]/Table3335466[[#This Row],[Scalar]],"")</f>
        <v/>
      </c>
      <c r="S236" s="34"/>
      <c r="T236" s="2"/>
      <c r="U236" s="34"/>
      <c r="V236" s="33"/>
      <c r="W236" s="33" t="s">
        <v>3639</v>
      </c>
      <c r="X236" s="8"/>
      <c r="Y236" s="33"/>
      <c r="Z236"/>
      <c r="AD236"/>
      <c r="AE236"/>
      <c r="AF236"/>
      <c r="AG236"/>
    </row>
    <row r="237" spans="1:33" ht="16.149999999999999" customHeight="1" x14ac:dyDescent="0.15">
      <c r="A237" s="6">
        <v>231</v>
      </c>
      <c r="B237" s="18" t="s">
        <v>75</v>
      </c>
      <c r="C237" s="34" t="s">
        <v>2634</v>
      </c>
      <c r="D237" s="43" t="s">
        <v>3640</v>
      </c>
      <c r="E237" s="77" t="s">
        <v>169</v>
      </c>
      <c r="F237" s="19">
        <v>2062</v>
      </c>
      <c r="G237" s="6">
        <v>1</v>
      </c>
      <c r="H237" s="19" t="s">
        <v>9153</v>
      </c>
      <c r="I237" s="2"/>
      <c r="J237" s="38" t="s">
        <v>171</v>
      </c>
      <c r="K237" s="6" t="s">
        <v>177</v>
      </c>
      <c r="L237" s="38" t="s">
        <v>173</v>
      </c>
      <c r="M237" s="2"/>
      <c r="N237" s="113"/>
      <c r="O237" s="45" t="s">
        <v>62</v>
      </c>
      <c r="P237" s="2" t="s">
        <v>62</v>
      </c>
      <c r="Q237" s="38" t="str">
        <f>IFERROR(Table3335466[[#This Row],[Min Count]]/Table3335466[[#This Row],[Scalar]],"")</f>
        <v/>
      </c>
      <c r="R237" s="36" t="str">
        <f>IFERROR(Table3335466[[#This Row],[Max Count]]/Table3335466[[#This Row],[Scalar]],"")</f>
        <v/>
      </c>
      <c r="S237" s="34"/>
      <c r="T237" s="2"/>
      <c r="U237" s="34"/>
      <c r="V237" s="33"/>
      <c r="W237" s="33" t="s">
        <v>3641</v>
      </c>
      <c r="X237" s="8"/>
      <c r="Y237" s="33"/>
      <c r="Z237"/>
      <c r="AD237"/>
      <c r="AE237"/>
      <c r="AF237"/>
      <c r="AG237"/>
    </row>
    <row r="238" spans="1:33" ht="16.149999999999999" customHeight="1" x14ac:dyDescent="0.15">
      <c r="A238" s="6">
        <v>232</v>
      </c>
      <c r="B238" s="18" t="s">
        <v>75</v>
      </c>
      <c r="C238" s="34" t="s">
        <v>2634</v>
      </c>
      <c r="D238" s="43" t="s">
        <v>3642</v>
      </c>
      <c r="E238" s="77" t="s">
        <v>169</v>
      </c>
      <c r="F238" s="19">
        <v>2062</v>
      </c>
      <c r="G238" s="6">
        <v>2</v>
      </c>
      <c r="H238" s="19" t="s">
        <v>9383</v>
      </c>
      <c r="I238" s="2"/>
      <c r="J238" s="38" t="s">
        <v>171</v>
      </c>
      <c r="K238" s="6" t="s">
        <v>177</v>
      </c>
      <c r="L238" s="38" t="s">
        <v>173</v>
      </c>
      <c r="M238" s="2"/>
      <c r="N238" s="113"/>
      <c r="O238" s="45" t="s">
        <v>62</v>
      </c>
      <c r="P238" s="2" t="s">
        <v>62</v>
      </c>
      <c r="Q238" s="38" t="str">
        <f>IFERROR(Table3335466[[#This Row],[Min Count]]/Table3335466[[#This Row],[Scalar]],"")</f>
        <v/>
      </c>
      <c r="R238" s="36" t="str">
        <f>IFERROR(Table3335466[[#This Row],[Max Count]]/Table3335466[[#This Row],[Scalar]],"")</f>
        <v/>
      </c>
      <c r="S238" s="34"/>
      <c r="T238" s="2"/>
      <c r="U238" s="34"/>
      <c r="V238" s="33"/>
      <c r="W238" s="33" t="s">
        <v>3643</v>
      </c>
      <c r="X238" s="8"/>
      <c r="Y238" s="33"/>
      <c r="Z238"/>
      <c r="AD238"/>
      <c r="AE238"/>
      <c r="AF238"/>
      <c r="AG238"/>
    </row>
    <row r="239" spans="1:33" s="9" customFormat="1" ht="16.149999999999999" customHeight="1" x14ac:dyDescent="0.15">
      <c r="A239" s="6"/>
      <c r="B239" s="18"/>
      <c r="C239" s="34"/>
      <c r="D239" s="126"/>
      <c r="E239" s="34"/>
      <c r="F239" s="19"/>
      <c r="G239" s="6"/>
      <c r="H239" s="19"/>
      <c r="I239" s="34"/>
      <c r="J239" s="38"/>
      <c r="K239" s="38"/>
      <c r="L239" s="38"/>
      <c r="M239" s="38"/>
      <c r="N239" s="19"/>
      <c r="O239" s="118" t="s">
        <v>62</v>
      </c>
      <c r="P239" s="6" t="s">
        <v>62</v>
      </c>
      <c r="Q239" s="38" t="str">
        <f>IFERROR(Table3335466[[#This Row],[Min Count]]/Table3335466[[#This Row],[Scalar]],"")</f>
        <v/>
      </c>
      <c r="R239" s="38" t="str">
        <f>IFERROR(Table3335466[[#This Row],[Max Count]]/Table3335466[[#This Row],[Scalar]],"")</f>
        <v/>
      </c>
      <c r="S239" s="34"/>
      <c r="T239" s="34"/>
      <c r="U239" s="34"/>
      <c r="V239" s="33"/>
      <c r="W239" s="36"/>
      <c r="X239" s="8"/>
      <c r="Y239" s="34"/>
      <c r="AC239"/>
    </row>
    <row r="240" spans="1:33" s="9" customFormat="1" ht="16.149999999999999" customHeight="1" x14ac:dyDescent="0.15">
      <c r="A240" s="6"/>
      <c r="B240" s="18"/>
      <c r="C240" s="34"/>
      <c r="D240" s="126"/>
      <c r="E240" s="34"/>
      <c r="F240" s="19"/>
      <c r="G240" s="6"/>
      <c r="H240" s="19"/>
      <c r="I240" s="34"/>
      <c r="J240" s="38"/>
      <c r="K240" s="38"/>
      <c r="L240" s="38"/>
      <c r="M240" s="38"/>
      <c r="N240" s="19"/>
      <c r="O240" s="118" t="s">
        <v>62</v>
      </c>
      <c r="P240" s="6" t="s">
        <v>62</v>
      </c>
      <c r="Q240" s="38" t="str">
        <f>IFERROR(Table3335466[[#This Row],[Min Count]]/Table3335466[[#This Row],[Scalar]],"")</f>
        <v/>
      </c>
      <c r="R240" s="38" t="str">
        <f>IFERROR(Table3335466[[#This Row],[Max Count]]/Table3335466[[#This Row],[Scalar]],"")</f>
        <v/>
      </c>
      <c r="S240" s="34"/>
      <c r="T240" s="34"/>
      <c r="U240" s="34"/>
      <c r="V240" s="33"/>
      <c r="W240" s="36"/>
      <c r="X240" s="8"/>
      <c r="Y240" s="34"/>
      <c r="AC240"/>
    </row>
    <row r="241" spans="1:30" s="9" customFormat="1" ht="16.149999999999999" customHeight="1" x14ac:dyDescent="0.15">
      <c r="A241" s="6"/>
      <c r="B241" s="18"/>
      <c r="C241" s="34"/>
      <c r="D241" s="126"/>
      <c r="E241" s="34"/>
      <c r="F241" s="19"/>
      <c r="G241" s="6"/>
      <c r="H241" s="19"/>
      <c r="I241" s="34"/>
      <c r="J241" s="38"/>
      <c r="K241" s="38"/>
      <c r="L241" s="38"/>
      <c r="M241" s="38"/>
      <c r="N241" s="19"/>
      <c r="O241" s="118" t="s">
        <v>62</v>
      </c>
      <c r="P241" s="6" t="s">
        <v>62</v>
      </c>
      <c r="Q241" s="38" t="str">
        <f>IFERROR(Table3335466[[#This Row],[Min Count]]/Table3335466[[#This Row],[Scalar]],"")</f>
        <v/>
      </c>
      <c r="R241" s="38" t="str">
        <f>IFERROR(Table3335466[[#This Row],[Max Count]]/Table3335466[[#This Row],[Scalar]],"")</f>
        <v/>
      </c>
      <c r="S241" s="34"/>
      <c r="T241" s="34"/>
      <c r="U241" s="34"/>
      <c r="V241" s="33"/>
      <c r="W241" s="36"/>
      <c r="X241" s="8"/>
      <c r="Y241" s="34"/>
      <c r="AC241"/>
    </row>
    <row r="242" spans="1:30" s="9" customFormat="1" ht="16.149999999999999" customHeight="1" x14ac:dyDescent="0.15">
      <c r="A242" s="6"/>
      <c r="B242" s="18"/>
      <c r="C242" s="34"/>
      <c r="D242" s="126"/>
      <c r="E242" s="34"/>
      <c r="F242" s="24"/>
      <c r="G242" s="6"/>
      <c r="H242" s="19"/>
      <c r="I242" s="34"/>
      <c r="J242" s="38"/>
      <c r="K242" s="38"/>
      <c r="L242" s="38"/>
      <c r="M242" s="38"/>
      <c r="N242" s="19"/>
      <c r="O242" s="118" t="s">
        <v>62</v>
      </c>
      <c r="P242" s="6" t="s">
        <v>62</v>
      </c>
      <c r="Q242" s="38" t="str">
        <f>IFERROR(Table3335466[[#This Row],[Min Count]]/Table3335466[[#This Row],[Scalar]],"")</f>
        <v/>
      </c>
      <c r="R242" s="38" t="str">
        <f>IFERROR(Table3335466[[#This Row],[Max Count]]/Table3335466[[#This Row],[Scalar]],"")</f>
        <v/>
      </c>
      <c r="S242" s="34"/>
      <c r="T242" s="34"/>
      <c r="U242" s="34"/>
      <c r="V242" s="35"/>
      <c r="W242" s="36"/>
      <c r="X242" s="8"/>
      <c r="Y242" s="34"/>
      <c r="AC242"/>
    </row>
    <row r="243" spans="1:30" s="9" customFormat="1" ht="16.149999999999999" customHeight="1" x14ac:dyDescent="0.15">
      <c r="A243" s="6"/>
      <c r="B243" s="18"/>
      <c r="C243"/>
      <c r="D243" s="2"/>
      <c r="E243"/>
      <c r="F243"/>
      <c r="G243"/>
      <c r="H243"/>
      <c r="I243" s="2"/>
      <c r="J243"/>
      <c r="L243"/>
      <c r="M243"/>
      <c r="N243"/>
      <c r="O243"/>
      <c r="P243"/>
      <c r="Q243" s="8"/>
      <c r="R243"/>
      <c r="S243"/>
      <c r="T243"/>
      <c r="U243"/>
      <c r="V243"/>
      <c r="W243" s="20"/>
      <c r="X243"/>
      <c r="Y243" s="19"/>
      <c r="Z243" s="19"/>
      <c r="AC243"/>
      <c r="AD243" s="20"/>
    </row>
    <row r="244" spans="1:30" s="9" customFormat="1" ht="16.149999999999999" customHeight="1" x14ac:dyDescent="0.15">
      <c r="A244" s="6"/>
      <c r="B244" s="18"/>
      <c r="C244"/>
      <c r="D244" s="2"/>
      <c r="E244"/>
      <c r="F244"/>
      <c r="G244"/>
      <c r="H244"/>
      <c r="I244" s="2"/>
      <c r="J244"/>
      <c r="L244"/>
      <c r="M244"/>
      <c r="N244"/>
      <c r="O244"/>
      <c r="P244"/>
      <c r="Q244" s="8"/>
      <c r="R244"/>
      <c r="S244"/>
      <c r="T244"/>
      <c r="U244"/>
      <c r="V244"/>
      <c r="W244" s="20"/>
      <c r="X244"/>
      <c r="Y244" s="19"/>
      <c r="Z244" s="19"/>
      <c r="AC244"/>
      <c r="AD244" s="20"/>
    </row>
    <row r="245" spans="1:30" s="9" customFormat="1" ht="16.149999999999999" customHeight="1" x14ac:dyDescent="0.15">
      <c r="A245" s="6"/>
      <c r="B245" s="18"/>
      <c r="C245"/>
      <c r="D245" s="2"/>
      <c r="E245"/>
      <c r="F245"/>
      <c r="G245"/>
      <c r="H245"/>
      <c r="I245" s="2"/>
      <c r="J245"/>
      <c r="L245"/>
      <c r="M245"/>
      <c r="N245"/>
      <c r="O245"/>
      <c r="P245"/>
      <c r="Q245" s="8"/>
      <c r="R245"/>
      <c r="S245"/>
      <c r="T245"/>
      <c r="U245"/>
      <c r="V245"/>
      <c r="W245" s="20"/>
      <c r="X245"/>
      <c r="Y245" s="19"/>
      <c r="Z245" s="19"/>
      <c r="AC245"/>
      <c r="AD245" s="20"/>
    </row>
    <row r="246" spans="1:30" s="9" customFormat="1" ht="16.149999999999999" customHeight="1" x14ac:dyDescent="0.15">
      <c r="A246" s="6"/>
      <c r="B246" s="18"/>
      <c r="C246"/>
      <c r="D246" s="2"/>
      <c r="E246"/>
      <c r="F246"/>
      <c r="G246"/>
      <c r="H246"/>
      <c r="I246" s="2"/>
      <c r="J246"/>
      <c r="L246"/>
      <c r="M246"/>
      <c r="N246"/>
      <c r="O246"/>
      <c r="P246"/>
      <c r="Q246" s="8"/>
      <c r="R246"/>
      <c r="S246"/>
      <c r="T246"/>
      <c r="U246"/>
      <c r="V246"/>
      <c r="W246" s="20"/>
      <c r="X246"/>
      <c r="Y246" s="19"/>
      <c r="Z246" s="19"/>
      <c r="AC246"/>
      <c r="AD246" s="20"/>
    </row>
    <row r="247" spans="1:30" s="9" customFormat="1" ht="16.149999999999999" customHeight="1" x14ac:dyDescent="0.15">
      <c r="A247" s="6"/>
      <c r="B247" s="18"/>
      <c r="C247"/>
      <c r="D247" s="2"/>
      <c r="E247"/>
      <c r="F247"/>
      <c r="G247"/>
      <c r="H247"/>
      <c r="I247" s="2"/>
      <c r="J247"/>
      <c r="L247"/>
      <c r="M247"/>
      <c r="N247"/>
      <c r="O247"/>
      <c r="P247"/>
      <c r="Q247" s="8"/>
      <c r="R247"/>
      <c r="S247"/>
      <c r="T247"/>
      <c r="U247"/>
      <c r="V247"/>
      <c r="W247" s="20"/>
      <c r="X247"/>
      <c r="Y247" s="19"/>
      <c r="Z247" s="19"/>
      <c r="AC247"/>
      <c r="AD247" s="20"/>
    </row>
    <row r="248" spans="1:30" s="9" customFormat="1" ht="16.149999999999999" customHeight="1" x14ac:dyDescent="0.15">
      <c r="A248" s="6"/>
      <c r="B248" s="18"/>
      <c r="C248"/>
      <c r="D248" s="2"/>
      <c r="E248"/>
      <c r="F248"/>
      <c r="G248"/>
      <c r="H248"/>
      <c r="I248" s="2"/>
      <c r="J248"/>
      <c r="L248"/>
      <c r="M248"/>
      <c r="N248"/>
      <c r="O248"/>
      <c r="P248"/>
      <c r="Q248" s="8"/>
      <c r="R248"/>
      <c r="S248"/>
      <c r="T248"/>
      <c r="U248"/>
      <c r="V248"/>
      <c r="W248" s="20"/>
      <c r="X248"/>
      <c r="Y248" s="19"/>
      <c r="Z248" s="19"/>
      <c r="AC248"/>
      <c r="AD248" s="20"/>
    </row>
    <row r="249" spans="1:30" s="9" customFormat="1" ht="16.149999999999999" customHeight="1" x14ac:dyDescent="0.15">
      <c r="A249" s="6"/>
      <c r="B249" s="18"/>
      <c r="C249"/>
      <c r="D249" s="2"/>
      <c r="E249"/>
      <c r="F249"/>
      <c r="G249"/>
      <c r="H249"/>
      <c r="I249" s="2"/>
      <c r="J249"/>
      <c r="L249"/>
      <c r="M249"/>
      <c r="N249"/>
      <c r="O249"/>
      <c r="P249"/>
      <c r="Q249" s="8"/>
      <c r="R249"/>
      <c r="S249"/>
      <c r="T249"/>
      <c r="U249"/>
      <c r="V249"/>
      <c r="W249" s="20"/>
      <c r="X249"/>
      <c r="Y249" s="19"/>
      <c r="Z249" s="19"/>
      <c r="AC249"/>
      <c r="AD249" s="20"/>
    </row>
    <row r="250" spans="1:30" s="9" customFormat="1" ht="16.149999999999999" customHeight="1" x14ac:dyDescent="0.15">
      <c r="A250" s="6"/>
      <c r="B250" s="18"/>
      <c r="C250"/>
      <c r="D250" s="2"/>
      <c r="E250"/>
      <c r="F250"/>
      <c r="G250"/>
      <c r="H250"/>
      <c r="I250" s="2"/>
      <c r="J250"/>
      <c r="L250"/>
      <c r="M250"/>
      <c r="N250"/>
      <c r="O250"/>
      <c r="P250"/>
      <c r="Q250" s="8"/>
      <c r="R250"/>
      <c r="S250"/>
      <c r="T250"/>
      <c r="U250"/>
      <c r="V250"/>
      <c r="W250" s="20"/>
      <c r="X250"/>
      <c r="Y250" s="19"/>
      <c r="Z250" s="19"/>
      <c r="AC250"/>
      <c r="AD250" s="20"/>
    </row>
    <row r="251" spans="1:30" s="9" customFormat="1" ht="16.149999999999999" customHeight="1" x14ac:dyDescent="0.15">
      <c r="A251" s="6"/>
      <c r="B251" s="18"/>
      <c r="C251"/>
      <c r="D251" s="2"/>
      <c r="E251"/>
      <c r="F251"/>
      <c r="G251"/>
      <c r="H251"/>
      <c r="I251" s="2"/>
      <c r="J251"/>
      <c r="L251"/>
      <c r="M251"/>
      <c r="N251"/>
      <c r="O251"/>
      <c r="P251"/>
      <c r="Q251" s="8"/>
      <c r="R251"/>
      <c r="S251"/>
      <c r="T251"/>
      <c r="U251"/>
      <c r="V251"/>
      <c r="W251" s="20"/>
      <c r="X251"/>
      <c r="Y251" s="19"/>
      <c r="Z251" s="19"/>
      <c r="AC251"/>
      <c r="AD251" s="20"/>
    </row>
    <row r="252" spans="1:30" s="9" customFormat="1" ht="16.149999999999999" customHeight="1" x14ac:dyDescent="0.15">
      <c r="A252" s="6"/>
      <c r="B252" s="18"/>
      <c r="C252"/>
      <c r="D252" s="2"/>
      <c r="E252"/>
      <c r="F252"/>
      <c r="G252"/>
      <c r="H252"/>
      <c r="I252" s="2"/>
      <c r="J252"/>
      <c r="L252"/>
      <c r="M252"/>
      <c r="N252"/>
      <c r="O252"/>
      <c r="P252"/>
      <c r="Q252" s="8"/>
      <c r="R252"/>
      <c r="S252"/>
      <c r="T252"/>
      <c r="U252"/>
      <c r="V252"/>
      <c r="W252" s="20"/>
      <c r="X252"/>
      <c r="Y252" s="19"/>
      <c r="Z252" s="19"/>
      <c r="AC252"/>
      <c r="AD252" s="20"/>
    </row>
    <row r="253" spans="1:30" s="9" customFormat="1" ht="16.149999999999999" customHeight="1" x14ac:dyDescent="0.15">
      <c r="A253" s="6"/>
      <c r="B253" s="18"/>
      <c r="C253"/>
      <c r="D253" s="2"/>
      <c r="E253"/>
      <c r="F253"/>
      <c r="G253"/>
      <c r="H253"/>
      <c r="I253" s="2"/>
      <c r="J253"/>
      <c r="L253"/>
      <c r="M253"/>
      <c r="N253"/>
      <c r="O253"/>
      <c r="P253"/>
      <c r="Q253" s="8"/>
      <c r="R253"/>
      <c r="S253"/>
      <c r="T253"/>
      <c r="U253"/>
      <c r="V253"/>
      <c r="W253" s="20"/>
      <c r="X253"/>
      <c r="Y253" s="19"/>
      <c r="Z253" s="19"/>
      <c r="AC253"/>
      <c r="AD253" s="20"/>
    </row>
    <row r="254" spans="1:30" s="9" customFormat="1" ht="16.149999999999999" customHeight="1" x14ac:dyDescent="0.15">
      <c r="A254" s="6"/>
      <c r="B254" s="18"/>
      <c r="C254"/>
      <c r="D254" s="2"/>
      <c r="E254"/>
      <c r="F254"/>
      <c r="G254"/>
      <c r="H254"/>
      <c r="I254" s="2"/>
      <c r="J254"/>
      <c r="L254"/>
      <c r="M254"/>
      <c r="N254"/>
      <c r="O254"/>
      <c r="P254"/>
      <c r="Q254" s="8"/>
      <c r="R254"/>
      <c r="S254"/>
      <c r="T254"/>
      <c r="U254"/>
      <c r="V254"/>
      <c r="W254" s="20"/>
      <c r="X254"/>
      <c r="Y254" s="19"/>
      <c r="Z254" s="19"/>
      <c r="AC254"/>
      <c r="AD254" s="20"/>
    </row>
    <row r="255" spans="1:30" s="9" customFormat="1" ht="16.149999999999999" customHeight="1" x14ac:dyDescent="0.15">
      <c r="A255" s="6"/>
      <c r="B255" s="18"/>
      <c r="C255"/>
      <c r="D255" s="2"/>
      <c r="E255"/>
      <c r="F255"/>
      <c r="G255"/>
      <c r="H255"/>
      <c r="I255" s="2"/>
      <c r="J255"/>
      <c r="L255"/>
      <c r="M255"/>
      <c r="N255"/>
      <c r="O255"/>
      <c r="P255"/>
      <c r="Q255" s="8"/>
      <c r="R255"/>
      <c r="S255"/>
      <c r="T255"/>
      <c r="U255"/>
      <c r="V255"/>
      <c r="W255" s="20"/>
      <c r="X255"/>
      <c r="Y255" s="19"/>
      <c r="Z255" s="19"/>
      <c r="AC255"/>
      <c r="AD255" s="20"/>
    </row>
    <row r="256" spans="1:30" s="9" customFormat="1" ht="16.149999999999999" customHeight="1" x14ac:dyDescent="0.15">
      <c r="A256" s="6"/>
      <c r="B256" s="18"/>
      <c r="C256"/>
      <c r="D256" s="2"/>
      <c r="E256"/>
      <c r="F256"/>
      <c r="G256"/>
      <c r="H256"/>
      <c r="I256" s="2"/>
      <c r="J256"/>
      <c r="L256"/>
      <c r="M256"/>
      <c r="N256"/>
      <c r="O256"/>
      <c r="P256"/>
      <c r="Q256" s="8"/>
      <c r="R256"/>
      <c r="S256"/>
      <c r="T256"/>
      <c r="U256"/>
      <c r="V256"/>
      <c r="W256" s="20"/>
      <c r="X256"/>
      <c r="Y256" s="19"/>
      <c r="Z256" s="19"/>
      <c r="AC256"/>
      <c r="AD256" s="20"/>
    </row>
    <row r="257" spans="1:30" s="9" customFormat="1" ht="16.149999999999999" customHeight="1" x14ac:dyDescent="0.15">
      <c r="A257" s="6"/>
      <c r="B257" s="18"/>
      <c r="C257"/>
      <c r="D257" s="2"/>
      <c r="E257"/>
      <c r="F257"/>
      <c r="G257"/>
      <c r="H257"/>
      <c r="I257" s="2"/>
      <c r="J257"/>
      <c r="L257"/>
      <c r="M257"/>
      <c r="N257"/>
      <c r="O257"/>
      <c r="P257"/>
      <c r="Q257" s="8"/>
      <c r="R257"/>
      <c r="S257"/>
      <c r="T257"/>
      <c r="U257"/>
      <c r="V257"/>
      <c r="W257" s="20"/>
      <c r="X257"/>
      <c r="Y257" s="19"/>
      <c r="Z257" s="19"/>
      <c r="AC257"/>
      <c r="AD257" s="20"/>
    </row>
    <row r="258" spans="1:30" s="9" customFormat="1" ht="16.149999999999999" customHeight="1" x14ac:dyDescent="0.15">
      <c r="A258" s="6"/>
      <c r="B258" s="18"/>
      <c r="C258"/>
      <c r="D258" s="2"/>
      <c r="E258"/>
      <c r="F258"/>
      <c r="G258"/>
      <c r="H258"/>
      <c r="I258" s="2"/>
      <c r="J258"/>
      <c r="L258"/>
      <c r="M258"/>
      <c r="N258"/>
      <c r="O258"/>
      <c r="P258"/>
      <c r="Q258" s="8"/>
      <c r="R258"/>
      <c r="S258"/>
      <c r="T258"/>
      <c r="U258"/>
      <c r="V258"/>
      <c r="W258" s="20"/>
      <c r="X258"/>
      <c r="Y258" s="19"/>
      <c r="Z258" s="19"/>
      <c r="AC258"/>
      <c r="AD258" s="20"/>
    </row>
    <row r="259" spans="1:30" s="9" customFormat="1" ht="16.149999999999999" customHeight="1" x14ac:dyDescent="0.15">
      <c r="A259" s="6"/>
      <c r="B259" s="18"/>
      <c r="C259"/>
      <c r="D259" s="2"/>
      <c r="E259"/>
      <c r="F259"/>
      <c r="G259"/>
      <c r="H259"/>
      <c r="I259" s="2"/>
      <c r="J259"/>
      <c r="L259"/>
      <c r="M259"/>
      <c r="N259"/>
      <c r="O259"/>
      <c r="P259"/>
      <c r="Q259" s="8"/>
      <c r="R259"/>
      <c r="S259"/>
      <c r="T259"/>
      <c r="U259"/>
      <c r="V259"/>
      <c r="W259" s="20"/>
      <c r="X259"/>
      <c r="Y259" s="19"/>
      <c r="Z259" s="19"/>
      <c r="AC259"/>
      <c r="AD259" s="20"/>
    </row>
    <row r="260" spans="1:30" s="9" customFormat="1" ht="16.149999999999999" customHeight="1" x14ac:dyDescent="0.15">
      <c r="A260" s="6"/>
      <c r="B260" s="23"/>
      <c r="C260"/>
      <c r="D260" s="2"/>
      <c r="E260"/>
      <c r="F260"/>
      <c r="G260"/>
      <c r="H260"/>
      <c r="I260" s="2"/>
      <c r="J260"/>
      <c r="L260"/>
      <c r="M260"/>
      <c r="N260"/>
      <c r="O260"/>
      <c r="P260"/>
      <c r="Q260" s="21"/>
      <c r="R260"/>
      <c r="S260"/>
      <c r="T260"/>
      <c r="U260"/>
      <c r="V260"/>
      <c r="W260" s="22"/>
      <c r="X260"/>
      <c r="Y260" s="24"/>
      <c r="Z260" s="24"/>
      <c r="AC260"/>
      <c r="AD260" s="22"/>
    </row>
  </sheetData>
  <mergeCells count="1">
    <mergeCell ref="G1:H1"/>
  </mergeCells>
  <dataValidations count="8">
    <dataValidation type="whole" errorStyle="warning" allowBlank="1" showInputMessage="1" showErrorMessage="1" errorTitle="Device Modbus Register Base" error="This value is the device register number of the first register in the table.  Typically this value is 1, occasionally it is 0.  " sqref="C4" xr:uid="{0E1B3885-E223-418F-9F48-E70960E22EC2}">
      <formula1>0</formula1>
      <formula2>1</formula2>
    </dataValidation>
    <dataValidation type="custom" allowBlank="1" showErrorMessage="1" errorTitle="Invalid IEC 61131-3 Variable Nam" error="Please enter only alphanumeric and underscore characters." sqref="M3:M5 O243:O260 G34 G37" xr:uid="{A60A7CD2-CA97-4859-AA96-26E2C7A3460F}">
      <formula1>ISNUMBER(SUMPRODUCT(SEARCH(MID(G3,ROW(INDIRECT("1:"&amp;LEN(G3))),1),"0123456789abcdefghijklmnopqrstuvwxyzABCDEFGHIJKLMNOPQRSTUVWXYZ-_")))</formula1>
    </dataValidation>
    <dataValidation allowBlank="1" showErrorMessage="1" errorTitle="Invalid IEC 61131-3 Variable Nam" error="Please enter only alphanumeric and underscore characters." sqref="D210:D242 D7:D171 D175:D184" xr:uid="{34CD6CED-17E7-41AE-84F8-82BC6A0460A2}"/>
    <dataValidation type="list" allowBlank="1" showInputMessage="1" showErrorMessage="1" sqref="V7:V238" xr:uid="{9EB3EE4D-F331-4016-A442-E49EDF0CE42B}">
      <formula1>"KPI,Primary Detail,Secondary Detail,Analytic,Diagnostic,Not Shown"</formula1>
    </dataValidation>
    <dataValidation type="list" allowBlank="1" showInputMessage="1" sqref="K7:L238" xr:uid="{4C0BBD74-64D4-4622-9218-2D0E3524BB44}">
      <formula1>"Enabled,Disabled,Open,Closed,Normal,Alarm,On,Off"</formula1>
    </dataValidation>
    <dataValidation type="list" allowBlank="1" showInputMessage="1" showErrorMessage="1" sqref="J7:J238" xr:uid="{769817B4-0DFD-4FBC-978F-86771380403E}">
      <formula1>"None,On (1),Off (0),State change,Analog"</formula1>
    </dataValidation>
    <dataValidation type="list" allowBlank="1" showInputMessage="1" showErrorMessage="1" sqref="C7:C238" xr:uid="{BDE585B3-369F-493B-AB47-9CAD0B31EA08}">
      <formula1>"Holding Register, Input Register, Discrete Input, Coil"</formula1>
    </dataValidation>
    <dataValidation type="list" allowBlank="1" showInputMessage="1" showErrorMessage="1" sqref="E7:E238" xr:uid="{BC1F4D44-0129-47E1-BBAD-FE32D4FDEF23}">
      <formula1>"Boolean, 16-bit signed integer,16-bit unsigned integer,32-bit signed integer,32-bit unsigned integer,32-bit float,String,Enumeration,16-bit bitfield,32-bit bitfield"</formula1>
    </dataValidation>
  </dataValidations>
  <pageMargins left="0.25" right="0.25" top="0.75" bottom="0.75" header="0.3" footer="0.3"/>
  <pageSetup paperSize="3" scale="32" fitToHeight="0"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FA5EA-A27C-4CF5-8FCA-626A46FC3AD0}">
  <sheetPr codeName="Sheet12">
    <tabColor rgb="FFFFFF00"/>
    <pageSetUpPr fitToPage="1"/>
  </sheetPr>
  <dimension ref="A1:AH66"/>
  <sheetViews>
    <sheetView zoomScaleNormal="100" workbookViewId="0">
      <selection activeCell="R59" sqref="R59"/>
    </sheetView>
  </sheetViews>
  <sheetFormatPr defaultColWidth="14.6640625" defaultRowHeight="16.149999999999999" customHeight="1" x14ac:dyDescent="0.15"/>
  <cols>
    <col min="1" max="1" width="13.1640625" bestFit="1" customWidth="1"/>
    <col min="2" max="2" width="12.33203125" bestFit="1" customWidth="1"/>
    <col min="3" max="3" width="14.83203125" bestFit="1" customWidth="1"/>
    <col min="4" max="4" width="24.5" bestFit="1" customWidth="1"/>
    <col min="5" max="5" width="12.1640625" bestFit="1" customWidth="1"/>
    <col min="6" max="6" width="20.1640625" bestFit="1" customWidth="1"/>
    <col min="7" max="7" width="12.5" bestFit="1" customWidth="1"/>
    <col min="8" max="8" width="18.6640625" bestFit="1" customWidth="1"/>
    <col min="9" max="9" width="17.1640625" hidden="1" customWidth="1"/>
    <col min="10" max="10" width="13.83203125" bestFit="1" customWidth="1"/>
    <col min="11" max="11" width="14.1640625" bestFit="1" customWidth="1"/>
    <col min="12" max="12" width="7.83203125" bestFit="1" customWidth="1"/>
    <col min="13" max="13" width="8.6640625" bestFit="1" customWidth="1"/>
    <col min="14" max="14" width="11.83203125" hidden="1" customWidth="1"/>
    <col min="15" max="15" width="12.5" hidden="1" customWidth="1"/>
    <col min="16" max="16" width="11.33203125" hidden="1" customWidth="1"/>
    <col min="17" max="17" width="12" hidden="1" customWidth="1"/>
    <col min="18" max="18" width="20.83203125" bestFit="1" customWidth="1"/>
    <col min="19" max="19" width="13.83203125" bestFit="1" customWidth="1"/>
    <col min="20" max="20" width="16.5" bestFit="1" customWidth="1"/>
    <col min="21" max="21" width="18.5" bestFit="1" customWidth="1"/>
    <col min="22" max="22" width="42.6640625" bestFit="1" customWidth="1"/>
    <col min="23" max="23" width="42.6640625" style="9" bestFit="1" customWidth="1"/>
    <col min="24" max="24" width="28.5" bestFit="1" customWidth="1"/>
    <col min="25" max="26" width="48.6640625" style="9" customWidth="1"/>
    <col min="27" max="27" width="31.6640625" style="9" bestFit="1" customWidth="1"/>
    <col min="30" max="30" width="5.5" customWidth="1"/>
    <col min="31" max="31" width="25" style="9" bestFit="1" customWidth="1"/>
    <col min="32" max="32" width="39.6640625" style="9" customWidth="1"/>
    <col min="33" max="33" width="68" style="9" customWidth="1"/>
    <col min="34" max="34" width="5.5" style="9" bestFit="1" customWidth="1"/>
    <col min="35" max="35" width="56.5" customWidth="1"/>
    <col min="36" max="36" width="14.33203125" customWidth="1"/>
    <col min="37" max="37" width="11.33203125" bestFit="1" customWidth="1"/>
    <col min="38" max="38" width="14.6640625" customWidth="1"/>
    <col min="39" max="39" width="48.5" bestFit="1" customWidth="1"/>
  </cols>
  <sheetData>
    <row r="1" spans="1:34" ht="24" customHeight="1" x14ac:dyDescent="0.15">
      <c r="A1" s="25" t="str">
        <f>'Data Flows'!A1</f>
        <v>Site Name</v>
      </c>
      <c r="B1" s="2"/>
      <c r="C1" s="2"/>
      <c r="D1" s="2"/>
      <c r="E1" s="2"/>
      <c r="F1" s="2"/>
      <c r="G1" s="142" t="s">
        <v>19</v>
      </c>
      <c r="H1" s="142"/>
      <c r="K1" s="25" t="s">
        <v>3644</v>
      </c>
      <c r="L1" s="25"/>
      <c r="W1" s="6"/>
      <c r="AA1"/>
      <c r="AE1"/>
      <c r="AF1"/>
      <c r="AG1"/>
      <c r="AH1"/>
    </row>
    <row r="2" spans="1:34" ht="16.149999999999999" customHeight="1" x14ac:dyDescent="0.15">
      <c r="A2" s="10" t="s">
        <v>21</v>
      </c>
      <c r="B2" s="2"/>
      <c r="C2" s="11">
        <v>45643</v>
      </c>
      <c r="D2" s="41" t="s">
        <v>22</v>
      </c>
      <c r="E2" t="s">
        <v>7349</v>
      </c>
      <c r="K2" t="s">
        <v>24</v>
      </c>
      <c r="W2" s="6"/>
      <c r="AA2"/>
      <c r="AE2"/>
      <c r="AF2"/>
      <c r="AG2"/>
      <c r="AH2"/>
    </row>
    <row r="3" spans="1:34" ht="16.149999999999999" customHeight="1" x14ac:dyDescent="0.15">
      <c r="A3" s="12" t="s">
        <v>25</v>
      </c>
      <c r="C3">
        <v>4</v>
      </c>
      <c r="D3" s="42" t="s">
        <v>26</v>
      </c>
      <c r="E3" t="s">
        <v>3190</v>
      </c>
      <c r="M3" s="13"/>
      <c r="N3" s="8"/>
      <c r="W3" s="6"/>
      <c r="Y3" s="37"/>
      <c r="Z3"/>
      <c r="AA3"/>
      <c r="AE3"/>
      <c r="AF3"/>
      <c r="AG3"/>
      <c r="AH3"/>
    </row>
    <row r="4" spans="1:34" ht="16.149999999999999" customHeight="1" x14ac:dyDescent="0.15">
      <c r="A4" s="12" t="s">
        <v>28</v>
      </c>
      <c r="C4" s="9">
        <v>1</v>
      </c>
      <c r="N4" s="2"/>
      <c r="W4" s="6"/>
      <c r="Y4"/>
      <c r="Z4"/>
      <c r="AA4"/>
      <c r="AE4"/>
      <c r="AF4"/>
      <c r="AG4"/>
      <c r="AH4"/>
    </row>
    <row r="5" spans="1:34" ht="16.149999999999999" customHeight="1" x14ac:dyDescent="0.15">
      <c r="A5" s="12" t="s">
        <v>30</v>
      </c>
      <c r="C5">
        <v>5</v>
      </c>
      <c r="N5" s="2"/>
      <c r="W5" s="6"/>
      <c r="Y5"/>
      <c r="Z5"/>
      <c r="AA5"/>
      <c r="AE5"/>
      <c r="AF5"/>
      <c r="AG5"/>
      <c r="AH5"/>
    </row>
    <row r="6" spans="1:34" ht="41.25" customHeight="1" x14ac:dyDescent="0.15">
      <c r="A6" s="12" t="s">
        <v>31</v>
      </c>
      <c r="B6" t="s">
        <v>32</v>
      </c>
      <c r="C6" t="s">
        <v>33</v>
      </c>
      <c r="D6" t="s">
        <v>34</v>
      </c>
      <c r="E6" t="s">
        <v>35</v>
      </c>
      <c r="F6" t="s">
        <v>36</v>
      </c>
      <c r="G6" t="s">
        <v>37</v>
      </c>
      <c r="H6" t="s">
        <v>38</v>
      </c>
      <c r="I6" t="s">
        <v>40</v>
      </c>
      <c r="J6" t="s">
        <v>41</v>
      </c>
      <c r="K6" t="s">
        <v>42</v>
      </c>
      <c r="L6" t="s">
        <v>43</v>
      </c>
      <c r="M6" t="s">
        <v>44</v>
      </c>
      <c r="N6" t="s">
        <v>45</v>
      </c>
      <c r="O6" t="s">
        <v>46</v>
      </c>
      <c r="P6" t="s">
        <v>47</v>
      </c>
      <c r="Q6" t="s">
        <v>48</v>
      </c>
      <c r="R6" t="s">
        <v>49</v>
      </c>
      <c r="S6" t="s">
        <v>50</v>
      </c>
      <c r="T6" t="s">
        <v>51</v>
      </c>
      <c r="U6" t="s">
        <v>52</v>
      </c>
      <c r="V6" t="s">
        <v>53</v>
      </c>
      <c r="W6" t="s">
        <v>54</v>
      </c>
      <c r="X6" t="s">
        <v>55</v>
      </c>
      <c r="Y6"/>
      <c r="Z6"/>
      <c r="AA6"/>
      <c r="AE6"/>
      <c r="AF6"/>
      <c r="AG6"/>
      <c r="AH6"/>
    </row>
    <row r="7" spans="1:34" ht="15.75" customHeight="1" x14ac:dyDescent="0.15">
      <c r="A7">
        <v>1</v>
      </c>
      <c r="B7" t="s">
        <v>75</v>
      </c>
      <c r="C7" t="s">
        <v>2634</v>
      </c>
      <c r="D7" t="s">
        <v>3191</v>
      </c>
      <c r="E7" t="s">
        <v>3192</v>
      </c>
      <c r="F7">
        <v>0</v>
      </c>
      <c r="H7">
        <v>40001</v>
      </c>
      <c r="L7" t="s">
        <v>582</v>
      </c>
      <c r="M7">
        <v>1</v>
      </c>
      <c r="N7">
        <v>1</v>
      </c>
      <c r="V7" t="s">
        <v>3193</v>
      </c>
      <c r="W7"/>
      <c r="Y7"/>
      <c r="Z7"/>
      <c r="AA7"/>
      <c r="AE7"/>
      <c r="AF7"/>
      <c r="AG7"/>
      <c r="AH7"/>
    </row>
    <row r="8" spans="1:34" ht="15.75" customHeight="1" x14ac:dyDescent="0.15">
      <c r="A8">
        <v>2</v>
      </c>
      <c r="B8" t="s">
        <v>75</v>
      </c>
      <c r="C8" t="s">
        <v>2634</v>
      </c>
      <c r="D8" t="s">
        <v>3194</v>
      </c>
      <c r="E8" t="s">
        <v>3192</v>
      </c>
      <c r="F8">
        <v>2</v>
      </c>
      <c r="H8">
        <v>40003</v>
      </c>
      <c r="L8" t="s">
        <v>2311</v>
      </c>
      <c r="M8">
        <v>1</v>
      </c>
      <c r="N8">
        <v>1</v>
      </c>
      <c r="V8" t="s">
        <v>3195</v>
      </c>
      <c r="W8"/>
      <c r="Y8"/>
      <c r="Z8"/>
      <c r="AA8"/>
      <c r="AE8"/>
      <c r="AF8"/>
      <c r="AG8"/>
      <c r="AH8"/>
    </row>
    <row r="9" spans="1:34" ht="15.75" customHeight="1" x14ac:dyDescent="0.15">
      <c r="A9">
        <v>3</v>
      </c>
      <c r="B9" t="s">
        <v>75</v>
      </c>
      <c r="C9" t="s">
        <v>2634</v>
      </c>
      <c r="D9" t="s">
        <v>3196</v>
      </c>
      <c r="E9" t="s">
        <v>3192</v>
      </c>
      <c r="F9">
        <v>4</v>
      </c>
      <c r="H9">
        <v>40005</v>
      </c>
      <c r="L9" t="s">
        <v>113</v>
      </c>
      <c r="M9">
        <v>1</v>
      </c>
      <c r="N9">
        <v>1</v>
      </c>
      <c r="V9" t="s">
        <v>3197</v>
      </c>
      <c r="W9"/>
      <c r="Y9"/>
      <c r="Z9"/>
      <c r="AA9"/>
      <c r="AE9"/>
      <c r="AF9"/>
      <c r="AG9"/>
      <c r="AH9"/>
    </row>
    <row r="10" spans="1:34" ht="15.75" customHeight="1" x14ac:dyDescent="0.15">
      <c r="A10">
        <v>4</v>
      </c>
      <c r="B10" t="s">
        <v>75</v>
      </c>
      <c r="C10" t="s">
        <v>2634</v>
      </c>
      <c r="D10" t="s">
        <v>3198</v>
      </c>
      <c r="E10" t="s">
        <v>3192</v>
      </c>
      <c r="F10">
        <v>6</v>
      </c>
      <c r="H10">
        <v>40007</v>
      </c>
      <c r="L10" t="s">
        <v>8915</v>
      </c>
      <c r="M10">
        <v>1</v>
      </c>
      <c r="N10">
        <v>1</v>
      </c>
      <c r="V10" t="s">
        <v>3199</v>
      </c>
      <c r="W10"/>
      <c r="Y10"/>
      <c r="Z10"/>
      <c r="AA10"/>
      <c r="AE10"/>
      <c r="AF10"/>
      <c r="AG10"/>
      <c r="AH10"/>
    </row>
    <row r="11" spans="1:34" ht="15.75" customHeight="1" x14ac:dyDescent="0.15">
      <c r="A11">
        <v>5</v>
      </c>
      <c r="B11" t="s">
        <v>75</v>
      </c>
      <c r="C11" t="s">
        <v>2634</v>
      </c>
      <c r="D11" t="s">
        <v>3200</v>
      </c>
      <c r="E11" t="s">
        <v>3192</v>
      </c>
      <c r="F11">
        <v>8</v>
      </c>
      <c r="H11">
        <v>40009</v>
      </c>
      <c r="L11" t="s">
        <v>2311</v>
      </c>
      <c r="M11">
        <v>1</v>
      </c>
      <c r="N11">
        <v>1</v>
      </c>
      <c r="V11" t="s">
        <v>3201</v>
      </c>
      <c r="W11"/>
      <c r="Y11"/>
      <c r="Z11"/>
      <c r="AA11"/>
      <c r="AE11"/>
      <c r="AF11"/>
      <c r="AG11"/>
      <c r="AH11"/>
    </row>
    <row r="12" spans="1:34" ht="15.75" customHeight="1" x14ac:dyDescent="0.15">
      <c r="A12">
        <v>6</v>
      </c>
      <c r="B12" t="s">
        <v>75</v>
      </c>
      <c r="C12" t="s">
        <v>2634</v>
      </c>
      <c r="D12" t="s">
        <v>3202</v>
      </c>
      <c r="E12" t="s">
        <v>3192</v>
      </c>
      <c r="F12">
        <v>10</v>
      </c>
      <c r="H12">
        <v>40011</v>
      </c>
      <c r="L12" t="s">
        <v>113</v>
      </c>
      <c r="M12">
        <v>1</v>
      </c>
      <c r="N12">
        <v>1</v>
      </c>
      <c r="V12" t="s">
        <v>3203</v>
      </c>
      <c r="W12"/>
      <c r="Y12"/>
      <c r="Z12"/>
      <c r="AA12"/>
      <c r="AE12"/>
      <c r="AF12"/>
      <c r="AG12"/>
      <c r="AH12"/>
    </row>
    <row r="13" spans="1:34" ht="15.75" customHeight="1" x14ac:dyDescent="0.15">
      <c r="A13">
        <v>7</v>
      </c>
      <c r="B13" t="s">
        <v>75</v>
      </c>
      <c r="C13" t="s">
        <v>2634</v>
      </c>
      <c r="D13" t="s">
        <v>3204</v>
      </c>
      <c r="E13" t="s">
        <v>3192</v>
      </c>
      <c r="F13">
        <v>12</v>
      </c>
      <c r="H13">
        <v>40013</v>
      </c>
      <c r="L13" t="s">
        <v>2311</v>
      </c>
      <c r="M13">
        <v>1</v>
      </c>
      <c r="N13">
        <v>1</v>
      </c>
      <c r="V13" t="s">
        <v>3205</v>
      </c>
      <c r="W13"/>
      <c r="Y13"/>
      <c r="Z13"/>
      <c r="AA13"/>
      <c r="AE13"/>
      <c r="AF13"/>
      <c r="AG13"/>
      <c r="AH13"/>
    </row>
    <row r="14" spans="1:34" ht="15.75" customHeight="1" x14ac:dyDescent="0.15">
      <c r="A14">
        <v>8</v>
      </c>
      <c r="B14" t="s">
        <v>75</v>
      </c>
      <c r="C14" t="s">
        <v>2634</v>
      </c>
      <c r="D14" t="s">
        <v>3206</v>
      </c>
      <c r="E14" t="s">
        <v>3192</v>
      </c>
      <c r="F14">
        <v>16</v>
      </c>
      <c r="H14">
        <v>40017</v>
      </c>
      <c r="L14" t="s">
        <v>6111</v>
      </c>
      <c r="M14">
        <v>1</v>
      </c>
      <c r="N14">
        <v>1</v>
      </c>
      <c r="V14" t="s">
        <v>3207</v>
      </c>
      <c r="W14"/>
      <c r="Y14"/>
      <c r="Z14"/>
      <c r="AA14"/>
      <c r="AE14"/>
      <c r="AF14"/>
      <c r="AG14"/>
      <c r="AH14"/>
    </row>
    <row r="15" spans="1:34" ht="15.75" customHeight="1" x14ac:dyDescent="0.15">
      <c r="A15">
        <v>9</v>
      </c>
      <c r="B15" t="s">
        <v>75</v>
      </c>
      <c r="C15" t="s">
        <v>2634</v>
      </c>
      <c r="D15" t="s">
        <v>3208</v>
      </c>
      <c r="E15" t="s">
        <v>3192</v>
      </c>
      <c r="F15">
        <v>18</v>
      </c>
      <c r="H15">
        <v>40019</v>
      </c>
      <c r="L15" t="s">
        <v>6111</v>
      </c>
      <c r="M15">
        <v>1</v>
      </c>
      <c r="N15">
        <v>1</v>
      </c>
      <c r="V15" t="s">
        <v>3209</v>
      </c>
      <c r="W15"/>
      <c r="Y15"/>
      <c r="Z15"/>
      <c r="AA15"/>
      <c r="AE15"/>
      <c r="AF15"/>
      <c r="AG15"/>
      <c r="AH15"/>
    </row>
    <row r="16" spans="1:34" ht="15.75" customHeight="1" x14ac:dyDescent="0.15">
      <c r="A16">
        <v>10</v>
      </c>
      <c r="B16" t="s">
        <v>75</v>
      </c>
      <c r="C16" t="s">
        <v>2634</v>
      </c>
      <c r="D16" t="s">
        <v>3210</v>
      </c>
      <c r="E16" t="s">
        <v>3192</v>
      </c>
      <c r="F16">
        <v>20</v>
      </c>
      <c r="H16">
        <v>40021</v>
      </c>
      <c r="L16" t="s">
        <v>6111</v>
      </c>
      <c r="M16">
        <v>1</v>
      </c>
      <c r="N16">
        <v>1</v>
      </c>
      <c r="V16" t="s">
        <v>3211</v>
      </c>
      <c r="W16"/>
      <c r="Y16"/>
      <c r="Z16"/>
      <c r="AA16"/>
      <c r="AE16"/>
      <c r="AF16"/>
      <c r="AG16"/>
      <c r="AH16"/>
    </row>
    <row r="17" spans="1:31" s="9" customFormat="1" ht="15.75" customHeight="1" x14ac:dyDescent="0.15">
      <c r="A17">
        <v>11</v>
      </c>
      <c r="B17" t="s">
        <v>75</v>
      </c>
      <c r="C17" t="s">
        <v>2634</v>
      </c>
      <c r="D17" t="s">
        <v>3214</v>
      </c>
      <c r="E17" t="s">
        <v>3192</v>
      </c>
      <c r="F17">
        <v>24</v>
      </c>
      <c r="G17"/>
      <c r="H17">
        <v>40025</v>
      </c>
      <c r="I17"/>
      <c r="J17"/>
      <c r="K17"/>
      <c r="L17" t="s">
        <v>61</v>
      </c>
      <c r="M17">
        <v>1</v>
      </c>
      <c r="N17">
        <v>1</v>
      </c>
      <c r="O17"/>
      <c r="P17"/>
      <c r="Q17"/>
      <c r="R17"/>
      <c r="S17"/>
      <c r="T17"/>
      <c r="U17"/>
      <c r="V17" t="s">
        <v>3215</v>
      </c>
      <c r="W17"/>
      <c r="X17"/>
      <c r="Y17" s="19"/>
      <c r="Z17"/>
      <c r="AA17"/>
      <c r="AB17"/>
      <c r="AD17"/>
      <c r="AE17" s="20"/>
    </row>
    <row r="18" spans="1:31" s="9" customFormat="1" ht="42" x14ac:dyDescent="0.15">
      <c r="A18">
        <v>12</v>
      </c>
      <c r="B18" t="s">
        <v>75</v>
      </c>
      <c r="C18" t="s">
        <v>2634</v>
      </c>
      <c r="D18" t="s">
        <v>3216</v>
      </c>
      <c r="E18" t="s">
        <v>3192</v>
      </c>
      <c r="F18">
        <v>26</v>
      </c>
      <c r="G18"/>
      <c r="H18">
        <v>40027</v>
      </c>
      <c r="I18"/>
      <c r="J18"/>
      <c r="K18"/>
      <c r="L18" t="s">
        <v>3722</v>
      </c>
      <c r="M18">
        <v>1</v>
      </c>
      <c r="N18">
        <v>1</v>
      </c>
      <c r="O18"/>
      <c r="P18"/>
      <c r="Q18"/>
      <c r="R18"/>
      <c r="S18"/>
      <c r="T18"/>
      <c r="U18"/>
      <c r="V18" t="s">
        <v>3645</v>
      </c>
      <c r="W18" s="3" t="s">
        <v>3646</v>
      </c>
      <c r="X18" s="3"/>
      <c r="Y18" s="19"/>
      <c r="Z18"/>
      <c r="AA18"/>
      <c r="AB18"/>
      <c r="AD18"/>
      <c r="AE18" s="20"/>
    </row>
    <row r="19" spans="1:31" s="9" customFormat="1" ht="15.75" customHeight="1" x14ac:dyDescent="0.15">
      <c r="A19">
        <v>13</v>
      </c>
      <c r="B19" t="s">
        <v>75</v>
      </c>
      <c r="C19" t="s">
        <v>2634</v>
      </c>
      <c r="D19" t="s">
        <v>3647</v>
      </c>
      <c r="E19" t="s">
        <v>3192</v>
      </c>
      <c r="F19">
        <v>138</v>
      </c>
      <c r="G19"/>
      <c r="H19">
        <v>40139</v>
      </c>
      <c r="I19"/>
      <c r="J19"/>
      <c r="K19"/>
      <c r="L19" t="s">
        <v>123</v>
      </c>
      <c r="M19">
        <v>1</v>
      </c>
      <c r="N19">
        <v>1</v>
      </c>
      <c r="O19"/>
      <c r="P19"/>
      <c r="Q19"/>
      <c r="R19"/>
      <c r="S19"/>
      <c r="T19"/>
      <c r="U19"/>
      <c r="V19" t="s">
        <v>3648</v>
      </c>
      <c r="W19"/>
      <c r="X19"/>
      <c r="Y19" s="19"/>
      <c r="Z19"/>
      <c r="AA19"/>
      <c r="AB19"/>
      <c r="AD19"/>
      <c r="AE19" s="20"/>
    </row>
    <row r="20" spans="1:31" s="9" customFormat="1" ht="15.75" customHeight="1" x14ac:dyDescent="0.15">
      <c r="A20">
        <v>14</v>
      </c>
      <c r="B20" t="s">
        <v>75</v>
      </c>
      <c r="C20" t="s">
        <v>2634</v>
      </c>
      <c r="D20" t="s">
        <v>3649</v>
      </c>
      <c r="E20" t="s">
        <v>3192</v>
      </c>
      <c r="F20">
        <v>140</v>
      </c>
      <c r="G20"/>
      <c r="H20">
        <v>40141</v>
      </c>
      <c r="I20"/>
      <c r="J20"/>
      <c r="K20"/>
      <c r="L20" t="s">
        <v>123</v>
      </c>
      <c r="M20">
        <v>1</v>
      </c>
      <c r="N20">
        <v>1</v>
      </c>
      <c r="O20"/>
      <c r="P20"/>
      <c r="Q20"/>
      <c r="R20"/>
      <c r="S20"/>
      <c r="T20"/>
      <c r="U20"/>
      <c r="V20" t="s">
        <v>3650</v>
      </c>
      <c r="W20"/>
      <c r="X20"/>
      <c r="Y20" s="19"/>
      <c r="Z20"/>
      <c r="AA20"/>
      <c r="AB20"/>
      <c r="AD20"/>
      <c r="AE20" s="20"/>
    </row>
    <row r="21" spans="1:31" s="9" customFormat="1" ht="15.75" customHeight="1" x14ac:dyDescent="0.15">
      <c r="A21">
        <v>15</v>
      </c>
      <c r="B21" t="s">
        <v>75</v>
      </c>
      <c r="C21" t="s">
        <v>2634</v>
      </c>
      <c r="D21" t="s">
        <v>3651</v>
      </c>
      <c r="E21" t="s">
        <v>3192</v>
      </c>
      <c r="F21">
        <v>142</v>
      </c>
      <c r="G21"/>
      <c r="H21">
        <v>40143</v>
      </c>
      <c r="I21"/>
      <c r="J21"/>
      <c r="K21"/>
      <c r="L21" t="s">
        <v>145</v>
      </c>
      <c r="M21">
        <v>1</v>
      </c>
      <c r="N21">
        <v>1</v>
      </c>
      <c r="O21"/>
      <c r="P21"/>
      <c r="Q21"/>
      <c r="R21"/>
      <c r="S21"/>
      <c r="T21"/>
      <c r="U21"/>
      <c r="V21" t="s">
        <v>3652</v>
      </c>
      <c r="W21"/>
      <c r="X21"/>
      <c r="Y21" s="19"/>
      <c r="Z21"/>
      <c r="AA21"/>
      <c r="AB21"/>
      <c r="AD21"/>
      <c r="AE21" s="20"/>
    </row>
    <row r="22" spans="1:31" s="9" customFormat="1" ht="15.75" customHeight="1" x14ac:dyDescent="0.15">
      <c r="A22">
        <v>16</v>
      </c>
      <c r="B22" t="s">
        <v>75</v>
      </c>
      <c r="C22" t="s">
        <v>2634</v>
      </c>
      <c r="D22" t="s">
        <v>3653</v>
      </c>
      <c r="E22" t="s">
        <v>3192</v>
      </c>
      <c r="F22">
        <v>144</v>
      </c>
      <c r="G22"/>
      <c r="H22">
        <v>40145</v>
      </c>
      <c r="I22"/>
      <c r="J22"/>
      <c r="K22"/>
      <c r="L22" t="s">
        <v>145</v>
      </c>
      <c r="M22">
        <v>1</v>
      </c>
      <c r="N22">
        <v>1</v>
      </c>
      <c r="O22"/>
      <c r="P22"/>
      <c r="Q22"/>
      <c r="R22"/>
      <c r="S22"/>
      <c r="T22"/>
      <c r="U22"/>
      <c r="V22" t="s">
        <v>3654</v>
      </c>
      <c r="W22"/>
      <c r="X22"/>
      <c r="Y22" s="19"/>
      <c r="Z22"/>
      <c r="AA22"/>
      <c r="AB22"/>
      <c r="AD22"/>
      <c r="AE22" s="20"/>
    </row>
    <row r="23" spans="1:31" s="9" customFormat="1" ht="15.75" customHeight="1" x14ac:dyDescent="0.15">
      <c r="A23">
        <v>17</v>
      </c>
      <c r="B23" t="s">
        <v>75</v>
      </c>
      <c r="C23" t="s">
        <v>2634</v>
      </c>
      <c r="D23" t="s">
        <v>3655</v>
      </c>
      <c r="E23" t="s">
        <v>3192</v>
      </c>
      <c r="F23">
        <v>146</v>
      </c>
      <c r="G23"/>
      <c r="H23">
        <v>40147</v>
      </c>
      <c r="I23"/>
      <c r="J23"/>
      <c r="K23"/>
      <c r="L23" t="s">
        <v>8915</v>
      </c>
      <c r="M23">
        <v>1</v>
      </c>
      <c r="N23">
        <v>1</v>
      </c>
      <c r="O23"/>
      <c r="P23"/>
      <c r="Q23"/>
      <c r="R23"/>
      <c r="S23"/>
      <c r="T23"/>
      <c r="U23"/>
      <c r="V23" t="s">
        <v>3656</v>
      </c>
      <c r="W23"/>
      <c r="X23"/>
      <c r="Y23" s="19"/>
      <c r="Z23"/>
      <c r="AA23"/>
      <c r="AB23"/>
      <c r="AD23"/>
      <c r="AE23" s="20"/>
    </row>
    <row r="24" spans="1:31" s="9" customFormat="1" ht="15.75" customHeight="1" x14ac:dyDescent="0.15">
      <c r="A24">
        <v>18</v>
      </c>
      <c r="B24" t="s">
        <v>75</v>
      </c>
      <c r="C24" t="s">
        <v>2634</v>
      </c>
      <c r="D24" t="s">
        <v>3657</v>
      </c>
      <c r="E24" t="s">
        <v>3192</v>
      </c>
      <c r="F24">
        <v>148</v>
      </c>
      <c r="G24"/>
      <c r="H24">
        <v>40149</v>
      </c>
      <c r="I24"/>
      <c r="J24"/>
      <c r="K24"/>
      <c r="L24" t="s">
        <v>8915</v>
      </c>
      <c r="M24">
        <v>1</v>
      </c>
      <c r="N24">
        <v>1</v>
      </c>
      <c r="O24"/>
      <c r="P24"/>
      <c r="Q24"/>
      <c r="R24"/>
      <c r="S24"/>
      <c r="T24"/>
      <c r="U24"/>
      <c r="V24" t="s">
        <v>3658</v>
      </c>
      <c r="W24"/>
      <c r="X24"/>
      <c r="Y24" s="19"/>
      <c r="Z24"/>
      <c r="AA24"/>
      <c r="AB24"/>
      <c r="AD24"/>
      <c r="AE24" s="20"/>
    </row>
    <row r="25" spans="1:31" s="9" customFormat="1" ht="15.75" customHeight="1" x14ac:dyDescent="0.15">
      <c r="A25">
        <v>19</v>
      </c>
      <c r="B25" t="s">
        <v>75</v>
      </c>
      <c r="C25" t="s">
        <v>2634</v>
      </c>
      <c r="D25" t="s">
        <v>3659</v>
      </c>
      <c r="E25" t="s">
        <v>3192</v>
      </c>
      <c r="F25">
        <v>150</v>
      </c>
      <c r="G25"/>
      <c r="H25">
        <v>40151</v>
      </c>
      <c r="I25"/>
      <c r="J25"/>
      <c r="K25"/>
      <c r="L25" t="s">
        <v>145</v>
      </c>
      <c r="M25">
        <v>1</v>
      </c>
      <c r="N25">
        <v>1</v>
      </c>
      <c r="O25"/>
      <c r="P25"/>
      <c r="Q25"/>
      <c r="R25"/>
      <c r="S25"/>
      <c r="T25"/>
      <c r="U25"/>
      <c r="V25" t="s">
        <v>3660</v>
      </c>
      <c r="W25"/>
      <c r="X25"/>
      <c r="Y25" s="19"/>
      <c r="Z25"/>
      <c r="AA25"/>
      <c r="AB25"/>
      <c r="AD25"/>
      <c r="AE25" s="20"/>
    </row>
    <row r="26" spans="1:31" s="9" customFormat="1" ht="15.75" customHeight="1" x14ac:dyDescent="0.15">
      <c r="A26">
        <v>20</v>
      </c>
      <c r="B26" t="s">
        <v>75</v>
      </c>
      <c r="C26" t="s">
        <v>2634</v>
      </c>
      <c r="D26" t="s">
        <v>3661</v>
      </c>
      <c r="E26" t="s">
        <v>3192</v>
      </c>
      <c r="F26">
        <v>152</v>
      </c>
      <c r="G26"/>
      <c r="H26">
        <v>40153</v>
      </c>
      <c r="I26"/>
      <c r="J26"/>
      <c r="K26"/>
      <c r="L26" t="s">
        <v>145</v>
      </c>
      <c r="M26">
        <v>1</v>
      </c>
      <c r="N26">
        <v>1</v>
      </c>
      <c r="O26"/>
      <c r="P26"/>
      <c r="Q26"/>
      <c r="R26"/>
      <c r="S26"/>
      <c r="T26"/>
      <c r="U26"/>
      <c r="V26" t="s">
        <v>3662</v>
      </c>
      <c r="W26"/>
      <c r="X26"/>
      <c r="Y26" s="19"/>
      <c r="Z26"/>
      <c r="AA26"/>
      <c r="AB26"/>
      <c r="AD26"/>
      <c r="AE26" s="20"/>
    </row>
    <row r="27" spans="1:31" s="9" customFormat="1" ht="15.75" customHeight="1" x14ac:dyDescent="0.15">
      <c r="A27">
        <v>21</v>
      </c>
      <c r="B27" t="s">
        <v>75</v>
      </c>
      <c r="C27" t="s">
        <v>2634</v>
      </c>
      <c r="D27" t="s">
        <v>3663</v>
      </c>
      <c r="E27" t="s">
        <v>3192</v>
      </c>
      <c r="F27">
        <v>154</v>
      </c>
      <c r="G27"/>
      <c r="H27">
        <v>40155</v>
      </c>
      <c r="I27"/>
      <c r="J27"/>
      <c r="K27"/>
      <c r="L27" t="s">
        <v>123</v>
      </c>
      <c r="M27">
        <v>1</v>
      </c>
      <c r="N27">
        <v>1</v>
      </c>
      <c r="O27"/>
      <c r="P27"/>
      <c r="Q27"/>
      <c r="R27"/>
      <c r="S27"/>
      <c r="T27"/>
      <c r="U27"/>
      <c r="V27" t="s">
        <v>3664</v>
      </c>
      <c r="W27"/>
      <c r="X27"/>
      <c r="Y27" s="19"/>
      <c r="Z27"/>
      <c r="AA27"/>
      <c r="AB27"/>
      <c r="AD27"/>
      <c r="AE27" s="20"/>
    </row>
    <row r="28" spans="1:31" s="9" customFormat="1" ht="15.75" customHeight="1" x14ac:dyDescent="0.15">
      <c r="A28">
        <v>22</v>
      </c>
      <c r="B28" t="s">
        <v>75</v>
      </c>
      <c r="C28" t="s">
        <v>2634</v>
      </c>
      <c r="D28" t="s">
        <v>3665</v>
      </c>
      <c r="E28" t="s">
        <v>3192</v>
      </c>
      <c r="F28">
        <v>156</v>
      </c>
      <c r="G28"/>
      <c r="H28">
        <v>40157</v>
      </c>
      <c r="I28"/>
      <c r="J28"/>
      <c r="K28"/>
      <c r="L28" t="s">
        <v>6121</v>
      </c>
      <c r="M28">
        <v>1</v>
      </c>
      <c r="N28">
        <v>1</v>
      </c>
      <c r="O28"/>
      <c r="P28"/>
      <c r="Q28"/>
      <c r="R28"/>
      <c r="S28"/>
      <c r="T28"/>
      <c r="U28"/>
      <c r="V28" t="s">
        <v>3666</v>
      </c>
      <c r="W28"/>
      <c r="X28"/>
      <c r="Y28" s="19"/>
      <c r="Z28"/>
      <c r="AA28"/>
      <c r="AB28"/>
      <c r="AD28"/>
      <c r="AE28" s="20"/>
    </row>
    <row r="29" spans="1:31" s="9" customFormat="1" ht="15.75" customHeight="1" x14ac:dyDescent="0.15">
      <c r="A29">
        <v>23</v>
      </c>
      <c r="B29" t="s">
        <v>75</v>
      </c>
      <c r="C29" t="s">
        <v>2634</v>
      </c>
      <c r="D29" t="s">
        <v>3667</v>
      </c>
      <c r="E29" t="s">
        <v>3192</v>
      </c>
      <c r="F29">
        <v>158</v>
      </c>
      <c r="G29"/>
      <c r="H29">
        <v>40159</v>
      </c>
      <c r="I29"/>
      <c r="J29"/>
      <c r="K29"/>
      <c r="L29" t="s">
        <v>6121</v>
      </c>
      <c r="M29">
        <v>1</v>
      </c>
      <c r="N29">
        <v>1</v>
      </c>
      <c r="O29"/>
      <c r="P29"/>
      <c r="Q29"/>
      <c r="R29"/>
      <c r="S29"/>
      <c r="T29"/>
      <c r="U29"/>
      <c r="V29" t="s">
        <v>3668</v>
      </c>
      <c r="W29"/>
      <c r="X29"/>
      <c r="Y29" s="19"/>
      <c r="Z29"/>
      <c r="AA29"/>
      <c r="AB29"/>
      <c r="AD29"/>
      <c r="AE29" s="20"/>
    </row>
    <row r="30" spans="1:31" s="9" customFormat="1" ht="42" x14ac:dyDescent="0.15">
      <c r="A30">
        <v>24</v>
      </c>
      <c r="B30" t="s">
        <v>75</v>
      </c>
      <c r="C30" t="s">
        <v>2634</v>
      </c>
      <c r="D30" t="s">
        <v>3669</v>
      </c>
      <c r="E30" t="s">
        <v>3192</v>
      </c>
      <c r="F30">
        <v>160</v>
      </c>
      <c r="G30"/>
      <c r="H30">
        <v>40161</v>
      </c>
      <c r="I30"/>
      <c r="J30"/>
      <c r="K30"/>
      <c r="L30" t="s">
        <v>3722</v>
      </c>
      <c r="M30">
        <v>1</v>
      </c>
      <c r="N30">
        <v>1</v>
      </c>
      <c r="O30"/>
      <c r="P30"/>
      <c r="Q30"/>
      <c r="R30"/>
      <c r="S30"/>
      <c r="T30"/>
      <c r="U30"/>
      <c r="V30" t="s">
        <v>3670</v>
      </c>
      <c r="W30" s="3" t="s">
        <v>3646</v>
      </c>
      <c r="X30" s="3"/>
      <c r="Y30" s="19"/>
      <c r="Z30"/>
      <c r="AA30"/>
      <c r="AB30"/>
      <c r="AD30"/>
      <c r="AE30" s="20"/>
    </row>
    <row r="31" spans="1:31" s="9" customFormat="1" ht="15.75" customHeight="1" x14ac:dyDescent="0.15">
      <c r="A31">
        <v>25</v>
      </c>
      <c r="B31" t="s">
        <v>75</v>
      </c>
      <c r="C31" t="s">
        <v>2634</v>
      </c>
      <c r="D31" t="s">
        <v>3671</v>
      </c>
      <c r="E31" t="s">
        <v>3192</v>
      </c>
      <c r="F31">
        <v>162</v>
      </c>
      <c r="G31"/>
      <c r="H31">
        <v>40163</v>
      </c>
      <c r="I31"/>
      <c r="J31"/>
      <c r="K31"/>
      <c r="L31" t="s">
        <v>113</v>
      </c>
      <c r="M31">
        <v>1</v>
      </c>
      <c r="N31">
        <v>1</v>
      </c>
      <c r="O31"/>
      <c r="P31"/>
      <c r="Q31"/>
      <c r="R31"/>
      <c r="S31"/>
      <c r="T31"/>
      <c r="U31" t="s">
        <v>3671</v>
      </c>
      <c r="V31" t="s">
        <v>3672</v>
      </c>
      <c r="W31"/>
      <c r="X31"/>
      <c r="Y31" s="19"/>
      <c r="Z31"/>
      <c r="AA31"/>
      <c r="AB31"/>
      <c r="AD31"/>
      <c r="AE31" s="20"/>
    </row>
    <row r="32" spans="1:31" s="9" customFormat="1" ht="15.75" customHeight="1" x14ac:dyDescent="0.15">
      <c r="A32">
        <v>26</v>
      </c>
      <c r="B32" t="s">
        <v>75</v>
      </c>
      <c r="C32" t="s">
        <v>2634</v>
      </c>
      <c r="D32" t="s">
        <v>3673</v>
      </c>
      <c r="E32" t="s">
        <v>3192</v>
      </c>
      <c r="F32">
        <v>164</v>
      </c>
      <c r="G32"/>
      <c r="H32">
        <v>40165</v>
      </c>
      <c r="I32"/>
      <c r="J32"/>
      <c r="K32"/>
      <c r="L32" t="s">
        <v>113</v>
      </c>
      <c r="M32">
        <v>1</v>
      </c>
      <c r="N32">
        <v>1</v>
      </c>
      <c r="O32"/>
      <c r="P32"/>
      <c r="Q32"/>
      <c r="R32"/>
      <c r="S32"/>
      <c r="T32"/>
      <c r="U32" t="s">
        <v>3673</v>
      </c>
      <c r="V32" t="s">
        <v>3674</v>
      </c>
      <c r="W32"/>
      <c r="X32"/>
      <c r="Y32" s="19"/>
      <c r="Z32"/>
      <c r="AA32"/>
      <c r="AB32"/>
      <c r="AD32"/>
      <c r="AE32" s="20"/>
    </row>
    <row r="33" spans="1:31" s="9" customFormat="1" ht="15.75" customHeight="1" x14ac:dyDescent="0.15">
      <c r="A33">
        <v>27</v>
      </c>
      <c r="B33" t="s">
        <v>75</v>
      </c>
      <c r="C33" t="s">
        <v>2634</v>
      </c>
      <c r="D33" t="s">
        <v>3675</v>
      </c>
      <c r="E33" t="s">
        <v>3192</v>
      </c>
      <c r="F33">
        <v>288</v>
      </c>
      <c r="G33"/>
      <c r="H33">
        <v>40289</v>
      </c>
      <c r="I33"/>
      <c r="J33"/>
      <c r="K33"/>
      <c r="L33" t="s">
        <v>123</v>
      </c>
      <c r="M33">
        <v>1</v>
      </c>
      <c r="N33">
        <v>1</v>
      </c>
      <c r="O33"/>
      <c r="P33"/>
      <c r="Q33"/>
      <c r="R33"/>
      <c r="S33"/>
      <c r="T33"/>
      <c r="U33"/>
      <c r="V33" t="s">
        <v>3676</v>
      </c>
      <c r="W33"/>
      <c r="X33"/>
      <c r="Y33" s="19"/>
      <c r="Z33"/>
      <c r="AA33"/>
      <c r="AB33"/>
      <c r="AD33"/>
      <c r="AE33" s="20"/>
    </row>
    <row r="34" spans="1:31" s="9" customFormat="1" ht="15.75" customHeight="1" x14ac:dyDescent="0.15">
      <c r="A34">
        <v>28</v>
      </c>
      <c r="B34" t="s">
        <v>75</v>
      </c>
      <c r="C34" t="s">
        <v>2634</v>
      </c>
      <c r="D34" t="s">
        <v>3677</v>
      </c>
      <c r="E34" t="s">
        <v>3192</v>
      </c>
      <c r="F34">
        <v>290</v>
      </c>
      <c r="G34"/>
      <c r="H34">
        <v>40291</v>
      </c>
      <c r="I34"/>
      <c r="J34"/>
      <c r="K34"/>
      <c r="L34" t="s">
        <v>123</v>
      </c>
      <c r="M34">
        <v>1</v>
      </c>
      <c r="N34">
        <v>1</v>
      </c>
      <c r="O34"/>
      <c r="P34"/>
      <c r="Q34"/>
      <c r="R34"/>
      <c r="S34"/>
      <c r="T34"/>
      <c r="U34"/>
      <c r="V34" t="s">
        <v>3678</v>
      </c>
      <c r="W34"/>
      <c r="X34"/>
      <c r="Y34" s="24"/>
      <c r="Z34"/>
      <c r="AA34"/>
      <c r="AB34"/>
      <c r="AD34"/>
      <c r="AE34" s="22"/>
    </row>
    <row r="35" spans="1:31" ht="15.75" customHeight="1" x14ac:dyDescent="0.15">
      <c r="A35">
        <v>29</v>
      </c>
      <c r="B35" t="s">
        <v>75</v>
      </c>
      <c r="C35" t="s">
        <v>2634</v>
      </c>
      <c r="D35" t="s">
        <v>3679</v>
      </c>
      <c r="E35" t="s">
        <v>3192</v>
      </c>
      <c r="F35">
        <v>292</v>
      </c>
      <c r="H35">
        <v>40293</v>
      </c>
      <c r="L35" t="s">
        <v>123</v>
      </c>
      <c r="M35">
        <v>1</v>
      </c>
      <c r="N35">
        <v>1</v>
      </c>
      <c r="V35" t="s">
        <v>3680</v>
      </c>
      <c r="W35"/>
      <c r="Z35"/>
      <c r="AA35"/>
    </row>
    <row r="36" spans="1:31" ht="15.75" customHeight="1" x14ac:dyDescent="0.15">
      <c r="A36">
        <v>30</v>
      </c>
      <c r="B36" t="s">
        <v>75</v>
      </c>
      <c r="C36" t="s">
        <v>2634</v>
      </c>
      <c r="D36" t="s">
        <v>3681</v>
      </c>
      <c r="E36" t="s">
        <v>3192</v>
      </c>
      <c r="F36">
        <v>296</v>
      </c>
      <c r="H36">
        <v>40297</v>
      </c>
      <c r="L36" t="s">
        <v>8915</v>
      </c>
      <c r="M36">
        <v>1</v>
      </c>
      <c r="N36">
        <v>1</v>
      </c>
      <c r="V36" t="s">
        <v>3682</v>
      </c>
      <c r="W36"/>
      <c r="Z36"/>
      <c r="AA36"/>
    </row>
    <row r="37" spans="1:31" ht="15.75" customHeight="1" x14ac:dyDescent="0.15">
      <c r="A37">
        <v>31</v>
      </c>
      <c r="B37" t="s">
        <v>75</v>
      </c>
      <c r="C37" t="s">
        <v>2634</v>
      </c>
      <c r="D37" t="s">
        <v>3683</v>
      </c>
      <c r="E37" t="s">
        <v>3192</v>
      </c>
      <c r="F37">
        <v>298</v>
      </c>
      <c r="H37">
        <v>40299</v>
      </c>
      <c r="L37" t="s">
        <v>8915</v>
      </c>
      <c r="M37">
        <v>1</v>
      </c>
      <c r="N37">
        <v>1</v>
      </c>
      <c r="V37" t="s">
        <v>3684</v>
      </c>
      <c r="W37"/>
      <c r="Z37"/>
      <c r="AA37"/>
    </row>
    <row r="38" spans="1:31" ht="15.75" customHeight="1" x14ac:dyDescent="0.15">
      <c r="A38">
        <v>32</v>
      </c>
      <c r="B38" t="s">
        <v>75</v>
      </c>
      <c r="C38" t="s">
        <v>2634</v>
      </c>
      <c r="D38" t="s">
        <v>3685</v>
      </c>
      <c r="E38" t="s">
        <v>3192</v>
      </c>
      <c r="F38">
        <v>300</v>
      </c>
      <c r="H38">
        <v>40301</v>
      </c>
      <c r="L38" t="s">
        <v>145</v>
      </c>
      <c r="M38">
        <v>1</v>
      </c>
      <c r="N38">
        <v>1</v>
      </c>
      <c r="V38" t="s">
        <v>3686</v>
      </c>
      <c r="W38"/>
      <c r="Z38"/>
      <c r="AA38"/>
    </row>
    <row r="39" spans="1:31" ht="15.75" customHeight="1" x14ac:dyDescent="0.15">
      <c r="A39">
        <v>33</v>
      </c>
      <c r="B39" t="s">
        <v>75</v>
      </c>
      <c r="C39" t="s">
        <v>2634</v>
      </c>
      <c r="D39" t="s">
        <v>3687</v>
      </c>
      <c r="E39" t="s">
        <v>3192</v>
      </c>
      <c r="F39">
        <v>302</v>
      </c>
      <c r="H39">
        <v>40303</v>
      </c>
      <c r="L39" t="s">
        <v>145</v>
      </c>
      <c r="M39">
        <v>1</v>
      </c>
      <c r="N39">
        <v>1</v>
      </c>
      <c r="V39" t="s">
        <v>3688</v>
      </c>
      <c r="W39"/>
      <c r="Z39"/>
      <c r="AA39"/>
    </row>
    <row r="40" spans="1:31" ht="15.75" customHeight="1" x14ac:dyDescent="0.15">
      <c r="A40">
        <v>34</v>
      </c>
      <c r="B40" t="s">
        <v>75</v>
      </c>
      <c r="C40" t="s">
        <v>2634</v>
      </c>
      <c r="D40" t="s">
        <v>3689</v>
      </c>
      <c r="E40" t="s">
        <v>3192</v>
      </c>
      <c r="F40">
        <v>304</v>
      </c>
      <c r="H40">
        <v>40305</v>
      </c>
      <c r="L40" t="s">
        <v>6121</v>
      </c>
      <c r="M40">
        <v>1</v>
      </c>
      <c r="N40">
        <v>1</v>
      </c>
      <c r="V40" t="s">
        <v>3690</v>
      </c>
      <c r="W40"/>
      <c r="Z40"/>
      <c r="AA40"/>
    </row>
    <row r="41" spans="1:31" ht="15.75" customHeight="1" x14ac:dyDescent="0.15">
      <c r="A41">
        <v>35</v>
      </c>
      <c r="B41" t="s">
        <v>75</v>
      </c>
      <c r="C41" t="s">
        <v>2634</v>
      </c>
      <c r="D41" t="s">
        <v>3691</v>
      </c>
      <c r="E41" t="s">
        <v>3192</v>
      </c>
      <c r="F41">
        <v>306</v>
      </c>
      <c r="H41">
        <v>40307</v>
      </c>
      <c r="L41" t="s">
        <v>6121</v>
      </c>
      <c r="M41">
        <v>1</v>
      </c>
      <c r="N41">
        <v>1</v>
      </c>
      <c r="V41" t="s">
        <v>3692</v>
      </c>
      <c r="W41"/>
      <c r="Z41"/>
      <c r="AA41"/>
    </row>
    <row r="42" spans="1:31" ht="15.75" customHeight="1" x14ac:dyDescent="0.15">
      <c r="A42">
        <v>36</v>
      </c>
      <c r="B42" t="s">
        <v>75</v>
      </c>
      <c r="C42" t="s">
        <v>2634</v>
      </c>
      <c r="D42" t="s">
        <v>3693</v>
      </c>
      <c r="E42" t="s">
        <v>3192</v>
      </c>
      <c r="F42">
        <v>308</v>
      </c>
      <c r="H42">
        <v>40309</v>
      </c>
      <c r="L42" t="s">
        <v>113</v>
      </c>
      <c r="M42">
        <v>1</v>
      </c>
      <c r="U42" t="s">
        <v>3694</v>
      </c>
      <c r="V42" t="s">
        <v>3695</v>
      </c>
      <c r="W42"/>
      <c r="Z42"/>
      <c r="AA42"/>
    </row>
    <row r="43" spans="1:31" ht="15.75" customHeight="1" x14ac:dyDescent="0.15">
      <c r="A43">
        <v>37</v>
      </c>
      <c r="B43" t="s">
        <v>75</v>
      </c>
      <c r="C43" t="s">
        <v>2634</v>
      </c>
      <c r="D43" t="s">
        <v>3696</v>
      </c>
      <c r="E43" t="s">
        <v>3192</v>
      </c>
      <c r="F43">
        <v>310</v>
      </c>
      <c r="H43">
        <v>40311</v>
      </c>
      <c r="L43" t="s">
        <v>113</v>
      </c>
      <c r="M43">
        <v>1</v>
      </c>
      <c r="U43" t="s">
        <v>3697</v>
      </c>
      <c r="V43" t="s">
        <v>3698</v>
      </c>
      <c r="W43"/>
      <c r="Z43"/>
      <c r="AA43"/>
    </row>
    <row r="44" spans="1:31" ht="15.75" customHeight="1" x14ac:dyDescent="0.15">
      <c r="A44">
        <v>38</v>
      </c>
      <c r="B44" t="s">
        <v>75</v>
      </c>
      <c r="C44" t="s">
        <v>2634</v>
      </c>
      <c r="D44" t="s">
        <v>3198</v>
      </c>
      <c r="E44" t="s">
        <v>3192</v>
      </c>
      <c r="F44">
        <v>404</v>
      </c>
      <c r="H44">
        <v>40405</v>
      </c>
      <c r="L44" t="s">
        <v>8917</v>
      </c>
      <c r="M44">
        <v>1</v>
      </c>
      <c r="N44">
        <v>1</v>
      </c>
      <c r="V44" t="s">
        <v>3699</v>
      </c>
      <c r="W44"/>
      <c r="Z44"/>
      <c r="AA44"/>
    </row>
    <row r="45" spans="1:31" ht="15.75" customHeight="1" x14ac:dyDescent="0.15">
      <c r="A45">
        <v>39</v>
      </c>
      <c r="B45" t="s">
        <v>75</v>
      </c>
      <c r="C45" t="s">
        <v>2634</v>
      </c>
      <c r="D45" t="s">
        <v>3655</v>
      </c>
      <c r="E45" t="s">
        <v>3192</v>
      </c>
      <c r="F45">
        <v>544</v>
      </c>
      <c r="H45">
        <v>40545</v>
      </c>
      <c r="L45" t="s">
        <v>8917</v>
      </c>
      <c r="M45">
        <v>1</v>
      </c>
      <c r="N45">
        <v>1</v>
      </c>
      <c r="V45" t="s">
        <v>3700</v>
      </c>
      <c r="W45"/>
      <c r="Z45"/>
      <c r="AA45"/>
    </row>
    <row r="46" spans="1:31" ht="15.75" customHeight="1" x14ac:dyDescent="0.15">
      <c r="A46">
        <v>40</v>
      </c>
      <c r="B46" t="s">
        <v>75</v>
      </c>
      <c r="C46" t="s">
        <v>2634</v>
      </c>
      <c r="D46" t="s">
        <v>3657</v>
      </c>
      <c r="E46" t="s">
        <v>3192</v>
      </c>
      <c r="F46">
        <v>546</v>
      </c>
      <c r="H46">
        <v>40547</v>
      </c>
      <c r="L46" t="s">
        <v>8917</v>
      </c>
      <c r="M46">
        <v>1</v>
      </c>
      <c r="N46">
        <v>1</v>
      </c>
      <c r="V46" t="s">
        <v>3701</v>
      </c>
      <c r="W46"/>
      <c r="Z46"/>
      <c r="AA46"/>
    </row>
    <row r="47" spans="1:31" ht="15.75" customHeight="1" x14ac:dyDescent="0.15">
      <c r="A47">
        <v>41</v>
      </c>
      <c r="B47" t="s">
        <v>75</v>
      </c>
      <c r="C47" t="s">
        <v>2634</v>
      </c>
      <c r="D47" t="s">
        <v>3702</v>
      </c>
      <c r="E47" t="s">
        <v>3192</v>
      </c>
      <c r="F47">
        <v>616</v>
      </c>
      <c r="H47">
        <v>40617</v>
      </c>
      <c r="L47" t="s">
        <v>560</v>
      </c>
      <c r="M47">
        <v>1</v>
      </c>
      <c r="N47">
        <v>1</v>
      </c>
      <c r="V47" t="s">
        <v>3703</v>
      </c>
      <c r="W47"/>
      <c r="Z47"/>
      <c r="AA47"/>
    </row>
    <row r="48" spans="1:31" ht="15.75" customHeight="1" x14ac:dyDescent="0.15">
      <c r="A48">
        <v>42</v>
      </c>
      <c r="B48" t="s">
        <v>75</v>
      </c>
      <c r="C48" t="s">
        <v>2634</v>
      </c>
      <c r="D48" t="s">
        <v>3704</v>
      </c>
      <c r="E48" t="s">
        <v>3192</v>
      </c>
      <c r="F48">
        <v>618</v>
      </c>
      <c r="H48">
        <v>40619</v>
      </c>
      <c r="L48" t="s">
        <v>6297</v>
      </c>
      <c r="M48">
        <v>1</v>
      </c>
      <c r="N48">
        <v>1</v>
      </c>
      <c r="V48" t="s">
        <v>3705</v>
      </c>
      <c r="W48"/>
      <c r="Z48"/>
      <c r="AA48"/>
    </row>
    <row r="49" spans="1:23" ht="16.149999999999999" customHeight="1" x14ac:dyDescent="0.15">
      <c r="A49" s="6"/>
      <c r="B49" s="18"/>
      <c r="D49" s="2"/>
      <c r="I49" s="2"/>
      <c r="K49" s="9"/>
      <c r="Q49" s="8"/>
      <c r="W49" s="20"/>
    </row>
    <row r="50" spans="1:23" ht="16.149999999999999" customHeight="1" x14ac:dyDescent="0.15">
      <c r="A50" s="6"/>
      <c r="B50" s="18"/>
      <c r="D50" s="2"/>
      <c r="I50" s="2"/>
      <c r="K50" s="9"/>
      <c r="Q50" s="8"/>
      <c r="W50" s="20"/>
    </row>
    <row r="51" spans="1:23" ht="16.149999999999999" customHeight="1" x14ac:dyDescent="0.15">
      <c r="A51" s="6"/>
      <c r="B51" s="18"/>
      <c r="D51" s="2"/>
      <c r="I51" s="2"/>
      <c r="K51" s="9"/>
      <c r="Q51" s="8"/>
      <c r="W51" s="20"/>
    </row>
    <row r="52" spans="1:23" ht="16.149999999999999" customHeight="1" x14ac:dyDescent="0.15">
      <c r="A52" s="6"/>
      <c r="B52" s="18"/>
      <c r="D52" s="2"/>
      <c r="I52" s="2"/>
      <c r="K52" s="9"/>
      <c r="Q52" s="8"/>
      <c r="W52" s="20"/>
    </row>
    <row r="53" spans="1:23" ht="16.149999999999999" customHeight="1" x14ac:dyDescent="0.15">
      <c r="A53" s="6"/>
      <c r="B53" s="18"/>
      <c r="D53" s="2"/>
      <c r="I53" s="2"/>
      <c r="K53" s="9"/>
      <c r="Q53" s="8"/>
      <c r="W53" s="20"/>
    </row>
    <row r="54" spans="1:23" ht="16.149999999999999" customHeight="1" x14ac:dyDescent="0.15">
      <c r="A54" s="6"/>
      <c r="B54" s="18"/>
      <c r="D54" s="2"/>
      <c r="I54" s="2"/>
      <c r="K54" s="9"/>
      <c r="Q54" s="8"/>
      <c r="W54" s="20"/>
    </row>
    <row r="55" spans="1:23" ht="16.149999999999999" customHeight="1" x14ac:dyDescent="0.15">
      <c r="A55" s="6"/>
      <c r="B55" s="18"/>
      <c r="D55" s="2"/>
      <c r="I55" s="2"/>
      <c r="K55" s="9"/>
      <c r="Q55" s="8"/>
      <c r="W55" s="20"/>
    </row>
    <row r="56" spans="1:23" ht="16.149999999999999" customHeight="1" x14ac:dyDescent="0.15">
      <c r="A56" s="6"/>
      <c r="B56" s="18"/>
      <c r="D56" s="2"/>
      <c r="I56" s="2"/>
      <c r="K56" s="9"/>
      <c r="Q56" s="8"/>
      <c r="W56" s="20"/>
    </row>
    <row r="57" spans="1:23" ht="16.149999999999999" customHeight="1" x14ac:dyDescent="0.15">
      <c r="A57" s="6"/>
      <c r="B57" s="18"/>
      <c r="D57" s="2"/>
      <c r="I57" s="2"/>
      <c r="K57" s="9"/>
      <c r="Q57" s="8"/>
      <c r="W57" s="20"/>
    </row>
    <row r="58" spans="1:23" ht="16.149999999999999" customHeight="1" x14ac:dyDescent="0.15">
      <c r="A58" s="6"/>
      <c r="B58" s="18"/>
      <c r="D58" s="2"/>
      <c r="I58" s="2"/>
      <c r="K58" s="9"/>
      <c r="Q58" s="8"/>
      <c r="W58" s="20"/>
    </row>
    <row r="59" spans="1:23" ht="16.149999999999999" customHeight="1" x14ac:dyDescent="0.15">
      <c r="A59" s="6"/>
      <c r="B59" s="18"/>
      <c r="D59" s="2"/>
      <c r="I59" s="2"/>
      <c r="K59" s="9"/>
      <c r="Q59" s="8"/>
      <c r="W59" s="20"/>
    </row>
    <row r="60" spans="1:23" ht="16.149999999999999" customHeight="1" x14ac:dyDescent="0.15">
      <c r="A60" s="6"/>
      <c r="B60" s="18"/>
      <c r="D60" s="2"/>
      <c r="I60" s="2"/>
      <c r="K60" s="9"/>
      <c r="Q60" s="8"/>
      <c r="W60" s="20"/>
    </row>
    <row r="61" spans="1:23" ht="16.149999999999999" customHeight="1" x14ac:dyDescent="0.15">
      <c r="A61" s="6"/>
      <c r="B61" s="18"/>
      <c r="D61" s="2"/>
      <c r="I61" s="2"/>
      <c r="K61" s="9"/>
      <c r="Q61" s="8"/>
      <c r="W61" s="20"/>
    </row>
    <row r="62" spans="1:23" ht="16.149999999999999" customHeight="1" x14ac:dyDescent="0.15">
      <c r="A62" s="6"/>
      <c r="B62" s="18"/>
      <c r="D62" s="2"/>
      <c r="I62" s="2"/>
      <c r="K62" s="9"/>
      <c r="Q62" s="8"/>
      <c r="W62" s="20"/>
    </row>
    <row r="63" spans="1:23" ht="16.149999999999999" customHeight="1" x14ac:dyDescent="0.15">
      <c r="A63" s="6"/>
      <c r="B63" s="18"/>
      <c r="D63" s="2"/>
      <c r="I63" s="2"/>
      <c r="K63" s="9"/>
      <c r="Q63" s="8"/>
      <c r="W63" s="20"/>
    </row>
    <row r="64" spans="1:23" ht="16.149999999999999" customHeight="1" x14ac:dyDescent="0.15">
      <c r="A64" s="6"/>
      <c r="B64" s="18"/>
      <c r="D64" s="2"/>
      <c r="I64" s="2"/>
      <c r="K64" s="9"/>
      <c r="Q64" s="8"/>
      <c r="W64" s="20"/>
    </row>
    <row r="65" spans="1:23" ht="16.149999999999999" customHeight="1" x14ac:dyDescent="0.15">
      <c r="A65" s="6"/>
      <c r="B65" s="18"/>
      <c r="D65" s="2"/>
      <c r="I65" s="2"/>
      <c r="K65" s="9"/>
      <c r="Q65" s="8"/>
      <c r="W65" s="20"/>
    </row>
    <row r="66" spans="1:23" ht="16.149999999999999" customHeight="1" x14ac:dyDescent="0.15">
      <c r="A66" s="6"/>
      <c r="B66" s="23"/>
      <c r="D66" s="2"/>
      <c r="I66" s="2"/>
      <c r="K66" s="9"/>
      <c r="Q66" s="21"/>
      <c r="W66" s="22"/>
    </row>
  </sheetData>
  <mergeCells count="1">
    <mergeCell ref="G1:H1"/>
  </mergeCells>
  <dataValidations disablePrompts="1" count="2">
    <dataValidation type="whole" errorStyle="warning" allowBlank="1" showInputMessage="1" showErrorMessage="1" errorTitle="Device Modbus Register Base" error="This value is the device register number of the first register in the table.  Typically this value is 1, occasionally it is 0.  " sqref="C4" xr:uid="{2A43AD6F-073C-441D-886D-17F1A6856484}">
      <formula1>0</formula1>
      <formula2>1</formula2>
    </dataValidation>
    <dataValidation type="custom" allowBlank="1" showErrorMessage="1" errorTitle="Invalid IEC 61131-3 Variable Nam" error="Please enter only alphanumeric and underscore characters." sqref="M3:M5 O49:O66" xr:uid="{780431DD-6B6F-489E-AD16-11E459C0CE1D}">
      <formula1>ISNUMBER(SUMPRODUCT(SEARCH(MID(M3,ROW(INDIRECT("1:"&amp;LEN(M3))),1),"0123456789abcdefghijklmnopqrstuvwxyzABCDEFGHIJKLMNOPQRSTUVWXYZ-_")))</formula1>
    </dataValidation>
  </dataValidations>
  <pageMargins left="0.25" right="0.25" top="0.75" bottom="0.75" header="0.3" footer="0.3"/>
  <pageSetup paperSize="3" scale="24" fitToHeight="0"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F34B7-0EA9-4BD7-8CE5-913BBF70217D}">
  <sheetPr>
    <pageSetUpPr fitToPage="1"/>
  </sheetPr>
  <dimension ref="A1:AH34"/>
  <sheetViews>
    <sheetView zoomScaleNormal="100" workbookViewId="0">
      <selection activeCell="H38" sqref="H38"/>
    </sheetView>
  </sheetViews>
  <sheetFormatPr defaultColWidth="14.6640625" defaultRowHeight="16.149999999999999" customHeight="1" x14ac:dyDescent="0.15"/>
  <cols>
    <col min="1" max="1" width="13.1640625" bestFit="1" customWidth="1"/>
    <col min="2" max="2" width="12.33203125" bestFit="1" customWidth="1"/>
    <col min="3" max="3" width="14.83203125" bestFit="1" customWidth="1"/>
    <col min="4" max="4" width="24.5" bestFit="1" customWidth="1"/>
    <col min="5" max="5" width="12.1640625" bestFit="1" customWidth="1"/>
    <col min="6" max="6" width="20.1640625" bestFit="1" customWidth="1"/>
    <col min="7" max="7" width="12.5" bestFit="1" customWidth="1"/>
    <col min="8" max="8" width="18.6640625" bestFit="1" customWidth="1"/>
    <col min="9" max="9" width="17.1640625" hidden="1" customWidth="1"/>
    <col min="10" max="10" width="13.83203125" bestFit="1" customWidth="1"/>
    <col min="11" max="11" width="14.1640625" bestFit="1" customWidth="1"/>
    <col min="12" max="12" width="7.83203125" bestFit="1" customWidth="1"/>
    <col min="13" max="13" width="8.6640625" bestFit="1" customWidth="1"/>
    <col min="14" max="14" width="11.83203125" hidden="1" customWidth="1"/>
    <col min="15" max="15" width="12.5" hidden="1" customWidth="1"/>
    <col min="16" max="16" width="11.33203125" hidden="1" customWidth="1"/>
    <col min="17" max="17" width="12" hidden="1" customWidth="1"/>
    <col min="18" max="18" width="20.83203125" bestFit="1" customWidth="1"/>
    <col min="19" max="19" width="13.83203125" bestFit="1" customWidth="1"/>
    <col min="20" max="20" width="16.5" bestFit="1" customWidth="1"/>
    <col min="21" max="21" width="18.5" bestFit="1" customWidth="1"/>
    <col min="22" max="22" width="42.6640625" bestFit="1" customWidth="1"/>
    <col min="23" max="23" width="42.6640625" style="9" bestFit="1" customWidth="1"/>
    <col min="24" max="24" width="33.5" bestFit="1" customWidth="1"/>
    <col min="25" max="26" width="48.6640625" style="9" customWidth="1"/>
    <col min="27" max="27" width="31.6640625" style="9" bestFit="1" customWidth="1"/>
    <col min="30" max="30" width="5.5" customWidth="1"/>
    <col min="31" max="31" width="25" style="9" bestFit="1" customWidth="1"/>
    <col min="32" max="32" width="39.6640625" style="9" customWidth="1"/>
    <col min="33" max="33" width="68" style="9" customWidth="1"/>
    <col min="34" max="34" width="5.5" style="9" bestFit="1" customWidth="1"/>
    <col min="35" max="35" width="56.5" customWidth="1"/>
    <col min="36" max="36" width="14.33203125" customWidth="1"/>
    <col min="37" max="37" width="11.33203125" bestFit="1" customWidth="1"/>
    <col min="38" max="38" width="14.6640625" customWidth="1"/>
    <col min="39" max="39" width="48.5" bestFit="1" customWidth="1"/>
  </cols>
  <sheetData>
    <row r="1" spans="1:34" ht="24" customHeight="1" x14ac:dyDescent="0.15">
      <c r="A1" s="25" t="s">
        <v>9576</v>
      </c>
      <c r="B1" s="2"/>
      <c r="C1" s="2"/>
      <c r="D1" s="2"/>
      <c r="E1" s="2"/>
      <c r="F1" s="2"/>
      <c r="G1" s="142" t="s">
        <v>19</v>
      </c>
      <c r="H1" s="142"/>
      <c r="K1" s="25" t="s">
        <v>3644</v>
      </c>
      <c r="L1" s="25"/>
      <c r="W1" s="6"/>
      <c r="AA1"/>
      <c r="AE1"/>
      <c r="AF1"/>
      <c r="AG1"/>
      <c r="AH1"/>
    </row>
    <row r="2" spans="1:34" ht="16.149999999999999" customHeight="1" x14ac:dyDescent="0.15">
      <c r="A2" s="10" t="s">
        <v>21</v>
      </c>
      <c r="B2" s="2"/>
      <c r="C2" s="11">
        <v>45643</v>
      </c>
      <c r="D2" s="41" t="s">
        <v>22</v>
      </c>
      <c r="E2" t="s">
        <v>7349</v>
      </c>
      <c r="K2" t="s">
        <v>24</v>
      </c>
      <c r="W2" s="6"/>
      <c r="AA2"/>
      <c r="AE2"/>
      <c r="AF2"/>
      <c r="AG2"/>
      <c r="AH2"/>
    </row>
    <row r="3" spans="1:34" ht="16.149999999999999" customHeight="1" x14ac:dyDescent="0.15">
      <c r="A3" s="12" t="s">
        <v>25</v>
      </c>
      <c r="C3">
        <v>4</v>
      </c>
      <c r="D3" s="42" t="s">
        <v>26</v>
      </c>
      <c r="E3" t="s">
        <v>3190</v>
      </c>
      <c r="M3" s="13"/>
      <c r="N3" s="8"/>
      <c r="W3" s="6"/>
      <c r="Y3" s="37"/>
      <c r="Z3"/>
      <c r="AA3"/>
      <c r="AE3"/>
      <c r="AF3"/>
      <c r="AG3"/>
      <c r="AH3"/>
    </row>
    <row r="4" spans="1:34" ht="16.149999999999999" customHeight="1" x14ac:dyDescent="0.15">
      <c r="A4" s="12" t="s">
        <v>28</v>
      </c>
      <c r="C4" s="9">
        <v>1</v>
      </c>
      <c r="N4" s="2"/>
      <c r="W4" s="6"/>
      <c r="Y4"/>
      <c r="Z4"/>
      <c r="AA4"/>
      <c r="AE4"/>
      <c r="AF4"/>
      <c r="AG4"/>
      <c r="AH4"/>
    </row>
    <row r="5" spans="1:34" ht="16.149999999999999" customHeight="1" x14ac:dyDescent="0.15">
      <c r="A5" s="12" t="s">
        <v>30</v>
      </c>
      <c r="C5">
        <v>5</v>
      </c>
      <c r="N5" s="2"/>
      <c r="W5" s="6"/>
      <c r="Y5"/>
      <c r="Z5"/>
      <c r="AA5"/>
      <c r="AE5"/>
      <c r="AF5"/>
      <c r="AG5"/>
      <c r="AH5"/>
    </row>
    <row r="6" spans="1:34" ht="41.25" customHeight="1" x14ac:dyDescent="0.15">
      <c r="A6" s="12" t="s">
        <v>31</v>
      </c>
      <c r="B6" t="s">
        <v>32</v>
      </c>
      <c r="C6" t="s">
        <v>33</v>
      </c>
      <c r="D6" t="s">
        <v>34</v>
      </c>
      <c r="E6" t="s">
        <v>35</v>
      </c>
      <c r="F6" t="s">
        <v>36</v>
      </c>
      <c r="G6" t="s">
        <v>37</v>
      </c>
      <c r="H6" t="s">
        <v>38</v>
      </c>
      <c r="I6" t="s">
        <v>40</v>
      </c>
      <c r="J6" t="s">
        <v>41</v>
      </c>
      <c r="K6" t="s">
        <v>42</v>
      </c>
      <c r="L6" t="s">
        <v>43</v>
      </c>
      <c r="M6" t="s">
        <v>44</v>
      </c>
      <c r="N6" t="s">
        <v>45</v>
      </c>
      <c r="O6" t="s">
        <v>46</v>
      </c>
      <c r="P6" t="s">
        <v>47</v>
      </c>
      <c r="Q6" t="s">
        <v>48</v>
      </c>
      <c r="R6" t="s">
        <v>49</v>
      </c>
      <c r="S6" t="s">
        <v>50</v>
      </c>
      <c r="T6" t="s">
        <v>51</v>
      </c>
      <c r="U6" t="s">
        <v>52</v>
      </c>
      <c r="V6" t="s">
        <v>53</v>
      </c>
      <c r="W6" t="s">
        <v>54</v>
      </c>
      <c r="X6" t="s">
        <v>55</v>
      </c>
      <c r="Y6"/>
      <c r="Z6"/>
      <c r="AA6"/>
      <c r="AE6"/>
      <c r="AF6"/>
      <c r="AG6"/>
      <c r="AH6"/>
    </row>
    <row r="7" spans="1:34" ht="15.75" customHeight="1" x14ac:dyDescent="0.15">
      <c r="A7">
        <v>1</v>
      </c>
      <c r="B7" t="s">
        <v>75</v>
      </c>
      <c r="C7" t="s">
        <v>57</v>
      </c>
      <c r="D7" t="s">
        <v>9577</v>
      </c>
      <c r="E7" t="s">
        <v>9578</v>
      </c>
      <c r="F7">
        <v>20</v>
      </c>
      <c r="H7">
        <v>30021</v>
      </c>
      <c r="L7" t="s">
        <v>560</v>
      </c>
      <c r="M7" t="s">
        <v>9579</v>
      </c>
      <c r="N7">
        <v>1</v>
      </c>
      <c r="V7" t="s">
        <v>9580</v>
      </c>
      <c r="W7"/>
      <c r="X7" t="s">
        <v>9581</v>
      </c>
      <c r="Y7"/>
      <c r="Z7"/>
      <c r="AA7"/>
      <c r="AE7"/>
      <c r="AF7"/>
      <c r="AG7"/>
      <c r="AH7"/>
    </row>
    <row r="8" spans="1:34" ht="15.75" customHeight="1" x14ac:dyDescent="0.15">
      <c r="A8">
        <v>2</v>
      </c>
      <c r="B8" t="s">
        <v>75</v>
      </c>
      <c r="C8" t="s">
        <v>57</v>
      </c>
      <c r="D8" t="s">
        <v>9582</v>
      </c>
      <c r="E8" t="s">
        <v>9583</v>
      </c>
      <c r="F8">
        <v>21</v>
      </c>
      <c r="H8">
        <v>30022</v>
      </c>
      <c r="L8" t="s">
        <v>560</v>
      </c>
      <c r="M8" t="s">
        <v>9579</v>
      </c>
      <c r="N8">
        <v>1</v>
      </c>
      <c r="V8" t="s">
        <v>9584</v>
      </c>
      <c r="W8"/>
      <c r="X8" t="s">
        <v>9581</v>
      </c>
      <c r="Y8"/>
      <c r="Z8"/>
      <c r="AA8"/>
      <c r="AE8"/>
      <c r="AF8"/>
      <c r="AG8"/>
      <c r="AH8"/>
    </row>
    <row r="9" spans="1:34" ht="15.75" customHeight="1" x14ac:dyDescent="0.15">
      <c r="A9">
        <v>3</v>
      </c>
      <c r="B9" t="s">
        <v>75</v>
      </c>
      <c r="C9" t="s">
        <v>57</v>
      </c>
      <c r="D9" t="s">
        <v>9585</v>
      </c>
      <c r="E9" t="s">
        <v>9578</v>
      </c>
      <c r="F9">
        <v>24</v>
      </c>
      <c r="H9">
        <v>30025</v>
      </c>
      <c r="L9" t="s">
        <v>560</v>
      </c>
      <c r="M9" t="s">
        <v>9579</v>
      </c>
      <c r="N9">
        <v>1</v>
      </c>
      <c r="V9" t="s">
        <v>9586</v>
      </c>
      <c r="W9"/>
      <c r="X9" t="s">
        <v>9581</v>
      </c>
      <c r="Y9"/>
      <c r="Z9"/>
      <c r="AA9"/>
      <c r="AE9"/>
      <c r="AF9"/>
      <c r="AG9"/>
      <c r="AH9"/>
    </row>
    <row r="10" spans="1:34" ht="15.75" customHeight="1" x14ac:dyDescent="0.15">
      <c r="A10">
        <v>4</v>
      </c>
      <c r="B10" t="s">
        <v>75</v>
      </c>
      <c r="C10" t="s">
        <v>57</v>
      </c>
      <c r="D10" t="s">
        <v>9587</v>
      </c>
      <c r="E10" t="s">
        <v>9583</v>
      </c>
      <c r="F10">
        <v>25</v>
      </c>
      <c r="H10">
        <v>30026</v>
      </c>
      <c r="L10" t="s">
        <v>560</v>
      </c>
      <c r="M10" t="s">
        <v>9579</v>
      </c>
      <c r="N10">
        <v>1</v>
      </c>
      <c r="V10" t="s">
        <v>9588</v>
      </c>
      <c r="W10"/>
      <c r="X10" t="s">
        <v>9581</v>
      </c>
      <c r="Y10"/>
      <c r="Z10"/>
      <c r="AA10"/>
      <c r="AE10"/>
      <c r="AF10"/>
      <c r="AG10"/>
      <c r="AH10"/>
    </row>
    <row r="11" spans="1:34" ht="15.75" customHeight="1" x14ac:dyDescent="0.15">
      <c r="A11">
        <v>5</v>
      </c>
      <c r="B11" t="s">
        <v>75</v>
      </c>
      <c r="C11" t="s">
        <v>57</v>
      </c>
      <c r="D11" t="s">
        <v>9589</v>
      </c>
      <c r="E11" t="s">
        <v>9583</v>
      </c>
      <c r="F11">
        <v>28</v>
      </c>
      <c r="H11">
        <v>30029</v>
      </c>
      <c r="L11" t="s">
        <v>7353</v>
      </c>
      <c r="M11" t="s">
        <v>9579</v>
      </c>
      <c r="N11">
        <v>1</v>
      </c>
      <c r="V11" t="s">
        <v>9590</v>
      </c>
      <c r="W11"/>
      <c r="X11" t="s">
        <v>9591</v>
      </c>
      <c r="Y11"/>
      <c r="Z11"/>
      <c r="AA11"/>
      <c r="AE11"/>
      <c r="AF11"/>
      <c r="AG11"/>
      <c r="AH11"/>
    </row>
    <row r="12" spans="1:34" ht="15.75" customHeight="1" x14ac:dyDescent="0.15">
      <c r="A12">
        <v>6</v>
      </c>
      <c r="B12" t="s">
        <v>75</v>
      </c>
      <c r="C12" t="s">
        <v>57</v>
      </c>
      <c r="D12" t="s">
        <v>9592</v>
      </c>
      <c r="E12" t="s">
        <v>9583</v>
      </c>
      <c r="F12">
        <v>29</v>
      </c>
      <c r="H12">
        <v>30030</v>
      </c>
      <c r="L12" t="s">
        <v>7353</v>
      </c>
      <c r="M12" t="s">
        <v>9579</v>
      </c>
      <c r="N12">
        <v>1</v>
      </c>
      <c r="V12" t="s">
        <v>9593</v>
      </c>
      <c r="W12"/>
      <c r="X12" t="s">
        <v>9591</v>
      </c>
      <c r="Y12"/>
      <c r="Z12"/>
      <c r="AA12"/>
      <c r="AE12"/>
      <c r="AF12"/>
      <c r="AG12"/>
      <c r="AH12"/>
    </row>
    <row r="13" spans="1:34" ht="15.75" customHeight="1" x14ac:dyDescent="0.15">
      <c r="A13">
        <v>7</v>
      </c>
      <c r="B13" t="s">
        <v>75</v>
      </c>
      <c r="C13" t="s">
        <v>57</v>
      </c>
      <c r="D13" t="s">
        <v>9594</v>
      </c>
      <c r="E13" t="s">
        <v>9578</v>
      </c>
      <c r="F13">
        <v>31</v>
      </c>
      <c r="H13">
        <v>30032</v>
      </c>
      <c r="L13" t="s">
        <v>9595</v>
      </c>
      <c r="M13" t="s">
        <v>9579</v>
      </c>
      <c r="N13">
        <v>1</v>
      </c>
      <c r="V13" t="s">
        <v>9596</v>
      </c>
      <c r="W13"/>
      <c r="X13" t="s">
        <v>9597</v>
      </c>
      <c r="Y13"/>
      <c r="Z13"/>
      <c r="AA13"/>
      <c r="AE13"/>
      <c r="AF13"/>
      <c r="AG13"/>
      <c r="AH13"/>
    </row>
    <row r="14" spans="1:34" ht="15.75" customHeight="1" x14ac:dyDescent="0.15">
      <c r="A14">
        <v>8</v>
      </c>
      <c r="B14" t="s">
        <v>75</v>
      </c>
      <c r="C14" t="s">
        <v>57</v>
      </c>
      <c r="D14" t="s">
        <v>9598</v>
      </c>
      <c r="E14" t="s">
        <v>9578</v>
      </c>
      <c r="F14">
        <v>32</v>
      </c>
      <c r="H14">
        <v>30033</v>
      </c>
      <c r="L14" t="s">
        <v>9599</v>
      </c>
      <c r="M14">
        <v>1</v>
      </c>
      <c r="N14">
        <v>1</v>
      </c>
      <c r="V14" t="s">
        <v>9600</v>
      </c>
      <c r="W14"/>
      <c r="X14" t="s">
        <v>9601</v>
      </c>
      <c r="Y14"/>
      <c r="Z14"/>
      <c r="AA14"/>
      <c r="AE14"/>
      <c r="AF14"/>
      <c r="AG14"/>
      <c r="AH14"/>
    </row>
    <row r="15" spans="1:34" ht="15.75" customHeight="1" x14ac:dyDescent="0.15">
      <c r="A15">
        <v>9</v>
      </c>
      <c r="B15" t="s">
        <v>75</v>
      </c>
      <c r="C15" t="s">
        <v>57</v>
      </c>
      <c r="D15" t="s">
        <v>9602</v>
      </c>
      <c r="E15" t="s">
        <v>9578</v>
      </c>
      <c r="F15">
        <v>33</v>
      </c>
      <c r="H15">
        <v>30034</v>
      </c>
      <c r="L15" t="s">
        <v>6111</v>
      </c>
      <c r="M15">
        <v>1</v>
      </c>
      <c r="N15">
        <v>1</v>
      </c>
      <c r="V15" t="s">
        <v>9603</v>
      </c>
      <c r="W15" t="s">
        <v>9604</v>
      </c>
      <c r="Y15"/>
      <c r="Z15"/>
      <c r="AA15"/>
      <c r="AE15"/>
      <c r="AF15"/>
      <c r="AG15"/>
      <c r="AH15"/>
    </row>
    <row r="16" spans="1:34" ht="15.75" customHeight="1" x14ac:dyDescent="0.15">
      <c r="A16">
        <v>10</v>
      </c>
      <c r="B16" t="s">
        <v>75</v>
      </c>
      <c r="C16" t="s">
        <v>57</v>
      </c>
      <c r="D16" t="s">
        <v>9605</v>
      </c>
      <c r="E16" t="s">
        <v>9578</v>
      </c>
      <c r="F16">
        <v>34</v>
      </c>
      <c r="H16">
        <v>30035</v>
      </c>
      <c r="L16" t="s">
        <v>6111</v>
      </c>
      <c r="M16">
        <v>1</v>
      </c>
      <c r="N16">
        <v>1</v>
      </c>
      <c r="V16" t="s">
        <v>9606</v>
      </c>
      <c r="W16" t="s">
        <v>9607</v>
      </c>
      <c r="Y16"/>
      <c r="Z16"/>
      <c r="AA16"/>
      <c r="AE16"/>
      <c r="AF16"/>
      <c r="AG16"/>
      <c r="AH16"/>
    </row>
    <row r="17" spans="1:23" ht="16.149999999999999" customHeight="1" x14ac:dyDescent="0.15">
      <c r="A17" s="6"/>
      <c r="B17" s="18"/>
      <c r="D17" s="2"/>
      <c r="I17" s="2"/>
      <c r="K17" s="9"/>
      <c r="Q17" s="8"/>
      <c r="W17" s="20"/>
    </row>
    <row r="18" spans="1:23" ht="16.149999999999999" customHeight="1" x14ac:dyDescent="0.15">
      <c r="A18" s="6"/>
      <c r="B18" s="18"/>
      <c r="D18" s="2"/>
      <c r="I18" s="2"/>
      <c r="K18" s="9"/>
      <c r="Q18" s="8"/>
      <c r="W18" s="20"/>
    </row>
    <row r="19" spans="1:23" ht="16.149999999999999" customHeight="1" x14ac:dyDescent="0.15">
      <c r="A19" s="6"/>
      <c r="B19" s="18"/>
      <c r="D19" s="2"/>
      <c r="I19" s="2"/>
      <c r="K19" s="9"/>
      <c r="Q19" s="8"/>
      <c r="W19" s="20"/>
    </row>
    <row r="20" spans="1:23" ht="16.149999999999999" customHeight="1" x14ac:dyDescent="0.15">
      <c r="A20" s="6"/>
      <c r="B20" s="18"/>
      <c r="D20" s="2"/>
      <c r="I20" s="2"/>
      <c r="K20" s="9"/>
      <c r="Q20" s="8"/>
      <c r="W20" s="20"/>
    </row>
    <row r="21" spans="1:23" ht="16.149999999999999" customHeight="1" x14ac:dyDescent="0.15">
      <c r="A21" s="6"/>
      <c r="B21" s="18"/>
      <c r="D21" s="2"/>
      <c r="I21" s="2"/>
      <c r="K21" s="9"/>
      <c r="Q21" s="8"/>
      <c r="W21" s="20"/>
    </row>
    <row r="22" spans="1:23" ht="16.149999999999999" customHeight="1" x14ac:dyDescent="0.15">
      <c r="A22" s="6"/>
      <c r="B22" s="18"/>
      <c r="D22" s="2"/>
      <c r="I22" s="2"/>
      <c r="K22" s="9"/>
      <c r="Q22" s="8"/>
      <c r="W22" s="20"/>
    </row>
    <row r="23" spans="1:23" ht="16.149999999999999" customHeight="1" x14ac:dyDescent="0.15">
      <c r="A23" s="6"/>
      <c r="B23" s="18"/>
      <c r="D23" s="2"/>
      <c r="I23" s="2"/>
      <c r="K23" s="9"/>
      <c r="Q23" s="8"/>
      <c r="W23" s="20"/>
    </row>
    <row r="24" spans="1:23" ht="16.149999999999999" customHeight="1" x14ac:dyDescent="0.15">
      <c r="A24" s="6"/>
      <c r="B24" s="18"/>
      <c r="D24" s="2"/>
      <c r="I24" s="2"/>
      <c r="K24" s="9"/>
      <c r="Q24" s="8"/>
      <c r="W24" s="20"/>
    </row>
    <row r="25" spans="1:23" ht="16.149999999999999" customHeight="1" x14ac:dyDescent="0.15">
      <c r="A25" s="6"/>
      <c r="B25" s="18"/>
      <c r="D25" s="2"/>
      <c r="I25" s="2"/>
      <c r="K25" s="9"/>
      <c r="Q25" s="8"/>
      <c r="W25" s="20"/>
    </row>
    <row r="26" spans="1:23" ht="16.149999999999999" customHeight="1" x14ac:dyDescent="0.15">
      <c r="A26" s="6"/>
      <c r="B26" s="18"/>
      <c r="D26" s="2"/>
      <c r="I26" s="2"/>
      <c r="K26" s="9"/>
      <c r="Q26" s="8"/>
      <c r="W26" s="20"/>
    </row>
    <row r="27" spans="1:23" ht="16.149999999999999" customHeight="1" x14ac:dyDescent="0.15">
      <c r="A27" s="6"/>
      <c r="B27" s="18"/>
      <c r="D27" s="2"/>
      <c r="I27" s="2"/>
      <c r="K27" s="9"/>
      <c r="Q27" s="8"/>
      <c r="W27" s="20"/>
    </row>
    <row r="28" spans="1:23" ht="16.149999999999999" customHeight="1" x14ac:dyDescent="0.15">
      <c r="A28" s="6"/>
      <c r="B28" s="18"/>
      <c r="D28" s="2"/>
      <c r="I28" s="2"/>
      <c r="K28" s="9"/>
      <c r="Q28" s="8"/>
      <c r="W28" s="20"/>
    </row>
    <row r="29" spans="1:23" ht="16.149999999999999" customHeight="1" x14ac:dyDescent="0.15">
      <c r="A29" s="6"/>
      <c r="B29" s="18"/>
      <c r="D29" s="2"/>
      <c r="I29" s="2"/>
      <c r="K29" s="9"/>
      <c r="Q29" s="8"/>
      <c r="W29" s="20"/>
    </row>
    <row r="30" spans="1:23" ht="16.149999999999999" customHeight="1" x14ac:dyDescent="0.15">
      <c r="A30" s="6"/>
      <c r="B30" s="18"/>
      <c r="D30" s="2"/>
      <c r="I30" s="2"/>
      <c r="K30" s="9"/>
      <c r="Q30" s="8"/>
      <c r="W30" s="20"/>
    </row>
    <row r="31" spans="1:23" ht="16.149999999999999" customHeight="1" x14ac:dyDescent="0.15">
      <c r="A31" s="6"/>
      <c r="B31" s="18"/>
      <c r="D31" s="2"/>
      <c r="I31" s="2"/>
      <c r="K31" s="9"/>
      <c r="Q31" s="8"/>
      <c r="W31" s="20"/>
    </row>
    <row r="32" spans="1:23" ht="16.149999999999999" customHeight="1" x14ac:dyDescent="0.15">
      <c r="A32" s="6"/>
      <c r="B32" s="18"/>
      <c r="D32" s="2"/>
      <c r="I32" s="2"/>
      <c r="K32" s="9"/>
      <c r="Q32" s="8"/>
      <c r="W32" s="20"/>
    </row>
    <row r="33" spans="1:23" ht="16.149999999999999" customHeight="1" x14ac:dyDescent="0.15">
      <c r="A33" s="6"/>
      <c r="B33" s="18"/>
      <c r="D33" s="2"/>
      <c r="I33" s="2"/>
      <c r="K33" s="9"/>
      <c r="Q33" s="8"/>
      <c r="W33" s="20"/>
    </row>
    <row r="34" spans="1:23" ht="16.149999999999999" customHeight="1" x14ac:dyDescent="0.15">
      <c r="A34" s="6"/>
      <c r="B34" s="23"/>
      <c r="D34" s="2"/>
      <c r="I34" s="2"/>
      <c r="K34" s="9"/>
      <c r="Q34" s="21"/>
      <c r="W34" s="22"/>
    </row>
  </sheetData>
  <mergeCells count="1">
    <mergeCell ref="G1:H1"/>
  </mergeCells>
  <dataValidations count="2">
    <dataValidation type="whole" errorStyle="warning" allowBlank="1" showInputMessage="1" showErrorMessage="1" errorTitle="Device Modbus Register Base" error="This value is the device register number of the first register in the table.  Typically this value is 1, occasionally it is 0.  " sqref="C4" xr:uid="{42E0BDE2-D29A-4271-B9B1-0BD14BCD491F}">
      <formula1>0</formula1>
      <formula2>1</formula2>
    </dataValidation>
    <dataValidation type="custom" allowBlank="1" showErrorMessage="1" errorTitle="Invalid IEC 61131-3 Variable Nam" error="Please enter only alphanumeric and underscore characters." sqref="M3:M5 O17:O34" xr:uid="{FB4693B5-605A-4ABC-A673-00D235089B3E}">
      <formula1>ISNUMBER(SUMPRODUCT(SEARCH(MID(M3,ROW(INDIRECT("1:"&amp;LEN(M3))),1),"0123456789abcdefghijklmnopqrstuvwxyzABCDEFGHIJKLMNOPQRSTUVWXYZ-_")))</formula1>
    </dataValidation>
  </dataValidations>
  <pageMargins left="0.25" right="0.25" top="0.75" bottom="0.75" header="0.3" footer="0.3"/>
  <pageSetup paperSize="3" scale="24" fitToHeight="0"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A7D5-D468-4778-95B3-AABB7655A68E}">
  <sheetPr codeName="Sheet3">
    <tabColor rgb="FFFFFF00"/>
    <pageSetUpPr fitToPage="1"/>
  </sheetPr>
  <dimension ref="A1:AH56"/>
  <sheetViews>
    <sheetView zoomScaleNormal="100" workbookViewId="0">
      <selection activeCell="A7" sqref="A7:X56"/>
    </sheetView>
  </sheetViews>
  <sheetFormatPr defaultColWidth="14.6640625" defaultRowHeight="16.149999999999999" customHeight="1" x14ac:dyDescent="0.15"/>
  <cols>
    <col min="1" max="1" width="19" customWidth="1"/>
    <col min="2" max="2" width="12.33203125" bestFit="1" customWidth="1"/>
    <col min="3" max="3" width="21.1640625" customWidth="1"/>
    <col min="4" max="4" width="36.6640625" bestFit="1" customWidth="1"/>
    <col min="5" max="5" width="12.1640625" bestFit="1" customWidth="1"/>
    <col min="6" max="6" width="20.1640625" bestFit="1" customWidth="1"/>
    <col min="7" max="7" width="16.1640625" customWidth="1"/>
    <col min="8" max="8" width="24.6640625" customWidth="1"/>
    <col min="9" max="9" width="17.1640625" hidden="1" customWidth="1"/>
    <col min="10" max="10" width="13.83203125" bestFit="1" customWidth="1"/>
    <col min="11" max="11" width="14.1640625" bestFit="1" customWidth="1"/>
    <col min="12" max="12" width="7.83203125" bestFit="1" customWidth="1"/>
    <col min="13" max="13" width="8.6640625" bestFit="1" customWidth="1"/>
    <col min="14" max="14" width="11.83203125" hidden="1" customWidth="1"/>
    <col min="15" max="15" width="12.5" hidden="1" customWidth="1"/>
    <col min="16" max="16" width="11.33203125" hidden="1" customWidth="1"/>
    <col min="17" max="17" width="12" hidden="1" customWidth="1"/>
    <col min="18" max="18" width="20.83203125" bestFit="1" customWidth="1"/>
    <col min="19" max="19" width="13.83203125" bestFit="1" customWidth="1"/>
    <col min="20" max="20" width="16.5" bestFit="1" customWidth="1"/>
    <col min="21" max="21" width="18.5" bestFit="1" customWidth="1"/>
    <col min="22" max="22" width="18" bestFit="1" customWidth="1"/>
    <col min="23" max="23" width="42.6640625" style="9" bestFit="1" customWidth="1"/>
    <col min="24" max="24" width="66.33203125" bestFit="1" customWidth="1"/>
    <col min="25" max="26" width="48.6640625" style="9" customWidth="1"/>
    <col min="27" max="27" width="31.6640625" style="9" bestFit="1" customWidth="1"/>
    <col min="30" max="30" width="5.5" customWidth="1"/>
    <col min="31" max="31" width="25" style="9" bestFit="1" customWidth="1"/>
    <col min="32" max="32" width="39.6640625" style="9" customWidth="1"/>
    <col min="33" max="33" width="68" style="9" customWidth="1"/>
    <col min="34" max="34" width="5.5" style="9" bestFit="1" customWidth="1"/>
    <col min="35" max="35" width="56.5" customWidth="1"/>
    <col min="36" max="36" width="14.33203125" customWidth="1"/>
    <col min="37" max="37" width="11.33203125" bestFit="1" customWidth="1"/>
    <col min="38" max="38" width="14.6640625" customWidth="1"/>
    <col min="39" max="39" width="48.5" bestFit="1" customWidth="1"/>
  </cols>
  <sheetData>
    <row r="1" spans="1:34" ht="24" customHeight="1" x14ac:dyDescent="0.15">
      <c r="A1" s="25" t="str">
        <f>'Data Flows'!A1</f>
        <v>Site Name</v>
      </c>
      <c r="B1" s="2"/>
      <c r="C1" s="2"/>
      <c r="D1" s="2"/>
      <c r="E1" s="2"/>
      <c r="F1" s="2"/>
      <c r="G1" s="142" t="s">
        <v>19</v>
      </c>
      <c r="H1" s="142"/>
      <c r="K1" s="25" t="s">
        <v>8922</v>
      </c>
      <c r="L1" s="25"/>
      <c r="W1" s="6"/>
      <c r="AA1"/>
      <c r="AE1"/>
      <c r="AF1"/>
      <c r="AG1"/>
      <c r="AH1"/>
    </row>
    <row r="2" spans="1:34" ht="16.149999999999999" customHeight="1" x14ac:dyDescent="0.15">
      <c r="A2" s="10" t="s">
        <v>21</v>
      </c>
      <c r="B2" s="2"/>
      <c r="C2" s="11">
        <v>45643</v>
      </c>
      <c r="D2" s="41" t="s">
        <v>22</v>
      </c>
      <c r="E2" t="s">
        <v>7349</v>
      </c>
      <c r="K2" t="s">
        <v>24</v>
      </c>
      <c r="W2" s="6"/>
      <c r="AA2"/>
      <c r="AE2"/>
      <c r="AF2"/>
      <c r="AG2"/>
      <c r="AH2"/>
    </row>
    <row r="3" spans="1:34" ht="16.149999999999999" customHeight="1" x14ac:dyDescent="0.15">
      <c r="A3" s="12" t="s">
        <v>25</v>
      </c>
      <c r="C3">
        <v>4</v>
      </c>
      <c r="D3" s="42" t="s">
        <v>26</v>
      </c>
      <c r="E3" t="s">
        <v>3190</v>
      </c>
      <c r="M3" s="13"/>
      <c r="N3" s="8"/>
      <c r="W3" s="6"/>
      <c r="Y3" s="37"/>
      <c r="Z3"/>
      <c r="AA3"/>
      <c r="AE3"/>
      <c r="AF3"/>
      <c r="AG3"/>
      <c r="AH3"/>
    </row>
    <row r="4" spans="1:34" ht="16.149999999999999" customHeight="1" x14ac:dyDescent="0.15">
      <c r="A4" s="12" t="s">
        <v>28</v>
      </c>
      <c r="C4" s="9">
        <v>1</v>
      </c>
      <c r="N4" s="2"/>
      <c r="W4" s="6"/>
      <c r="Y4"/>
      <c r="Z4"/>
      <c r="AA4"/>
      <c r="AE4"/>
      <c r="AF4"/>
      <c r="AG4"/>
      <c r="AH4"/>
    </row>
    <row r="5" spans="1:34" ht="16.149999999999999" customHeight="1" x14ac:dyDescent="0.15">
      <c r="A5" s="12" t="s">
        <v>30</v>
      </c>
      <c r="C5">
        <v>5</v>
      </c>
      <c r="N5" s="2"/>
      <c r="W5" s="6"/>
      <c r="Y5"/>
      <c r="Z5"/>
      <c r="AA5"/>
      <c r="AE5"/>
      <c r="AF5"/>
      <c r="AG5"/>
      <c r="AH5"/>
    </row>
    <row r="6" spans="1:34" ht="41.25" customHeight="1" x14ac:dyDescent="0.15">
      <c r="A6" s="12" t="s">
        <v>31</v>
      </c>
      <c r="B6" t="s">
        <v>32</v>
      </c>
      <c r="C6" t="s">
        <v>33</v>
      </c>
      <c r="D6" t="s">
        <v>34</v>
      </c>
      <c r="E6" t="s">
        <v>35</v>
      </c>
      <c r="F6" t="s">
        <v>36</v>
      </c>
      <c r="G6" t="s">
        <v>37</v>
      </c>
      <c r="H6" t="s">
        <v>38</v>
      </c>
      <c r="I6" t="s">
        <v>40</v>
      </c>
      <c r="J6" t="s">
        <v>41</v>
      </c>
      <c r="K6" t="s">
        <v>42</v>
      </c>
      <c r="L6" t="s">
        <v>43</v>
      </c>
      <c r="M6" t="s">
        <v>44</v>
      </c>
      <c r="N6" t="s">
        <v>45</v>
      </c>
      <c r="O6" t="s">
        <v>46</v>
      </c>
      <c r="P6" t="s">
        <v>47</v>
      </c>
      <c r="Q6" t="s">
        <v>48</v>
      </c>
      <c r="R6" t="s">
        <v>49</v>
      </c>
      <c r="S6" t="s">
        <v>50</v>
      </c>
      <c r="T6" t="s">
        <v>51</v>
      </c>
      <c r="U6" t="s">
        <v>52</v>
      </c>
      <c r="V6" t="s">
        <v>53</v>
      </c>
      <c r="W6" t="s">
        <v>54</v>
      </c>
      <c r="X6" t="s">
        <v>55</v>
      </c>
      <c r="Y6"/>
      <c r="Z6"/>
      <c r="AA6"/>
      <c r="AE6"/>
      <c r="AF6"/>
      <c r="AG6"/>
      <c r="AH6"/>
    </row>
    <row r="7" spans="1:34" ht="15.75" customHeight="1" x14ac:dyDescent="0.15">
      <c r="A7">
        <v>1</v>
      </c>
      <c r="B7" t="s">
        <v>75</v>
      </c>
      <c r="C7" t="s">
        <v>2634</v>
      </c>
      <c r="D7" t="s">
        <v>3191</v>
      </c>
      <c r="E7" t="s">
        <v>3192</v>
      </c>
      <c r="F7">
        <v>0</v>
      </c>
      <c r="H7">
        <v>40001</v>
      </c>
      <c r="I7" s="2"/>
      <c r="K7" s="9"/>
      <c r="L7" t="s">
        <v>7350</v>
      </c>
      <c r="M7">
        <v>1</v>
      </c>
      <c r="N7">
        <v>1</v>
      </c>
      <c r="O7">
        <v>-3.40282346639E+38</v>
      </c>
      <c r="P7">
        <v>3.40282346639E+38</v>
      </c>
      <c r="Q7">
        <v>-3.40282346639E+38</v>
      </c>
      <c r="V7" t="s">
        <v>9391</v>
      </c>
      <c r="W7" s="22"/>
      <c r="Y7"/>
      <c r="Z7"/>
      <c r="AA7"/>
      <c r="AE7"/>
      <c r="AF7"/>
      <c r="AG7"/>
      <c r="AH7"/>
    </row>
    <row r="8" spans="1:34" ht="15.75" customHeight="1" x14ac:dyDescent="0.15">
      <c r="A8">
        <v>2</v>
      </c>
      <c r="B8" t="s">
        <v>75</v>
      </c>
      <c r="C8" t="s">
        <v>2634</v>
      </c>
      <c r="D8" t="s">
        <v>3194</v>
      </c>
      <c r="E8" t="s">
        <v>3192</v>
      </c>
      <c r="F8">
        <v>2</v>
      </c>
      <c r="H8">
        <v>40003</v>
      </c>
      <c r="I8" s="2"/>
      <c r="K8" s="9"/>
      <c r="L8" t="s">
        <v>9392</v>
      </c>
      <c r="M8">
        <v>1</v>
      </c>
      <c r="N8">
        <v>1</v>
      </c>
      <c r="O8">
        <v>-3.40282346639E+38</v>
      </c>
      <c r="P8">
        <v>3.40282346639E+38</v>
      </c>
      <c r="Q8">
        <v>-3.40282346639E+38</v>
      </c>
      <c r="V8" t="s">
        <v>9393</v>
      </c>
      <c r="W8" s="22"/>
      <c r="Y8"/>
      <c r="Z8"/>
      <c r="AA8"/>
      <c r="AE8"/>
      <c r="AF8"/>
      <c r="AG8"/>
      <c r="AH8"/>
    </row>
    <row r="9" spans="1:34" ht="15.75" customHeight="1" x14ac:dyDescent="0.15">
      <c r="A9">
        <v>3</v>
      </c>
      <c r="B9" t="s">
        <v>75</v>
      </c>
      <c r="C9" t="s">
        <v>2634</v>
      </c>
      <c r="D9" t="s">
        <v>3196</v>
      </c>
      <c r="E9" t="s">
        <v>3192</v>
      </c>
      <c r="F9">
        <v>4</v>
      </c>
      <c r="H9">
        <v>40005</v>
      </c>
      <c r="I9" s="2"/>
      <c r="K9" s="9"/>
      <c r="L9" t="s">
        <v>7351</v>
      </c>
      <c r="M9">
        <v>1</v>
      </c>
      <c r="N9">
        <v>1</v>
      </c>
      <c r="O9">
        <v>-3.40282346639E+38</v>
      </c>
      <c r="P9">
        <v>3.40282346639E+38</v>
      </c>
      <c r="Q9">
        <v>-3.40282346639E+38</v>
      </c>
      <c r="V9" t="s">
        <v>9394</v>
      </c>
      <c r="W9" s="22"/>
      <c r="Y9"/>
      <c r="Z9"/>
      <c r="AA9"/>
      <c r="AE9"/>
      <c r="AF9"/>
      <c r="AG9"/>
      <c r="AH9"/>
    </row>
    <row r="10" spans="1:34" ht="15.75" customHeight="1" x14ac:dyDescent="0.15">
      <c r="A10">
        <v>4</v>
      </c>
      <c r="B10" t="s">
        <v>75</v>
      </c>
      <c r="C10" t="s">
        <v>2634</v>
      </c>
      <c r="D10" t="s">
        <v>3198</v>
      </c>
      <c r="E10" t="s">
        <v>3192</v>
      </c>
      <c r="F10">
        <v>6</v>
      </c>
      <c r="H10">
        <v>40007</v>
      </c>
      <c r="I10" s="2"/>
      <c r="K10" s="9"/>
      <c r="L10" t="s">
        <v>7352</v>
      </c>
      <c r="M10">
        <v>1</v>
      </c>
      <c r="N10">
        <v>1</v>
      </c>
      <c r="O10">
        <v>-3.40282346639E+38</v>
      </c>
      <c r="P10">
        <v>3.40282346639E+38</v>
      </c>
      <c r="Q10">
        <v>-3.40282346639E+38</v>
      </c>
      <c r="V10" t="s">
        <v>9395</v>
      </c>
      <c r="W10" s="22"/>
      <c r="Y10"/>
      <c r="Z10"/>
      <c r="AA10"/>
      <c r="AE10"/>
      <c r="AF10"/>
      <c r="AG10"/>
      <c r="AH10"/>
    </row>
    <row r="11" spans="1:34" ht="15.75" customHeight="1" x14ac:dyDescent="0.15">
      <c r="A11">
        <v>5</v>
      </c>
      <c r="B11" t="s">
        <v>75</v>
      </c>
      <c r="C11" t="s">
        <v>2634</v>
      </c>
      <c r="D11" t="s">
        <v>3200</v>
      </c>
      <c r="E11" t="s">
        <v>3192</v>
      </c>
      <c r="F11">
        <v>8</v>
      </c>
      <c r="H11">
        <v>40009</v>
      </c>
      <c r="I11" s="2"/>
      <c r="K11" s="9"/>
      <c r="L11" t="s">
        <v>9392</v>
      </c>
      <c r="M11">
        <v>1</v>
      </c>
      <c r="N11">
        <v>1</v>
      </c>
      <c r="O11">
        <v>-3.40282346639E+38</v>
      </c>
      <c r="P11">
        <v>3.40282346639E+38</v>
      </c>
      <c r="Q11">
        <v>-3.40282346639E+38</v>
      </c>
      <c r="V11" t="s">
        <v>9396</v>
      </c>
      <c r="W11" s="22"/>
      <c r="Y11"/>
      <c r="Z11"/>
      <c r="AA11"/>
      <c r="AE11"/>
      <c r="AF11"/>
      <c r="AG11"/>
      <c r="AH11"/>
    </row>
    <row r="12" spans="1:34" ht="15.75" customHeight="1" x14ac:dyDescent="0.15">
      <c r="A12">
        <v>6</v>
      </c>
      <c r="B12" t="s">
        <v>75</v>
      </c>
      <c r="C12" t="s">
        <v>2634</v>
      </c>
      <c r="D12" t="s">
        <v>3202</v>
      </c>
      <c r="E12" t="s">
        <v>3192</v>
      </c>
      <c r="F12">
        <v>10</v>
      </c>
      <c r="H12">
        <v>40011</v>
      </c>
      <c r="I12" s="2"/>
      <c r="K12" s="9"/>
      <c r="L12" t="s">
        <v>7351</v>
      </c>
      <c r="M12">
        <v>1</v>
      </c>
      <c r="N12">
        <v>1</v>
      </c>
      <c r="O12">
        <v>-3.40282346639E+38</v>
      </c>
      <c r="P12">
        <v>3.40282346639E+38</v>
      </c>
      <c r="Q12">
        <v>-3.40282346639E+38</v>
      </c>
      <c r="V12" t="s">
        <v>9397</v>
      </c>
      <c r="W12" s="22"/>
      <c r="Y12"/>
      <c r="Z12"/>
      <c r="AA12"/>
      <c r="AE12"/>
      <c r="AF12"/>
      <c r="AG12"/>
      <c r="AH12"/>
    </row>
    <row r="13" spans="1:34" ht="15.75" customHeight="1" x14ac:dyDescent="0.15">
      <c r="A13">
        <v>7</v>
      </c>
      <c r="B13" t="s">
        <v>75</v>
      </c>
      <c r="C13" t="s">
        <v>2634</v>
      </c>
      <c r="D13" t="s">
        <v>3204</v>
      </c>
      <c r="E13" t="s">
        <v>3192</v>
      </c>
      <c r="F13">
        <v>12</v>
      </c>
      <c r="H13">
        <v>40013</v>
      </c>
      <c r="I13" s="2"/>
      <c r="K13" s="9"/>
      <c r="L13" t="s">
        <v>9392</v>
      </c>
      <c r="M13">
        <v>1</v>
      </c>
      <c r="N13">
        <v>1</v>
      </c>
      <c r="O13">
        <v>-3.40282346639E+38</v>
      </c>
      <c r="P13">
        <v>3.40282346639E+38</v>
      </c>
      <c r="Q13">
        <v>-3.40282346639E+38</v>
      </c>
      <c r="V13" t="s">
        <v>9398</v>
      </c>
      <c r="W13" s="22"/>
      <c r="Y13"/>
      <c r="Z13"/>
      <c r="AA13"/>
      <c r="AE13"/>
      <c r="AF13"/>
      <c r="AG13"/>
      <c r="AH13"/>
    </row>
    <row r="14" spans="1:34" ht="15.75" customHeight="1" x14ac:dyDescent="0.15">
      <c r="A14">
        <v>8</v>
      </c>
      <c r="B14" t="s">
        <v>75</v>
      </c>
      <c r="C14" t="s">
        <v>2634</v>
      </c>
      <c r="D14" t="s">
        <v>3206</v>
      </c>
      <c r="E14" t="s">
        <v>3192</v>
      </c>
      <c r="F14">
        <v>16</v>
      </c>
      <c r="H14">
        <v>40017</v>
      </c>
      <c r="I14" s="2"/>
      <c r="K14" s="9"/>
      <c r="L14" t="s">
        <v>7353</v>
      </c>
      <c r="M14">
        <v>1</v>
      </c>
      <c r="N14">
        <v>1</v>
      </c>
      <c r="O14">
        <v>-3.40282346639E+38</v>
      </c>
      <c r="P14">
        <v>3.40282346639E+38</v>
      </c>
      <c r="Q14">
        <v>-3.40282346639E+38</v>
      </c>
      <c r="V14" t="s">
        <v>9399</v>
      </c>
      <c r="W14" s="22"/>
      <c r="X14" t="s">
        <v>9400</v>
      </c>
      <c r="Y14"/>
      <c r="Z14"/>
      <c r="AA14"/>
      <c r="AE14"/>
      <c r="AF14"/>
      <c r="AG14"/>
      <c r="AH14"/>
    </row>
    <row r="15" spans="1:34" ht="15.75" customHeight="1" x14ac:dyDescent="0.15">
      <c r="A15">
        <v>9</v>
      </c>
      <c r="B15" t="s">
        <v>75</v>
      </c>
      <c r="C15" t="s">
        <v>2634</v>
      </c>
      <c r="D15" t="s">
        <v>3208</v>
      </c>
      <c r="E15" t="s">
        <v>3192</v>
      </c>
      <c r="F15">
        <v>18</v>
      </c>
      <c r="H15">
        <v>40019</v>
      </c>
      <c r="I15" s="2"/>
      <c r="K15" s="9"/>
      <c r="L15" t="s">
        <v>7353</v>
      </c>
      <c r="M15">
        <v>1</v>
      </c>
      <c r="N15">
        <v>1</v>
      </c>
      <c r="O15">
        <v>-3.40282346639E+38</v>
      </c>
      <c r="P15">
        <v>3.40282346639E+38</v>
      </c>
      <c r="Q15">
        <v>-3.40282346639E+38</v>
      </c>
      <c r="V15" t="s">
        <v>9401</v>
      </c>
      <c r="W15" s="22"/>
      <c r="X15" t="s">
        <v>9400</v>
      </c>
      <c r="Y15"/>
      <c r="Z15"/>
      <c r="AA15"/>
      <c r="AE15"/>
      <c r="AF15"/>
      <c r="AG15"/>
      <c r="AH15"/>
    </row>
    <row r="16" spans="1:34" ht="15.75" customHeight="1" x14ac:dyDescent="0.15">
      <c r="A16">
        <v>10</v>
      </c>
      <c r="B16" t="s">
        <v>75</v>
      </c>
      <c r="C16" t="s">
        <v>2634</v>
      </c>
      <c r="D16" t="s">
        <v>3210</v>
      </c>
      <c r="E16" t="s">
        <v>3192</v>
      </c>
      <c r="F16">
        <v>20</v>
      </c>
      <c r="H16">
        <v>40021</v>
      </c>
      <c r="I16" s="2"/>
      <c r="K16" s="9"/>
      <c r="L16" t="s">
        <v>7353</v>
      </c>
      <c r="M16">
        <v>1</v>
      </c>
      <c r="N16">
        <v>1</v>
      </c>
      <c r="O16">
        <v>-3.40282346639E+38</v>
      </c>
      <c r="P16">
        <v>3.40282346639E+38</v>
      </c>
      <c r="Q16">
        <v>-3.40282346639E+38</v>
      </c>
      <c r="V16" t="s">
        <v>9402</v>
      </c>
      <c r="W16" s="22"/>
      <c r="X16" t="s">
        <v>9400</v>
      </c>
      <c r="Y16"/>
      <c r="Z16"/>
      <c r="AA16"/>
      <c r="AE16"/>
      <c r="AF16"/>
      <c r="AG16"/>
      <c r="AH16"/>
    </row>
    <row r="17" spans="1:31" s="9" customFormat="1" ht="15.75" customHeight="1" x14ac:dyDescent="0.15">
      <c r="A17">
        <v>11</v>
      </c>
      <c r="B17" t="s">
        <v>75</v>
      </c>
      <c r="C17" t="s">
        <v>2634</v>
      </c>
      <c r="D17" t="s">
        <v>7354</v>
      </c>
      <c r="E17" t="s">
        <v>3192</v>
      </c>
      <c r="F17">
        <v>22</v>
      </c>
      <c r="G17"/>
      <c r="H17">
        <v>40023</v>
      </c>
      <c r="I17" s="2"/>
      <c r="J17"/>
      <c r="L17" t="s">
        <v>2348</v>
      </c>
      <c r="M17">
        <v>1</v>
      </c>
      <c r="N17">
        <v>1</v>
      </c>
      <c r="O17">
        <v>-3.40282346639E+38</v>
      </c>
      <c r="P17">
        <v>3.40282346639E+38</v>
      </c>
      <c r="Q17">
        <v>-3.40282346639E+38</v>
      </c>
      <c r="R17"/>
      <c r="S17"/>
      <c r="T17"/>
      <c r="U17"/>
      <c r="V17" t="s">
        <v>9403</v>
      </c>
      <c r="W17" s="22"/>
      <c r="X17" t="s">
        <v>7355</v>
      </c>
      <c r="Y17" s="19"/>
      <c r="Z17"/>
      <c r="AA17"/>
      <c r="AB17"/>
      <c r="AD17"/>
      <c r="AE17" s="20"/>
    </row>
    <row r="18" spans="1:31" s="9" customFormat="1" ht="15.75" customHeight="1" x14ac:dyDescent="0.15">
      <c r="A18">
        <v>12</v>
      </c>
      <c r="B18" t="s">
        <v>75</v>
      </c>
      <c r="C18" t="s">
        <v>2634</v>
      </c>
      <c r="D18" t="s">
        <v>3214</v>
      </c>
      <c r="E18" t="s">
        <v>3192</v>
      </c>
      <c r="F18">
        <v>24</v>
      </c>
      <c r="G18"/>
      <c r="H18">
        <v>40025</v>
      </c>
      <c r="I18" s="2"/>
      <c r="J18"/>
      <c r="L18" t="s">
        <v>9404</v>
      </c>
      <c r="M18">
        <v>1</v>
      </c>
      <c r="N18">
        <v>1</v>
      </c>
      <c r="O18">
        <v>-3.40282346639E+38</v>
      </c>
      <c r="P18">
        <v>3.40282346639E+38</v>
      </c>
      <c r="Q18">
        <v>-3.40282346639E+38</v>
      </c>
      <c r="R18"/>
      <c r="S18"/>
      <c r="T18"/>
      <c r="U18"/>
      <c r="V18" t="s">
        <v>3215</v>
      </c>
      <c r="W18" s="22"/>
      <c r="X18"/>
      <c r="Y18" s="19"/>
      <c r="Z18"/>
      <c r="AA18"/>
      <c r="AB18"/>
      <c r="AD18"/>
      <c r="AE18" s="20"/>
    </row>
    <row r="19" spans="1:31" s="9" customFormat="1" ht="15.75" customHeight="1" x14ac:dyDescent="0.15">
      <c r="A19">
        <v>13</v>
      </c>
      <c r="B19" t="s">
        <v>75</v>
      </c>
      <c r="C19" t="s">
        <v>2634</v>
      </c>
      <c r="D19" t="s">
        <v>3216</v>
      </c>
      <c r="E19" t="s">
        <v>3192</v>
      </c>
      <c r="F19">
        <v>26</v>
      </c>
      <c r="G19"/>
      <c r="H19">
        <v>40027</v>
      </c>
      <c r="I19" s="2"/>
      <c r="J19" t="s">
        <v>9405</v>
      </c>
      <c r="K19" s="9" t="s">
        <v>9406</v>
      </c>
      <c r="L19" t="s">
        <v>169</v>
      </c>
      <c r="M19">
        <v>1</v>
      </c>
      <c r="N19">
        <v>1</v>
      </c>
      <c r="O19">
        <v>-3.40282346639E+38</v>
      </c>
      <c r="P19">
        <v>3.40282346639E+38</v>
      </c>
      <c r="Q19">
        <v>-3.40282346639E+38</v>
      </c>
      <c r="R19"/>
      <c r="S19"/>
      <c r="T19"/>
      <c r="U19"/>
      <c r="V19" t="s">
        <v>9407</v>
      </c>
      <c r="W19" s="22"/>
      <c r="X19" t="s">
        <v>7356</v>
      </c>
      <c r="Y19" s="19"/>
      <c r="Z19"/>
      <c r="AA19"/>
      <c r="AB19"/>
      <c r="AD19"/>
      <c r="AE19" s="20"/>
    </row>
    <row r="20" spans="1:31" s="9" customFormat="1" ht="15.75" customHeight="1" x14ac:dyDescent="0.15">
      <c r="A20">
        <v>14</v>
      </c>
      <c r="B20" t="s">
        <v>75</v>
      </c>
      <c r="C20" t="s">
        <v>2634</v>
      </c>
      <c r="D20" t="s">
        <v>7357</v>
      </c>
      <c r="E20" t="s">
        <v>3192</v>
      </c>
      <c r="F20">
        <v>28</v>
      </c>
      <c r="G20"/>
      <c r="H20">
        <v>40029</v>
      </c>
      <c r="I20" s="2"/>
      <c r="J20" t="s">
        <v>173</v>
      </c>
      <c r="K20" s="9" t="s">
        <v>177</v>
      </c>
      <c r="L20" t="s">
        <v>169</v>
      </c>
      <c r="M20">
        <v>1</v>
      </c>
      <c r="N20">
        <v>1</v>
      </c>
      <c r="O20">
        <v>-3.40282346639E+38</v>
      </c>
      <c r="P20">
        <v>3.40282346639E+38</v>
      </c>
      <c r="Q20">
        <v>-3.40282346639E+38</v>
      </c>
      <c r="R20"/>
      <c r="S20"/>
      <c r="T20"/>
      <c r="U20"/>
      <c r="V20" t="s">
        <v>9408</v>
      </c>
      <c r="W20" s="22"/>
      <c r="X20" t="s">
        <v>7358</v>
      </c>
      <c r="Y20" s="19"/>
      <c r="Z20"/>
      <c r="AA20"/>
      <c r="AB20"/>
      <c r="AD20"/>
      <c r="AE20" s="20"/>
    </row>
    <row r="21" spans="1:31" s="9" customFormat="1" ht="15.75" customHeight="1" x14ac:dyDescent="0.15">
      <c r="A21">
        <v>15</v>
      </c>
      <c r="B21" t="s">
        <v>75</v>
      </c>
      <c r="C21" t="s">
        <v>2634</v>
      </c>
      <c r="D21" t="s">
        <v>7359</v>
      </c>
      <c r="E21" t="s">
        <v>3192</v>
      </c>
      <c r="F21">
        <v>30</v>
      </c>
      <c r="G21"/>
      <c r="H21">
        <v>40031</v>
      </c>
      <c r="I21" s="2"/>
      <c r="J21"/>
      <c r="L21" t="s">
        <v>7351</v>
      </c>
      <c r="M21">
        <v>1</v>
      </c>
      <c r="N21">
        <v>1</v>
      </c>
      <c r="O21">
        <v>-3.40282346639E+38</v>
      </c>
      <c r="P21">
        <v>3.40282346639E+38</v>
      </c>
      <c r="Q21">
        <v>-3.40282346639E+38</v>
      </c>
      <c r="R21"/>
      <c r="S21"/>
      <c r="T21"/>
      <c r="U21"/>
      <c r="V21" t="s">
        <v>9409</v>
      </c>
      <c r="W21" s="22"/>
      <c r="X21"/>
      <c r="Y21" s="19"/>
      <c r="Z21"/>
      <c r="AA21"/>
      <c r="AB21"/>
      <c r="AD21"/>
      <c r="AE21" s="20"/>
    </row>
    <row r="22" spans="1:31" s="9" customFormat="1" ht="15.75" customHeight="1" x14ac:dyDescent="0.15">
      <c r="A22">
        <v>16</v>
      </c>
      <c r="B22" t="s">
        <v>75</v>
      </c>
      <c r="C22" t="s">
        <v>2634</v>
      </c>
      <c r="D22" t="s">
        <v>7360</v>
      </c>
      <c r="E22" t="s">
        <v>3192</v>
      </c>
      <c r="F22">
        <v>32</v>
      </c>
      <c r="G22"/>
      <c r="H22">
        <v>40033</v>
      </c>
      <c r="I22" s="2"/>
      <c r="J22"/>
      <c r="L22" t="s">
        <v>7361</v>
      </c>
      <c r="M22">
        <v>1</v>
      </c>
      <c r="N22">
        <v>1</v>
      </c>
      <c r="O22">
        <v>-3.40282346639E+38</v>
      </c>
      <c r="P22">
        <v>3.40282346639E+38</v>
      </c>
      <c r="Q22">
        <v>-3.40282346639E+38</v>
      </c>
      <c r="R22"/>
      <c r="S22"/>
      <c r="T22"/>
      <c r="U22"/>
      <c r="V22" t="s">
        <v>9410</v>
      </c>
      <c r="W22" s="22"/>
      <c r="X22" s="67" t="s">
        <v>7362</v>
      </c>
      <c r="Y22" s="19"/>
      <c r="Z22"/>
      <c r="AA22"/>
      <c r="AB22"/>
      <c r="AD22"/>
      <c r="AE22" s="20"/>
    </row>
    <row r="23" spans="1:31" s="9" customFormat="1" ht="15.75" customHeight="1" x14ac:dyDescent="0.15">
      <c r="A23">
        <v>17</v>
      </c>
      <c r="B23" t="s">
        <v>75</v>
      </c>
      <c r="C23" t="s">
        <v>2634</v>
      </c>
      <c r="D23" t="s">
        <v>7363</v>
      </c>
      <c r="E23" t="s">
        <v>3192</v>
      </c>
      <c r="F23">
        <v>34</v>
      </c>
      <c r="G23"/>
      <c r="H23">
        <v>40035</v>
      </c>
      <c r="I23" s="2"/>
      <c r="J23"/>
      <c r="L23" t="s">
        <v>7361</v>
      </c>
      <c r="M23">
        <v>1</v>
      </c>
      <c r="N23">
        <v>1</v>
      </c>
      <c r="O23">
        <v>-3.40282346639E+38</v>
      </c>
      <c r="P23">
        <v>3.40282346639E+38</v>
      </c>
      <c r="Q23">
        <v>-3.40282346639E+38</v>
      </c>
      <c r="R23"/>
      <c r="S23"/>
      <c r="T23"/>
      <c r="U23"/>
      <c r="V23" t="s">
        <v>9411</v>
      </c>
      <c r="W23" s="22"/>
      <c r="X23"/>
      <c r="Y23" s="19"/>
      <c r="Z23"/>
      <c r="AA23"/>
      <c r="AB23"/>
      <c r="AD23"/>
      <c r="AE23" s="20"/>
    </row>
    <row r="24" spans="1:31" s="9" customFormat="1" ht="15.75" customHeight="1" x14ac:dyDescent="0.15">
      <c r="A24">
        <v>18</v>
      </c>
      <c r="B24" t="s">
        <v>75</v>
      </c>
      <c r="C24" t="s">
        <v>2634</v>
      </c>
      <c r="D24" t="s">
        <v>7364</v>
      </c>
      <c r="E24" t="s">
        <v>3192</v>
      </c>
      <c r="F24">
        <v>36</v>
      </c>
      <c r="G24"/>
      <c r="H24">
        <v>40037</v>
      </c>
      <c r="I24" s="2"/>
      <c r="J24"/>
      <c r="L24" t="s">
        <v>7351</v>
      </c>
      <c r="M24">
        <v>1</v>
      </c>
      <c r="N24">
        <v>1</v>
      </c>
      <c r="O24">
        <v>-3.40282346639E+38</v>
      </c>
      <c r="P24">
        <v>3.40282346639E+38</v>
      </c>
      <c r="Q24">
        <v>-3.40282346639E+38</v>
      </c>
      <c r="R24"/>
      <c r="S24"/>
      <c r="T24"/>
      <c r="U24"/>
      <c r="V24" t="s">
        <v>9412</v>
      </c>
      <c r="W24" s="22"/>
      <c r="X24" t="s">
        <v>7365</v>
      </c>
      <c r="Y24" s="19"/>
      <c r="Z24"/>
      <c r="AA24"/>
      <c r="AB24"/>
      <c r="AD24"/>
      <c r="AE24" s="20"/>
    </row>
    <row r="25" spans="1:31" s="9" customFormat="1" ht="15.75" customHeight="1" x14ac:dyDescent="0.15">
      <c r="A25">
        <v>19</v>
      </c>
      <c r="B25" t="s">
        <v>75</v>
      </c>
      <c r="C25" t="s">
        <v>2634</v>
      </c>
      <c r="D25" t="s">
        <v>7366</v>
      </c>
      <c r="E25" t="s">
        <v>3192</v>
      </c>
      <c r="F25">
        <v>40</v>
      </c>
      <c r="G25"/>
      <c r="H25">
        <v>40041</v>
      </c>
      <c r="I25" s="2"/>
      <c r="J25"/>
      <c r="L25" t="s">
        <v>2348</v>
      </c>
      <c r="M25">
        <v>1</v>
      </c>
      <c r="N25">
        <v>1</v>
      </c>
      <c r="O25">
        <v>-3.40282346639E+38</v>
      </c>
      <c r="P25">
        <v>3.40282346639E+38</v>
      </c>
      <c r="Q25">
        <v>-3.40282346639E+38</v>
      </c>
      <c r="R25"/>
      <c r="S25"/>
      <c r="T25"/>
      <c r="U25"/>
      <c r="V25" t="s">
        <v>9413</v>
      </c>
      <c r="W25" s="22"/>
      <c r="X25" t="s">
        <v>7368</v>
      </c>
      <c r="Y25" s="19"/>
      <c r="Z25"/>
      <c r="AA25"/>
      <c r="AB25"/>
      <c r="AD25"/>
      <c r="AE25" s="20"/>
    </row>
    <row r="26" spans="1:31" s="9" customFormat="1" ht="15.75" customHeight="1" x14ac:dyDescent="0.15">
      <c r="A26">
        <v>20</v>
      </c>
      <c r="B26" t="s">
        <v>75</v>
      </c>
      <c r="C26" t="s">
        <v>2634</v>
      </c>
      <c r="D26" s="2" t="s">
        <v>7369</v>
      </c>
      <c r="E26" t="s">
        <v>3192</v>
      </c>
      <c r="F26">
        <v>42</v>
      </c>
      <c r="G26"/>
      <c r="H26">
        <v>40043</v>
      </c>
      <c r="I26" s="2"/>
      <c r="J26" t="s">
        <v>177</v>
      </c>
      <c r="K26" s="9" t="s">
        <v>173</v>
      </c>
      <c r="L26" t="s">
        <v>169</v>
      </c>
      <c r="M26">
        <v>1</v>
      </c>
      <c r="N26">
        <v>1</v>
      </c>
      <c r="O26">
        <v>-3.40282346639E+38</v>
      </c>
      <c r="P26">
        <v>3.40282346639E+38</v>
      </c>
      <c r="Q26">
        <v>-3.40282346639E+38</v>
      </c>
      <c r="R26"/>
      <c r="S26"/>
      <c r="T26"/>
      <c r="U26"/>
      <c r="V26" t="s">
        <v>9414</v>
      </c>
      <c r="W26" s="22"/>
      <c r="X26" t="s">
        <v>7370</v>
      </c>
      <c r="Y26" s="19"/>
      <c r="Z26"/>
      <c r="AA26"/>
      <c r="AB26"/>
      <c r="AD26"/>
      <c r="AE26" s="20"/>
    </row>
    <row r="27" spans="1:31" s="9" customFormat="1" ht="15.75" customHeight="1" x14ac:dyDescent="0.15">
      <c r="A27">
        <v>21</v>
      </c>
      <c r="B27" t="s">
        <v>75</v>
      </c>
      <c r="C27" t="s">
        <v>2634</v>
      </c>
      <c r="D27" s="2" t="s">
        <v>7371</v>
      </c>
      <c r="E27" t="s">
        <v>3192</v>
      </c>
      <c r="F27">
        <v>44</v>
      </c>
      <c r="G27"/>
      <c r="H27">
        <v>40045</v>
      </c>
      <c r="I27" s="2"/>
      <c r="J27"/>
      <c r="L27" t="s">
        <v>7351</v>
      </c>
      <c r="M27">
        <v>1</v>
      </c>
      <c r="N27">
        <v>1</v>
      </c>
      <c r="O27">
        <v>-3.40282346639E+38</v>
      </c>
      <c r="P27">
        <v>3.40282346639E+38</v>
      </c>
      <c r="Q27">
        <v>-3.40282346639E+38</v>
      </c>
      <c r="R27"/>
      <c r="S27"/>
      <c r="T27"/>
      <c r="U27"/>
      <c r="V27" t="s">
        <v>9415</v>
      </c>
      <c r="W27" s="22"/>
      <c r="X27" t="s">
        <v>7365</v>
      </c>
      <c r="Y27" s="19"/>
      <c r="Z27"/>
      <c r="AA27"/>
      <c r="AB27"/>
      <c r="AD27"/>
      <c r="AE27" s="20"/>
    </row>
    <row r="28" spans="1:31" s="9" customFormat="1" ht="15.75" customHeight="1" x14ac:dyDescent="0.15">
      <c r="A28">
        <v>22</v>
      </c>
      <c r="B28" t="s">
        <v>75</v>
      </c>
      <c r="C28" t="s">
        <v>2634</v>
      </c>
      <c r="D28" s="2" t="s">
        <v>3241</v>
      </c>
      <c r="E28" t="s">
        <v>3192</v>
      </c>
      <c r="F28">
        <v>52</v>
      </c>
      <c r="G28"/>
      <c r="H28">
        <v>40053</v>
      </c>
      <c r="I28" s="2"/>
      <c r="J28"/>
      <c r="L28" t="s">
        <v>7372</v>
      </c>
      <c r="M28">
        <v>1</v>
      </c>
      <c r="N28">
        <v>1</v>
      </c>
      <c r="O28">
        <v>-3.40282346639E+38</v>
      </c>
      <c r="P28">
        <v>3.40282346639E+38</v>
      </c>
      <c r="Q28">
        <v>-3.40282346639E+38</v>
      </c>
      <c r="R28"/>
      <c r="S28"/>
      <c r="T28"/>
      <c r="U28"/>
      <c r="V28" t="s">
        <v>9416</v>
      </c>
      <c r="W28" s="22"/>
      <c r="X28" t="s">
        <v>9417</v>
      </c>
      <c r="Y28" s="19"/>
      <c r="Z28"/>
      <c r="AA28"/>
      <c r="AB28"/>
      <c r="AD28"/>
      <c r="AE28" s="20"/>
    </row>
    <row r="29" spans="1:31" s="9" customFormat="1" ht="15.75" customHeight="1" x14ac:dyDescent="0.15">
      <c r="A29">
        <v>23</v>
      </c>
      <c r="B29" t="s">
        <v>75</v>
      </c>
      <c r="C29" t="s">
        <v>2634</v>
      </c>
      <c r="D29" s="2" t="s">
        <v>9418</v>
      </c>
      <c r="E29" t="s">
        <v>3192</v>
      </c>
      <c r="F29">
        <v>54</v>
      </c>
      <c r="G29"/>
      <c r="H29">
        <v>40055</v>
      </c>
      <c r="I29" s="2"/>
      <c r="J29"/>
      <c r="L29" t="s">
        <v>7372</v>
      </c>
      <c r="M29">
        <v>1</v>
      </c>
      <c r="N29">
        <v>1</v>
      </c>
      <c r="O29">
        <v>-3.40282346639E+38</v>
      </c>
      <c r="P29">
        <v>3.40282346639E+38</v>
      </c>
      <c r="Q29">
        <v>-3.40282346639E+38</v>
      </c>
      <c r="R29"/>
      <c r="S29"/>
      <c r="T29"/>
      <c r="U29"/>
      <c r="V29" t="s">
        <v>9419</v>
      </c>
      <c r="W29" s="22"/>
      <c r="X29" t="s">
        <v>7373</v>
      </c>
      <c r="Y29" s="19"/>
      <c r="Z29"/>
      <c r="AA29"/>
      <c r="AB29"/>
      <c r="AD29"/>
      <c r="AE29" s="20"/>
    </row>
    <row r="30" spans="1:31" s="9" customFormat="1" ht="15.75" customHeight="1" x14ac:dyDescent="0.15">
      <c r="A30">
        <v>24</v>
      </c>
      <c r="B30" t="s">
        <v>75</v>
      </c>
      <c r="C30" t="s">
        <v>2634</v>
      </c>
      <c r="D30" s="2" t="s">
        <v>9420</v>
      </c>
      <c r="E30" t="s">
        <v>3192</v>
      </c>
      <c r="F30">
        <v>56</v>
      </c>
      <c r="G30"/>
      <c r="H30">
        <v>40057</v>
      </c>
      <c r="I30" s="2"/>
      <c r="J30"/>
      <c r="L30" t="s">
        <v>7352</v>
      </c>
      <c r="M30">
        <v>1</v>
      </c>
      <c r="N30">
        <v>1</v>
      </c>
      <c r="O30">
        <v>-3.40282346639E+38</v>
      </c>
      <c r="P30">
        <v>3.40282346639E+38</v>
      </c>
      <c r="Q30">
        <v>-3.40282346639E+38</v>
      </c>
      <c r="R30"/>
      <c r="S30"/>
      <c r="T30"/>
      <c r="U30"/>
      <c r="V30" t="s">
        <v>9421</v>
      </c>
      <c r="W30" s="22"/>
      <c r="X30"/>
      <c r="Y30" s="19"/>
      <c r="Z30"/>
      <c r="AA30"/>
      <c r="AB30"/>
      <c r="AD30"/>
      <c r="AE30" s="20"/>
    </row>
    <row r="31" spans="1:31" s="9" customFormat="1" ht="15.75" customHeight="1" x14ac:dyDescent="0.15">
      <c r="A31">
        <v>25</v>
      </c>
      <c r="B31" t="s">
        <v>75</v>
      </c>
      <c r="C31" t="s">
        <v>2634</v>
      </c>
      <c r="D31" s="2" t="s">
        <v>7374</v>
      </c>
      <c r="E31" t="s">
        <v>3192</v>
      </c>
      <c r="F31">
        <v>176</v>
      </c>
      <c r="G31"/>
      <c r="H31">
        <v>40177</v>
      </c>
      <c r="I31" s="2"/>
      <c r="J31"/>
      <c r="L31" t="s">
        <v>7375</v>
      </c>
      <c r="M31">
        <v>1</v>
      </c>
      <c r="N31">
        <v>1</v>
      </c>
      <c r="O31">
        <v>-3.40282346639E+38</v>
      </c>
      <c r="P31">
        <v>3.40282346639E+38</v>
      </c>
      <c r="Q31">
        <v>-3.40282346639E+38</v>
      </c>
      <c r="R31"/>
      <c r="S31"/>
      <c r="T31"/>
      <c r="U31"/>
      <c r="V31" t="s">
        <v>9422</v>
      </c>
      <c r="W31" s="22"/>
      <c r="X31" t="s">
        <v>7376</v>
      </c>
      <c r="Y31" s="19"/>
      <c r="Z31"/>
      <c r="AA31"/>
      <c r="AB31"/>
      <c r="AD31"/>
      <c r="AE31" s="20"/>
    </row>
    <row r="32" spans="1:31" s="9" customFormat="1" ht="15.75" customHeight="1" x14ac:dyDescent="0.15">
      <c r="A32">
        <v>26</v>
      </c>
      <c r="B32" t="s">
        <v>75</v>
      </c>
      <c r="C32" t="s">
        <v>2634</v>
      </c>
      <c r="D32" s="2" t="s">
        <v>7377</v>
      </c>
      <c r="E32" t="s">
        <v>3192</v>
      </c>
      <c r="F32">
        <v>362</v>
      </c>
      <c r="G32"/>
      <c r="H32">
        <v>40363</v>
      </c>
      <c r="I32" s="2"/>
      <c r="J32"/>
      <c r="L32" t="s">
        <v>560</v>
      </c>
      <c r="M32">
        <v>1</v>
      </c>
      <c r="N32">
        <v>1</v>
      </c>
      <c r="O32">
        <v>-3.40282346639E+38</v>
      </c>
      <c r="P32">
        <v>3.40282346639E+38</v>
      </c>
      <c r="Q32">
        <v>-3.40282346639E+38</v>
      </c>
      <c r="R32"/>
      <c r="S32"/>
      <c r="T32"/>
      <c r="U32"/>
      <c r="V32" t="s">
        <v>9423</v>
      </c>
      <c r="W32" s="22"/>
      <c r="X32" t="s">
        <v>7378</v>
      </c>
      <c r="Y32" s="19"/>
      <c r="Z32"/>
      <c r="AA32"/>
      <c r="AB32"/>
      <c r="AD32"/>
      <c r="AE32" s="20"/>
    </row>
    <row r="33" spans="1:31" s="9" customFormat="1" ht="15.75" customHeight="1" x14ac:dyDescent="0.15">
      <c r="A33">
        <v>27</v>
      </c>
      <c r="B33" t="s">
        <v>75</v>
      </c>
      <c r="C33" t="s">
        <v>2634</v>
      </c>
      <c r="D33" s="2" t="s">
        <v>7379</v>
      </c>
      <c r="E33" t="s">
        <v>3192</v>
      </c>
      <c r="F33">
        <v>364</v>
      </c>
      <c r="G33"/>
      <c r="H33">
        <v>40365</v>
      </c>
      <c r="I33" s="2"/>
      <c r="J33"/>
      <c r="L33" t="s">
        <v>7367</v>
      </c>
      <c r="M33">
        <v>1</v>
      </c>
      <c r="N33">
        <v>1</v>
      </c>
      <c r="O33">
        <v>-3.40282346639E+38</v>
      </c>
      <c r="P33">
        <v>3.40282346639E+38</v>
      </c>
      <c r="Q33">
        <v>-3.40282346639E+38</v>
      </c>
      <c r="R33"/>
      <c r="S33"/>
      <c r="T33"/>
      <c r="U33"/>
      <c r="V33" t="s">
        <v>9424</v>
      </c>
      <c r="W33" s="22"/>
      <c r="X33" t="s">
        <v>7367</v>
      </c>
      <c r="Y33" s="19"/>
      <c r="Z33"/>
      <c r="AA33"/>
      <c r="AB33"/>
      <c r="AD33"/>
      <c r="AE33" s="20"/>
    </row>
    <row r="34" spans="1:31" s="9" customFormat="1" ht="15.75" customHeight="1" x14ac:dyDescent="0.15">
      <c r="A34">
        <v>28</v>
      </c>
      <c r="B34" t="s">
        <v>75</v>
      </c>
      <c r="C34" t="s">
        <v>2634</v>
      </c>
      <c r="D34" s="2" t="s">
        <v>7380</v>
      </c>
      <c r="E34" t="s">
        <v>3192</v>
      </c>
      <c r="F34">
        <v>366</v>
      </c>
      <c r="G34"/>
      <c r="H34">
        <v>40367</v>
      </c>
      <c r="I34" s="2"/>
      <c r="J34"/>
      <c r="L34" t="s">
        <v>7353</v>
      </c>
      <c r="M34">
        <v>1</v>
      </c>
      <c r="N34">
        <v>1</v>
      </c>
      <c r="O34">
        <v>-3.40282346639E+38</v>
      </c>
      <c r="P34">
        <v>3.40282346639E+38</v>
      </c>
      <c r="Q34">
        <v>-3.40282346639E+38</v>
      </c>
      <c r="R34"/>
      <c r="S34"/>
      <c r="T34"/>
      <c r="U34"/>
      <c r="V34" t="s">
        <v>9425</v>
      </c>
      <c r="W34" s="22"/>
      <c r="X34" t="s">
        <v>7381</v>
      </c>
      <c r="Y34" s="24"/>
      <c r="Z34"/>
      <c r="AA34"/>
      <c r="AB34"/>
      <c r="AD34"/>
      <c r="AE34" s="22"/>
    </row>
    <row r="35" spans="1:31" ht="15.75" customHeight="1" x14ac:dyDescent="0.15">
      <c r="A35">
        <v>29</v>
      </c>
      <c r="B35" t="s">
        <v>75</v>
      </c>
      <c r="C35" t="s">
        <v>2634</v>
      </c>
      <c r="D35" s="2" t="s">
        <v>7382</v>
      </c>
      <c r="E35" t="s">
        <v>3192</v>
      </c>
      <c r="F35">
        <v>368</v>
      </c>
      <c r="H35">
        <v>40369</v>
      </c>
      <c r="I35" s="2"/>
      <c r="K35" s="9"/>
      <c r="L35" t="s">
        <v>7383</v>
      </c>
      <c r="M35">
        <v>1</v>
      </c>
      <c r="N35">
        <v>1</v>
      </c>
      <c r="O35">
        <v>-3.40282346639E+38</v>
      </c>
      <c r="P35">
        <v>3.40282346639E+38</v>
      </c>
      <c r="Q35">
        <v>-3.40282346639E+38</v>
      </c>
      <c r="V35" t="s">
        <v>9426</v>
      </c>
      <c r="W35" s="22"/>
      <c r="Z35"/>
      <c r="AA35"/>
    </row>
    <row r="36" spans="1:31" ht="15.75" customHeight="1" x14ac:dyDescent="0.15">
      <c r="A36">
        <v>30</v>
      </c>
      <c r="B36" t="s">
        <v>75</v>
      </c>
      <c r="C36" t="s">
        <v>2634</v>
      </c>
      <c r="D36" s="2" t="s">
        <v>7384</v>
      </c>
      <c r="E36" t="s">
        <v>3192</v>
      </c>
      <c r="F36">
        <v>370</v>
      </c>
      <c r="H36">
        <v>40371</v>
      </c>
      <c r="I36" s="2"/>
      <c r="K36" s="9"/>
      <c r="L36" t="s">
        <v>7385</v>
      </c>
      <c r="M36">
        <v>1</v>
      </c>
      <c r="N36">
        <v>1</v>
      </c>
      <c r="O36">
        <v>-3.40282346639E+38</v>
      </c>
      <c r="P36">
        <v>3.40282346639E+38</v>
      </c>
      <c r="Q36">
        <v>-3.40282346639E+38</v>
      </c>
      <c r="V36" t="s">
        <v>9427</v>
      </c>
      <c r="W36" s="22"/>
      <c r="Z36"/>
      <c r="AA36"/>
    </row>
    <row r="37" spans="1:31" ht="15.75" customHeight="1" x14ac:dyDescent="0.15">
      <c r="A37">
        <v>31</v>
      </c>
      <c r="B37" t="s">
        <v>75</v>
      </c>
      <c r="C37" t="s">
        <v>2634</v>
      </c>
      <c r="D37" s="2" t="s">
        <v>3198</v>
      </c>
      <c r="E37" t="s">
        <v>3192</v>
      </c>
      <c r="F37">
        <v>404</v>
      </c>
      <c r="H37">
        <v>40405</v>
      </c>
      <c r="I37" s="2"/>
      <c r="K37" s="9"/>
      <c r="L37" t="s">
        <v>7386</v>
      </c>
      <c r="M37">
        <v>1</v>
      </c>
      <c r="N37">
        <v>1</v>
      </c>
      <c r="O37">
        <v>-3.40282346639E+38</v>
      </c>
      <c r="P37">
        <v>3.40282346639E+38</v>
      </c>
      <c r="Q37">
        <v>-3.40282346639E+38</v>
      </c>
      <c r="V37" t="s">
        <v>9428</v>
      </c>
      <c r="W37" s="22"/>
      <c r="Z37"/>
      <c r="AA37"/>
    </row>
    <row r="38" spans="1:31" ht="15.75" customHeight="1" x14ac:dyDescent="0.15">
      <c r="A38">
        <v>32</v>
      </c>
      <c r="B38" t="s">
        <v>75</v>
      </c>
      <c r="C38" t="s">
        <v>2634</v>
      </c>
      <c r="D38" s="2" t="s">
        <v>7387</v>
      </c>
      <c r="E38" t="s">
        <v>3192</v>
      </c>
      <c r="F38">
        <v>596</v>
      </c>
      <c r="H38">
        <v>40597</v>
      </c>
      <c r="I38" s="2"/>
      <c r="K38" s="9"/>
      <c r="L38" t="s">
        <v>7372</v>
      </c>
      <c r="M38">
        <v>1</v>
      </c>
      <c r="N38">
        <v>1</v>
      </c>
      <c r="O38">
        <v>-3.40282346639E+38</v>
      </c>
      <c r="P38">
        <v>3.40282346639E+38</v>
      </c>
      <c r="Q38">
        <v>-3.40282346639E+38</v>
      </c>
      <c r="V38" t="s">
        <v>9429</v>
      </c>
      <c r="W38" s="22"/>
      <c r="X38" t="s">
        <v>9430</v>
      </c>
      <c r="Z38"/>
      <c r="AA38"/>
    </row>
    <row r="39" spans="1:31" ht="15.75" customHeight="1" x14ac:dyDescent="0.15">
      <c r="A39">
        <v>33</v>
      </c>
      <c r="B39" t="s">
        <v>75</v>
      </c>
      <c r="C39" t="s">
        <v>2634</v>
      </c>
      <c r="D39" s="2" t="s">
        <v>9431</v>
      </c>
      <c r="E39" t="s">
        <v>3192</v>
      </c>
      <c r="F39">
        <v>598</v>
      </c>
      <c r="H39">
        <v>40599</v>
      </c>
      <c r="I39" s="2"/>
      <c r="K39" s="9"/>
      <c r="L39" t="s">
        <v>7372</v>
      </c>
      <c r="M39">
        <v>1</v>
      </c>
      <c r="N39">
        <v>1</v>
      </c>
      <c r="O39">
        <v>-3.40282346639E+38</v>
      </c>
      <c r="P39">
        <v>3.40282346639E+38</v>
      </c>
      <c r="Q39">
        <v>-3.40282346639E+38</v>
      </c>
      <c r="V39" t="s">
        <v>9432</v>
      </c>
      <c r="W39" s="22"/>
      <c r="X39" t="s">
        <v>7388</v>
      </c>
      <c r="Z39"/>
      <c r="AA39"/>
    </row>
    <row r="40" spans="1:31" ht="15.75" customHeight="1" x14ac:dyDescent="0.15">
      <c r="A40">
        <v>34</v>
      </c>
      <c r="B40" t="s">
        <v>75</v>
      </c>
      <c r="C40" t="s">
        <v>2634</v>
      </c>
      <c r="D40" s="2" t="s">
        <v>9433</v>
      </c>
      <c r="E40" t="s">
        <v>3192</v>
      </c>
      <c r="F40">
        <v>600</v>
      </c>
      <c r="H40">
        <v>40601</v>
      </c>
      <c r="I40" s="2"/>
      <c r="K40" s="9"/>
      <c r="L40" t="s">
        <v>7352</v>
      </c>
      <c r="M40">
        <v>1</v>
      </c>
      <c r="N40">
        <v>1</v>
      </c>
      <c r="O40">
        <v>-3.40282346639E+38</v>
      </c>
      <c r="P40">
        <v>3.40282346639E+38</v>
      </c>
      <c r="Q40">
        <v>-3.40282346639E+38</v>
      </c>
      <c r="V40" t="s">
        <v>9434</v>
      </c>
      <c r="W40" s="22"/>
      <c r="Z40"/>
      <c r="AA40"/>
    </row>
    <row r="41" spans="1:31" ht="15.75" customHeight="1" x14ac:dyDescent="0.15">
      <c r="A41">
        <v>35</v>
      </c>
      <c r="B41" t="s">
        <v>75</v>
      </c>
      <c r="C41" t="s">
        <v>2634</v>
      </c>
      <c r="D41" s="2" t="s">
        <v>7389</v>
      </c>
      <c r="E41" t="s">
        <v>3192</v>
      </c>
      <c r="F41">
        <v>602</v>
      </c>
      <c r="H41">
        <v>40603</v>
      </c>
      <c r="I41" s="2"/>
      <c r="K41" s="9"/>
      <c r="L41" t="s">
        <v>7372</v>
      </c>
      <c r="M41">
        <v>1</v>
      </c>
      <c r="N41">
        <v>1</v>
      </c>
      <c r="O41">
        <v>-3.40282346639E+38</v>
      </c>
      <c r="P41">
        <v>3.40282346639E+38</v>
      </c>
      <c r="Q41">
        <v>-3.40282346639E+38</v>
      </c>
      <c r="V41" t="s">
        <v>9435</v>
      </c>
      <c r="W41" s="22"/>
      <c r="X41" t="s">
        <v>9430</v>
      </c>
      <c r="Z41"/>
      <c r="AA41"/>
    </row>
    <row r="42" spans="1:31" ht="15.75" customHeight="1" x14ac:dyDescent="0.15">
      <c r="A42">
        <v>36</v>
      </c>
      <c r="B42" t="s">
        <v>75</v>
      </c>
      <c r="C42" t="s">
        <v>2634</v>
      </c>
      <c r="D42" s="2" t="s">
        <v>9436</v>
      </c>
      <c r="E42" t="s">
        <v>3192</v>
      </c>
      <c r="F42">
        <v>604</v>
      </c>
      <c r="H42">
        <v>40605</v>
      </c>
      <c r="I42" s="2"/>
      <c r="K42" s="9"/>
      <c r="L42" t="s">
        <v>7372</v>
      </c>
      <c r="M42">
        <v>1</v>
      </c>
      <c r="N42">
        <v>1</v>
      </c>
      <c r="O42">
        <v>-3.40282346639E+38</v>
      </c>
      <c r="P42">
        <v>3.40282346639E+38</v>
      </c>
      <c r="Q42">
        <v>-3.40282346639E+38</v>
      </c>
      <c r="V42" t="s">
        <v>9437</v>
      </c>
      <c r="W42" s="22"/>
      <c r="X42" t="s">
        <v>7388</v>
      </c>
      <c r="Z42"/>
      <c r="AA42"/>
    </row>
    <row r="43" spans="1:31" ht="15.75" customHeight="1" x14ac:dyDescent="0.15">
      <c r="A43">
        <v>37</v>
      </c>
      <c r="B43" t="s">
        <v>75</v>
      </c>
      <c r="C43" t="s">
        <v>2634</v>
      </c>
      <c r="D43" s="2" t="s">
        <v>9438</v>
      </c>
      <c r="E43" t="s">
        <v>3192</v>
      </c>
      <c r="F43">
        <v>606</v>
      </c>
      <c r="H43">
        <v>40607</v>
      </c>
      <c r="I43" s="2"/>
      <c r="K43" s="9"/>
      <c r="L43" t="s">
        <v>7352</v>
      </c>
      <c r="M43">
        <v>1</v>
      </c>
      <c r="N43">
        <v>1</v>
      </c>
      <c r="O43">
        <v>-3.40282346639E+38</v>
      </c>
      <c r="P43">
        <v>3.40282346639E+38</v>
      </c>
      <c r="Q43">
        <v>-3.40282346639E+38</v>
      </c>
      <c r="V43" t="s">
        <v>9439</v>
      </c>
      <c r="W43" s="22"/>
      <c r="Z43"/>
      <c r="AA43"/>
    </row>
    <row r="44" spans="1:31" ht="15.75" customHeight="1" x14ac:dyDescent="0.15">
      <c r="A44">
        <v>38</v>
      </c>
      <c r="B44" t="s">
        <v>75</v>
      </c>
      <c r="C44" t="s">
        <v>2634</v>
      </c>
      <c r="D44" s="2" t="s">
        <v>7390</v>
      </c>
      <c r="E44" t="s">
        <v>3192</v>
      </c>
      <c r="F44">
        <v>608</v>
      </c>
      <c r="H44">
        <v>40609</v>
      </c>
      <c r="I44" s="2"/>
      <c r="K44" s="9"/>
      <c r="L44" t="s">
        <v>145</v>
      </c>
      <c r="M44">
        <v>1</v>
      </c>
      <c r="N44">
        <v>1</v>
      </c>
      <c r="O44">
        <v>-3.40282346639E+38</v>
      </c>
      <c r="P44">
        <v>3.40282346639E+38</v>
      </c>
      <c r="Q44">
        <v>-3.40282346639E+38</v>
      </c>
      <c r="V44" t="s">
        <v>9440</v>
      </c>
      <c r="W44" s="22"/>
      <c r="X44" t="s">
        <v>7391</v>
      </c>
      <c r="Z44"/>
      <c r="AA44"/>
    </row>
    <row r="45" spans="1:31" ht="15.75" customHeight="1" x14ac:dyDescent="0.15">
      <c r="A45">
        <v>39</v>
      </c>
      <c r="B45" t="s">
        <v>75</v>
      </c>
      <c r="C45" t="s">
        <v>2634</v>
      </c>
      <c r="D45" s="2" t="s">
        <v>9441</v>
      </c>
      <c r="E45" t="s">
        <v>3192</v>
      </c>
      <c r="F45">
        <v>610</v>
      </c>
      <c r="H45">
        <v>40611</v>
      </c>
      <c r="I45" s="2"/>
      <c r="K45" s="9"/>
      <c r="L45" t="s">
        <v>145</v>
      </c>
      <c r="M45">
        <v>1</v>
      </c>
      <c r="N45">
        <v>1</v>
      </c>
      <c r="O45">
        <v>-3.40282346639E+38</v>
      </c>
      <c r="P45">
        <v>3.40282346639E+38</v>
      </c>
      <c r="Q45">
        <v>-3.40282346639E+38</v>
      </c>
      <c r="V45" t="s">
        <v>9442</v>
      </c>
      <c r="W45" s="22"/>
      <c r="X45" t="s">
        <v>7392</v>
      </c>
      <c r="Z45"/>
      <c r="AA45"/>
    </row>
    <row r="46" spans="1:31" ht="15.75" customHeight="1" x14ac:dyDescent="0.15">
      <c r="A46">
        <v>40</v>
      </c>
      <c r="B46" t="s">
        <v>75</v>
      </c>
      <c r="C46" t="s">
        <v>2634</v>
      </c>
      <c r="D46" s="2" t="s">
        <v>9443</v>
      </c>
      <c r="E46" t="s">
        <v>3192</v>
      </c>
      <c r="F46">
        <v>612</v>
      </c>
      <c r="H46">
        <v>40613</v>
      </c>
      <c r="I46" s="2"/>
      <c r="K46" s="9"/>
      <c r="L46" t="s">
        <v>145</v>
      </c>
      <c r="M46">
        <v>1</v>
      </c>
      <c r="N46">
        <v>1</v>
      </c>
      <c r="O46">
        <v>-3.40282346639E+38</v>
      </c>
      <c r="P46">
        <v>3.40282346639E+38</v>
      </c>
      <c r="Q46">
        <v>-3.40282346639E+38</v>
      </c>
      <c r="V46" t="s">
        <v>9444</v>
      </c>
      <c r="W46" s="22"/>
      <c r="X46" t="s">
        <v>9445</v>
      </c>
      <c r="Z46"/>
      <c r="AA46"/>
    </row>
    <row r="47" spans="1:31" ht="15.75" customHeight="1" x14ac:dyDescent="0.15">
      <c r="A47">
        <v>41</v>
      </c>
      <c r="B47" t="s">
        <v>75</v>
      </c>
      <c r="C47" t="s">
        <v>2634</v>
      </c>
      <c r="D47" s="2" t="s">
        <v>9446</v>
      </c>
      <c r="E47" t="s">
        <v>3192</v>
      </c>
      <c r="F47">
        <v>614</v>
      </c>
      <c r="H47">
        <v>40615</v>
      </c>
      <c r="I47" s="2"/>
      <c r="K47" s="9"/>
      <c r="L47" t="s">
        <v>145</v>
      </c>
      <c r="M47">
        <v>1</v>
      </c>
      <c r="N47">
        <v>1</v>
      </c>
      <c r="O47">
        <v>-3.40282346639E+38</v>
      </c>
      <c r="P47">
        <v>3.40282346639E+38</v>
      </c>
      <c r="Q47">
        <v>-3.40282346639E+38</v>
      </c>
      <c r="V47" t="s">
        <v>9447</v>
      </c>
      <c r="W47" s="22"/>
      <c r="X47" t="s">
        <v>9448</v>
      </c>
      <c r="Z47"/>
      <c r="AA47"/>
    </row>
    <row r="48" spans="1:31" ht="15.75" customHeight="1" x14ac:dyDescent="0.15">
      <c r="A48">
        <v>42</v>
      </c>
      <c r="B48" t="s">
        <v>75</v>
      </c>
      <c r="C48" t="s">
        <v>2634</v>
      </c>
      <c r="D48" s="2" t="s">
        <v>9449</v>
      </c>
      <c r="E48" t="s">
        <v>3192</v>
      </c>
      <c r="F48">
        <v>646</v>
      </c>
      <c r="H48">
        <v>40647</v>
      </c>
      <c r="I48" s="2"/>
      <c r="K48" s="9"/>
      <c r="L48" t="s">
        <v>7372</v>
      </c>
      <c r="M48">
        <v>1</v>
      </c>
      <c r="N48">
        <v>1</v>
      </c>
      <c r="O48">
        <v>-3.40282346639E+38</v>
      </c>
      <c r="P48">
        <v>3.40282346639E+38</v>
      </c>
      <c r="Q48">
        <v>-3.40282346639E+38</v>
      </c>
      <c r="V48" t="s">
        <v>9450</v>
      </c>
      <c r="W48" s="22"/>
      <c r="Z48"/>
      <c r="AA48"/>
    </row>
    <row r="49" spans="1:24" ht="16.149999999999999" customHeight="1" x14ac:dyDescent="0.15">
      <c r="A49">
        <v>43</v>
      </c>
      <c r="B49" t="s">
        <v>75</v>
      </c>
      <c r="C49" t="s">
        <v>2634</v>
      </c>
      <c r="D49" s="2" t="s">
        <v>9451</v>
      </c>
      <c r="E49" t="s">
        <v>3192</v>
      </c>
      <c r="F49">
        <v>648</v>
      </c>
      <c r="H49">
        <v>40649</v>
      </c>
      <c r="I49" s="2"/>
      <c r="K49" s="9"/>
      <c r="L49" t="s">
        <v>7372</v>
      </c>
      <c r="M49">
        <v>1</v>
      </c>
      <c r="N49">
        <v>1</v>
      </c>
      <c r="O49">
        <v>-3.40282346639E+38</v>
      </c>
      <c r="P49">
        <v>3.40282346639E+38</v>
      </c>
      <c r="Q49">
        <v>-3.40282346639E+38</v>
      </c>
      <c r="V49" t="s">
        <v>9452</v>
      </c>
      <c r="W49" s="22"/>
    </row>
    <row r="50" spans="1:24" ht="16.149999999999999" customHeight="1" x14ac:dyDescent="0.15">
      <c r="A50">
        <v>44</v>
      </c>
      <c r="B50" t="s">
        <v>75</v>
      </c>
      <c r="C50" t="s">
        <v>2634</v>
      </c>
      <c r="D50" s="2" t="s">
        <v>9453</v>
      </c>
      <c r="E50" t="s">
        <v>3192</v>
      </c>
      <c r="F50">
        <v>650</v>
      </c>
      <c r="H50">
        <v>40651</v>
      </c>
      <c r="I50" s="2"/>
      <c r="K50" s="9"/>
      <c r="L50" t="s">
        <v>7352</v>
      </c>
      <c r="M50">
        <v>1</v>
      </c>
      <c r="N50">
        <v>1</v>
      </c>
      <c r="O50">
        <v>-3.40282346639E+38</v>
      </c>
      <c r="P50">
        <v>3.40282346639E+38</v>
      </c>
      <c r="Q50">
        <v>-3.40282346639E+38</v>
      </c>
      <c r="V50" t="s">
        <v>9454</v>
      </c>
      <c r="W50" s="22"/>
    </row>
    <row r="51" spans="1:24" ht="16.149999999999999" customHeight="1" x14ac:dyDescent="0.15">
      <c r="A51">
        <v>45</v>
      </c>
      <c r="B51" t="s">
        <v>75</v>
      </c>
      <c r="C51" t="s">
        <v>2634</v>
      </c>
      <c r="D51" s="2" t="s">
        <v>9455</v>
      </c>
      <c r="E51" t="s">
        <v>3192</v>
      </c>
      <c r="F51">
        <v>652</v>
      </c>
      <c r="H51">
        <v>40653</v>
      </c>
      <c r="I51" s="2"/>
      <c r="K51" s="9"/>
      <c r="L51" t="s">
        <v>7372</v>
      </c>
      <c r="M51">
        <v>1</v>
      </c>
      <c r="N51">
        <v>1</v>
      </c>
      <c r="O51">
        <v>-3.40282346639E+38</v>
      </c>
      <c r="P51">
        <v>3.40282346639E+38</v>
      </c>
      <c r="Q51">
        <v>-3.40282346639E+38</v>
      </c>
      <c r="V51" t="s">
        <v>9456</v>
      </c>
      <c r="W51" s="22"/>
    </row>
    <row r="52" spans="1:24" ht="16.149999999999999" customHeight="1" x14ac:dyDescent="0.15">
      <c r="A52">
        <v>46</v>
      </c>
      <c r="B52" t="s">
        <v>75</v>
      </c>
      <c r="C52" t="s">
        <v>2634</v>
      </c>
      <c r="D52" s="2" t="s">
        <v>9457</v>
      </c>
      <c r="E52" t="s">
        <v>3192</v>
      </c>
      <c r="F52">
        <v>654</v>
      </c>
      <c r="H52">
        <v>40655</v>
      </c>
      <c r="I52" s="2"/>
      <c r="K52" s="9"/>
      <c r="L52" t="s">
        <v>7372</v>
      </c>
      <c r="M52">
        <v>1</v>
      </c>
      <c r="N52">
        <v>1</v>
      </c>
      <c r="O52">
        <v>-3.40282346639E+38</v>
      </c>
      <c r="P52">
        <v>3.40282346639E+38</v>
      </c>
      <c r="Q52">
        <v>-3.40282346639E+38</v>
      </c>
      <c r="V52" t="s">
        <v>9458</v>
      </c>
      <c r="W52" s="22"/>
    </row>
    <row r="53" spans="1:24" ht="16.149999999999999" customHeight="1" x14ac:dyDescent="0.15">
      <c r="A53">
        <v>47</v>
      </c>
      <c r="B53" t="s">
        <v>75</v>
      </c>
      <c r="C53" t="s">
        <v>2634</v>
      </c>
      <c r="D53" s="2" t="s">
        <v>9459</v>
      </c>
      <c r="E53" t="s">
        <v>3192</v>
      </c>
      <c r="F53">
        <v>656</v>
      </c>
      <c r="H53">
        <v>40657</v>
      </c>
      <c r="I53" s="2"/>
      <c r="K53" s="9"/>
      <c r="L53" t="s">
        <v>7352</v>
      </c>
      <c r="M53">
        <v>1</v>
      </c>
      <c r="N53">
        <v>1</v>
      </c>
      <c r="O53">
        <v>-3.40282346639E+38</v>
      </c>
      <c r="P53">
        <v>3.40282346639E+38</v>
      </c>
      <c r="Q53">
        <v>-3.40282346639E+38</v>
      </c>
      <c r="V53" t="s">
        <v>9460</v>
      </c>
      <c r="W53" s="22"/>
    </row>
    <row r="54" spans="1:24" ht="16.149999999999999" customHeight="1" x14ac:dyDescent="0.15">
      <c r="A54">
        <v>48</v>
      </c>
      <c r="B54" t="s">
        <v>75</v>
      </c>
      <c r="C54" t="s">
        <v>2634</v>
      </c>
      <c r="D54" s="2" t="s">
        <v>3389</v>
      </c>
      <c r="E54" t="s">
        <v>3192</v>
      </c>
      <c r="F54">
        <v>798</v>
      </c>
      <c r="H54">
        <v>40799</v>
      </c>
      <c r="I54" s="2"/>
      <c r="K54" s="9"/>
      <c r="L54" t="s">
        <v>6121</v>
      </c>
      <c r="M54">
        <v>1</v>
      </c>
      <c r="N54">
        <v>1</v>
      </c>
      <c r="O54">
        <v>-3.40282346639E+38</v>
      </c>
      <c r="P54">
        <v>3.40282346639E+38</v>
      </c>
      <c r="Q54">
        <v>-3.40282346639E+38</v>
      </c>
      <c r="V54" t="s">
        <v>3390</v>
      </c>
      <c r="W54" s="22"/>
      <c r="X54" t="s">
        <v>7393</v>
      </c>
    </row>
    <row r="55" spans="1:24" ht="16.149999999999999" customHeight="1" x14ac:dyDescent="0.15">
      <c r="A55">
        <v>49</v>
      </c>
      <c r="B55" t="s">
        <v>75</v>
      </c>
      <c r="C55" t="s">
        <v>2634</v>
      </c>
      <c r="D55" s="2" t="s">
        <v>3391</v>
      </c>
      <c r="E55" t="s">
        <v>3192</v>
      </c>
      <c r="F55">
        <v>800</v>
      </c>
      <c r="H55">
        <v>40801</v>
      </c>
      <c r="I55" s="2"/>
      <c r="K55" s="9"/>
      <c r="L55" t="s">
        <v>6121</v>
      </c>
      <c r="M55">
        <v>1</v>
      </c>
      <c r="N55">
        <v>1</v>
      </c>
      <c r="O55">
        <v>-3.40282346639E+38</v>
      </c>
      <c r="P55">
        <v>3.40282346639E+38</v>
      </c>
      <c r="Q55">
        <v>-3.40282346639E+38</v>
      </c>
      <c r="V55" t="s">
        <v>3392</v>
      </c>
      <c r="W55" s="22"/>
      <c r="X55" t="s">
        <v>7393</v>
      </c>
    </row>
    <row r="56" spans="1:24" ht="16.149999999999999" customHeight="1" x14ac:dyDescent="0.15">
      <c r="A56">
        <v>50</v>
      </c>
      <c r="B56" t="s">
        <v>75</v>
      </c>
      <c r="C56" t="s">
        <v>2634</v>
      </c>
      <c r="D56" s="2" t="s">
        <v>3393</v>
      </c>
      <c r="E56" t="s">
        <v>3192</v>
      </c>
      <c r="F56">
        <v>802</v>
      </c>
      <c r="H56">
        <v>40803</v>
      </c>
      <c r="I56" s="2"/>
      <c r="K56" s="9"/>
      <c r="L56" t="s">
        <v>6121</v>
      </c>
      <c r="M56">
        <v>1</v>
      </c>
      <c r="N56">
        <v>1</v>
      </c>
      <c r="O56">
        <v>-3.40282346639E+38</v>
      </c>
      <c r="P56">
        <v>3.40282346639E+38</v>
      </c>
      <c r="Q56">
        <v>-3.40282346639E+38</v>
      </c>
      <c r="V56" t="s">
        <v>3394</v>
      </c>
      <c r="W56" s="22"/>
      <c r="X56" t="s">
        <v>7393</v>
      </c>
    </row>
  </sheetData>
  <mergeCells count="1">
    <mergeCell ref="G1:H1"/>
  </mergeCells>
  <conditionalFormatting sqref="L7:L15 A7:A56 L17:L56">
    <cfRule type="expression" dxfId="6" priority="12">
      <formula>#REF!</formula>
    </cfRule>
  </conditionalFormatting>
  <conditionalFormatting sqref="X14:X20">
    <cfRule type="expression" dxfId="5" priority="9">
      <formula>#REF!</formula>
    </cfRule>
  </conditionalFormatting>
  <conditionalFormatting sqref="X22:X23">
    <cfRule type="expression" dxfId="4" priority="8">
      <formula>#REF!</formula>
    </cfRule>
  </conditionalFormatting>
  <conditionalFormatting sqref="X25:X29">
    <cfRule type="expression" dxfId="3" priority="5">
      <formula>#REF!</formula>
    </cfRule>
  </conditionalFormatting>
  <conditionalFormatting sqref="X31:X34">
    <cfRule type="expression" dxfId="2" priority="3">
      <formula>#REF!</formula>
    </cfRule>
  </conditionalFormatting>
  <conditionalFormatting sqref="X38:X47">
    <cfRule type="expression" dxfId="1" priority="2">
      <formula>#REF!</formula>
    </cfRule>
  </conditionalFormatting>
  <conditionalFormatting sqref="X54:X56">
    <cfRule type="expression" dxfId="0" priority="1">
      <formula>#REF!</formula>
    </cfRule>
  </conditionalFormatting>
  <dataValidations count="2">
    <dataValidation type="custom" allowBlank="1" showErrorMessage="1" errorTitle="Invalid IEC 61131-3 Variable Nam" error="Please enter only alphanumeric and underscore characters." sqref="M3:M5" xr:uid="{61317369-8538-445A-BB94-4A20F0EB7F93}">
      <formula1>ISNUMBER(SUMPRODUCT(SEARCH(MID(M3,ROW(INDIRECT("1:"&amp;LEN(M3))),1),"0123456789abcdefghijklmnopqrstuvwxyzABCDEFGHIJKLMNOPQRSTUVWXYZ-_")))</formula1>
    </dataValidation>
    <dataValidation type="whole" errorStyle="warning" allowBlank="1" showInputMessage="1" showErrorMessage="1" errorTitle="Device Modbus Register Base" error="This value is the device register number of the first register in the table.  Typically this value is 1, occasionally it is 0.  " sqref="C4" xr:uid="{CC6FFD38-D79B-4468-ADAC-C6FCEFA1ABC6}">
      <formula1>0</formula1>
      <formula2>1</formula2>
    </dataValidation>
  </dataValidations>
  <pageMargins left="0.25" right="0.25" top="0.75" bottom="0.75" header="0.3" footer="0.3"/>
  <pageSetup paperSize="3" scale="24" fitToHeight="0"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88235-9060-4EC9-AD6C-F19177CE5204}">
  <sheetPr codeName="Sheet13">
    <tabColor rgb="FFFFFF00"/>
    <pageSetUpPr fitToPage="1"/>
  </sheetPr>
  <dimension ref="A1:AG35"/>
  <sheetViews>
    <sheetView workbookViewId="0">
      <selection activeCell="W20" sqref="W20"/>
    </sheetView>
  </sheetViews>
  <sheetFormatPr defaultColWidth="14.6640625" defaultRowHeight="16.149999999999999" customHeight="1" x14ac:dyDescent="0.15"/>
  <cols>
    <col min="1" max="1" width="4.83203125" customWidth="1"/>
    <col min="2" max="2" width="12.33203125" bestFit="1" customWidth="1"/>
    <col min="3" max="3" width="14.83203125" bestFit="1" customWidth="1"/>
    <col min="4" max="4" width="31.83203125" bestFit="1" customWidth="1"/>
    <col min="5" max="5" width="20" bestFit="1" customWidth="1"/>
    <col min="6" max="6" width="10.6640625" bestFit="1" customWidth="1"/>
    <col min="7" max="7" width="8.33203125" bestFit="1" customWidth="1"/>
    <col min="8" max="8" width="10.5" bestFit="1" customWidth="1"/>
    <col min="9" max="9" width="12.83203125" bestFit="1" customWidth="1"/>
    <col min="10" max="10" width="13.1640625" bestFit="1" customWidth="1"/>
    <col min="11" max="11" width="13.33203125" customWidth="1"/>
    <col min="12" max="12" width="14.1640625" bestFit="1" customWidth="1"/>
    <col min="13" max="13" width="8.1640625" bestFit="1" customWidth="1"/>
    <col min="14" max="14" width="9.1640625" bestFit="1" customWidth="1"/>
    <col min="15" max="15" width="13.33203125" hidden="1" customWidth="1"/>
    <col min="16" max="16" width="12.5" hidden="1" customWidth="1"/>
    <col min="17" max="17" width="13.33203125" hidden="1" customWidth="1"/>
    <col min="18" max="18" width="12.5" hidden="1" customWidth="1"/>
    <col min="19" max="19" width="14.33203125" bestFit="1" customWidth="1"/>
    <col min="20" max="20" width="13.83203125" bestFit="1" customWidth="1"/>
    <col min="21" max="21" width="16.5" bestFit="1" customWidth="1"/>
    <col min="22" max="22" width="15" bestFit="1" customWidth="1"/>
    <col min="23" max="23" width="53.5" style="9" bestFit="1" customWidth="1"/>
    <col min="24" max="24" width="18.83203125" bestFit="1" customWidth="1"/>
    <col min="25" max="25" width="12.1640625" style="9" bestFit="1" customWidth="1"/>
    <col min="26" max="26" width="5.5" style="9" customWidth="1"/>
    <col min="29" max="29" width="5.5" customWidth="1"/>
    <col min="30" max="30" width="25" style="9" bestFit="1" customWidth="1"/>
    <col min="31" max="31" width="39.6640625" style="9" customWidth="1"/>
    <col min="32" max="32" width="68" style="9" customWidth="1"/>
    <col min="33" max="33" width="5.5" style="9" bestFit="1" customWidth="1"/>
    <col min="34" max="34" width="56.5" customWidth="1"/>
    <col min="35" max="35" width="14.33203125" customWidth="1"/>
    <col min="36" max="36" width="11.33203125" bestFit="1" customWidth="1"/>
    <col min="37" max="37" width="14.6640625" customWidth="1"/>
    <col min="38" max="38" width="48.5" bestFit="1" customWidth="1"/>
  </cols>
  <sheetData>
    <row r="1" spans="1:33" ht="24" customHeight="1" x14ac:dyDescent="0.15">
      <c r="A1" s="25" t="s">
        <v>0</v>
      </c>
      <c r="B1" s="2"/>
      <c r="C1" s="2"/>
      <c r="D1" s="2"/>
      <c r="E1" s="2"/>
      <c r="F1" s="2"/>
      <c r="G1" s="142" t="s">
        <v>19</v>
      </c>
      <c r="H1" s="142"/>
      <c r="K1" s="25" t="s">
        <v>8934</v>
      </c>
      <c r="L1" s="25"/>
      <c r="W1" s="6"/>
      <c r="Z1"/>
      <c r="AD1"/>
      <c r="AE1"/>
      <c r="AF1"/>
      <c r="AG1"/>
    </row>
    <row r="2" spans="1:33" ht="16.149999999999999" customHeight="1" x14ac:dyDescent="0.15">
      <c r="A2" s="10" t="s">
        <v>21</v>
      </c>
      <c r="B2" s="2"/>
      <c r="C2" s="11">
        <v>45383</v>
      </c>
      <c r="D2" s="41" t="s">
        <v>22</v>
      </c>
      <c r="E2" t="s">
        <v>8935</v>
      </c>
      <c r="K2" t="s">
        <v>24</v>
      </c>
      <c r="W2" s="6"/>
      <c r="Z2"/>
      <c r="AD2"/>
      <c r="AE2"/>
      <c r="AF2"/>
      <c r="AG2"/>
    </row>
    <row r="3" spans="1:33" ht="16.149999999999999" customHeight="1" x14ac:dyDescent="0.15">
      <c r="A3" s="12" t="s">
        <v>25</v>
      </c>
      <c r="C3">
        <v>4</v>
      </c>
      <c r="D3" s="42" t="s">
        <v>26</v>
      </c>
      <c r="E3" t="s">
        <v>3190</v>
      </c>
      <c r="M3" s="13"/>
      <c r="N3" s="8"/>
      <c r="W3" s="6"/>
      <c r="Y3" s="37"/>
      <c r="Z3"/>
      <c r="AD3"/>
      <c r="AE3"/>
      <c r="AF3"/>
      <c r="AG3"/>
    </row>
    <row r="4" spans="1:33" ht="16.149999999999999" customHeight="1" x14ac:dyDescent="0.15">
      <c r="A4" s="12" t="s">
        <v>28</v>
      </c>
      <c r="C4" s="9">
        <v>1</v>
      </c>
      <c r="N4" s="2"/>
      <c r="W4" s="6"/>
      <c r="Y4"/>
      <c r="Z4"/>
      <c r="AD4"/>
      <c r="AE4"/>
      <c r="AF4"/>
      <c r="AG4"/>
    </row>
    <row r="5" spans="1:33" ht="16.149999999999999" customHeight="1" x14ac:dyDescent="0.15">
      <c r="A5" s="12" t="s">
        <v>30</v>
      </c>
      <c r="C5">
        <v>5</v>
      </c>
      <c r="N5" s="2"/>
      <c r="W5" s="6"/>
      <c r="Y5"/>
      <c r="Z5"/>
      <c r="AD5"/>
      <c r="AE5"/>
      <c r="AF5"/>
      <c r="AG5"/>
    </row>
    <row r="6" spans="1:33" ht="40.5" x14ac:dyDescent="0.15">
      <c r="A6" s="132" t="s">
        <v>31</v>
      </c>
      <c r="B6" t="s">
        <v>32</v>
      </c>
      <c r="C6" t="s">
        <v>33</v>
      </c>
      <c r="D6" t="s">
        <v>34</v>
      </c>
      <c r="E6" t="s">
        <v>35</v>
      </c>
      <c r="F6" s="133" t="s">
        <v>36</v>
      </c>
      <c r="G6" s="133" t="s">
        <v>37</v>
      </c>
      <c r="H6" s="134" t="s">
        <v>38</v>
      </c>
      <c r="I6" s="3" t="s">
        <v>39</v>
      </c>
      <c r="J6" s="135" t="s">
        <v>40</v>
      </c>
      <c r="K6" s="135" t="s">
        <v>41</v>
      </c>
      <c r="L6" s="135" t="s">
        <v>42</v>
      </c>
      <c r="M6" s="135" t="s">
        <v>43</v>
      </c>
      <c r="N6" t="s">
        <v>44</v>
      </c>
      <c r="O6" t="s">
        <v>45</v>
      </c>
      <c r="P6" t="s">
        <v>46</v>
      </c>
      <c r="Q6" t="s">
        <v>47</v>
      </c>
      <c r="R6" t="s">
        <v>48</v>
      </c>
      <c r="S6" s="3" t="s">
        <v>49</v>
      </c>
      <c r="T6" s="135" t="s">
        <v>50</v>
      </c>
      <c r="U6" t="s">
        <v>51</v>
      </c>
      <c r="V6" t="s">
        <v>52</v>
      </c>
      <c r="W6" s="135" t="s">
        <v>53</v>
      </c>
      <c r="X6" t="s">
        <v>54</v>
      </c>
      <c r="Y6" t="s">
        <v>55</v>
      </c>
      <c r="Z6"/>
      <c r="AD6"/>
      <c r="AE6"/>
      <c r="AF6"/>
      <c r="AG6"/>
    </row>
    <row r="7" spans="1:33" ht="15.75" customHeight="1" x14ac:dyDescent="0.15">
      <c r="A7" s="6">
        <v>1</v>
      </c>
      <c r="B7" s="18" t="s">
        <v>75</v>
      </c>
      <c r="C7" s="34" t="s">
        <v>2634</v>
      </c>
      <c r="D7" t="s">
        <v>8936</v>
      </c>
      <c r="E7" s="2" t="s">
        <v>107</v>
      </c>
      <c r="F7" s="19">
        <v>2</v>
      </c>
      <c r="G7" s="6"/>
      <c r="H7" s="6">
        <v>40003</v>
      </c>
      <c r="I7" s="34"/>
      <c r="J7" s="38"/>
      <c r="K7" s="38"/>
      <c r="L7" s="38"/>
      <c r="M7" s="38" t="s">
        <v>8937</v>
      </c>
      <c r="N7" s="19">
        <v>100</v>
      </c>
      <c r="O7" s="76">
        <v>-2147483648</v>
      </c>
      <c r="P7" s="6">
        <v>2147483647</v>
      </c>
      <c r="Q7" s="38">
        <f>IFERROR(Table33354910[[#This Row],[Min Count]]/Table33354910[[#This Row],[Scalar]],"")</f>
        <v>-21474836.48</v>
      </c>
      <c r="R7" s="38">
        <f>IFERROR(Table33354910[[#This Row],[Max Count]]/Table33354910[[#This Row],[Scalar]],"")</f>
        <v>21474836.469999999</v>
      </c>
      <c r="S7" s="34"/>
      <c r="T7" s="34"/>
      <c r="U7" s="34"/>
      <c r="V7" s="8"/>
      <c r="W7" s="36" t="s">
        <v>9002</v>
      </c>
      <c r="X7" s="8"/>
      <c r="Y7" s="34"/>
      <c r="Z7"/>
      <c r="AD7"/>
      <c r="AE7"/>
      <c r="AF7"/>
      <c r="AG7"/>
    </row>
    <row r="8" spans="1:33" ht="15.75" customHeight="1" x14ac:dyDescent="0.15">
      <c r="A8" s="6">
        <v>2</v>
      </c>
      <c r="B8" s="18" t="s">
        <v>75</v>
      </c>
      <c r="C8" s="34" t="s">
        <v>2634</v>
      </c>
      <c r="D8" t="s">
        <v>8938</v>
      </c>
      <c r="E8" s="2" t="s">
        <v>107</v>
      </c>
      <c r="F8" s="19">
        <v>4</v>
      </c>
      <c r="G8" s="6"/>
      <c r="H8" s="6">
        <v>40005</v>
      </c>
      <c r="I8" s="34"/>
      <c r="J8" s="38"/>
      <c r="K8" s="38"/>
      <c r="L8" s="38"/>
      <c r="M8" s="38" t="s">
        <v>8937</v>
      </c>
      <c r="N8" s="19">
        <v>100</v>
      </c>
      <c r="O8" s="76">
        <v>-2147483648</v>
      </c>
      <c r="P8" s="6">
        <v>2147483647</v>
      </c>
      <c r="Q8" s="38">
        <f>IFERROR(Table33354910[[#This Row],[Min Count]]/Table33354910[[#This Row],[Scalar]],"")</f>
        <v>-21474836.48</v>
      </c>
      <c r="R8" s="38">
        <f>IFERROR(Table33354910[[#This Row],[Max Count]]/Table33354910[[#This Row],[Scalar]],"")</f>
        <v>21474836.469999999</v>
      </c>
      <c r="S8" s="34"/>
      <c r="T8" s="34"/>
      <c r="U8" s="34"/>
      <c r="V8" s="8"/>
      <c r="W8" s="36" t="s">
        <v>9003</v>
      </c>
      <c r="X8" s="8"/>
      <c r="Y8" s="34"/>
      <c r="Z8"/>
      <c r="AD8"/>
      <c r="AE8"/>
      <c r="AF8"/>
      <c r="AG8"/>
    </row>
    <row r="9" spans="1:33" ht="15.75" customHeight="1" x14ac:dyDescent="0.15">
      <c r="A9" s="6">
        <v>3</v>
      </c>
      <c r="B9" s="18" t="s">
        <v>75</v>
      </c>
      <c r="C9" s="34" t="s">
        <v>2634</v>
      </c>
      <c r="D9" t="s">
        <v>8939</v>
      </c>
      <c r="E9" s="2" t="s">
        <v>143</v>
      </c>
      <c r="F9" s="19">
        <v>6</v>
      </c>
      <c r="G9" s="6"/>
      <c r="H9" s="6">
        <v>40007</v>
      </c>
      <c r="I9" s="34"/>
      <c r="J9" s="38"/>
      <c r="K9" s="38"/>
      <c r="L9" s="38"/>
      <c r="M9" s="38" t="s">
        <v>8915</v>
      </c>
      <c r="N9" s="19">
        <v>100</v>
      </c>
      <c r="O9" s="76">
        <v>-32768</v>
      </c>
      <c r="P9" s="6">
        <v>32767</v>
      </c>
      <c r="Q9" s="38">
        <f>IFERROR(Table33354910[[#This Row],[Min Count]]/Table33354910[[#This Row],[Scalar]],"")</f>
        <v>-327.68</v>
      </c>
      <c r="R9" s="38">
        <f>IFERROR(Table33354910[[#This Row],[Max Count]]/Table33354910[[#This Row],[Scalar]],"")</f>
        <v>327.67</v>
      </c>
      <c r="S9" s="34"/>
      <c r="T9" s="34"/>
      <c r="U9" s="34"/>
      <c r="V9" s="8"/>
      <c r="W9" s="36" t="s">
        <v>9004</v>
      </c>
      <c r="X9" s="8"/>
      <c r="Y9" s="34"/>
      <c r="Z9"/>
      <c r="AD9"/>
      <c r="AE9"/>
      <c r="AF9"/>
      <c r="AG9"/>
    </row>
    <row r="10" spans="1:33" ht="15.75" customHeight="1" x14ac:dyDescent="0.15">
      <c r="A10" s="6">
        <v>4</v>
      </c>
      <c r="B10" s="18" t="s">
        <v>75</v>
      </c>
      <c r="C10" s="34" t="s">
        <v>2634</v>
      </c>
      <c r="D10" t="s">
        <v>8940</v>
      </c>
      <c r="E10" s="2" t="s">
        <v>77</v>
      </c>
      <c r="F10" s="19">
        <v>40</v>
      </c>
      <c r="G10" s="6"/>
      <c r="H10" s="6">
        <v>40041</v>
      </c>
      <c r="I10" s="34"/>
      <c r="J10" s="38"/>
      <c r="K10" s="38"/>
      <c r="L10" s="38"/>
      <c r="M10" s="38" t="s">
        <v>61</v>
      </c>
      <c r="N10" s="19">
        <v>1</v>
      </c>
      <c r="O10" s="76">
        <v>0</v>
      </c>
      <c r="P10" s="6">
        <v>65535</v>
      </c>
      <c r="Q10" s="38">
        <f>IFERROR(Table33354910[[#This Row],[Min Count]]/Table33354910[[#This Row],[Scalar]],"")</f>
        <v>0</v>
      </c>
      <c r="R10" s="38">
        <f>IFERROR(Table33354910[[#This Row],[Max Count]]/Table33354910[[#This Row],[Scalar]],"")</f>
        <v>65535</v>
      </c>
      <c r="S10" s="34"/>
      <c r="T10" s="34"/>
      <c r="U10" s="34"/>
      <c r="V10" s="8"/>
      <c r="W10" s="36" t="s">
        <v>9005</v>
      </c>
      <c r="X10" s="8"/>
      <c r="Y10" s="34"/>
      <c r="Z10"/>
      <c r="AD10"/>
      <c r="AE10"/>
      <c r="AF10"/>
      <c r="AG10"/>
    </row>
    <row r="11" spans="1:33" ht="15.75" customHeight="1" x14ac:dyDescent="0.15">
      <c r="A11" s="6">
        <v>5</v>
      </c>
      <c r="B11" s="18" t="s">
        <v>75</v>
      </c>
      <c r="C11" s="34" t="s">
        <v>2634</v>
      </c>
      <c r="D11" t="s">
        <v>8941</v>
      </c>
      <c r="E11" s="2" t="s">
        <v>3192</v>
      </c>
      <c r="F11" s="19">
        <v>41</v>
      </c>
      <c r="G11" s="6"/>
      <c r="H11" s="6">
        <v>40042</v>
      </c>
      <c r="I11" s="34"/>
      <c r="J11" s="38"/>
      <c r="K11" s="38"/>
      <c r="L11" s="38"/>
      <c r="M11" s="38" t="s">
        <v>8942</v>
      </c>
      <c r="N11" s="19">
        <v>9.9999999999999995E-7</v>
      </c>
      <c r="O11" s="76">
        <v>-3.40282346639E+38</v>
      </c>
      <c r="P11" s="6">
        <v>3.40282346639E+38</v>
      </c>
      <c r="Q11" s="38">
        <f>IFERROR(Table33354910[[#This Row],[Min Count]]/Table33354910[[#This Row],[Scalar]],"")</f>
        <v>-3.4028234663900003E+44</v>
      </c>
      <c r="R11" s="38">
        <f>IFERROR(Table33354910[[#This Row],[Max Count]]/Table33354910[[#This Row],[Scalar]],"")</f>
        <v>3.4028234663900003E+44</v>
      </c>
      <c r="S11" s="34"/>
      <c r="T11" s="34"/>
      <c r="U11" s="34"/>
      <c r="V11" s="8"/>
      <c r="W11" s="36" t="s">
        <v>9006</v>
      </c>
      <c r="X11" s="8"/>
      <c r="Y11" s="2"/>
      <c r="Z11"/>
      <c r="AD11"/>
      <c r="AE11"/>
      <c r="AF11"/>
      <c r="AG11"/>
    </row>
    <row r="12" spans="1:33" ht="15.75" customHeight="1" x14ac:dyDescent="0.15">
      <c r="A12" s="6">
        <v>6</v>
      </c>
      <c r="B12" s="18" t="s">
        <v>75</v>
      </c>
      <c r="C12" s="34" t="s">
        <v>2634</v>
      </c>
      <c r="D12" t="s">
        <v>8943</v>
      </c>
      <c r="E12" s="2" t="s">
        <v>3192</v>
      </c>
      <c r="F12" s="19">
        <v>46</v>
      </c>
      <c r="G12" s="6"/>
      <c r="H12" s="6">
        <v>40047</v>
      </c>
      <c r="I12" s="34"/>
      <c r="J12" s="38"/>
      <c r="K12" s="38"/>
      <c r="L12" s="38"/>
      <c r="M12" s="38" t="s">
        <v>8944</v>
      </c>
      <c r="N12" s="19">
        <v>1</v>
      </c>
      <c r="O12" s="76">
        <v>-3.40282346639E+38</v>
      </c>
      <c r="P12" s="6">
        <v>3.40282346639E+38</v>
      </c>
      <c r="Q12" s="38">
        <f>IFERROR(Table33354910[[#This Row],[Min Count]]/Table33354910[[#This Row],[Scalar]],"")</f>
        <v>-3.40282346639E+38</v>
      </c>
      <c r="R12" s="38">
        <f>IFERROR(Table33354910[[#This Row],[Max Count]]/Table33354910[[#This Row],[Scalar]],"")</f>
        <v>3.40282346639E+38</v>
      </c>
      <c r="S12" s="34"/>
      <c r="T12" s="34"/>
      <c r="U12" s="34"/>
      <c r="V12" s="8"/>
      <c r="W12" s="36" t="s">
        <v>9007</v>
      </c>
      <c r="X12" s="8"/>
      <c r="Y12" s="2" t="s">
        <v>8945</v>
      </c>
      <c r="Z12"/>
      <c r="AD12"/>
      <c r="AE12"/>
      <c r="AF12"/>
      <c r="AG12"/>
    </row>
    <row r="13" spans="1:33" ht="15.75" customHeight="1" x14ac:dyDescent="0.15">
      <c r="A13" s="6">
        <v>7</v>
      </c>
      <c r="B13" s="18" t="s">
        <v>75</v>
      </c>
      <c r="C13" s="34" t="s">
        <v>2634</v>
      </c>
      <c r="D13" t="s">
        <v>8946</v>
      </c>
      <c r="E13" s="2" t="s">
        <v>77</v>
      </c>
      <c r="F13" s="19">
        <v>98</v>
      </c>
      <c r="G13" s="6"/>
      <c r="H13" s="6">
        <v>40099</v>
      </c>
      <c r="I13" s="34"/>
      <c r="J13" s="38"/>
      <c r="K13" s="38"/>
      <c r="L13" s="38"/>
      <c r="M13" s="38" t="s">
        <v>560</v>
      </c>
      <c r="N13" s="19">
        <v>100</v>
      </c>
      <c r="O13" s="76">
        <v>0</v>
      </c>
      <c r="P13" s="6">
        <v>65535</v>
      </c>
      <c r="Q13" s="38">
        <f>IFERROR(Table33354910[[#This Row],[Min Count]]/Table33354910[[#This Row],[Scalar]],"")</f>
        <v>0</v>
      </c>
      <c r="R13" s="38">
        <f>IFERROR(Table33354910[[#This Row],[Max Count]]/Table33354910[[#This Row],[Scalar]],"")</f>
        <v>655.35</v>
      </c>
      <c r="S13" s="34"/>
      <c r="T13" s="34"/>
      <c r="U13" s="34"/>
      <c r="V13" s="8"/>
      <c r="W13" s="36" t="s">
        <v>9008</v>
      </c>
      <c r="X13" s="8"/>
      <c r="Y13" s="2"/>
      <c r="Z13"/>
      <c r="AD13"/>
      <c r="AE13"/>
      <c r="AF13"/>
      <c r="AG13"/>
    </row>
    <row r="14" spans="1:33" ht="15.75" customHeight="1" x14ac:dyDescent="0.15">
      <c r="A14" s="6">
        <v>8</v>
      </c>
      <c r="B14" s="18" t="s">
        <v>75</v>
      </c>
      <c r="C14" s="34" t="s">
        <v>2634</v>
      </c>
      <c r="D14" t="s">
        <v>8947</v>
      </c>
      <c r="E14" s="2" t="s">
        <v>77</v>
      </c>
      <c r="F14" s="19">
        <v>194</v>
      </c>
      <c r="G14" s="6"/>
      <c r="H14" s="6">
        <v>40195</v>
      </c>
      <c r="I14" s="34"/>
      <c r="J14" s="38"/>
      <c r="K14" s="38"/>
      <c r="L14" s="38"/>
      <c r="M14" s="38" t="s">
        <v>6111</v>
      </c>
      <c r="N14" s="19">
        <v>100</v>
      </c>
      <c r="O14" s="76">
        <v>0</v>
      </c>
      <c r="P14" s="6">
        <v>65535</v>
      </c>
      <c r="Q14" s="38">
        <f>IFERROR(Table33354910[[#This Row],[Min Count]]/Table33354910[[#This Row],[Scalar]],"")</f>
        <v>0</v>
      </c>
      <c r="R14" s="38">
        <f>IFERROR(Table33354910[[#This Row],[Max Count]]/Table33354910[[#This Row],[Scalar]],"")</f>
        <v>655.35</v>
      </c>
      <c r="S14" s="34"/>
      <c r="T14" s="34"/>
      <c r="U14" s="34"/>
      <c r="V14" s="8"/>
      <c r="W14" s="36" t="s">
        <v>9009</v>
      </c>
      <c r="X14" s="8"/>
      <c r="Y14" s="2"/>
      <c r="Z14"/>
      <c r="AD14"/>
      <c r="AE14"/>
      <c r="AF14"/>
      <c r="AG14"/>
    </row>
    <row r="15" spans="1:33" ht="15.75" customHeight="1" x14ac:dyDescent="0.15">
      <c r="A15" s="6">
        <v>9</v>
      </c>
      <c r="B15" s="18" t="s">
        <v>75</v>
      </c>
      <c r="C15" s="34" t="s">
        <v>2634</v>
      </c>
      <c r="D15" t="s">
        <v>8948</v>
      </c>
      <c r="E15" s="2" t="s">
        <v>77</v>
      </c>
      <c r="F15" s="19">
        <v>196</v>
      </c>
      <c r="G15" s="6"/>
      <c r="H15" s="6">
        <v>40197</v>
      </c>
      <c r="I15" s="34"/>
      <c r="J15" s="38"/>
      <c r="K15" s="38"/>
      <c r="L15" s="38"/>
      <c r="M15" s="38" t="s">
        <v>7383</v>
      </c>
      <c r="N15" s="19">
        <v>1</v>
      </c>
      <c r="O15" s="76">
        <v>0</v>
      </c>
      <c r="P15" s="6">
        <v>65535</v>
      </c>
      <c r="Q15" s="38">
        <f>IFERROR(Table33354910[[#This Row],[Min Count]]/Table33354910[[#This Row],[Scalar]],"")</f>
        <v>0</v>
      </c>
      <c r="R15" s="38">
        <f>IFERROR(Table33354910[[#This Row],[Max Count]]/Table33354910[[#This Row],[Scalar]],"")</f>
        <v>65535</v>
      </c>
      <c r="S15" s="34"/>
      <c r="T15" s="34"/>
      <c r="U15" s="34"/>
      <c r="V15" s="8"/>
      <c r="W15" s="36" t="s">
        <v>9010</v>
      </c>
      <c r="X15" s="8"/>
      <c r="Y15" s="2"/>
      <c r="Z15"/>
      <c r="AD15"/>
      <c r="AE15"/>
      <c r="AF15"/>
      <c r="AG15"/>
    </row>
    <row r="16" spans="1:33" ht="15.75" customHeight="1" x14ac:dyDescent="0.15">
      <c r="A16" s="6">
        <v>10</v>
      </c>
      <c r="B16" s="18" t="s">
        <v>75</v>
      </c>
      <c r="C16" s="34" t="s">
        <v>2634</v>
      </c>
      <c r="D16" t="s">
        <v>8949</v>
      </c>
      <c r="E16" s="2" t="s">
        <v>77</v>
      </c>
      <c r="F16" s="19">
        <v>199</v>
      </c>
      <c r="G16" s="6"/>
      <c r="H16" s="6">
        <v>40200</v>
      </c>
      <c r="I16" s="34"/>
      <c r="J16" s="38"/>
      <c r="K16" s="38"/>
      <c r="L16" s="38"/>
      <c r="M16" s="38" t="s">
        <v>123</v>
      </c>
      <c r="N16" s="19">
        <v>1E-3</v>
      </c>
      <c r="O16" s="76">
        <v>0</v>
      </c>
      <c r="P16" s="6">
        <v>65535</v>
      </c>
      <c r="Q16" s="38">
        <f>IFERROR(Table33354910[[#This Row],[Min Count]]/Table33354910[[#This Row],[Scalar]],"")</f>
        <v>0</v>
      </c>
      <c r="R16" s="38">
        <f>IFERROR(Table33354910[[#This Row],[Max Count]]/Table33354910[[#This Row],[Scalar]],"")</f>
        <v>65535000</v>
      </c>
      <c r="S16" s="34"/>
      <c r="T16" s="34"/>
      <c r="U16" s="34"/>
      <c r="V16" s="8"/>
      <c r="W16" s="36" t="s">
        <v>9011</v>
      </c>
      <c r="X16" s="8"/>
      <c r="Y16" s="2"/>
      <c r="Z16"/>
      <c r="AD16"/>
      <c r="AE16"/>
      <c r="AF16"/>
      <c r="AG16"/>
    </row>
    <row r="17" spans="1:33" ht="16.149999999999999" customHeight="1" x14ac:dyDescent="0.15">
      <c r="A17" s="6"/>
      <c r="B17" s="18"/>
      <c r="C17" s="34"/>
      <c r="E17" s="2"/>
      <c r="F17" s="19"/>
      <c r="G17" s="6"/>
      <c r="H17" s="6"/>
      <c r="I17" s="2"/>
      <c r="J17" s="38"/>
      <c r="K17" s="6"/>
      <c r="L17" s="38"/>
      <c r="M17" s="6"/>
      <c r="N17" s="19"/>
      <c r="O17" s="6"/>
      <c r="P17" s="6"/>
      <c r="Q17" s="6"/>
      <c r="R17" s="6"/>
      <c r="S17" s="2"/>
      <c r="T17" s="2"/>
      <c r="U17" s="2"/>
      <c r="V17" s="8"/>
      <c r="W17" s="77"/>
      <c r="X17" s="8"/>
      <c r="Y17" s="2"/>
      <c r="Z17"/>
      <c r="AD17"/>
      <c r="AE17"/>
      <c r="AF17"/>
      <c r="AG17"/>
    </row>
    <row r="18" spans="1:33" s="9" customFormat="1" ht="16.149999999999999" customHeight="1" x14ac:dyDescent="0.15">
      <c r="A18" s="6"/>
      <c r="B18" s="18"/>
      <c r="C18"/>
      <c r="D18" s="2"/>
      <c r="E18"/>
      <c r="F18"/>
      <c r="G18"/>
      <c r="H18"/>
      <c r="I18" s="2"/>
      <c r="J18"/>
      <c r="L18"/>
      <c r="M18"/>
      <c r="N18"/>
      <c r="O18"/>
      <c r="P18"/>
      <c r="Q18" s="8"/>
      <c r="R18"/>
      <c r="S18"/>
      <c r="T18"/>
      <c r="U18"/>
      <c r="V18"/>
      <c r="W18" s="20"/>
      <c r="X18"/>
      <c r="Y18" s="19"/>
      <c r="Z18" s="19"/>
      <c r="AC18"/>
      <c r="AD18" s="20"/>
    </row>
    <row r="19" spans="1:33" s="9" customFormat="1" ht="16.149999999999999" customHeight="1" x14ac:dyDescent="0.15">
      <c r="A19" s="6"/>
      <c r="B19" s="18"/>
      <c r="C19"/>
      <c r="D19" s="2"/>
      <c r="E19"/>
      <c r="F19"/>
      <c r="G19"/>
      <c r="H19"/>
      <c r="I19" s="2"/>
      <c r="J19"/>
      <c r="L19"/>
      <c r="M19"/>
      <c r="N19"/>
      <c r="O19"/>
      <c r="P19"/>
      <c r="Q19" s="8"/>
      <c r="R19"/>
      <c r="S19"/>
      <c r="T19"/>
      <c r="U19"/>
      <c r="V19"/>
      <c r="W19" s="20"/>
      <c r="X19"/>
      <c r="Y19" s="19"/>
      <c r="Z19" s="19"/>
      <c r="AC19"/>
      <c r="AD19" s="20"/>
    </row>
    <row r="20" spans="1:33" s="9" customFormat="1" ht="16.149999999999999" customHeight="1" x14ac:dyDescent="0.15">
      <c r="A20" s="6"/>
      <c r="B20" s="18"/>
      <c r="C20"/>
      <c r="D20" s="2"/>
      <c r="E20"/>
      <c r="F20"/>
      <c r="G20"/>
      <c r="H20"/>
      <c r="I20" s="2"/>
      <c r="J20"/>
      <c r="L20"/>
      <c r="M20"/>
      <c r="N20"/>
      <c r="O20"/>
      <c r="P20"/>
      <c r="Q20" s="8"/>
      <c r="R20"/>
      <c r="S20"/>
      <c r="T20"/>
      <c r="U20"/>
      <c r="V20"/>
      <c r="W20" s="20"/>
      <c r="X20"/>
      <c r="Y20" s="19"/>
      <c r="Z20" s="19"/>
      <c r="AC20"/>
      <c r="AD20" s="20"/>
    </row>
    <row r="21" spans="1:33" s="9" customFormat="1" ht="16.149999999999999" customHeight="1" x14ac:dyDescent="0.15">
      <c r="A21" s="6"/>
      <c r="B21" s="18"/>
      <c r="C21"/>
      <c r="D21" s="2"/>
      <c r="E21"/>
      <c r="F21"/>
      <c r="G21"/>
      <c r="H21"/>
      <c r="I21" s="2"/>
      <c r="J21"/>
      <c r="L21"/>
      <c r="M21"/>
      <c r="N21"/>
      <c r="O21"/>
      <c r="P21"/>
      <c r="Q21" s="8"/>
      <c r="R21"/>
      <c r="S21"/>
      <c r="T21"/>
      <c r="U21"/>
      <c r="V21"/>
      <c r="W21" s="20"/>
      <c r="X21"/>
      <c r="Y21" s="19"/>
      <c r="Z21" s="19"/>
      <c r="AC21"/>
      <c r="AD21" s="20"/>
    </row>
    <row r="22" spans="1:33" s="9" customFormat="1" ht="16.149999999999999" customHeight="1" x14ac:dyDescent="0.15">
      <c r="A22" s="6"/>
      <c r="B22" s="18"/>
      <c r="C22"/>
      <c r="D22" s="2"/>
      <c r="E22"/>
      <c r="F22"/>
      <c r="G22"/>
      <c r="H22"/>
      <c r="I22" s="2"/>
      <c r="J22"/>
      <c r="L22"/>
      <c r="M22"/>
      <c r="N22"/>
      <c r="O22"/>
      <c r="P22"/>
      <c r="Q22" s="8"/>
      <c r="R22"/>
      <c r="S22"/>
      <c r="T22"/>
      <c r="U22"/>
      <c r="V22"/>
      <c r="W22" s="20"/>
      <c r="X22"/>
      <c r="Y22" s="19"/>
      <c r="Z22" s="19"/>
      <c r="AC22"/>
      <c r="AD22" s="20"/>
    </row>
    <row r="23" spans="1:33" s="9" customFormat="1" ht="16.149999999999999" customHeight="1" x14ac:dyDescent="0.15">
      <c r="A23" s="6"/>
      <c r="B23" s="18"/>
      <c r="C23"/>
      <c r="D23" s="2"/>
      <c r="E23"/>
      <c r="F23"/>
      <c r="G23"/>
      <c r="H23"/>
      <c r="I23" s="2"/>
      <c r="J23"/>
      <c r="L23"/>
      <c r="M23"/>
      <c r="N23"/>
      <c r="O23"/>
      <c r="P23"/>
      <c r="Q23" s="8"/>
      <c r="R23"/>
      <c r="S23"/>
      <c r="T23"/>
      <c r="U23"/>
      <c r="V23"/>
      <c r="W23" s="20"/>
      <c r="X23"/>
      <c r="Y23" s="19"/>
      <c r="Z23" s="19"/>
      <c r="AC23"/>
      <c r="AD23" s="20"/>
    </row>
    <row r="24" spans="1:33" s="9" customFormat="1" ht="16.149999999999999" customHeight="1" x14ac:dyDescent="0.15">
      <c r="A24" s="6"/>
      <c r="B24" s="18"/>
      <c r="C24"/>
      <c r="D24" s="2"/>
      <c r="E24"/>
      <c r="F24"/>
      <c r="G24"/>
      <c r="H24"/>
      <c r="I24" s="2"/>
      <c r="J24"/>
      <c r="L24"/>
      <c r="M24"/>
      <c r="N24"/>
      <c r="O24"/>
      <c r="P24"/>
      <c r="Q24" s="8"/>
      <c r="R24"/>
      <c r="S24"/>
      <c r="T24"/>
      <c r="U24"/>
      <c r="V24"/>
      <c r="W24" s="20"/>
      <c r="X24"/>
      <c r="Y24" s="19"/>
      <c r="Z24" s="19"/>
      <c r="AC24"/>
      <c r="AD24" s="20"/>
    </row>
    <row r="25" spans="1:33" s="9" customFormat="1" ht="16.149999999999999" customHeight="1" x14ac:dyDescent="0.15">
      <c r="A25" s="6"/>
      <c r="B25" s="18"/>
      <c r="C25"/>
      <c r="D25" s="2"/>
      <c r="E25"/>
      <c r="F25"/>
      <c r="G25"/>
      <c r="H25"/>
      <c r="I25" s="2"/>
      <c r="J25"/>
      <c r="L25"/>
      <c r="M25"/>
      <c r="N25"/>
      <c r="O25"/>
      <c r="P25"/>
      <c r="Q25" s="8"/>
      <c r="R25"/>
      <c r="S25"/>
      <c r="T25"/>
      <c r="U25"/>
      <c r="V25"/>
      <c r="W25" s="20"/>
      <c r="X25"/>
      <c r="Y25" s="19"/>
      <c r="Z25" s="19"/>
      <c r="AC25"/>
      <c r="AD25" s="20"/>
    </row>
    <row r="26" spans="1:33" s="9" customFormat="1" ht="16.149999999999999" customHeight="1" x14ac:dyDescent="0.15">
      <c r="A26" s="6"/>
      <c r="B26" s="18"/>
      <c r="C26"/>
      <c r="D26" s="2"/>
      <c r="E26"/>
      <c r="F26"/>
      <c r="G26"/>
      <c r="H26"/>
      <c r="I26" s="2"/>
      <c r="J26"/>
      <c r="L26"/>
      <c r="M26"/>
      <c r="N26"/>
      <c r="O26"/>
      <c r="P26"/>
      <c r="Q26" s="8"/>
      <c r="R26"/>
      <c r="S26"/>
      <c r="T26"/>
      <c r="U26"/>
      <c r="V26"/>
      <c r="W26" s="20"/>
      <c r="X26"/>
      <c r="Y26" s="19"/>
      <c r="Z26" s="19"/>
      <c r="AC26"/>
      <c r="AD26" s="20"/>
    </row>
    <row r="27" spans="1:33" s="9" customFormat="1" ht="16.149999999999999" customHeight="1" x14ac:dyDescent="0.15">
      <c r="A27" s="6"/>
      <c r="B27" s="18"/>
      <c r="C27"/>
      <c r="D27" s="2"/>
      <c r="E27"/>
      <c r="F27"/>
      <c r="G27"/>
      <c r="H27"/>
      <c r="I27" s="2"/>
      <c r="J27"/>
      <c r="L27"/>
      <c r="M27"/>
      <c r="N27"/>
      <c r="O27"/>
      <c r="P27"/>
      <c r="Q27" s="8"/>
      <c r="R27"/>
      <c r="S27"/>
      <c r="T27"/>
      <c r="U27"/>
      <c r="V27"/>
      <c r="W27" s="20"/>
      <c r="X27"/>
      <c r="Y27" s="19"/>
      <c r="Z27" s="19"/>
      <c r="AC27"/>
      <c r="AD27" s="20"/>
    </row>
    <row r="28" spans="1:33" s="9" customFormat="1" ht="16.149999999999999" customHeight="1" x14ac:dyDescent="0.15">
      <c r="A28" s="6"/>
      <c r="B28" s="18"/>
      <c r="C28"/>
      <c r="D28" s="2"/>
      <c r="E28"/>
      <c r="F28"/>
      <c r="G28"/>
      <c r="H28"/>
      <c r="I28" s="2"/>
      <c r="J28"/>
      <c r="L28"/>
      <c r="M28"/>
      <c r="N28"/>
      <c r="O28"/>
      <c r="P28"/>
      <c r="Q28" s="8"/>
      <c r="R28"/>
      <c r="S28"/>
      <c r="T28"/>
      <c r="U28"/>
      <c r="V28"/>
      <c r="W28" s="20"/>
      <c r="X28"/>
      <c r="Y28" s="19"/>
      <c r="Z28" s="19"/>
      <c r="AC28"/>
      <c r="AD28" s="20"/>
    </row>
    <row r="29" spans="1:33" s="9" customFormat="1" ht="16.149999999999999" customHeight="1" x14ac:dyDescent="0.15">
      <c r="A29" s="6"/>
      <c r="B29" s="18"/>
      <c r="C29"/>
      <c r="D29" s="2"/>
      <c r="E29"/>
      <c r="F29"/>
      <c r="G29"/>
      <c r="H29"/>
      <c r="I29" s="2"/>
      <c r="J29"/>
      <c r="L29"/>
      <c r="M29"/>
      <c r="N29"/>
      <c r="O29"/>
      <c r="P29"/>
      <c r="Q29" s="8"/>
      <c r="R29"/>
      <c r="S29"/>
      <c r="T29"/>
      <c r="U29"/>
      <c r="V29"/>
      <c r="W29" s="20"/>
      <c r="X29"/>
      <c r="Y29" s="19"/>
      <c r="Z29" s="19"/>
      <c r="AC29"/>
      <c r="AD29" s="20"/>
    </row>
    <row r="30" spans="1:33" s="9" customFormat="1" ht="16.149999999999999" customHeight="1" x14ac:dyDescent="0.15">
      <c r="A30" s="6"/>
      <c r="B30" s="18"/>
      <c r="C30"/>
      <c r="D30" s="2"/>
      <c r="E30"/>
      <c r="F30"/>
      <c r="G30"/>
      <c r="H30"/>
      <c r="I30" s="2"/>
      <c r="J30"/>
      <c r="L30"/>
      <c r="M30"/>
      <c r="N30"/>
      <c r="O30"/>
      <c r="P30"/>
      <c r="Q30" s="8"/>
      <c r="R30"/>
      <c r="S30"/>
      <c r="T30"/>
      <c r="U30"/>
      <c r="V30"/>
      <c r="W30" s="20"/>
      <c r="X30"/>
      <c r="Y30" s="19"/>
      <c r="Z30" s="19"/>
      <c r="AC30"/>
      <c r="AD30" s="20"/>
    </row>
    <row r="31" spans="1:33" s="9" customFormat="1" ht="16.149999999999999" customHeight="1" x14ac:dyDescent="0.15">
      <c r="A31" s="6"/>
      <c r="B31" s="18"/>
      <c r="C31"/>
      <c r="D31" s="2"/>
      <c r="E31"/>
      <c r="F31"/>
      <c r="G31"/>
      <c r="H31"/>
      <c r="I31" s="2"/>
      <c r="J31"/>
      <c r="L31"/>
      <c r="M31"/>
      <c r="N31"/>
      <c r="O31"/>
      <c r="P31"/>
      <c r="Q31" s="8"/>
      <c r="R31"/>
      <c r="S31"/>
      <c r="T31"/>
      <c r="U31"/>
      <c r="V31"/>
      <c r="W31" s="20"/>
      <c r="X31"/>
      <c r="Y31" s="19"/>
      <c r="Z31" s="19"/>
      <c r="AC31"/>
      <c r="AD31" s="20"/>
    </row>
    <row r="32" spans="1:33" s="9" customFormat="1" ht="16.149999999999999" customHeight="1" x14ac:dyDescent="0.15">
      <c r="A32" s="6"/>
      <c r="B32" s="18"/>
      <c r="C32"/>
      <c r="D32" s="2"/>
      <c r="E32"/>
      <c r="F32"/>
      <c r="G32"/>
      <c r="H32"/>
      <c r="I32" s="2"/>
      <c r="J32"/>
      <c r="L32"/>
      <c r="M32"/>
      <c r="N32"/>
      <c r="O32"/>
      <c r="P32"/>
      <c r="Q32" s="8"/>
      <c r="R32"/>
      <c r="S32"/>
      <c r="T32"/>
      <c r="U32"/>
      <c r="V32"/>
      <c r="W32" s="20"/>
      <c r="X32"/>
      <c r="Y32" s="19"/>
      <c r="Z32" s="19"/>
      <c r="AC32"/>
      <c r="AD32" s="20"/>
    </row>
    <row r="33" spans="1:30" s="9" customFormat="1" ht="16.149999999999999" customHeight="1" x14ac:dyDescent="0.15">
      <c r="A33" s="6"/>
      <c r="B33" s="18"/>
      <c r="C33"/>
      <c r="D33" s="2"/>
      <c r="E33"/>
      <c r="F33"/>
      <c r="G33"/>
      <c r="H33"/>
      <c r="I33" s="2"/>
      <c r="J33"/>
      <c r="L33"/>
      <c r="M33"/>
      <c r="N33"/>
      <c r="O33"/>
      <c r="P33"/>
      <c r="Q33" s="8"/>
      <c r="R33"/>
      <c r="S33"/>
      <c r="T33"/>
      <c r="U33"/>
      <c r="V33"/>
      <c r="W33" s="20"/>
      <c r="X33"/>
      <c r="Y33" s="19"/>
      <c r="Z33" s="19"/>
      <c r="AC33"/>
      <c r="AD33" s="20"/>
    </row>
    <row r="34" spans="1:30" s="9" customFormat="1" ht="16.149999999999999" customHeight="1" x14ac:dyDescent="0.15">
      <c r="A34" s="6"/>
      <c r="B34" s="18"/>
      <c r="C34"/>
      <c r="D34" s="2"/>
      <c r="E34"/>
      <c r="F34"/>
      <c r="G34"/>
      <c r="H34"/>
      <c r="I34" s="2"/>
      <c r="J34"/>
      <c r="L34"/>
      <c r="M34"/>
      <c r="N34"/>
      <c r="O34"/>
      <c r="P34"/>
      <c r="Q34" s="8"/>
      <c r="R34"/>
      <c r="S34"/>
      <c r="T34"/>
      <c r="U34"/>
      <c r="V34"/>
      <c r="W34" s="20"/>
      <c r="X34"/>
      <c r="Y34" s="19"/>
      <c r="Z34" s="19"/>
      <c r="AC34"/>
      <c r="AD34" s="20"/>
    </row>
    <row r="35" spans="1:30" s="9" customFormat="1" ht="16.149999999999999" customHeight="1" x14ac:dyDescent="0.15">
      <c r="A35" s="6"/>
      <c r="B35" s="23"/>
      <c r="C35"/>
      <c r="D35" s="2"/>
      <c r="E35"/>
      <c r="F35"/>
      <c r="G35"/>
      <c r="H35"/>
      <c r="I35" s="2"/>
      <c r="J35"/>
      <c r="L35"/>
      <c r="M35"/>
      <c r="N35"/>
      <c r="O35"/>
      <c r="P35"/>
      <c r="Q35" s="21"/>
      <c r="R35"/>
      <c r="S35"/>
      <c r="T35"/>
      <c r="U35"/>
      <c r="V35"/>
      <c r="W35" s="22"/>
      <c r="X35"/>
      <c r="Y35" s="24"/>
      <c r="Z35" s="24"/>
      <c r="AC35"/>
      <c r="AD35" s="22"/>
    </row>
  </sheetData>
  <mergeCells count="1">
    <mergeCell ref="G1:H1"/>
  </mergeCells>
  <dataValidations count="8">
    <dataValidation type="list" allowBlank="1" showInputMessage="1" showErrorMessage="1" sqref="V7:V17" xr:uid="{77AEED10-2842-4936-B870-0EF7E99FF22D}">
      <formula1>"KPI,Primary Detail,Secondary Detail,Analytic,Diagnostic,Not Shown"</formula1>
    </dataValidation>
    <dataValidation type="list" allowBlank="1" showInputMessage="1" sqref="K7:L17" xr:uid="{CE014571-B145-4E02-8F3C-C5F4A475210F}">
      <formula1>"Enabled,Disabled,Open,Closed,Normal,Alarm,On,Off"</formula1>
    </dataValidation>
    <dataValidation type="list" allowBlank="1" showInputMessage="1" showErrorMessage="1" sqref="J7:J17" xr:uid="{BDFC734C-268A-4AFB-95CD-826290D41DD8}">
      <formula1>"None,On (1),Off (0),State change,Analog"</formula1>
    </dataValidation>
    <dataValidation type="list" allowBlank="1" showInputMessage="1" showErrorMessage="1" sqref="C7:C17" xr:uid="{367629A7-75DC-4AFA-BDCF-AC0D2E0B8588}">
      <formula1>"Holding Register, Input Register, Discrete Input, Coil"</formula1>
    </dataValidation>
    <dataValidation type="list" allowBlank="1" showInputMessage="1" showErrorMessage="1" sqref="E7:E17" xr:uid="{47548AD7-B162-43AB-8F02-9B19CB1574E0}">
      <formula1>"Boolean, 16-bit signed integer,16-bit unsigned integer,32-bit signed integer,32-bit unsigned integer,32-bit float,String,Enumeration,16-bit bitfield,32-bit bitfield"</formula1>
    </dataValidation>
    <dataValidation allowBlank="1" showErrorMessage="1" errorTitle="Invalid IEC 61131-3 Variable Nam" error="Please enter only alphanumeric and underscore characters." sqref="D7:D17" xr:uid="{1ED366A1-C2FE-4CA0-AE9C-7AAA193B5929}"/>
    <dataValidation type="whole" errorStyle="warning" allowBlank="1" showInputMessage="1" showErrorMessage="1" errorTitle="Device Modbus Register Base" error="This value is the device register number of the first register in the table.  Typically this value is 1, occasionally it is 0.  " sqref="C4" xr:uid="{687F99CB-34F2-45D1-B888-B54B2D8FEA9C}">
      <formula1>0</formula1>
      <formula2>1</formula2>
    </dataValidation>
    <dataValidation type="custom" allowBlank="1" showErrorMessage="1" errorTitle="Invalid IEC 61131-3 Variable Nam" error="Please enter only alphanumeric and underscore characters." sqref="M3:M5 O18:O35" xr:uid="{F089981A-533D-4460-85D2-28DF9436D416}">
      <formula1>ISNUMBER(SUMPRODUCT(SEARCH(MID(M3,ROW(INDIRECT("1:"&amp;LEN(M3))),1),"0123456789abcdefghijklmnopqrstuvwxyzABCDEFGHIJKLMNOPQRSTUVWXYZ-_")))</formula1>
    </dataValidation>
  </dataValidations>
  <pageMargins left="0.25" right="0.25" top="0.75" bottom="0.75" header="0.3" footer="0.3"/>
  <pageSetup paperSize="3" scale="24" fitToHeight="0" orientation="portrait"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406E6-BF9E-401A-8559-D14E6D7A9901}">
  <sheetPr codeName="Sheet4">
    <tabColor rgb="FF7030A0"/>
    <pageSetUpPr fitToPage="1"/>
  </sheetPr>
  <dimension ref="A1:AF668"/>
  <sheetViews>
    <sheetView topLeftCell="A16" zoomScaleNormal="100" workbookViewId="0">
      <selection activeCell="D37" sqref="D37"/>
    </sheetView>
  </sheetViews>
  <sheetFormatPr defaultColWidth="14.6640625" defaultRowHeight="16.149999999999999" customHeight="1" x14ac:dyDescent="0.15"/>
  <cols>
    <col min="1" max="1" width="7.33203125" customWidth="1"/>
    <col min="2" max="2" width="14.5" customWidth="1"/>
    <col min="3" max="3" width="16.5" customWidth="1"/>
    <col min="4" max="4" width="55.1640625" bestFit="1" customWidth="1"/>
    <col min="5" max="5" width="19.33203125" bestFit="1" customWidth="1"/>
    <col min="6" max="6" width="8.83203125" customWidth="1"/>
    <col min="7" max="7" width="9.83203125" customWidth="1"/>
    <col min="8" max="8" width="24.5" customWidth="1"/>
    <col min="9" max="9" width="15" customWidth="1"/>
    <col min="10" max="11" width="14.6640625" customWidth="1"/>
    <col min="12" max="12" width="12" bestFit="1" customWidth="1"/>
    <col min="13" max="13" width="9.33203125" bestFit="1" customWidth="1"/>
    <col min="14" max="14" width="12.6640625" hidden="1" customWidth="1"/>
    <col min="15" max="15" width="13.5" hidden="1" customWidth="1"/>
    <col min="16" max="16" width="12.1640625" hidden="1" customWidth="1"/>
    <col min="17" max="17" width="13" hidden="1" customWidth="1"/>
    <col min="18" max="18" width="19.1640625" bestFit="1" customWidth="1"/>
    <col min="19" max="19" width="14.6640625" customWidth="1"/>
    <col min="20" max="20" width="17.33203125" customWidth="1"/>
    <col min="21" max="21" width="16" bestFit="1" customWidth="1"/>
    <col min="22" max="22" width="60.6640625" style="9" bestFit="1" customWidth="1"/>
    <col min="23" max="23" width="23.6640625" bestFit="1" customWidth="1"/>
    <col min="24" max="24" width="48.6640625" style="9" customWidth="1"/>
    <col min="25" max="25" width="5.5" style="9" customWidth="1"/>
    <col min="28" max="28" width="5.5" customWidth="1"/>
    <col min="29" max="29" width="25" style="9" bestFit="1" customWidth="1"/>
    <col min="30" max="30" width="39.6640625" style="9" customWidth="1"/>
    <col min="31" max="31" width="68" style="9" customWidth="1"/>
    <col min="32" max="32" width="5.5" style="9" bestFit="1" customWidth="1"/>
    <col min="33" max="33" width="56.5" customWidth="1"/>
    <col min="34" max="34" width="14.33203125" customWidth="1"/>
    <col min="35" max="35" width="11.33203125" bestFit="1" customWidth="1"/>
    <col min="36" max="36" width="14.6640625" customWidth="1"/>
    <col min="37" max="37" width="48.5" bestFit="1" customWidth="1"/>
  </cols>
  <sheetData>
    <row r="1" spans="1:32" ht="24" customHeight="1" x14ac:dyDescent="0.15">
      <c r="A1" s="25" t="s">
        <v>8393</v>
      </c>
      <c r="B1" s="2"/>
      <c r="C1" s="2"/>
      <c r="D1" s="2"/>
      <c r="E1" s="2"/>
      <c r="F1" s="2"/>
      <c r="G1" s="25" t="s">
        <v>3711</v>
      </c>
      <c r="J1" s="25" t="s">
        <v>3712</v>
      </c>
      <c r="K1" s="25"/>
      <c r="V1" s="6"/>
      <c r="Y1"/>
      <c r="AC1"/>
      <c r="AD1"/>
      <c r="AE1"/>
      <c r="AF1"/>
    </row>
    <row r="2" spans="1:32" ht="16.149999999999999" customHeight="1" x14ac:dyDescent="0.15">
      <c r="A2" s="10" t="s">
        <v>21</v>
      </c>
      <c r="B2" s="2"/>
      <c r="C2" s="11">
        <v>45075</v>
      </c>
      <c r="D2" s="41" t="s">
        <v>22</v>
      </c>
      <c r="E2" t="s">
        <v>7394</v>
      </c>
      <c r="J2" t="s">
        <v>24</v>
      </c>
      <c r="V2" s="6"/>
      <c r="Y2"/>
      <c r="AC2"/>
      <c r="AD2"/>
      <c r="AE2"/>
      <c r="AF2"/>
    </row>
    <row r="3" spans="1:32" ht="16.149999999999999" customHeight="1" x14ac:dyDescent="0.15">
      <c r="A3" s="12" t="s">
        <v>25</v>
      </c>
      <c r="C3">
        <v>4</v>
      </c>
      <c r="D3" s="42" t="s">
        <v>26</v>
      </c>
      <c r="E3" t="s">
        <v>27</v>
      </c>
      <c r="L3" s="13"/>
      <c r="M3" s="8"/>
      <c r="V3" s="6"/>
      <c r="X3" s="37"/>
      <c r="Y3"/>
      <c r="AC3"/>
      <c r="AD3"/>
      <c r="AE3"/>
      <c r="AF3"/>
    </row>
    <row r="4" spans="1:32" ht="16.149999999999999" customHeight="1" x14ac:dyDescent="0.15">
      <c r="A4" s="12"/>
      <c r="C4" s="9"/>
      <c r="J4" s="47" t="s">
        <v>3713</v>
      </c>
      <c r="M4" s="2"/>
      <c r="V4" s="6"/>
      <c r="X4"/>
      <c r="Y4"/>
      <c r="AC4"/>
      <c r="AD4"/>
      <c r="AE4"/>
      <c r="AF4"/>
    </row>
    <row r="5" spans="1:32" ht="16.149999999999999" customHeight="1" x14ac:dyDescent="0.15">
      <c r="A5" s="12"/>
      <c r="M5" s="2"/>
      <c r="V5" s="6"/>
      <c r="X5"/>
      <c r="Y5"/>
      <c r="AC5"/>
      <c r="AD5"/>
      <c r="AE5"/>
      <c r="AF5"/>
    </row>
    <row r="6" spans="1:32" ht="40.5" x14ac:dyDescent="0.15">
      <c r="A6" s="14" t="s">
        <v>31</v>
      </c>
      <c r="B6" s="15" t="s">
        <v>32</v>
      </c>
      <c r="C6" s="15" t="s">
        <v>3714</v>
      </c>
      <c r="D6" s="15" t="s">
        <v>34</v>
      </c>
      <c r="E6" s="15" t="s">
        <v>35</v>
      </c>
      <c r="F6" s="16" t="s">
        <v>3715</v>
      </c>
      <c r="G6" s="39" t="s">
        <v>3716</v>
      </c>
      <c r="H6" s="40" t="s">
        <v>39</v>
      </c>
      <c r="I6" s="17" t="s">
        <v>40</v>
      </c>
      <c r="J6" s="17" t="s">
        <v>41</v>
      </c>
      <c r="K6" s="17" t="s">
        <v>42</v>
      </c>
      <c r="L6" s="17" t="s">
        <v>43</v>
      </c>
      <c r="M6" s="15" t="s">
        <v>44</v>
      </c>
      <c r="N6" s="15" t="s">
        <v>45</v>
      </c>
      <c r="O6" s="15" t="s">
        <v>46</v>
      </c>
      <c r="P6" s="15" t="s">
        <v>47</v>
      </c>
      <c r="Q6" s="15" t="s">
        <v>48</v>
      </c>
      <c r="R6" s="40" t="s">
        <v>49</v>
      </c>
      <c r="S6" s="17" t="s">
        <v>50</v>
      </c>
      <c r="T6" s="15" t="s">
        <v>51</v>
      </c>
      <c r="U6" s="15" t="s">
        <v>52</v>
      </c>
      <c r="V6" s="17" t="s">
        <v>53</v>
      </c>
      <c r="W6" s="15" t="s">
        <v>54</v>
      </c>
      <c r="X6" s="15" t="s">
        <v>55</v>
      </c>
      <c r="Y6"/>
      <c r="AC6"/>
      <c r="AD6"/>
      <c r="AE6"/>
      <c r="AF6"/>
    </row>
    <row r="7" spans="1:32" ht="15.75" customHeight="1" x14ac:dyDescent="0.15">
      <c r="A7" s="6">
        <v>1</v>
      </c>
      <c r="B7" s="18" t="s">
        <v>75</v>
      </c>
      <c r="C7" s="34" t="s">
        <v>3719</v>
      </c>
      <c r="D7" t="s">
        <v>3720</v>
      </c>
      <c r="E7" s="2" t="s">
        <v>3192</v>
      </c>
      <c r="F7" s="19">
        <v>0</v>
      </c>
      <c r="G7" s="6"/>
      <c r="H7" s="34" t="s">
        <v>3721</v>
      </c>
      <c r="I7" s="38" t="s">
        <v>196</v>
      </c>
      <c r="J7" s="38"/>
      <c r="K7" s="38"/>
      <c r="L7" s="38" t="s">
        <v>3722</v>
      </c>
      <c r="M7" s="19">
        <v>1</v>
      </c>
      <c r="N7" s="76">
        <v>-3.40282346639E+38</v>
      </c>
      <c r="O7" s="6">
        <v>3.40282346639E+38</v>
      </c>
      <c r="P7" s="38">
        <f>IFERROR(Table3335678[[#This Row],[Min Count]]/Table3335678[[#This Row],[Scalar]],"")</f>
        <v>-3.40282346639E+38</v>
      </c>
      <c r="Q7" s="38">
        <f>IFERROR(Table3335678[[#This Row],[Max Count]]/Table3335678[[#This Row],[Scalar]],"")</f>
        <v>3.40282346639E+38</v>
      </c>
      <c r="R7" s="130"/>
      <c r="S7" s="34"/>
      <c r="T7" s="34" t="s">
        <v>3723</v>
      </c>
      <c r="U7" s="8" t="s">
        <v>3708</v>
      </c>
      <c r="V7" s="36" t="s">
        <v>3724</v>
      </c>
      <c r="W7" s="8" t="s">
        <v>3725</v>
      </c>
      <c r="X7" s="34"/>
      <c r="Y7"/>
      <c r="AC7"/>
      <c r="AD7"/>
      <c r="AE7"/>
      <c r="AF7"/>
    </row>
    <row r="8" spans="1:32" ht="15.75" customHeight="1" x14ac:dyDescent="0.15">
      <c r="A8" s="6">
        <v>2</v>
      </c>
      <c r="B8" s="18" t="s">
        <v>75</v>
      </c>
      <c r="C8" s="34" t="s">
        <v>3719</v>
      </c>
      <c r="D8" t="s">
        <v>3727</v>
      </c>
      <c r="E8" s="2" t="s">
        <v>3192</v>
      </c>
      <c r="F8" s="19">
        <v>1</v>
      </c>
      <c r="G8" s="6"/>
      <c r="H8" s="34" t="s">
        <v>3728</v>
      </c>
      <c r="I8" s="38" t="s">
        <v>3729</v>
      </c>
      <c r="J8" s="38"/>
      <c r="K8" s="38"/>
      <c r="L8" s="38" t="s">
        <v>82</v>
      </c>
      <c r="M8" s="19">
        <v>1</v>
      </c>
      <c r="N8" s="76">
        <v>-3.40282346639E+38</v>
      </c>
      <c r="O8" s="6">
        <v>3.40282346639E+38</v>
      </c>
      <c r="P8" s="38">
        <f>IFERROR(Table3335678[[#This Row],[Min Count]]/Table3335678[[#This Row],[Scalar]],"")</f>
        <v>-3.40282346639E+38</v>
      </c>
      <c r="Q8" s="38">
        <f>IFERROR(Table3335678[[#This Row],[Max Count]]/Table3335678[[#This Row],[Scalar]],"")</f>
        <v>3.40282346639E+38</v>
      </c>
      <c r="R8" s="130" t="s">
        <v>3730</v>
      </c>
      <c r="S8" s="34" t="s">
        <v>3731</v>
      </c>
      <c r="T8" s="34" t="s">
        <v>3707</v>
      </c>
      <c r="U8" s="8" t="s">
        <v>3708</v>
      </c>
      <c r="V8" s="36" t="s">
        <v>3732</v>
      </c>
      <c r="W8" s="8"/>
      <c r="X8" s="34"/>
      <c r="Y8"/>
      <c r="AC8"/>
      <c r="AD8"/>
      <c r="AE8"/>
      <c r="AF8"/>
    </row>
    <row r="9" spans="1:32" ht="15.75" customHeight="1" x14ac:dyDescent="0.15">
      <c r="A9" s="6">
        <v>3</v>
      </c>
      <c r="B9" s="18" t="s">
        <v>75</v>
      </c>
      <c r="C9" s="34" t="s">
        <v>3719</v>
      </c>
      <c r="D9" s="43" t="s">
        <v>3734</v>
      </c>
      <c r="E9" s="2" t="s">
        <v>3192</v>
      </c>
      <c r="F9" s="19">
        <v>2</v>
      </c>
      <c r="G9" s="6"/>
      <c r="H9" s="34" t="s">
        <v>3735</v>
      </c>
      <c r="I9" s="38" t="s">
        <v>3729</v>
      </c>
      <c r="J9" s="38"/>
      <c r="K9" s="38"/>
      <c r="L9" s="38" t="s">
        <v>153</v>
      </c>
      <c r="M9" s="19">
        <v>1</v>
      </c>
      <c r="N9" s="76">
        <v>-3.40282346639E+38</v>
      </c>
      <c r="O9" s="6">
        <v>3.40282346639E+38</v>
      </c>
      <c r="P9" s="38">
        <f>IFERROR(Table3335678[[#This Row],[Min Count]]/Table3335678[[#This Row],[Scalar]],"")</f>
        <v>-3.40282346639E+38</v>
      </c>
      <c r="Q9" s="38">
        <f>IFERROR(Table3335678[[#This Row],[Max Count]]/Table3335678[[#This Row],[Scalar]],"")</f>
        <v>3.40282346639E+38</v>
      </c>
      <c r="R9" s="34" t="s">
        <v>3736</v>
      </c>
      <c r="S9" s="34" t="s">
        <v>3731</v>
      </c>
      <c r="T9" s="34" t="s">
        <v>3707</v>
      </c>
      <c r="U9" s="8" t="s">
        <v>3708</v>
      </c>
      <c r="V9" s="36" t="s">
        <v>3737</v>
      </c>
      <c r="W9" s="8"/>
      <c r="X9" s="34"/>
      <c r="Y9"/>
      <c r="AC9"/>
      <c r="AD9"/>
      <c r="AE9"/>
      <c r="AF9"/>
    </row>
    <row r="10" spans="1:32" ht="15.75" customHeight="1" x14ac:dyDescent="0.15">
      <c r="A10" s="6">
        <v>4</v>
      </c>
      <c r="B10" s="18" t="s">
        <v>75</v>
      </c>
      <c r="C10" s="34" t="s">
        <v>3719</v>
      </c>
      <c r="D10" t="s">
        <v>3739</v>
      </c>
      <c r="E10" s="2" t="s">
        <v>3192</v>
      </c>
      <c r="F10" s="19">
        <v>3</v>
      </c>
      <c r="G10" s="6"/>
      <c r="H10" s="34" t="s">
        <v>3740</v>
      </c>
      <c r="I10" s="38" t="s">
        <v>196</v>
      </c>
      <c r="J10" s="38"/>
      <c r="K10" s="38"/>
      <c r="L10" s="38" t="s">
        <v>123</v>
      </c>
      <c r="M10" s="19">
        <v>1</v>
      </c>
      <c r="N10" s="76">
        <v>-3.40282346639E+38</v>
      </c>
      <c r="O10" s="6">
        <v>3.40282346639E+38</v>
      </c>
      <c r="P10" s="38">
        <f>IFERROR(Table3335678[[#This Row],[Min Count]]/Table3335678[[#This Row],[Scalar]],"")</f>
        <v>-3.40282346639E+38</v>
      </c>
      <c r="Q10" s="38">
        <f>IFERROR(Table3335678[[#This Row],[Max Count]]/Table3335678[[#This Row],[Scalar]],"")</f>
        <v>3.40282346639E+38</v>
      </c>
      <c r="R10" s="34"/>
      <c r="S10" s="34"/>
      <c r="T10" s="34" t="s">
        <v>3707</v>
      </c>
      <c r="U10" s="8" t="s">
        <v>3708</v>
      </c>
      <c r="V10" s="36" t="s">
        <v>3741</v>
      </c>
      <c r="W10" s="8"/>
      <c r="X10" s="2"/>
      <c r="Y10"/>
      <c r="AC10"/>
      <c r="AD10"/>
      <c r="AE10"/>
      <c r="AF10"/>
    </row>
    <row r="11" spans="1:32" ht="15.75" customHeight="1" x14ac:dyDescent="0.15">
      <c r="A11" s="6">
        <v>5</v>
      </c>
      <c r="B11" s="18" t="s">
        <v>75</v>
      </c>
      <c r="C11" s="34" t="s">
        <v>3719</v>
      </c>
      <c r="D11" t="s">
        <v>3743</v>
      </c>
      <c r="E11" s="2" t="s">
        <v>3192</v>
      </c>
      <c r="F11" s="19">
        <v>4</v>
      </c>
      <c r="G11" s="6"/>
      <c r="H11" s="34" t="s">
        <v>3744</v>
      </c>
      <c r="I11" s="38" t="s">
        <v>196</v>
      </c>
      <c r="J11" s="38"/>
      <c r="K11" s="38"/>
      <c r="L11" s="38" t="s">
        <v>123</v>
      </c>
      <c r="M11" s="19">
        <v>1</v>
      </c>
      <c r="N11" s="76">
        <v>-3.40282346639E+38</v>
      </c>
      <c r="O11" s="6">
        <v>3.40282346639E+38</v>
      </c>
      <c r="P11" s="38">
        <f>IFERROR(Table3335678[[#This Row],[Min Count]]/Table3335678[[#This Row],[Scalar]],"")</f>
        <v>-3.40282346639E+38</v>
      </c>
      <c r="Q11" s="38">
        <f>IFERROR(Table3335678[[#This Row],[Max Count]]/Table3335678[[#This Row],[Scalar]],"")</f>
        <v>3.40282346639E+38</v>
      </c>
      <c r="R11" s="34"/>
      <c r="S11" s="34"/>
      <c r="T11" s="34" t="s">
        <v>3707</v>
      </c>
      <c r="U11" s="8" t="s">
        <v>3708</v>
      </c>
      <c r="V11" s="36" t="s">
        <v>3745</v>
      </c>
      <c r="W11" s="8"/>
      <c r="X11" s="2"/>
      <c r="Y11"/>
      <c r="AC11"/>
      <c r="AD11"/>
      <c r="AE11"/>
      <c r="AF11"/>
    </row>
    <row r="12" spans="1:32" ht="15.75" customHeight="1" x14ac:dyDescent="0.15">
      <c r="A12" s="6">
        <v>6</v>
      </c>
      <c r="B12" s="18" t="s">
        <v>75</v>
      </c>
      <c r="C12" s="34" t="s">
        <v>3719</v>
      </c>
      <c r="D12" t="s">
        <v>3747</v>
      </c>
      <c r="E12" s="2" t="s">
        <v>3192</v>
      </c>
      <c r="F12" s="19">
        <v>5</v>
      </c>
      <c r="G12" s="6"/>
      <c r="H12" s="34" t="s">
        <v>3748</v>
      </c>
      <c r="I12" s="38" t="s">
        <v>196</v>
      </c>
      <c r="J12" s="38"/>
      <c r="K12" s="38"/>
      <c r="L12" s="38" t="s">
        <v>123</v>
      </c>
      <c r="M12" s="19">
        <v>1</v>
      </c>
      <c r="N12" s="76">
        <v>-3.40282346639E+38</v>
      </c>
      <c r="O12" s="6">
        <v>3.40282346639E+38</v>
      </c>
      <c r="P12" s="38">
        <f>IFERROR(Table3335678[[#This Row],[Min Count]]/Table3335678[[#This Row],[Scalar]],"")</f>
        <v>-3.40282346639E+38</v>
      </c>
      <c r="Q12" s="38">
        <f>IFERROR(Table3335678[[#This Row],[Max Count]]/Table3335678[[#This Row],[Scalar]],"")</f>
        <v>3.40282346639E+38</v>
      </c>
      <c r="R12" s="34"/>
      <c r="S12" s="34"/>
      <c r="T12" s="34" t="s">
        <v>3707</v>
      </c>
      <c r="U12" s="8" t="s">
        <v>3708</v>
      </c>
      <c r="V12" s="36" t="s">
        <v>3749</v>
      </c>
      <c r="W12" s="8"/>
      <c r="X12" s="2"/>
      <c r="Y12"/>
      <c r="AC12"/>
      <c r="AD12"/>
      <c r="AE12"/>
      <c r="AF12"/>
    </row>
    <row r="13" spans="1:32" ht="15.75" customHeight="1" x14ac:dyDescent="0.15">
      <c r="A13" s="6">
        <v>7</v>
      </c>
      <c r="B13" s="18" t="s">
        <v>75</v>
      </c>
      <c r="C13" s="34" t="s">
        <v>3719</v>
      </c>
      <c r="D13" t="s">
        <v>3751</v>
      </c>
      <c r="E13" s="2" t="s">
        <v>3192</v>
      </c>
      <c r="F13" s="19">
        <v>6</v>
      </c>
      <c r="G13" s="6"/>
      <c r="H13" s="34" t="s">
        <v>3752</v>
      </c>
      <c r="I13" s="38" t="s">
        <v>196</v>
      </c>
      <c r="J13" s="38"/>
      <c r="K13" s="38"/>
      <c r="L13" s="38" t="s">
        <v>113</v>
      </c>
      <c r="M13" s="19">
        <v>1</v>
      </c>
      <c r="N13" s="76">
        <v>-3.40282346639E+38</v>
      </c>
      <c r="O13" s="6">
        <v>3.40282346639E+38</v>
      </c>
      <c r="P13" s="38">
        <f>IFERROR(Table3335678[[#This Row],[Min Count]]/Table3335678[[#This Row],[Scalar]],"")</f>
        <v>-3.40282346639E+38</v>
      </c>
      <c r="Q13" s="38">
        <f>IFERROR(Table3335678[[#This Row],[Max Count]]/Table3335678[[#This Row],[Scalar]],"")</f>
        <v>3.40282346639E+38</v>
      </c>
      <c r="R13" s="34"/>
      <c r="S13" s="34"/>
      <c r="T13" s="34" t="s">
        <v>3707</v>
      </c>
      <c r="U13" s="8" t="s">
        <v>3708</v>
      </c>
      <c r="V13" s="36" t="s">
        <v>3753</v>
      </c>
      <c r="W13" s="8"/>
      <c r="X13" s="2"/>
      <c r="Y13"/>
      <c r="AC13"/>
      <c r="AD13"/>
      <c r="AE13"/>
      <c r="AF13"/>
    </row>
    <row r="14" spans="1:32" ht="15.75" customHeight="1" x14ac:dyDescent="0.15">
      <c r="A14" s="6">
        <v>8</v>
      </c>
      <c r="B14" s="18" t="s">
        <v>75</v>
      </c>
      <c r="C14" s="34" t="s">
        <v>3719</v>
      </c>
      <c r="D14" t="s">
        <v>3755</v>
      </c>
      <c r="E14" s="2" t="s">
        <v>3192</v>
      </c>
      <c r="F14" s="19">
        <v>7</v>
      </c>
      <c r="G14" s="6"/>
      <c r="H14" s="34" t="s">
        <v>3756</v>
      </c>
      <c r="I14" s="38" t="s">
        <v>196</v>
      </c>
      <c r="J14" s="38"/>
      <c r="K14" s="38"/>
      <c r="L14" s="38" t="s">
        <v>113</v>
      </c>
      <c r="M14" s="19">
        <v>1</v>
      </c>
      <c r="N14" s="76">
        <v>-3.40282346639E+38</v>
      </c>
      <c r="O14" s="6">
        <v>3.40282346639E+38</v>
      </c>
      <c r="P14" s="38">
        <f>IFERROR(Table3335678[[#This Row],[Min Count]]/Table3335678[[#This Row],[Scalar]],"")</f>
        <v>-3.40282346639E+38</v>
      </c>
      <c r="Q14" s="38">
        <f>IFERROR(Table3335678[[#This Row],[Max Count]]/Table3335678[[#This Row],[Scalar]],"")</f>
        <v>3.40282346639E+38</v>
      </c>
      <c r="R14" s="34"/>
      <c r="S14" s="34"/>
      <c r="T14" s="34" t="s">
        <v>3707</v>
      </c>
      <c r="U14" s="8" t="s">
        <v>3708</v>
      </c>
      <c r="V14" s="36" t="s">
        <v>3757</v>
      </c>
      <c r="W14" s="8"/>
      <c r="X14" s="2"/>
      <c r="Y14"/>
      <c r="AC14"/>
      <c r="AD14"/>
      <c r="AE14"/>
      <c r="AF14"/>
    </row>
    <row r="15" spans="1:32" ht="15.75" customHeight="1" x14ac:dyDescent="0.15">
      <c r="A15" s="6">
        <v>9</v>
      </c>
      <c r="B15" s="18" t="s">
        <v>75</v>
      </c>
      <c r="C15" s="34" t="s">
        <v>3719</v>
      </c>
      <c r="D15" t="s">
        <v>3759</v>
      </c>
      <c r="E15" s="2" t="s">
        <v>3192</v>
      </c>
      <c r="F15" s="19">
        <v>8</v>
      </c>
      <c r="G15" s="6"/>
      <c r="H15" s="34" t="s">
        <v>3760</v>
      </c>
      <c r="I15" s="38" t="s">
        <v>196</v>
      </c>
      <c r="J15" s="38"/>
      <c r="K15" s="38"/>
      <c r="L15" s="38" t="s">
        <v>113</v>
      </c>
      <c r="M15" s="19">
        <v>1</v>
      </c>
      <c r="N15" s="76">
        <v>-3.40282346639E+38</v>
      </c>
      <c r="O15" s="6">
        <v>3.40282346639E+38</v>
      </c>
      <c r="P15" s="38">
        <f>IFERROR(Table3335678[[#This Row],[Min Count]]/Table3335678[[#This Row],[Scalar]],"")</f>
        <v>-3.40282346639E+38</v>
      </c>
      <c r="Q15" s="38">
        <f>IFERROR(Table3335678[[#This Row],[Max Count]]/Table3335678[[#This Row],[Scalar]],"")</f>
        <v>3.40282346639E+38</v>
      </c>
      <c r="R15" s="34"/>
      <c r="S15" s="34"/>
      <c r="T15" s="34" t="s">
        <v>3707</v>
      </c>
      <c r="U15" s="8" t="s">
        <v>3708</v>
      </c>
      <c r="V15" s="36" t="s">
        <v>3761</v>
      </c>
      <c r="W15" s="8"/>
      <c r="X15" s="2"/>
      <c r="Y15"/>
      <c r="AC15"/>
      <c r="AD15"/>
      <c r="AE15"/>
      <c r="AF15"/>
    </row>
    <row r="16" spans="1:32" ht="15.75" customHeight="1" x14ac:dyDescent="0.15">
      <c r="A16" s="6">
        <v>10</v>
      </c>
      <c r="B16" s="18" t="s">
        <v>75</v>
      </c>
      <c r="C16" s="34" t="s">
        <v>3719</v>
      </c>
      <c r="D16" t="s">
        <v>3763</v>
      </c>
      <c r="E16" s="2" t="s">
        <v>3192</v>
      </c>
      <c r="F16" s="19">
        <v>9</v>
      </c>
      <c r="G16" s="6"/>
      <c r="H16" s="34" t="s">
        <v>3764</v>
      </c>
      <c r="I16" s="38" t="s">
        <v>196</v>
      </c>
      <c r="J16" s="38"/>
      <c r="K16" s="38"/>
      <c r="L16" s="38" t="s">
        <v>145</v>
      </c>
      <c r="M16" s="19">
        <v>1</v>
      </c>
      <c r="N16" s="76">
        <v>-3.40282346639E+38</v>
      </c>
      <c r="O16" s="6">
        <v>3.40282346639E+38</v>
      </c>
      <c r="P16" s="38">
        <f>IFERROR(Table3335678[[#This Row],[Min Count]]/Table3335678[[#This Row],[Scalar]],"")</f>
        <v>-3.40282346639E+38</v>
      </c>
      <c r="Q16" s="38">
        <f>IFERROR(Table3335678[[#This Row],[Max Count]]/Table3335678[[#This Row],[Scalar]],"")</f>
        <v>3.40282346639E+38</v>
      </c>
      <c r="R16" s="34"/>
      <c r="S16" s="34"/>
      <c r="T16" s="34" t="s">
        <v>3707</v>
      </c>
      <c r="U16" s="8" t="s">
        <v>3708</v>
      </c>
      <c r="V16" s="36" t="s">
        <v>3765</v>
      </c>
      <c r="W16" s="8"/>
      <c r="X16" s="2"/>
      <c r="Y16"/>
      <c r="AC16"/>
      <c r="AD16"/>
      <c r="AE16"/>
      <c r="AF16"/>
    </row>
    <row r="17" spans="1:32" ht="15.75" customHeight="1" x14ac:dyDescent="0.15">
      <c r="A17" s="6">
        <v>11</v>
      </c>
      <c r="B17" s="18" t="s">
        <v>75</v>
      </c>
      <c r="C17" s="34" t="s">
        <v>3719</v>
      </c>
      <c r="D17" t="s">
        <v>3767</v>
      </c>
      <c r="E17" s="2" t="s">
        <v>3192</v>
      </c>
      <c r="F17" s="19">
        <v>10</v>
      </c>
      <c r="G17" s="6"/>
      <c r="H17" s="34" t="s">
        <v>3768</v>
      </c>
      <c r="I17" s="38" t="s">
        <v>196</v>
      </c>
      <c r="J17" s="38"/>
      <c r="K17" s="38"/>
      <c r="L17" s="38" t="s">
        <v>149</v>
      </c>
      <c r="M17" s="19">
        <v>1</v>
      </c>
      <c r="N17" s="76">
        <v>-3.40282346639E+38</v>
      </c>
      <c r="O17" s="6">
        <v>3.40282346639E+38</v>
      </c>
      <c r="P17" s="38">
        <f>IFERROR(Table3335678[[#This Row],[Min Count]]/Table3335678[[#This Row],[Scalar]],"")</f>
        <v>-3.40282346639E+38</v>
      </c>
      <c r="Q17" s="38">
        <f>IFERROR(Table3335678[[#This Row],[Max Count]]/Table3335678[[#This Row],[Scalar]],"")</f>
        <v>3.40282346639E+38</v>
      </c>
      <c r="R17" s="34"/>
      <c r="S17" s="34"/>
      <c r="T17" s="34" t="s">
        <v>3707</v>
      </c>
      <c r="U17" s="8" t="s">
        <v>3708</v>
      </c>
      <c r="V17" s="36" t="s">
        <v>3769</v>
      </c>
      <c r="W17" s="8"/>
      <c r="X17" s="2"/>
      <c r="Y17"/>
      <c r="AC17"/>
      <c r="AD17"/>
      <c r="AE17"/>
      <c r="AF17"/>
    </row>
    <row r="18" spans="1:32" ht="15.75" customHeight="1" x14ac:dyDescent="0.15">
      <c r="A18" s="6">
        <v>12</v>
      </c>
      <c r="B18" s="18" t="s">
        <v>75</v>
      </c>
      <c r="C18" s="34" t="s">
        <v>3719</v>
      </c>
      <c r="D18" t="s">
        <v>3771</v>
      </c>
      <c r="E18" s="2" t="s">
        <v>3192</v>
      </c>
      <c r="F18" s="19">
        <v>11</v>
      </c>
      <c r="G18" s="6"/>
      <c r="H18" s="34" t="s">
        <v>3721</v>
      </c>
      <c r="I18" s="38" t="s">
        <v>3729</v>
      </c>
      <c r="J18" s="38"/>
      <c r="K18" s="38"/>
      <c r="L18" s="38" t="s">
        <v>82</v>
      </c>
      <c r="M18" s="19">
        <v>1</v>
      </c>
      <c r="N18" s="76">
        <v>-3.40282346639E+38</v>
      </c>
      <c r="O18" s="6">
        <v>3.40282346639E+38</v>
      </c>
      <c r="P18" s="38">
        <f>IFERROR(Table3335678[[#This Row],[Min Count]]/Table3335678[[#This Row],[Scalar]],"")</f>
        <v>-3.40282346639E+38</v>
      </c>
      <c r="Q18" s="38">
        <f>IFERROR(Table3335678[[#This Row],[Max Count]]/Table3335678[[#This Row],[Scalar]],"")</f>
        <v>3.40282346639E+38</v>
      </c>
      <c r="R18" s="34" t="s">
        <v>3772</v>
      </c>
      <c r="S18" s="34" t="s">
        <v>3731</v>
      </c>
      <c r="T18" s="34" t="s">
        <v>3707</v>
      </c>
      <c r="U18" s="8" t="s">
        <v>3708</v>
      </c>
      <c r="V18" s="36" t="s">
        <v>3773</v>
      </c>
      <c r="W18" s="8"/>
      <c r="X18" s="2"/>
      <c r="Y18"/>
      <c r="AC18"/>
      <c r="AD18"/>
      <c r="AE18"/>
      <c r="AF18"/>
    </row>
    <row r="19" spans="1:32" ht="15.75" customHeight="1" x14ac:dyDescent="0.15">
      <c r="A19" s="6">
        <v>13</v>
      </c>
      <c r="B19" s="18" t="s">
        <v>75</v>
      </c>
      <c r="C19" s="34" t="s">
        <v>3719</v>
      </c>
      <c r="D19" t="s">
        <v>3775</v>
      </c>
      <c r="E19" s="2" t="s">
        <v>3192</v>
      </c>
      <c r="F19" s="19">
        <v>12</v>
      </c>
      <c r="G19" s="6"/>
      <c r="H19" s="34" t="s">
        <v>3776</v>
      </c>
      <c r="I19" s="38" t="s">
        <v>3729</v>
      </c>
      <c r="J19" s="38"/>
      <c r="K19" s="38"/>
      <c r="L19" s="38" t="s">
        <v>82</v>
      </c>
      <c r="M19" s="19">
        <v>1</v>
      </c>
      <c r="N19" s="76">
        <v>-3.40282346639E+38</v>
      </c>
      <c r="O19" s="6">
        <v>3.40282346639E+38</v>
      </c>
      <c r="P19" s="38">
        <f>IFERROR(Table3335678[[#This Row],[Min Count]]/Table3335678[[#This Row],[Scalar]],"")</f>
        <v>-3.40282346639E+38</v>
      </c>
      <c r="Q19" s="38">
        <f>IFERROR(Table3335678[[#This Row],[Max Count]]/Table3335678[[#This Row],[Scalar]],"")</f>
        <v>3.40282346639E+38</v>
      </c>
      <c r="R19" s="34" t="s">
        <v>3777</v>
      </c>
      <c r="S19" s="34" t="s">
        <v>3778</v>
      </c>
      <c r="T19" s="34" t="s">
        <v>3707</v>
      </c>
      <c r="U19" s="8" t="s">
        <v>3708</v>
      </c>
      <c r="V19" s="36" t="s">
        <v>3779</v>
      </c>
      <c r="W19" s="8"/>
      <c r="X19" s="2"/>
      <c r="Y19"/>
      <c r="AC19"/>
      <c r="AD19"/>
      <c r="AE19"/>
      <c r="AF19"/>
    </row>
    <row r="20" spans="1:32" ht="15.4" customHeight="1" x14ac:dyDescent="0.15">
      <c r="A20" s="6">
        <v>14</v>
      </c>
      <c r="B20" s="18" t="s">
        <v>75</v>
      </c>
      <c r="C20" s="34" t="s">
        <v>3719</v>
      </c>
      <c r="D20" t="s">
        <v>3781</v>
      </c>
      <c r="E20" s="2" t="s">
        <v>107</v>
      </c>
      <c r="F20" s="19">
        <v>13</v>
      </c>
      <c r="G20" s="6"/>
      <c r="H20" s="34" t="s">
        <v>3721</v>
      </c>
      <c r="I20" s="38" t="s">
        <v>3089</v>
      </c>
      <c r="J20" s="38"/>
      <c r="K20" s="38"/>
      <c r="L20" s="38" t="s">
        <v>3722</v>
      </c>
      <c r="M20" s="19">
        <v>1</v>
      </c>
      <c r="N20" s="76">
        <v>-2147483648</v>
      </c>
      <c r="O20" s="6">
        <v>2147483647</v>
      </c>
      <c r="P20" s="38">
        <f>IFERROR(Table3335678[[#This Row],[Min Count]]/Table3335678[[#This Row],[Scalar]],"")</f>
        <v>-2147483648</v>
      </c>
      <c r="Q20" s="38">
        <f>IFERROR(Table3335678[[#This Row],[Max Count]]/Table3335678[[#This Row],[Scalar]],"")</f>
        <v>2147483647</v>
      </c>
      <c r="R20" s="34"/>
      <c r="S20" s="34"/>
      <c r="T20" s="34" t="s">
        <v>3723</v>
      </c>
      <c r="U20" s="8" t="s">
        <v>3708</v>
      </c>
      <c r="V20" s="36" t="s">
        <v>3782</v>
      </c>
      <c r="W20" s="8" t="s">
        <v>3783</v>
      </c>
      <c r="X20" s="2" t="s">
        <v>3784</v>
      </c>
      <c r="Y20"/>
      <c r="AC20"/>
      <c r="AD20"/>
      <c r="AE20"/>
      <c r="AF20"/>
    </row>
    <row r="21" spans="1:32" ht="15.4" customHeight="1" x14ac:dyDescent="0.15">
      <c r="A21" s="6">
        <v>15</v>
      </c>
      <c r="B21" s="18" t="s">
        <v>75</v>
      </c>
      <c r="C21" s="34" t="s">
        <v>3719</v>
      </c>
      <c r="D21" t="s">
        <v>3786</v>
      </c>
      <c r="E21" s="2" t="s">
        <v>107</v>
      </c>
      <c r="F21" s="19">
        <v>14</v>
      </c>
      <c r="G21" s="6"/>
      <c r="H21" s="34" t="s">
        <v>3721</v>
      </c>
      <c r="I21" s="38" t="s">
        <v>3729</v>
      </c>
      <c r="J21" s="38"/>
      <c r="K21" s="38"/>
      <c r="L21" s="38" t="s">
        <v>3722</v>
      </c>
      <c r="M21" s="19">
        <v>1</v>
      </c>
      <c r="N21" s="76">
        <v>-2147483648</v>
      </c>
      <c r="O21" s="6">
        <v>2147483647</v>
      </c>
      <c r="P21" s="38">
        <f>IFERROR(Table3335678[[#This Row],[Min Count]]/Table3335678[[#This Row],[Scalar]],"")</f>
        <v>-2147483648</v>
      </c>
      <c r="Q21" s="38">
        <f>IFERROR(Table3335678[[#This Row],[Max Count]]/Table3335678[[#This Row],[Scalar]],"")</f>
        <v>2147483647</v>
      </c>
      <c r="R21" s="34" t="s">
        <v>3787</v>
      </c>
      <c r="S21" s="34" t="s">
        <v>3778</v>
      </c>
      <c r="T21" s="34" t="s">
        <v>3723</v>
      </c>
      <c r="U21" s="8" t="s">
        <v>3708</v>
      </c>
      <c r="V21" s="36" t="s">
        <v>3788</v>
      </c>
      <c r="W21" s="8" t="s">
        <v>3783</v>
      </c>
      <c r="X21" s="2" t="s">
        <v>3784</v>
      </c>
      <c r="Y21"/>
      <c r="AC21"/>
      <c r="AD21"/>
      <c r="AE21"/>
      <c r="AF21"/>
    </row>
    <row r="22" spans="1:32" ht="15.75" customHeight="1" x14ac:dyDescent="0.15">
      <c r="A22" s="6">
        <v>16</v>
      </c>
      <c r="B22" s="18" t="s">
        <v>75</v>
      </c>
      <c r="C22" s="34" t="s">
        <v>3719</v>
      </c>
      <c r="D22" t="s">
        <v>3790</v>
      </c>
      <c r="E22" s="2" t="s">
        <v>3192</v>
      </c>
      <c r="F22" s="19">
        <v>15</v>
      </c>
      <c r="G22" s="6"/>
      <c r="H22" s="34" t="s">
        <v>3721</v>
      </c>
      <c r="I22" s="38" t="s">
        <v>3729</v>
      </c>
      <c r="J22" s="38"/>
      <c r="K22" s="38"/>
      <c r="L22" s="38" t="s">
        <v>3791</v>
      </c>
      <c r="M22" s="19">
        <v>1</v>
      </c>
      <c r="N22" s="76">
        <v>-3.40282346639E+38</v>
      </c>
      <c r="O22" s="6">
        <v>3.40282346639E+38</v>
      </c>
      <c r="P22" s="38">
        <f>IFERROR(Table3335678[[#This Row],[Min Count]]/Table3335678[[#This Row],[Scalar]],"")</f>
        <v>-3.40282346639E+38</v>
      </c>
      <c r="Q22" s="38">
        <f>IFERROR(Table3335678[[#This Row],[Max Count]]/Table3335678[[#This Row],[Scalar]],"")</f>
        <v>3.40282346639E+38</v>
      </c>
      <c r="R22" s="130" t="s">
        <v>3792</v>
      </c>
      <c r="S22" s="34" t="s">
        <v>3793</v>
      </c>
      <c r="T22" s="34" t="s">
        <v>3707</v>
      </c>
      <c r="U22" s="8" t="s">
        <v>3708</v>
      </c>
      <c r="V22" s="36" t="s">
        <v>3794</v>
      </c>
      <c r="W22" s="8"/>
      <c r="X22" s="34"/>
      <c r="Y22"/>
      <c r="AC22"/>
      <c r="AD22"/>
      <c r="AE22"/>
      <c r="AF22"/>
    </row>
    <row r="23" spans="1:32" ht="15.75" customHeight="1" x14ac:dyDescent="0.15">
      <c r="A23" s="6">
        <v>17</v>
      </c>
      <c r="B23" s="18" t="s">
        <v>75</v>
      </c>
      <c r="C23" s="34" t="s">
        <v>3719</v>
      </c>
      <c r="D23" t="s">
        <v>3796</v>
      </c>
      <c r="E23" s="2" t="s">
        <v>3192</v>
      </c>
      <c r="F23" s="19">
        <v>16</v>
      </c>
      <c r="G23" s="6"/>
      <c r="H23" s="34" t="s">
        <v>3797</v>
      </c>
      <c r="I23" s="38" t="s">
        <v>3729</v>
      </c>
      <c r="J23" s="38"/>
      <c r="K23" s="38"/>
      <c r="L23" s="38" t="s">
        <v>3791</v>
      </c>
      <c r="M23" s="19">
        <v>1</v>
      </c>
      <c r="N23" s="76">
        <v>-3.40282346639E+38</v>
      </c>
      <c r="O23" s="6">
        <v>3.40282346639E+38</v>
      </c>
      <c r="P23" s="38">
        <f>IFERROR(Table3335678[[#This Row],[Min Count]]/Table3335678[[#This Row],[Scalar]],"")</f>
        <v>-3.40282346639E+38</v>
      </c>
      <c r="Q23" s="38">
        <f>IFERROR(Table3335678[[#This Row],[Max Count]]/Table3335678[[#This Row],[Scalar]],"")</f>
        <v>3.40282346639E+38</v>
      </c>
      <c r="R23" s="34" t="s">
        <v>3798</v>
      </c>
      <c r="S23" s="34" t="s">
        <v>3778</v>
      </c>
      <c r="T23" s="34" t="s">
        <v>3707</v>
      </c>
      <c r="U23" s="8" t="s">
        <v>3708</v>
      </c>
      <c r="V23" s="36" t="s">
        <v>3799</v>
      </c>
      <c r="W23" s="8"/>
      <c r="X23" s="34"/>
      <c r="Y23"/>
      <c r="AC23"/>
      <c r="AD23"/>
      <c r="AE23"/>
      <c r="AF23"/>
    </row>
    <row r="24" spans="1:32" ht="15.75" customHeight="1" x14ac:dyDescent="0.15">
      <c r="A24" s="6">
        <v>18</v>
      </c>
      <c r="B24" s="18" t="s">
        <v>75</v>
      </c>
      <c r="C24" s="34" t="s">
        <v>3719</v>
      </c>
      <c r="D24" t="s">
        <v>3801</v>
      </c>
      <c r="E24" s="2" t="s">
        <v>3192</v>
      </c>
      <c r="F24" s="19">
        <v>17</v>
      </c>
      <c r="G24" s="6"/>
      <c r="H24" s="34" t="s">
        <v>3802</v>
      </c>
      <c r="I24" s="38" t="s">
        <v>196</v>
      </c>
      <c r="J24" s="38"/>
      <c r="K24" s="38"/>
      <c r="L24" s="38" t="s">
        <v>82</v>
      </c>
      <c r="M24" s="19">
        <v>1</v>
      </c>
      <c r="N24" s="76">
        <v>-3.40282346639E+38</v>
      </c>
      <c r="O24" s="6">
        <v>3.40282346639E+38</v>
      </c>
      <c r="P24" s="38">
        <f>IFERROR(Table3335678[[#This Row],[Min Count]]/Table3335678[[#This Row],[Scalar]],"")</f>
        <v>-3.40282346639E+38</v>
      </c>
      <c r="Q24" s="38">
        <f>IFERROR(Table3335678[[#This Row],[Max Count]]/Table3335678[[#This Row],[Scalar]],"")</f>
        <v>3.40282346639E+38</v>
      </c>
      <c r="R24" s="34"/>
      <c r="S24" s="34"/>
      <c r="T24" s="34" t="s">
        <v>3707</v>
      </c>
      <c r="U24" s="8" t="s">
        <v>3708</v>
      </c>
      <c r="V24" s="36" t="s">
        <v>3803</v>
      </c>
      <c r="W24" s="8"/>
      <c r="X24" s="2"/>
      <c r="Y24"/>
      <c r="AC24"/>
      <c r="AD24"/>
      <c r="AE24"/>
      <c r="AF24"/>
    </row>
    <row r="25" spans="1:32" ht="15.75" customHeight="1" x14ac:dyDescent="0.15">
      <c r="A25" s="6">
        <v>19</v>
      </c>
      <c r="B25" s="18" t="s">
        <v>75</v>
      </c>
      <c r="C25" s="34" t="s">
        <v>3719</v>
      </c>
      <c r="D25" t="s">
        <v>3805</v>
      </c>
      <c r="E25" s="2" t="s">
        <v>3192</v>
      </c>
      <c r="F25" s="19">
        <v>18</v>
      </c>
      <c r="G25" s="6"/>
      <c r="H25" s="34" t="s">
        <v>3806</v>
      </c>
      <c r="I25" s="38" t="s">
        <v>196</v>
      </c>
      <c r="J25" s="38"/>
      <c r="K25" s="38"/>
      <c r="L25" s="38" t="s">
        <v>86</v>
      </c>
      <c r="M25" s="19">
        <v>1</v>
      </c>
      <c r="N25" s="76">
        <v>-3.40282346639E+38</v>
      </c>
      <c r="O25" s="6">
        <v>3.40282346639E+38</v>
      </c>
      <c r="P25" s="38">
        <f>IFERROR(Table3335678[[#This Row],[Min Count]]/Table3335678[[#This Row],[Scalar]],"")</f>
        <v>-3.40282346639E+38</v>
      </c>
      <c r="Q25" s="38">
        <f>IFERROR(Table3335678[[#This Row],[Max Count]]/Table3335678[[#This Row],[Scalar]],"")</f>
        <v>3.40282346639E+38</v>
      </c>
      <c r="R25" s="34"/>
      <c r="S25" s="34"/>
      <c r="T25" s="34" t="s">
        <v>3807</v>
      </c>
      <c r="U25" s="8" t="s">
        <v>3708</v>
      </c>
      <c r="V25" s="36" t="s">
        <v>3808</v>
      </c>
      <c r="W25" s="8"/>
      <c r="X25" s="2"/>
      <c r="Y25"/>
      <c r="AC25"/>
      <c r="AD25"/>
      <c r="AE25"/>
      <c r="AF25"/>
    </row>
    <row r="26" spans="1:32" ht="15.75" customHeight="1" x14ac:dyDescent="0.15">
      <c r="A26" s="6">
        <v>20</v>
      </c>
      <c r="B26" s="18" t="s">
        <v>75</v>
      </c>
      <c r="C26" s="34" t="s">
        <v>3719</v>
      </c>
      <c r="D26" t="s">
        <v>3810</v>
      </c>
      <c r="E26" s="2" t="s">
        <v>3192</v>
      </c>
      <c r="F26" s="19">
        <v>19</v>
      </c>
      <c r="G26" s="6"/>
      <c r="H26" s="34" t="s">
        <v>3721</v>
      </c>
      <c r="I26" s="38" t="s">
        <v>196</v>
      </c>
      <c r="J26" s="38"/>
      <c r="K26" s="38"/>
      <c r="L26" s="38" t="s">
        <v>86</v>
      </c>
      <c r="M26" s="19">
        <v>1</v>
      </c>
      <c r="N26" s="76">
        <v>-3.40282346639E+38</v>
      </c>
      <c r="O26" s="6">
        <v>3.40282346639E+38</v>
      </c>
      <c r="P26" s="38">
        <f>IFERROR(Table3335678[[#This Row],[Min Count]]/Table3335678[[#This Row],[Scalar]],"")</f>
        <v>-3.40282346639E+38</v>
      </c>
      <c r="Q26" s="38">
        <f>IFERROR(Table3335678[[#This Row],[Max Count]]/Table3335678[[#This Row],[Scalar]],"")</f>
        <v>3.40282346639E+38</v>
      </c>
      <c r="R26" s="34"/>
      <c r="S26" s="34"/>
      <c r="T26" s="34" t="s">
        <v>3723</v>
      </c>
      <c r="U26" s="8" t="s">
        <v>3708</v>
      </c>
      <c r="V26" s="36" t="s">
        <v>3811</v>
      </c>
      <c r="W26" s="8"/>
      <c r="X26" s="2"/>
      <c r="Y26"/>
      <c r="AC26"/>
      <c r="AD26"/>
      <c r="AE26"/>
      <c r="AF26"/>
    </row>
    <row r="27" spans="1:32" ht="15.75" customHeight="1" x14ac:dyDescent="0.15">
      <c r="A27" s="6">
        <v>21</v>
      </c>
      <c r="B27" s="18" t="s">
        <v>75</v>
      </c>
      <c r="C27" s="34" t="s">
        <v>3719</v>
      </c>
      <c r="D27" t="s">
        <v>3813</v>
      </c>
      <c r="E27" s="2" t="s">
        <v>3192</v>
      </c>
      <c r="F27" s="19">
        <v>20</v>
      </c>
      <c r="G27" s="6"/>
      <c r="H27" s="34" t="s">
        <v>3814</v>
      </c>
      <c r="I27" s="38" t="s">
        <v>196</v>
      </c>
      <c r="J27" s="38"/>
      <c r="K27" s="38"/>
      <c r="L27" s="38" t="s">
        <v>86</v>
      </c>
      <c r="M27" s="19">
        <v>1</v>
      </c>
      <c r="N27" s="76">
        <v>-3.40282346639E+38</v>
      </c>
      <c r="O27" s="6">
        <v>3.40282346639E+38</v>
      </c>
      <c r="P27" s="38">
        <f>IFERROR(Table3335678[[#This Row],[Min Count]]/Table3335678[[#This Row],[Scalar]],"")</f>
        <v>-3.40282346639E+38</v>
      </c>
      <c r="Q27" s="38">
        <f>IFERROR(Table3335678[[#This Row],[Max Count]]/Table3335678[[#This Row],[Scalar]],"")</f>
        <v>3.40282346639E+38</v>
      </c>
      <c r="R27" s="34"/>
      <c r="S27" s="34"/>
      <c r="T27" s="34" t="s">
        <v>3807</v>
      </c>
      <c r="U27" s="8" t="s">
        <v>3815</v>
      </c>
      <c r="V27" s="36" t="s">
        <v>3816</v>
      </c>
      <c r="W27" s="8"/>
      <c r="X27" s="2"/>
      <c r="Y27"/>
      <c r="AC27"/>
      <c r="AD27"/>
      <c r="AE27"/>
      <c r="AF27"/>
    </row>
    <row r="28" spans="1:32" ht="15.75" customHeight="1" x14ac:dyDescent="0.15">
      <c r="A28" s="6">
        <v>22</v>
      </c>
      <c r="B28" s="18" t="s">
        <v>75</v>
      </c>
      <c r="C28" s="34" t="s">
        <v>3719</v>
      </c>
      <c r="D28" t="s">
        <v>3818</v>
      </c>
      <c r="E28" s="2" t="s">
        <v>3192</v>
      </c>
      <c r="F28" s="19">
        <v>21</v>
      </c>
      <c r="G28" s="6"/>
      <c r="H28" s="34" t="s">
        <v>3819</v>
      </c>
      <c r="I28" s="38" t="s">
        <v>196</v>
      </c>
      <c r="J28" s="38"/>
      <c r="K28" s="38"/>
      <c r="L28" s="38" t="s">
        <v>104</v>
      </c>
      <c r="M28" s="19">
        <v>1</v>
      </c>
      <c r="N28" s="76">
        <v>-3.40282346639E+38</v>
      </c>
      <c r="O28" s="6">
        <v>3.40282346639E+38</v>
      </c>
      <c r="P28" s="38">
        <f>IFERROR(Table3335678[[#This Row],[Min Count]]/Table3335678[[#This Row],[Scalar]],"")</f>
        <v>-3.40282346639E+38</v>
      </c>
      <c r="Q28" s="38">
        <f>IFERROR(Table3335678[[#This Row],[Max Count]]/Table3335678[[#This Row],[Scalar]],"")</f>
        <v>3.40282346639E+38</v>
      </c>
      <c r="R28" s="34"/>
      <c r="S28" s="34"/>
      <c r="T28" s="34" t="s">
        <v>3807</v>
      </c>
      <c r="U28" s="8" t="s">
        <v>3815</v>
      </c>
      <c r="V28" s="36" t="s">
        <v>3820</v>
      </c>
      <c r="W28" s="8"/>
      <c r="X28" s="2"/>
      <c r="Y28"/>
      <c r="AC28"/>
      <c r="AD28"/>
      <c r="AE28"/>
      <c r="AF28"/>
    </row>
    <row r="29" spans="1:32" s="9" customFormat="1" ht="16.149999999999999" customHeight="1" x14ac:dyDescent="0.15">
      <c r="A29" s="6">
        <v>23</v>
      </c>
      <c r="B29" s="18" t="s">
        <v>75</v>
      </c>
      <c r="C29" s="43" t="s">
        <v>3719</v>
      </c>
      <c r="D29" s="43" t="s">
        <v>3822</v>
      </c>
      <c r="E29" s="36" t="s">
        <v>3192</v>
      </c>
      <c r="F29" s="19">
        <v>22</v>
      </c>
      <c r="G29" s="6"/>
      <c r="H29" s="2" t="s">
        <v>3823</v>
      </c>
      <c r="I29" s="38" t="s">
        <v>3729</v>
      </c>
      <c r="J29" s="38"/>
      <c r="K29" s="38"/>
      <c r="L29" s="6" t="s">
        <v>266</v>
      </c>
      <c r="M29" s="113">
        <v>1</v>
      </c>
      <c r="N29" s="76">
        <v>-3.40282346639E+38</v>
      </c>
      <c r="O29" s="2">
        <v>3.40282346639E+38</v>
      </c>
      <c r="P29" s="19">
        <f>IFERROR(Table3335678[[#This Row],[Min Count]]/Table3335678[[#This Row],[Scalar]],"")</f>
        <v>-3.40282346639E+38</v>
      </c>
      <c r="Q29" s="36">
        <f>IFERROR(Table3335678[[#This Row],[Max Count]]/Table3335678[[#This Row],[Scalar]],"")</f>
        <v>3.40282346639E+38</v>
      </c>
      <c r="R29" s="130" t="s">
        <v>3824</v>
      </c>
      <c r="S29" s="34" t="s">
        <v>3793</v>
      </c>
      <c r="T29" s="34" t="s">
        <v>3807</v>
      </c>
      <c r="U29" s="33" t="s">
        <v>3825</v>
      </c>
      <c r="V29" s="33" t="s">
        <v>3826</v>
      </c>
      <c r="W29" s="33"/>
      <c r="X29" s="33"/>
      <c r="Y29" s="19"/>
      <c r="AB29"/>
      <c r="AC29" s="20"/>
    </row>
    <row r="30" spans="1:32" s="9" customFormat="1" ht="16.149999999999999" customHeight="1" x14ac:dyDescent="0.15">
      <c r="A30" s="6">
        <v>24</v>
      </c>
      <c r="B30" s="18" t="s">
        <v>75</v>
      </c>
      <c r="C30" s="43" t="s">
        <v>3719</v>
      </c>
      <c r="D30" s="43" t="s">
        <v>3828</v>
      </c>
      <c r="E30" s="36" t="s">
        <v>3192</v>
      </c>
      <c r="F30" s="19">
        <v>23</v>
      </c>
      <c r="G30" s="6"/>
      <c r="H30" s="2" t="s">
        <v>3829</v>
      </c>
      <c r="I30" s="38" t="s">
        <v>3729</v>
      </c>
      <c r="J30" s="38"/>
      <c r="K30" s="38"/>
      <c r="L30" s="6" t="s">
        <v>266</v>
      </c>
      <c r="M30" s="113">
        <v>1</v>
      </c>
      <c r="N30" s="76">
        <v>-3.40282346639E+38</v>
      </c>
      <c r="O30" s="2">
        <v>3.40282346639E+38</v>
      </c>
      <c r="P30" s="19">
        <f>IFERROR(Table3335678[[#This Row],[Min Count]]/Table3335678[[#This Row],[Scalar]],"")</f>
        <v>-3.40282346639E+38</v>
      </c>
      <c r="Q30" s="36">
        <f>IFERROR(Table3335678[[#This Row],[Max Count]]/Table3335678[[#This Row],[Scalar]],"")</f>
        <v>3.40282346639E+38</v>
      </c>
      <c r="R30" s="130" t="s">
        <v>3824</v>
      </c>
      <c r="S30" s="34" t="s">
        <v>3793</v>
      </c>
      <c r="T30" s="34" t="s">
        <v>3807</v>
      </c>
      <c r="U30" s="33" t="s">
        <v>3825</v>
      </c>
      <c r="V30" s="33" t="s">
        <v>3830</v>
      </c>
      <c r="W30" s="33"/>
      <c r="X30" s="33"/>
      <c r="Y30" s="19"/>
      <c r="AB30"/>
      <c r="AC30" s="20"/>
    </row>
    <row r="31" spans="1:32" s="9" customFormat="1" ht="16.149999999999999" customHeight="1" x14ac:dyDescent="0.15">
      <c r="A31" s="6">
        <v>25</v>
      </c>
      <c r="B31" s="18" t="s">
        <v>75</v>
      </c>
      <c r="C31" s="43" t="s">
        <v>3719</v>
      </c>
      <c r="D31" s="43" t="s">
        <v>3832</v>
      </c>
      <c r="E31" s="36" t="s">
        <v>3192</v>
      </c>
      <c r="F31" s="19">
        <v>24</v>
      </c>
      <c r="G31" s="6"/>
      <c r="H31" s="2" t="s">
        <v>3833</v>
      </c>
      <c r="I31" s="38" t="s">
        <v>3729</v>
      </c>
      <c r="J31" s="38"/>
      <c r="K31" s="38"/>
      <c r="L31" s="6" t="s">
        <v>2281</v>
      </c>
      <c r="M31" s="113">
        <v>1</v>
      </c>
      <c r="N31" s="76">
        <v>-3.40282346639E+38</v>
      </c>
      <c r="O31" s="2">
        <v>3.40282346639E+38</v>
      </c>
      <c r="P31" s="19">
        <f>IFERROR(Table3335678[[#This Row],[Min Count]]/Table3335678[[#This Row],[Scalar]],"")</f>
        <v>-3.40282346639E+38</v>
      </c>
      <c r="Q31" s="36">
        <f>IFERROR(Table3335678[[#This Row],[Max Count]]/Table3335678[[#This Row],[Scalar]],"")</f>
        <v>3.40282346639E+38</v>
      </c>
      <c r="R31" s="34" t="s">
        <v>3834</v>
      </c>
      <c r="S31" s="34" t="s">
        <v>3731</v>
      </c>
      <c r="T31" s="34" t="s">
        <v>3807</v>
      </c>
      <c r="U31" s="33" t="s">
        <v>3815</v>
      </c>
      <c r="V31" s="33" t="s">
        <v>3835</v>
      </c>
      <c r="W31" s="33"/>
      <c r="X31" s="33" t="s">
        <v>3836</v>
      </c>
      <c r="Y31" s="19"/>
      <c r="AB31"/>
      <c r="AC31" s="20"/>
    </row>
    <row r="32" spans="1:32" s="9" customFormat="1" ht="16.149999999999999" customHeight="1" x14ac:dyDescent="0.15">
      <c r="A32" s="6">
        <v>26</v>
      </c>
      <c r="B32" s="18" t="s">
        <v>75</v>
      </c>
      <c r="C32" s="43" t="s">
        <v>3719</v>
      </c>
      <c r="D32" s="43" t="s">
        <v>3838</v>
      </c>
      <c r="E32" s="36" t="s">
        <v>3192</v>
      </c>
      <c r="F32" s="19">
        <v>25</v>
      </c>
      <c r="G32" s="6"/>
      <c r="H32" s="2" t="s">
        <v>3839</v>
      </c>
      <c r="I32" s="38" t="s">
        <v>196</v>
      </c>
      <c r="J32" s="38"/>
      <c r="K32" s="38"/>
      <c r="L32" s="6" t="s">
        <v>153</v>
      </c>
      <c r="M32" s="113">
        <v>1</v>
      </c>
      <c r="N32" s="76">
        <v>-3.40282346639E+38</v>
      </c>
      <c r="O32" s="2">
        <v>3.40282346639E+38</v>
      </c>
      <c r="P32" s="19">
        <f>IFERROR(Table3335678[[#This Row],[Min Count]]/Table3335678[[#This Row],[Scalar]],"")</f>
        <v>-3.40282346639E+38</v>
      </c>
      <c r="Q32" s="36">
        <f>IFERROR(Table3335678[[#This Row],[Max Count]]/Table3335678[[#This Row],[Scalar]],"")</f>
        <v>3.40282346639E+38</v>
      </c>
      <c r="R32" s="34"/>
      <c r="S32" s="34"/>
      <c r="T32" s="34" t="s">
        <v>3807</v>
      </c>
      <c r="U32" s="33" t="s">
        <v>3815</v>
      </c>
      <c r="V32" s="33" t="s">
        <v>3840</v>
      </c>
      <c r="W32" s="33"/>
      <c r="X32" s="33"/>
      <c r="Y32" s="19"/>
      <c r="AB32"/>
      <c r="AC32" s="20"/>
    </row>
    <row r="33" spans="1:32" s="9" customFormat="1" ht="16.149999999999999" customHeight="1" x14ac:dyDescent="0.15">
      <c r="A33" s="6">
        <v>27</v>
      </c>
      <c r="B33" s="18" t="s">
        <v>75</v>
      </c>
      <c r="C33" s="43" t="s">
        <v>3719</v>
      </c>
      <c r="D33" s="43" t="s">
        <v>3842</v>
      </c>
      <c r="E33" s="36" t="s">
        <v>3192</v>
      </c>
      <c r="F33" s="19">
        <v>26</v>
      </c>
      <c r="G33" s="6"/>
      <c r="H33" s="2" t="s">
        <v>3843</v>
      </c>
      <c r="I33" s="38" t="s">
        <v>196</v>
      </c>
      <c r="J33" s="38"/>
      <c r="K33" s="38"/>
      <c r="L33" s="6" t="s">
        <v>153</v>
      </c>
      <c r="M33" s="113">
        <v>1</v>
      </c>
      <c r="N33" s="76">
        <v>-3.40282346639E+38</v>
      </c>
      <c r="O33" s="2">
        <v>3.40282346639E+38</v>
      </c>
      <c r="P33" s="19">
        <f>IFERROR(Table3335678[[#This Row],[Min Count]]/Table3335678[[#This Row],[Scalar]],"")</f>
        <v>-3.40282346639E+38</v>
      </c>
      <c r="Q33" s="36">
        <f>IFERROR(Table3335678[[#This Row],[Max Count]]/Table3335678[[#This Row],[Scalar]],"")</f>
        <v>3.40282346639E+38</v>
      </c>
      <c r="R33" s="34"/>
      <c r="S33" s="34"/>
      <c r="T33" s="34" t="s">
        <v>3807</v>
      </c>
      <c r="U33" s="33" t="s">
        <v>3815</v>
      </c>
      <c r="V33" s="33" t="s">
        <v>3844</v>
      </c>
      <c r="W33" s="33"/>
      <c r="X33" s="33"/>
      <c r="Y33" s="19"/>
      <c r="AB33"/>
      <c r="AC33" s="20"/>
    </row>
    <row r="34" spans="1:32" s="9" customFormat="1" ht="16.149999999999999" customHeight="1" x14ac:dyDescent="0.15">
      <c r="A34" s="6">
        <v>28</v>
      </c>
      <c r="B34" s="18" t="s">
        <v>75</v>
      </c>
      <c r="C34" s="43" t="s">
        <v>3719</v>
      </c>
      <c r="D34" s="43" t="s">
        <v>3846</v>
      </c>
      <c r="E34" s="36" t="s">
        <v>107</v>
      </c>
      <c r="F34" s="19">
        <v>27</v>
      </c>
      <c r="G34" s="6"/>
      <c r="H34" s="2" t="s">
        <v>3847</v>
      </c>
      <c r="I34" s="38" t="s">
        <v>196</v>
      </c>
      <c r="J34" s="38"/>
      <c r="K34" s="38"/>
      <c r="L34" s="6" t="s">
        <v>3722</v>
      </c>
      <c r="M34" s="48">
        <v>1</v>
      </c>
      <c r="N34" s="112">
        <v>-2147483648</v>
      </c>
      <c r="O34" s="2">
        <v>2147483647</v>
      </c>
      <c r="P34" s="19">
        <f>IFERROR(Table3335678[[#This Row],[Min Count]]/Table3335678[[#This Row],[Scalar]],"")</f>
        <v>-2147483648</v>
      </c>
      <c r="Q34" s="36">
        <f>IFERROR(Table3335678[[#This Row],[Max Count]]/Table3335678[[#This Row],[Scalar]],"")</f>
        <v>2147483647</v>
      </c>
      <c r="R34" s="34"/>
      <c r="S34" s="34"/>
      <c r="T34" s="34" t="s">
        <v>3723</v>
      </c>
      <c r="U34" s="33" t="s">
        <v>3815</v>
      </c>
      <c r="V34" s="33" t="s">
        <v>3848</v>
      </c>
      <c r="W34" s="8" t="s">
        <v>2351</v>
      </c>
      <c r="X34" s="33"/>
      <c r="Y34" s="19"/>
      <c r="AB34"/>
      <c r="AC34" s="20"/>
    </row>
    <row r="35" spans="1:32" s="9" customFormat="1" ht="16.149999999999999" customHeight="1" x14ac:dyDescent="0.15">
      <c r="A35" s="6">
        <v>29</v>
      </c>
      <c r="B35" s="18" t="s">
        <v>75</v>
      </c>
      <c r="C35" s="43" t="s">
        <v>3719</v>
      </c>
      <c r="D35" s="43" t="s">
        <v>7395</v>
      </c>
      <c r="E35" s="36" t="s">
        <v>3192</v>
      </c>
      <c r="F35" s="19">
        <v>28</v>
      </c>
      <c r="G35" s="6"/>
      <c r="H35" s="2"/>
      <c r="I35" s="38"/>
      <c r="J35" s="38"/>
      <c r="K35" s="38"/>
      <c r="L35" s="6"/>
      <c r="M35" s="113">
        <v>1</v>
      </c>
      <c r="N35" s="112">
        <v>-3.40282346639E+38</v>
      </c>
      <c r="O35" s="2">
        <v>3.40282346639E+38</v>
      </c>
      <c r="P35" s="19">
        <f>IFERROR(Table3335678[[#This Row],[Min Count]]/Table3335678[[#This Row],[Scalar]],"")</f>
        <v>-3.40282346639E+38</v>
      </c>
      <c r="Q35" s="36">
        <f>IFERROR(Table3335678[[#This Row],[Max Count]]/Table3335678[[#This Row],[Scalar]],"")</f>
        <v>3.40282346639E+38</v>
      </c>
      <c r="R35" s="34"/>
      <c r="S35" s="34"/>
      <c r="T35" s="34" t="s">
        <v>3852</v>
      </c>
      <c r="U35" s="33" t="s">
        <v>3853</v>
      </c>
      <c r="V35" s="33" t="s">
        <v>8394</v>
      </c>
      <c r="W35" s="33"/>
      <c r="X35" s="33"/>
      <c r="Y35" s="19"/>
      <c r="AB35"/>
      <c r="AC35" s="20"/>
    </row>
    <row r="36" spans="1:32" s="9" customFormat="1" ht="16.149999999999999" customHeight="1" x14ac:dyDescent="0.15">
      <c r="A36" s="6">
        <v>30</v>
      </c>
      <c r="B36" s="18" t="s">
        <v>75</v>
      </c>
      <c r="C36" s="43" t="s">
        <v>3719</v>
      </c>
      <c r="D36" s="43" t="s">
        <v>7396</v>
      </c>
      <c r="E36" s="36" t="s">
        <v>3192</v>
      </c>
      <c r="F36" s="19">
        <v>29</v>
      </c>
      <c r="G36" s="6"/>
      <c r="H36" s="2"/>
      <c r="I36" s="38"/>
      <c r="J36" s="38"/>
      <c r="K36" s="38"/>
      <c r="L36" s="6"/>
      <c r="M36" s="113">
        <v>1</v>
      </c>
      <c r="N36" s="112">
        <v>-3.40282346639E+38</v>
      </c>
      <c r="O36" s="2">
        <v>3.40282346639E+38</v>
      </c>
      <c r="P36" s="19">
        <f>IFERROR(Table3335678[[#This Row],[Min Count]]/Table3335678[[#This Row],[Scalar]],"")</f>
        <v>-3.40282346639E+38</v>
      </c>
      <c r="Q36" s="36">
        <f>IFERROR(Table3335678[[#This Row],[Max Count]]/Table3335678[[#This Row],[Scalar]],"")</f>
        <v>3.40282346639E+38</v>
      </c>
      <c r="R36" s="34"/>
      <c r="S36" s="34"/>
      <c r="T36" s="34" t="s">
        <v>3852</v>
      </c>
      <c r="U36" s="33" t="s">
        <v>3853</v>
      </c>
      <c r="V36" s="33" t="s">
        <v>8395</v>
      </c>
      <c r="W36" s="33"/>
      <c r="X36" s="33"/>
      <c r="Y36" s="19"/>
      <c r="AB36"/>
      <c r="AC36" s="20"/>
    </row>
    <row r="37" spans="1:32" s="9" customFormat="1" ht="16.149999999999999" customHeight="1" x14ac:dyDescent="0.15">
      <c r="A37" s="6">
        <v>31</v>
      </c>
      <c r="B37" s="18" t="s">
        <v>75</v>
      </c>
      <c r="C37" s="43" t="s">
        <v>3719</v>
      </c>
      <c r="D37" s="43" t="s">
        <v>7397</v>
      </c>
      <c r="E37" s="36" t="s">
        <v>3192</v>
      </c>
      <c r="F37" s="19">
        <v>30</v>
      </c>
      <c r="G37" s="6"/>
      <c r="H37" s="2"/>
      <c r="I37" s="38"/>
      <c r="J37" s="38"/>
      <c r="K37" s="38"/>
      <c r="L37" s="6"/>
      <c r="M37" s="113">
        <v>1</v>
      </c>
      <c r="N37" s="112">
        <v>-3.40282346639E+38</v>
      </c>
      <c r="O37" s="2">
        <v>3.40282346639E+38</v>
      </c>
      <c r="P37" s="19">
        <f>IFERROR(Table3335678[[#This Row],[Min Count]]/Table3335678[[#This Row],[Scalar]],"")</f>
        <v>-3.40282346639E+38</v>
      </c>
      <c r="Q37" s="36">
        <f>IFERROR(Table3335678[[#This Row],[Max Count]]/Table3335678[[#This Row],[Scalar]],"")</f>
        <v>3.40282346639E+38</v>
      </c>
      <c r="R37" s="34"/>
      <c r="S37" s="34"/>
      <c r="T37" s="34" t="s">
        <v>3852</v>
      </c>
      <c r="U37" s="33" t="s">
        <v>3853</v>
      </c>
      <c r="V37" s="33" t="s">
        <v>8396</v>
      </c>
      <c r="W37" s="33"/>
      <c r="X37" s="33"/>
      <c r="Y37" s="19"/>
      <c r="AB37"/>
      <c r="AC37" s="20"/>
    </row>
    <row r="38" spans="1:32" s="9" customFormat="1" ht="16.149999999999999" customHeight="1" x14ac:dyDescent="0.15">
      <c r="A38" s="6">
        <v>32</v>
      </c>
      <c r="B38" s="18" t="s">
        <v>75</v>
      </c>
      <c r="C38" s="43" t="s">
        <v>3719</v>
      </c>
      <c r="D38" s="43" t="s">
        <v>7398</v>
      </c>
      <c r="E38" s="36" t="s">
        <v>3192</v>
      </c>
      <c r="F38" s="19">
        <v>31</v>
      </c>
      <c r="G38" s="6"/>
      <c r="H38" s="2"/>
      <c r="I38" s="38"/>
      <c r="J38" s="38"/>
      <c r="K38" s="38"/>
      <c r="L38" s="6"/>
      <c r="M38" s="113">
        <v>1</v>
      </c>
      <c r="N38" s="112">
        <v>-3.40282346639E+38</v>
      </c>
      <c r="O38" s="2">
        <v>3.40282346639E+38</v>
      </c>
      <c r="P38" s="19">
        <f>IFERROR(Table3335678[[#This Row],[Min Count]]/Table3335678[[#This Row],[Scalar]],"")</f>
        <v>-3.40282346639E+38</v>
      </c>
      <c r="Q38" s="36">
        <f>IFERROR(Table3335678[[#This Row],[Max Count]]/Table3335678[[#This Row],[Scalar]],"")</f>
        <v>3.40282346639E+38</v>
      </c>
      <c r="R38" s="34"/>
      <c r="S38" s="34"/>
      <c r="T38" s="34" t="s">
        <v>3852</v>
      </c>
      <c r="U38" s="33" t="s">
        <v>3853</v>
      </c>
      <c r="V38" s="33" t="s">
        <v>8397</v>
      </c>
      <c r="W38" s="33"/>
      <c r="X38" s="33"/>
      <c r="Y38" s="19"/>
      <c r="AB38"/>
      <c r="AC38" s="20"/>
    </row>
    <row r="39" spans="1:32" s="9" customFormat="1" ht="16.149999999999999" customHeight="1" x14ac:dyDescent="0.15">
      <c r="A39" s="6">
        <v>33</v>
      </c>
      <c r="B39" s="18" t="s">
        <v>75</v>
      </c>
      <c r="C39" s="43" t="s">
        <v>3719</v>
      </c>
      <c r="D39" s="43" t="s">
        <v>7399</v>
      </c>
      <c r="E39" s="36" t="s">
        <v>3192</v>
      </c>
      <c r="F39" s="19">
        <v>32</v>
      </c>
      <c r="G39" s="6"/>
      <c r="H39" s="2"/>
      <c r="I39" s="38"/>
      <c r="J39" s="38"/>
      <c r="K39" s="38"/>
      <c r="L39" s="6"/>
      <c r="M39" s="113">
        <v>1</v>
      </c>
      <c r="N39" s="112">
        <v>-3.40282346639E+38</v>
      </c>
      <c r="O39" s="2">
        <v>3.40282346639E+38</v>
      </c>
      <c r="P39" s="19">
        <f>IFERROR(Table3335678[[#This Row],[Min Count]]/Table3335678[[#This Row],[Scalar]],"")</f>
        <v>-3.40282346639E+38</v>
      </c>
      <c r="Q39" s="36">
        <f>IFERROR(Table3335678[[#This Row],[Max Count]]/Table3335678[[#This Row],[Scalar]],"")</f>
        <v>3.40282346639E+38</v>
      </c>
      <c r="R39" s="34"/>
      <c r="S39" s="34"/>
      <c r="T39" s="34" t="s">
        <v>3852</v>
      </c>
      <c r="U39" s="33" t="s">
        <v>3853</v>
      </c>
      <c r="V39" s="33" t="s">
        <v>8398</v>
      </c>
      <c r="W39" s="33"/>
      <c r="X39" s="33"/>
      <c r="Y39" s="19"/>
      <c r="AB39"/>
      <c r="AC39" s="20"/>
    </row>
    <row r="40" spans="1:32" s="9" customFormat="1" ht="16.149999999999999" customHeight="1" x14ac:dyDescent="0.15">
      <c r="A40" s="6">
        <v>34</v>
      </c>
      <c r="B40" s="18" t="s">
        <v>75</v>
      </c>
      <c r="C40" s="43" t="s">
        <v>3719</v>
      </c>
      <c r="D40" s="43" t="s">
        <v>7400</v>
      </c>
      <c r="E40" s="36" t="s">
        <v>3192</v>
      </c>
      <c r="F40" s="19">
        <v>33</v>
      </c>
      <c r="G40" s="6"/>
      <c r="H40" s="2"/>
      <c r="I40" s="38"/>
      <c r="J40" s="38"/>
      <c r="K40" s="38"/>
      <c r="L40" s="6"/>
      <c r="M40" s="113">
        <v>1</v>
      </c>
      <c r="N40" s="112">
        <v>-3.40282346639E+38</v>
      </c>
      <c r="O40" s="2">
        <v>3.40282346639E+38</v>
      </c>
      <c r="P40" s="19">
        <f>IFERROR(Table3335678[[#This Row],[Min Count]]/Table3335678[[#This Row],[Scalar]],"")</f>
        <v>-3.40282346639E+38</v>
      </c>
      <c r="Q40" s="36">
        <f>IFERROR(Table3335678[[#This Row],[Max Count]]/Table3335678[[#This Row],[Scalar]],"")</f>
        <v>3.40282346639E+38</v>
      </c>
      <c r="R40" s="34"/>
      <c r="S40" s="34"/>
      <c r="T40" s="34" t="s">
        <v>3852</v>
      </c>
      <c r="U40" s="33" t="s">
        <v>3853</v>
      </c>
      <c r="V40" s="33" t="s">
        <v>8399</v>
      </c>
      <c r="W40" s="33"/>
      <c r="X40" s="33"/>
      <c r="Y40" s="19"/>
      <c r="AB40"/>
      <c r="AC40" s="20"/>
    </row>
    <row r="41" spans="1:32" s="9" customFormat="1" ht="16.149999999999999" customHeight="1" x14ac:dyDescent="0.15">
      <c r="A41" s="6">
        <v>35</v>
      </c>
      <c r="B41" s="18" t="s">
        <v>75</v>
      </c>
      <c r="C41" s="43" t="s">
        <v>3719</v>
      </c>
      <c r="D41" s="43" t="s">
        <v>7401</v>
      </c>
      <c r="E41" s="36" t="s">
        <v>3192</v>
      </c>
      <c r="F41" s="19">
        <v>34</v>
      </c>
      <c r="G41" s="6"/>
      <c r="H41" s="2"/>
      <c r="I41" s="38"/>
      <c r="J41" s="38"/>
      <c r="K41" s="38"/>
      <c r="L41" s="6"/>
      <c r="M41" s="113">
        <v>1</v>
      </c>
      <c r="N41" s="112">
        <v>-3.40282346639E+38</v>
      </c>
      <c r="O41" s="2">
        <v>3.40282346639E+38</v>
      </c>
      <c r="P41" s="19">
        <f>IFERROR(Table3335678[[#This Row],[Min Count]]/Table3335678[[#This Row],[Scalar]],"")</f>
        <v>-3.40282346639E+38</v>
      </c>
      <c r="Q41" s="36">
        <f>IFERROR(Table3335678[[#This Row],[Max Count]]/Table3335678[[#This Row],[Scalar]],"")</f>
        <v>3.40282346639E+38</v>
      </c>
      <c r="R41" s="34"/>
      <c r="S41" s="34"/>
      <c r="T41" s="34" t="s">
        <v>3852</v>
      </c>
      <c r="U41" s="33" t="s">
        <v>3853</v>
      </c>
      <c r="V41" s="33" t="s">
        <v>8400</v>
      </c>
      <c r="W41" s="33"/>
      <c r="X41" s="33"/>
      <c r="Y41" s="19"/>
      <c r="AB41"/>
      <c r="AC41" s="20"/>
    </row>
    <row r="42" spans="1:32" s="9" customFormat="1" ht="16.149999999999999" customHeight="1" x14ac:dyDescent="0.15">
      <c r="A42" s="6">
        <v>36</v>
      </c>
      <c r="B42" s="18" t="s">
        <v>75</v>
      </c>
      <c r="C42" s="43" t="s">
        <v>3719</v>
      </c>
      <c r="D42" s="43" t="s">
        <v>7402</v>
      </c>
      <c r="E42" s="36" t="s">
        <v>3192</v>
      </c>
      <c r="F42" s="19">
        <v>35</v>
      </c>
      <c r="G42" s="6"/>
      <c r="H42" s="2"/>
      <c r="I42" s="38"/>
      <c r="J42" s="38"/>
      <c r="K42" s="38"/>
      <c r="L42" s="6"/>
      <c r="M42" s="113">
        <v>1</v>
      </c>
      <c r="N42" s="112">
        <v>-3.40282346639E+38</v>
      </c>
      <c r="O42" s="2">
        <v>3.40282346639E+38</v>
      </c>
      <c r="P42" s="19">
        <f>IFERROR(Table3335678[[#This Row],[Min Count]]/Table3335678[[#This Row],[Scalar]],"")</f>
        <v>-3.40282346639E+38</v>
      </c>
      <c r="Q42" s="36">
        <f>IFERROR(Table3335678[[#This Row],[Max Count]]/Table3335678[[#This Row],[Scalar]],"")</f>
        <v>3.40282346639E+38</v>
      </c>
      <c r="R42" s="34"/>
      <c r="S42" s="34"/>
      <c r="T42" s="34" t="s">
        <v>3852</v>
      </c>
      <c r="U42" s="33" t="s">
        <v>3853</v>
      </c>
      <c r="V42" s="33" t="s">
        <v>8401</v>
      </c>
      <c r="W42" s="33"/>
      <c r="X42" s="33"/>
      <c r="Y42" s="19"/>
      <c r="AB42"/>
      <c r="AC42" s="20"/>
    </row>
    <row r="43" spans="1:32" s="9" customFormat="1" ht="16.149999999999999" customHeight="1" x14ac:dyDescent="0.15">
      <c r="A43" s="6">
        <v>37</v>
      </c>
      <c r="B43" s="18" t="s">
        <v>75</v>
      </c>
      <c r="C43" s="43" t="s">
        <v>3719</v>
      </c>
      <c r="D43" s="43" t="s">
        <v>7403</v>
      </c>
      <c r="E43" s="36" t="s">
        <v>3192</v>
      </c>
      <c r="F43" s="19">
        <v>36</v>
      </c>
      <c r="G43" s="6"/>
      <c r="H43" s="2"/>
      <c r="I43" s="38"/>
      <c r="J43" s="38"/>
      <c r="K43" s="38"/>
      <c r="L43" s="6"/>
      <c r="M43" s="113">
        <v>1</v>
      </c>
      <c r="N43" s="112">
        <v>-3.40282346639E+38</v>
      </c>
      <c r="O43" s="2">
        <v>3.40282346639E+38</v>
      </c>
      <c r="P43" s="19">
        <f>IFERROR(Table3335678[[#This Row],[Min Count]]/Table3335678[[#This Row],[Scalar]],"")</f>
        <v>-3.40282346639E+38</v>
      </c>
      <c r="Q43" s="36">
        <f>IFERROR(Table3335678[[#This Row],[Max Count]]/Table3335678[[#This Row],[Scalar]],"")</f>
        <v>3.40282346639E+38</v>
      </c>
      <c r="R43" s="34"/>
      <c r="S43" s="34"/>
      <c r="T43" s="34" t="s">
        <v>3852</v>
      </c>
      <c r="U43" s="33" t="s">
        <v>3853</v>
      </c>
      <c r="V43" s="33" t="s">
        <v>8402</v>
      </c>
      <c r="W43" s="33"/>
      <c r="X43" s="33"/>
      <c r="Y43" s="19"/>
      <c r="AB43"/>
      <c r="AC43" s="20"/>
    </row>
    <row r="44" spans="1:32" s="9" customFormat="1" ht="16.149999999999999" customHeight="1" x14ac:dyDescent="0.15">
      <c r="A44" s="6">
        <v>38</v>
      </c>
      <c r="B44" s="18" t="s">
        <v>75</v>
      </c>
      <c r="C44" s="43" t="s">
        <v>3719</v>
      </c>
      <c r="D44" s="43" t="s">
        <v>7404</v>
      </c>
      <c r="E44" s="36" t="s">
        <v>3192</v>
      </c>
      <c r="F44" s="19">
        <v>37</v>
      </c>
      <c r="G44" s="6"/>
      <c r="H44" s="2"/>
      <c r="I44" s="38"/>
      <c r="J44" s="38"/>
      <c r="K44" s="38"/>
      <c r="L44" s="6"/>
      <c r="M44" s="113">
        <v>1</v>
      </c>
      <c r="N44" s="112">
        <v>-3.40282346639E+38</v>
      </c>
      <c r="O44" s="2">
        <v>3.40282346639E+38</v>
      </c>
      <c r="P44" s="19">
        <f>IFERROR(Table3335678[[#This Row],[Min Count]]/Table3335678[[#This Row],[Scalar]],"")</f>
        <v>-3.40282346639E+38</v>
      </c>
      <c r="Q44" s="36">
        <f>IFERROR(Table3335678[[#This Row],[Max Count]]/Table3335678[[#This Row],[Scalar]],"")</f>
        <v>3.40282346639E+38</v>
      </c>
      <c r="R44" s="34"/>
      <c r="S44" s="34"/>
      <c r="T44" s="34" t="s">
        <v>3852</v>
      </c>
      <c r="U44" s="33" t="s">
        <v>3853</v>
      </c>
      <c r="V44" s="33" t="s">
        <v>8403</v>
      </c>
      <c r="W44" s="33"/>
      <c r="X44" s="33"/>
      <c r="Y44" s="19"/>
      <c r="AB44"/>
      <c r="AC44" s="20"/>
    </row>
    <row r="45" spans="1:32" ht="15.75" customHeight="1" x14ac:dyDescent="0.15">
      <c r="A45" s="6">
        <v>39</v>
      </c>
      <c r="B45" s="18" t="s">
        <v>75</v>
      </c>
      <c r="C45" s="34" t="s">
        <v>3719</v>
      </c>
      <c r="D45" t="s">
        <v>3949</v>
      </c>
      <c r="E45" s="2" t="s">
        <v>3192</v>
      </c>
      <c r="F45" s="19">
        <v>38</v>
      </c>
      <c r="G45" s="6"/>
      <c r="H45" s="34" t="s">
        <v>3721</v>
      </c>
      <c r="I45" s="38" t="s">
        <v>196</v>
      </c>
      <c r="J45" s="38"/>
      <c r="K45" s="38"/>
      <c r="L45" s="38" t="s">
        <v>3722</v>
      </c>
      <c r="M45" s="19">
        <v>1</v>
      </c>
      <c r="N45" s="76">
        <v>-3.40282346639E+38</v>
      </c>
      <c r="O45" s="6">
        <v>3.40282346639E+38</v>
      </c>
      <c r="P45" s="38">
        <f>IFERROR(Table3335678[[#This Row],[Min Count]]/Table3335678[[#This Row],[Scalar]],"")</f>
        <v>-3.40282346639E+38</v>
      </c>
      <c r="Q45" s="38">
        <f>IFERROR(Table3335678[[#This Row],[Max Count]]/Table3335678[[#This Row],[Scalar]],"")</f>
        <v>3.40282346639E+38</v>
      </c>
      <c r="R45" s="130"/>
      <c r="S45" s="34"/>
      <c r="T45" s="34" t="s">
        <v>3723</v>
      </c>
      <c r="U45" s="8" t="s">
        <v>3950</v>
      </c>
      <c r="V45" s="36" t="s">
        <v>8404</v>
      </c>
      <c r="W45" s="8" t="s">
        <v>3725</v>
      </c>
      <c r="X45" s="34"/>
      <c r="Y45"/>
      <c r="AC45"/>
      <c r="AD45"/>
      <c r="AE45"/>
      <c r="AF45"/>
    </row>
    <row r="46" spans="1:32" s="9" customFormat="1" ht="16.149999999999999" customHeight="1" x14ac:dyDescent="0.15">
      <c r="A46" s="6">
        <v>40</v>
      </c>
      <c r="B46" s="18" t="s">
        <v>75</v>
      </c>
      <c r="C46" s="43" t="s">
        <v>3719</v>
      </c>
      <c r="D46" t="s">
        <v>3953</v>
      </c>
      <c r="E46" s="36" t="s">
        <v>3192</v>
      </c>
      <c r="F46" s="19">
        <v>39</v>
      </c>
      <c r="G46" s="6"/>
      <c r="H46" s="2" t="s">
        <v>3954</v>
      </c>
      <c r="I46" s="38" t="s">
        <v>196</v>
      </c>
      <c r="J46" s="38"/>
      <c r="K46" s="38"/>
      <c r="L46" s="38" t="s">
        <v>82</v>
      </c>
      <c r="M46" s="19">
        <v>1</v>
      </c>
      <c r="N46" s="76">
        <v>-3.40282346639E+38</v>
      </c>
      <c r="O46" s="2">
        <v>3.40282346639E+38</v>
      </c>
      <c r="P46" s="19">
        <f>IFERROR(Table3335678[[#This Row],[Min Count]]/Table3335678[[#This Row],[Scalar]],"")</f>
        <v>-3.40282346639E+38</v>
      </c>
      <c r="Q46" s="36">
        <f>IFERROR(Table3335678[[#This Row],[Max Count]]/Table3335678[[#This Row],[Scalar]],"")</f>
        <v>3.40282346639E+38</v>
      </c>
      <c r="R46" s="34"/>
      <c r="S46" s="34"/>
      <c r="T46" s="34" t="s">
        <v>3707</v>
      </c>
      <c r="U46" s="33" t="s">
        <v>3950</v>
      </c>
      <c r="V46" s="33" t="s">
        <v>8405</v>
      </c>
      <c r="W46" s="33"/>
      <c r="X46" s="33"/>
      <c r="Y46" s="19"/>
      <c r="AB46"/>
      <c r="AC46" s="20"/>
    </row>
    <row r="47" spans="1:32" s="9" customFormat="1" ht="16.149999999999999" customHeight="1" x14ac:dyDescent="0.15">
      <c r="A47" s="6">
        <v>41</v>
      </c>
      <c r="B47" s="18" t="s">
        <v>75</v>
      </c>
      <c r="C47" s="43" t="s">
        <v>3719</v>
      </c>
      <c r="D47" s="43" t="s">
        <v>3957</v>
      </c>
      <c r="E47" s="36" t="s">
        <v>3192</v>
      </c>
      <c r="F47" s="19">
        <v>40</v>
      </c>
      <c r="G47" s="6"/>
      <c r="H47" s="2" t="s">
        <v>3958</v>
      </c>
      <c r="I47" s="38" t="s">
        <v>196</v>
      </c>
      <c r="J47" s="38"/>
      <c r="K47" s="38"/>
      <c r="L47" s="38" t="s">
        <v>153</v>
      </c>
      <c r="M47" s="19">
        <v>1</v>
      </c>
      <c r="N47" s="76">
        <v>-3.40282346639E+38</v>
      </c>
      <c r="O47" s="2">
        <v>3.40282346639E+38</v>
      </c>
      <c r="P47" s="19">
        <f>IFERROR(Table3335678[[#This Row],[Min Count]]/Table3335678[[#This Row],[Scalar]],"")</f>
        <v>-3.40282346639E+38</v>
      </c>
      <c r="Q47" s="36">
        <f>IFERROR(Table3335678[[#This Row],[Max Count]]/Table3335678[[#This Row],[Scalar]],"")</f>
        <v>3.40282346639E+38</v>
      </c>
      <c r="R47" s="34"/>
      <c r="S47" s="34"/>
      <c r="T47" s="34" t="s">
        <v>3707</v>
      </c>
      <c r="U47" s="33" t="s">
        <v>3950</v>
      </c>
      <c r="V47" s="33" t="s">
        <v>8406</v>
      </c>
      <c r="W47" s="33"/>
      <c r="X47" s="33"/>
      <c r="Y47" s="19"/>
      <c r="AB47"/>
      <c r="AC47" s="20"/>
    </row>
    <row r="48" spans="1:32" s="9" customFormat="1" ht="16.149999999999999" customHeight="1" x14ac:dyDescent="0.15">
      <c r="A48" s="6">
        <v>42</v>
      </c>
      <c r="B48" s="18" t="s">
        <v>75</v>
      </c>
      <c r="C48" s="43" t="s">
        <v>3719</v>
      </c>
      <c r="D48" t="s">
        <v>3961</v>
      </c>
      <c r="E48" s="36" t="s">
        <v>3192</v>
      </c>
      <c r="F48" s="19">
        <v>41</v>
      </c>
      <c r="G48" s="6"/>
      <c r="H48" s="2" t="s">
        <v>3962</v>
      </c>
      <c r="I48" s="38" t="s">
        <v>196</v>
      </c>
      <c r="J48" s="38"/>
      <c r="K48" s="38"/>
      <c r="L48" s="38" t="s">
        <v>123</v>
      </c>
      <c r="M48" s="19">
        <v>1</v>
      </c>
      <c r="N48" s="76">
        <v>-3.40282346639E+38</v>
      </c>
      <c r="O48" s="2">
        <v>3.40282346639E+38</v>
      </c>
      <c r="P48" s="19">
        <f>IFERROR(Table3335678[[#This Row],[Min Count]]/Table3335678[[#This Row],[Scalar]],"")</f>
        <v>-3.40282346639E+38</v>
      </c>
      <c r="Q48" s="36">
        <f>IFERROR(Table3335678[[#This Row],[Max Count]]/Table3335678[[#This Row],[Scalar]],"")</f>
        <v>3.40282346639E+38</v>
      </c>
      <c r="R48" s="34"/>
      <c r="S48" s="34"/>
      <c r="T48" s="34" t="s">
        <v>3707</v>
      </c>
      <c r="U48" s="33" t="s">
        <v>3950</v>
      </c>
      <c r="V48" s="33" t="s">
        <v>8407</v>
      </c>
      <c r="W48" s="33"/>
      <c r="X48" s="33"/>
      <c r="Y48" s="19"/>
      <c r="AB48"/>
      <c r="AC48" s="20"/>
    </row>
    <row r="49" spans="1:29" s="9" customFormat="1" ht="16.149999999999999" customHeight="1" x14ac:dyDescent="0.15">
      <c r="A49" s="6">
        <v>43</v>
      </c>
      <c r="B49" s="18" t="s">
        <v>75</v>
      </c>
      <c r="C49" s="43" t="s">
        <v>3719</v>
      </c>
      <c r="D49" t="s">
        <v>3965</v>
      </c>
      <c r="E49" s="36" t="s">
        <v>3192</v>
      </c>
      <c r="F49" s="19">
        <v>42</v>
      </c>
      <c r="G49" s="6"/>
      <c r="H49" s="2" t="s">
        <v>3966</v>
      </c>
      <c r="I49" s="38" t="s">
        <v>196</v>
      </c>
      <c r="J49" s="38"/>
      <c r="K49" s="38"/>
      <c r="L49" s="38" t="s">
        <v>123</v>
      </c>
      <c r="M49" s="19">
        <v>1</v>
      </c>
      <c r="N49" s="76">
        <v>-3.40282346639E+38</v>
      </c>
      <c r="O49" s="2">
        <v>3.40282346639E+38</v>
      </c>
      <c r="P49" s="19">
        <f>IFERROR(Table3335678[[#This Row],[Min Count]]/Table3335678[[#This Row],[Scalar]],"")</f>
        <v>-3.40282346639E+38</v>
      </c>
      <c r="Q49" s="36">
        <f>IFERROR(Table3335678[[#This Row],[Max Count]]/Table3335678[[#This Row],[Scalar]],"")</f>
        <v>3.40282346639E+38</v>
      </c>
      <c r="R49" s="34"/>
      <c r="S49" s="34"/>
      <c r="T49" s="34" t="s">
        <v>3707</v>
      </c>
      <c r="U49" s="33" t="s">
        <v>3950</v>
      </c>
      <c r="V49" s="36" t="s">
        <v>8408</v>
      </c>
      <c r="W49" s="8"/>
      <c r="X49" s="34" t="s">
        <v>3968</v>
      </c>
      <c r="Y49" s="19"/>
      <c r="AB49"/>
      <c r="AC49" s="20"/>
    </row>
    <row r="50" spans="1:29" s="9" customFormat="1" ht="16.149999999999999" customHeight="1" x14ac:dyDescent="0.15">
      <c r="A50" s="6">
        <v>44</v>
      </c>
      <c r="B50" s="18" t="s">
        <v>75</v>
      </c>
      <c r="C50" s="43" t="s">
        <v>3719</v>
      </c>
      <c r="D50" t="s">
        <v>3970</v>
      </c>
      <c r="E50" s="36" t="s">
        <v>3192</v>
      </c>
      <c r="F50" s="19">
        <v>43</v>
      </c>
      <c r="G50" s="6"/>
      <c r="H50" s="2" t="s">
        <v>3971</v>
      </c>
      <c r="I50" s="38" t="s">
        <v>196</v>
      </c>
      <c r="J50" s="38"/>
      <c r="K50" s="38"/>
      <c r="L50" s="38" t="s">
        <v>123</v>
      </c>
      <c r="M50" s="19">
        <v>1</v>
      </c>
      <c r="N50" s="76">
        <v>-3.40282346639E+38</v>
      </c>
      <c r="O50" s="2">
        <v>3.40282346639E+38</v>
      </c>
      <c r="P50" s="19">
        <f>IFERROR(Table3335678[[#This Row],[Min Count]]/Table3335678[[#This Row],[Scalar]],"")</f>
        <v>-3.40282346639E+38</v>
      </c>
      <c r="Q50" s="36">
        <f>IFERROR(Table3335678[[#This Row],[Max Count]]/Table3335678[[#This Row],[Scalar]],"")</f>
        <v>3.40282346639E+38</v>
      </c>
      <c r="R50" s="34"/>
      <c r="S50" s="34"/>
      <c r="T50" s="34" t="s">
        <v>3707</v>
      </c>
      <c r="U50" s="33" t="s">
        <v>3950</v>
      </c>
      <c r="V50" s="33" t="s">
        <v>8409</v>
      </c>
      <c r="W50" s="33"/>
      <c r="X50" s="33"/>
      <c r="Y50" s="19"/>
      <c r="AB50"/>
      <c r="AC50" s="20"/>
    </row>
    <row r="51" spans="1:29" s="9" customFormat="1" ht="16.149999999999999" customHeight="1" x14ac:dyDescent="0.15">
      <c r="A51" s="6">
        <v>45</v>
      </c>
      <c r="B51" s="18" t="s">
        <v>75</v>
      </c>
      <c r="C51" s="43" t="s">
        <v>3719</v>
      </c>
      <c r="D51" t="s">
        <v>3974</v>
      </c>
      <c r="E51" s="36" t="s">
        <v>3192</v>
      </c>
      <c r="F51" s="19">
        <v>44</v>
      </c>
      <c r="G51" s="6"/>
      <c r="H51" s="2" t="s">
        <v>3975</v>
      </c>
      <c r="I51" s="38" t="s">
        <v>196</v>
      </c>
      <c r="J51" s="38"/>
      <c r="K51" s="38"/>
      <c r="L51" s="38" t="s">
        <v>113</v>
      </c>
      <c r="M51" s="19">
        <v>1</v>
      </c>
      <c r="N51" s="76">
        <v>-3.40282346639E+38</v>
      </c>
      <c r="O51" s="2">
        <v>3.40282346639E+38</v>
      </c>
      <c r="P51" s="19">
        <f>IFERROR(Table3335678[[#This Row],[Min Count]]/Table3335678[[#This Row],[Scalar]],"")</f>
        <v>-3.40282346639E+38</v>
      </c>
      <c r="Q51" s="36">
        <f>IFERROR(Table3335678[[#This Row],[Max Count]]/Table3335678[[#This Row],[Scalar]],"")</f>
        <v>3.40282346639E+38</v>
      </c>
      <c r="R51" s="34"/>
      <c r="S51" s="34"/>
      <c r="T51" s="34" t="s">
        <v>3707</v>
      </c>
      <c r="U51" s="33" t="s">
        <v>3950</v>
      </c>
      <c r="V51" s="33" t="s">
        <v>8410</v>
      </c>
      <c r="W51" s="33"/>
      <c r="X51" s="33"/>
      <c r="Y51" s="19"/>
      <c r="AB51"/>
      <c r="AC51" s="20"/>
    </row>
    <row r="52" spans="1:29" s="9" customFormat="1" ht="16.149999999999999" customHeight="1" x14ac:dyDescent="0.15">
      <c r="A52" s="6">
        <v>46</v>
      </c>
      <c r="B52" s="18" t="s">
        <v>75</v>
      </c>
      <c r="C52" s="43" t="s">
        <v>3719</v>
      </c>
      <c r="D52" t="s">
        <v>3978</v>
      </c>
      <c r="E52" s="36" t="s">
        <v>3192</v>
      </c>
      <c r="F52" s="19">
        <v>45</v>
      </c>
      <c r="G52" s="6"/>
      <c r="H52" s="2" t="s">
        <v>3979</v>
      </c>
      <c r="I52" s="38" t="s">
        <v>196</v>
      </c>
      <c r="J52" s="38"/>
      <c r="K52" s="38"/>
      <c r="L52" s="38" t="s">
        <v>113</v>
      </c>
      <c r="M52" s="19">
        <v>1</v>
      </c>
      <c r="N52" s="76">
        <v>-3.40282346639E+38</v>
      </c>
      <c r="O52" s="2">
        <v>3.40282346639E+38</v>
      </c>
      <c r="P52" s="19">
        <f>IFERROR(Table3335678[[#This Row],[Min Count]]/Table3335678[[#This Row],[Scalar]],"")</f>
        <v>-3.40282346639E+38</v>
      </c>
      <c r="Q52" s="36">
        <f>IFERROR(Table3335678[[#This Row],[Max Count]]/Table3335678[[#This Row],[Scalar]],"")</f>
        <v>3.40282346639E+38</v>
      </c>
      <c r="R52" s="34"/>
      <c r="S52" s="34"/>
      <c r="T52" s="34" t="s">
        <v>3707</v>
      </c>
      <c r="U52" s="33" t="s">
        <v>3950</v>
      </c>
      <c r="V52" s="33" t="s">
        <v>8411</v>
      </c>
      <c r="W52" s="33"/>
      <c r="X52" s="33"/>
      <c r="Y52" s="19"/>
      <c r="AB52"/>
      <c r="AC52" s="20"/>
    </row>
    <row r="53" spans="1:29" s="9" customFormat="1" ht="16.149999999999999" customHeight="1" x14ac:dyDescent="0.15">
      <c r="A53" s="6">
        <v>47</v>
      </c>
      <c r="B53" s="18" t="s">
        <v>75</v>
      </c>
      <c r="C53" s="43" t="s">
        <v>3719</v>
      </c>
      <c r="D53" t="s">
        <v>3982</v>
      </c>
      <c r="E53" s="36" t="s">
        <v>3192</v>
      </c>
      <c r="F53" s="19">
        <v>46</v>
      </c>
      <c r="G53" s="6"/>
      <c r="H53" s="2" t="s">
        <v>3983</v>
      </c>
      <c r="I53" s="38" t="s">
        <v>196</v>
      </c>
      <c r="J53" s="38"/>
      <c r="K53" s="38"/>
      <c r="L53" s="38" t="s">
        <v>113</v>
      </c>
      <c r="M53" s="19">
        <v>1</v>
      </c>
      <c r="N53" s="76">
        <v>-3.40282346639E+38</v>
      </c>
      <c r="O53" s="2">
        <v>3.40282346639E+38</v>
      </c>
      <c r="P53" s="19">
        <f>IFERROR(Table3335678[[#This Row],[Min Count]]/Table3335678[[#This Row],[Scalar]],"")</f>
        <v>-3.40282346639E+38</v>
      </c>
      <c r="Q53" s="36">
        <f>IFERROR(Table3335678[[#This Row],[Max Count]]/Table3335678[[#This Row],[Scalar]],"")</f>
        <v>3.40282346639E+38</v>
      </c>
      <c r="R53" s="34"/>
      <c r="S53" s="34"/>
      <c r="T53" s="34" t="s">
        <v>3707</v>
      </c>
      <c r="U53" s="33" t="s">
        <v>3950</v>
      </c>
      <c r="V53" s="33" t="s">
        <v>8412</v>
      </c>
      <c r="W53" s="33"/>
      <c r="X53" s="33"/>
      <c r="Y53" s="19"/>
      <c r="AB53"/>
      <c r="AC53" s="20"/>
    </row>
    <row r="54" spans="1:29" s="9" customFormat="1" ht="16.149999999999999" customHeight="1" x14ac:dyDescent="0.15">
      <c r="A54" s="6">
        <v>48</v>
      </c>
      <c r="B54" s="18" t="s">
        <v>75</v>
      </c>
      <c r="C54" s="43" t="s">
        <v>3719</v>
      </c>
      <c r="D54" t="s">
        <v>3986</v>
      </c>
      <c r="E54" s="36" t="s">
        <v>3192</v>
      </c>
      <c r="F54" s="19">
        <v>47</v>
      </c>
      <c r="G54" s="6"/>
      <c r="H54" s="2" t="s">
        <v>3987</v>
      </c>
      <c r="I54" s="38" t="s">
        <v>196</v>
      </c>
      <c r="J54" s="38"/>
      <c r="K54" s="38"/>
      <c r="L54" s="38" t="s">
        <v>145</v>
      </c>
      <c r="M54" s="19">
        <v>1</v>
      </c>
      <c r="N54" s="76">
        <v>-3.40282346639E+38</v>
      </c>
      <c r="O54" s="2">
        <v>3.40282346639E+38</v>
      </c>
      <c r="P54" s="19">
        <f>IFERROR(Table3335678[[#This Row],[Min Count]]/Table3335678[[#This Row],[Scalar]],"")</f>
        <v>-3.40282346639E+38</v>
      </c>
      <c r="Q54" s="36">
        <f>IFERROR(Table3335678[[#This Row],[Max Count]]/Table3335678[[#This Row],[Scalar]],"")</f>
        <v>3.40282346639E+38</v>
      </c>
      <c r="R54" s="34"/>
      <c r="S54" s="34"/>
      <c r="T54" s="34" t="s">
        <v>3707</v>
      </c>
      <c r="U54" s="33" t="s">
        <v>3950</v>
      </c>
      <c r="V54" s="33" t="s">
        <v>8413</v>
      </c>
      <c r="W54" s="33"/>
      <c r="X54" s="33"/>
      <c r="Y54" s="19"/>
      <c r="AB54"/>
      <c r="AC54" s="20"/>
    </row>
    <row r="55" spans="1:29" s="9" customFormat="1" ht="16.149999999999999" customHeight="1" x14ac:dyDescent="0.15">
      <c r="A55" s="6">
        <v>49</v>
      </c>
      <c r="B55" s="18" t="s">
        <v>75</v>
      </c>
      <c r="C55" s="43" t="s">
        <v>3719</v>
      </c>
      <c r="D55" t="s">
        <v>3990</v>
      </c>
      <c r="E55" s="36" t="s">
        <v>3192</v>
      </c>
      <c r="F55" s="19">
        <v>48</v>
      </c>
      <c r="G55" s="6"/>
      <c r="H55" s="2" t="s">
        <v>3991</v>
      </c>
      <c r="I55" s="38" t="s">
        <v>196</v>
      </c>
      <c r="J55" s="38"/>
      <c r="K55" s="38"/>
      <c r="L55" s="38" t="s">
        <v>149</v>
      </c>
      <c r="M55" s="19">
        <v>1</v>
      </c>
      <c r="N55" s="76">
        <v>-3.40282346639E+38</v>
      </c>
      <c r="O55" s="2">
        <v>3.40282346639E+38</v>
      </c>
      <c r="P55" s="19">
        <f>IFERROR(Table3335678[[#This Row],[Min Count]]/Table3335678[[#This Row],[Scalar]],"")</f>
        <v>-3.40282346639E+38</v>
      </c>
      <c r="Q55" s="36">
        <f>IFERROR(Table3335678[[#This Row],[Max Count]]/Table3335678[[#This Row],[Scalar]],"")</f>
        <v>3.40282346639E+38</v>
      </c>
      <c r="R55" s="34"/>
      <c r="S55" s="34"/>
      <c r="T55" s="34" t="s">
        <v>3707</v>
      </c>
      <c r="U55" s="33" t="s">
        <v>3950</v>
      </c>
      <c r="V55" s="33" t="s">
        <v>8414</v>
      </c>
      <c r="W55" s="33"/>
      <c r="X55" s="33"/>
      <c r="Y55" s="19"/>
      <c r="AB55"/>
      <c r="AC55" s="20"/>
    </row>
    <row r="56" spans="1:29" s="9" customFormat="1" ht="16.149999999999999" customHeight="1" x14ac:dyDescent="0.15">
      <c r="A56" s="6">
        <v>50</v>
      </c>
      <c r="B56" s="18" t="s">
        <v>75</v>
      </c>
      <c r="C56" s="43" t="s">
        <v>3719</v>
      </c>
      <c r="D56" s="43" t="s">
        <v>3994</v>
      </c>
      <c r="E56" s="36" t="s">
        <v>3192</v>
      </c>
      <c r="F56" s="19">
        <v>49</v>
      </c>
      <c r="G56" s="6"/>
      <c r="H56" s="2" t="s">
        <v>3995</v>
      </c>
      <c r="I56" s="38" t="s">
        <v>196</v>
      </c>
      <c r="J56" s="38"/>
      <c r="K56" s="38"/>
      <c r="L56" s="6" t="s">
        <v>82</v>
      </c>
      <c r="M56" s="19">
        <v>1</v>
      </c>
      <c r="N56" s="76">
        <v>-3.40282346639E+38</v>
      </c>
      <c r="O56" s="2">
        <v>3.40282346639E+38</v>
      </c>
      <c r="P56" s="19">
        <f>IFERROR(Table3335678[[#This Row],[Min Count]]/Table3335678[[#This Row],[Scalar]],"")</f>
        <v>-3.40282346639E+38</v>
      </c>
      <c r="Q56" s="36">
        <f>IFERROR(Table3335678[[#This Row],[Max Count]]/Table3335678[[#This Row],[Scalar]],"")</f>
        <v>3.40282346639E+38</v>
      </c>
      <c r="R56" s="34"/>
      <c r="S56" s="34"/>
      <c r="T56" s="34" t="s">
        <v>3707</v>
      </c>
      <c r="U56" s="33" t="s">
        <v>3950</v>
      </c>
      <c r="V56" s="33" t="s">
        <v>8415</v>
      </c>
      <c r="W56" s="33"/>
      <c r="X56" s="33"/>
      <c r="Y56" s="19"/>
      <c r="AB56"/>
      <c r="AC56" s="20"/>
    </row>
    <row r="57" spans="1:29" s="9" customFormat="1" ht="16.149999999999999" customHeight="1" x14ac:dyDescent="0.15">
      <c r="A57" s="6">
        <v>51</v>
      </c>
      <c r="B57" s="18" t="s">
        <v>75</v>
      </c>
      <c r="C57" s="43" t="s">
        <v>3719</v>
      </c>
      <c r="D57" s="43" t="s">
        <v>3998</v>
      </c>
      <c r="E57" s="36" t="s">
        <v>3192</v>
      </c>
      <c r="F57" s="19">
        <v>50</v>
      </c>
      <c r="G57" s="6"/>
      <c r="H57" s="2" t="s">
        <v>3999</v>
      </c>
      <c r="I57" s="38" t="s">
        <v>196</v>
      </c>
      <c r="J57" s="38"/>
      <c r="K57" s="38"/>
      <c r="L57" s="6" t="s">
        <v>123</v>
      </c>
      <c r="M57" s="19">
        <v>1</v>
      </c>
      <c r="N57" s="76">
        <v>-3.40282346639E+38</v>
      </c>
      <c r="O57" s="2">
        <v>3.40282346639E+38</v>
      </c>
      <c r="P57" s="19">
        <f>IFERROR(Table3335678[[#This Row],[Min Count]]/Table3335678[[#This Row],[Scalar]],"")</f>
        <v>-3.40282346639E+38</v>
      </c>
      <c r="Q57" s="36">
        <f>IFERROR(Table3335678[[#This Row],[Max Count]]/Table3335678[[#This Row],[Scalar]],"")</f>
        <v>3.40282346639E+38</v>
      </c>
      <c r="R57" s="34"/>
      <c r="S57" s="34"/>
      <c r="T57" s="34" t="s">
        <v>3707</v>
      </c>
      <c r="U57" s="33" t="s">
        <v>3950</v>
      </c>
      <c r="V57" s="33" t="s">
        <v>8416</v>
      </c>
      <c r="W57" s="33"/>
      <c r="X57" s="33"/>
      <c r="Y57" s="19"/>
      <c r="AB57"/>
      <c r="AC57" s="20"/>
    </row>
    <row r="58" spans="1:29" s="9" customFormat="1" ht="16.149999999999999" customHeight="1" x14ac:dyDescent="0.15">
      <c r="A58" s="6">
        <v>52</v>
      </c>
      <c r="B58" s="18" t="s">
        <v>75</v>
      </c>
      <c r="C58" s="43" t="s">
        <v>3719</v>
      </c>
      <c r="D58" s="43" t="s">
        <v>4002</v>
      </c>
      <c r="E58" s="36" t="s">
        <v>3192</v>
      </c>
      <c r="F58" s="19">
        <v>51</v>
      </c>
      <c r="G58" s="6"/>
      <c r="H58" s="2" t="s">
        <v>4003</v>
      </c>
      <c r="I58" s="38" t="s">
        <v>196</v>
      </c>
      <c r="J58" s="38"/>
      <c r="K58" s="38"/>
      <c r="L58" s="6" t="s">
        <v>113</v>
      </c>
      <c r="M58" s="19">
        <v>1</v>
      </c>
      <c r="N58" s="76">
        <v>-3.40282346639E+38</v>
      </c>
      <c r="O58" s="2">
        <v>3.40282346639E+38</v>
      </c>
      <c r="P58" s="24">
        <f>IFERROR(Table3335678[[#This Row],[Min Count]]/Table3335678[[#This Row],[Scalar]],"")</f>
        <v>-3.40282346639E+38</v>
      </c>
      <c r="Q58" s="36">
        <f>IFERROR(Table3335678[[#This Row],[Max Count]]/Table3335678[[#This Row],[Scalar]],"")</f>
        <v>3.40282346639E+38</v>
      </c>
      <c r="R58" s="34"/>
      <c r="S58" s="34"/>
      <c r="T58" s="34" t="s">
        <v>3707</v>
      </c>
      <c r="U58" s="33" t="s">
        <v>3950</v>
      </c>
      <c r="V58" s="33" t="s">
        <v>8417</v>
      </c>
      <c r="W58" s="33"/>
      <c r="X58" s="33"/>
      <c r="Y58" s="24"/>
      <c r="AB58"/>
      <c r="AC58" s="22"/>
    </row>
    <row r="59" spans="1:29" ht="16.149999999999999" customHeight="1" x14ac:dyDescent="0.15">
      <c r="A59" s="6">
        <v>53</v>
      </c>
      <c r="B59" s="18" t="s">
        <v>75</v>
      </c>
      <c r="C59" s="43" t="s">
        <v>3719</v>
      </c>
      <c r="D59" s="43" t="s">
        <v>4035</v>
      </c>
      <c r="E59" s="36" t="s">
        <v>3192</v>
      </c>
      <c r="F59" s="19">
        <v>52</v>
      </c>
      <c r="G59" s="6"/>
      <c r="H59" s="2" t="s">
        <v>4036</v>
      </c>
      <c r="I59" s="38" t="s">
        <v>196</v>
      </c>
      <c r="J59" s="38"/>
      <c r="K59" s="38"/>
      <c r="L59" s="6" t="s">
        <v>86</v>
      </c>
      <c r="M59" s="113">
        <v>1</v>
      </c>
      <c r="N59" s="76">
        <v>-3.40282346639E+38</v>
      </c>
      <c r="O59" s="2">
        <v>3.40282346639E+38</v>
      </c>
      <c r="P59" s="38">
        <f>IFERROR(Table3335678[[#This Row],[Min Count]]/Table3335678[[#This Row],[Scalar]],"")</f>
        <v>-3.40282346639E+38</v>
      </c>
      <c r="Q59" s="36">
        <f>IFERROR(Table3335678[[#This Row],[Max Count]]/Table3335678[[#This Row],[Scalar]],"")</f>
        <v>3.40282346639E+38</v>
      </c>
      <c r="R59" s="34"/>
      <c r="S59" s="34"/>
      <c r="T59" s="34" t="s">
        <v>3807</v>
      </c>
      <c r="U59" s="33" t="s">
        <v>3950</v>
      </c>
      <c r="V59" s="33" t="s">
        <v>8418</v>
      </c>
      <c r="W59" s="33"/>
      <c r="X59" s="33"/>
    </row>
    <row r="60" spans="1:29" ht="16.149999999999999" customHeight="1" x14ac:dyDescent="0.15">
      <c r="A60" s="6">
        <v>54</v>
      </c>
      <c r="B60" s="18" t="s">
        <v>75</v>
      </c>
      <c r="C60" s="43" t="s">
        <v>3719</v>
      </c>
      <c r="D60" s="43" t="s">
        <v>4039</v>
      </c>
      <c r="E60" s="36" t="s">
        <v>3192</v>
      </c>
      <c r="F60" s="19">
        <v>53</v>
      </c>
      <c r="G60" s="6"/>
      <c r="H60" s="34" t="s">
        <v>3721</v>
      </c>
      <c r="I60" s="38" t="s">
        <v>196</v>
      </c>
      <c r="J60" s="38"/>
      <c r="K60" s="38"/>
      <c r="L60" s="6" t="s">
        <v>86</v>
      </c>
      <c r="M60" s="113">
        <v>1</v>
      </c>
      <c r="N60" s="45">
        <v>-3.40282346639E+38</v>
      </c>
      <c r="O60" s="2">
        <v>3.40282346639E+38</v>
      </c>
      <c r="P60" s="38">
        <f>IFERROR(Table3335678[[#This Row],[Min Count]]/Table3335678[[#This Row],[Scalar]],"")</f>
        <v>-3.40282346639E+38</v>
      </c>
      <c r="Q60" s="36">
        <f>IFERROR(Table3335678[[#This Row],[Max Count]]/Table3335678[[#This Row],[Scalar]],"")</f>
        <v>3.40282346639E+38</v>
      </c>
      <c r="R60" s="34"/>
      <c r="S60" s="34"/>
      <c r="T60" s="34" t="s">
        <v>3723</v>
      </c>
      <c r="U60" s="33" t="s">
        <v>3950</v>
      </c>
      <c r="V60" s="33" t="s">
        <v>8419</v>
      </c>
      <c r="W60" s="33"/>
      <c r="X60" s="33"/>
    </row>
    <row r="61" spans="1:29" ht="16.149999999999999" customHeight="1" x14ac:dyDescent="0.15">
      <c r="A61" s="6">
        <v>55</v>
      </c>
      <c r="B61" s="18" t="s">
        <v>75</v>
      </c>
      <c r="C61" s="43" t="s">
        <v>3719</v>
      </c>
      <c r="D61" s="43" t="s">
        <v>4042</v>
      </c>
      <c r="E61" s="36" t="s">
        <v>3192</v>
      </c>
      <c r="F61" s="19">
        <v>54</v>
      </c>
      <c r="G61" s="6"/>
      <c r="H61" s="2" t="s">
        <v>4043</v>
      </c>
      <c r="I61" s="38" t="s">
        <v>196</v>
      </c>
      <c r="J61" s="38"/>
      <c r="K61" s="38"/>
      <c r="L61" s="6" t="s">
        <v>86</v>
      </c>
      <c r="M61" s="113">
        <v>1</v>
      </c>
      <c r="N61" s="45">
        <v>-3.40282346639E+38</v>
      </c>
      <c r="O61" s="2">
        <v>3.40282346639E+38</v>
      </c>
      <c r="P61" s="38">
        <f>IFERROR(Table3335678[[#This Row],[Min Count]]/Table3335678[[#This Row],[Scalar]],"")</f>
        <v>-3.40282346639E+38</v>
      </c>
      <c r="Q61" s="36">
        <f>IFERROR(Table3335678[[#This Row],[Max Count]]/Table3335678[[#This Row],[Scalar]],"")</f>
        <v>3.40282346639E+38</v>
      </c>
      <c r="R61" s="34"/>
      <c r="S61" s="34"/>
      <c r="T61" s="34" t="s">
        <v>3807</v>
      </c>
      <c r="U61" s="33" t="s">
        <v>3815</v>
      </c>
      <c r="V61" s="33" t="s">
        <v>8420</v>
      </c>
      <c r="W61" s="33"/>
      <c r="X61" s="33"/>
    </row>
    <row r="62" spans="1:29" ht="16.149999999999999" customHeight="1" x14ac:dyDescent="0.15">
      <c r="A62" s="6">
        <v>56</v>
      </c>
      <c r="B62" s="18" t="s">
        <v>75</v>
      </c>
      <c r="C62" s="43" t="s">
        <v>3719</v>
      </c>
      <c r="D62" s="43" t="s">
        <v>4046</v>
      </c>
      <c r="E62" s="36" t="s">
        <v>3192</v>
      </c>
      <c r="F62" s="19">
        <v>55</v>
      </c>
      <c r="G62" s="6"/>
      <c r="H62" s="2" t="s">
        <v>4047</v>
      </c>
      <c r="I62" s="38" t="s">
        <v>196</v>
      </c>
      <c r="J62" s="38"/>
      <c r="K62" s="38"/>
      <c r="L62" s="6" t="s">
        <v>104</v>
      </c>
      <c r="M62" s="113">
        <v>1</v>
      </c>
      <c r="N62" s="45">
        <v>-3.40282346639E+38</v>
      </c>
      <c r="O62" s="2">
        <v>3.40282346639E+38</v>
      </c>
      <c r="P62" s="38">
        <f>IFERROR(Table3335678[[#This Row],[Min Count]]/Table3335678[[#This Row],[Scalar]],"")</f>
        <v>-3.40282346639E+38</v>
      </c>
      <c r="Q62" s="36">
        <f>IFERROR(Table3335678[[#This Row],[Max Count]]/Table3335678[[#This Row],[Scalar]],"")</f>
        <v>3.40282346639E+38</v>
      </c>
      <c r="R62" s="34"/>
      <c r="S62" s="34"/>
      <c r="T62" s="34" t="s">
        <v>3807</v>
      </c>
      <c r="U62" s="33" t="s">
        <v>3815</v>
      </c>
      <c r="V62" s="33" t="s">
        <v>8421</v>
      </c>
      <c r="W62" s="33"/>
      <c r="X62" s="33"/>
    </row>
    <row r="63" spans="1:29" ht="16.149999999999999" customHeight="1" x14ac:dyDescent="0.15">
      <c r="A63" s="6">
        <v>57</v>
      </c>
      <c r="B63" s="18" t="s">
        <v>75</v>
      </c>
      <c r="C63" s="43" t="s">
        <v>3719</v>
      </c>
      <c r="D63" s="43" t="s">
        <v>4050</v>
      </c>
      <c r="E63" s="36" t="s">
        <v>3192</v>
      </c>
      <c r="F63" s="19">
        <v>56</v>
      </c>
      <c r="G63" s="6"/>
      <c r="H63" s="2" t="s">
        <v>4051</v>
      </c>
      <c r="I63" s="38" t="s">
        <v>3729</v>
      </c>
      <c r="J63" s="38"/>
      <c r="K63" s="38"/>
      <c r="L63" s="6" t="s">
        <v>266</v>
      </c>
      <c r="M63" s="113">
        <v>1</v>
      </c>
      <c r="N63" s="45">
        <v>-3.40282346639E+38</v>
      </c>
      <c r="O63" s="2">
        <v>3.40282346639E+38</v>
      </c>
      <c r="P63" s="38">
        <f>IFERROR(Table3335678[[#This Row],[Min Count]]/Table3335678[[#This Row],[Scalar]],"")</f>
        <v>-3.40282346639E+38</v>
      </c>
      <c r="Q63" s="36">
        <f>IFERROR(Table3335678[[#This Row],[Max Count]]/Table3335678[[#This Row],[Scalar]],"")</f>
        <v>3.40282346639E+38</v>
      </c>
      <c r="R63" s="130" t="s">
        <v>3824</v>
      </c>
      <c r="S63" s="34" t="s">
        <v>3793</v>
      </c>
      <c r="T63" s="34" t="s">
        <v>3807</v>
      </c>
      <c r="U63" s="33" t="s">
        <v>3815</v>
      </c>
      <c r="V63" s="33" t="s">
        <v>8422</v>
      </c>
      <c r="W63" s="33"/>
      <c r="X63" s="33"/>
    </row>
    <row r="64" spans="1:29" ht="16.149999999999999" customHeight="1" x14ac:dyDescent="0.15">
      <c r="A64" s="6">
        <v>58</v>
      </c>
      <c r="B64" s="18" t="s">
        <v>75</v>
      </c>
      <c r="C64" s="43" t="s">
        <v>3719</v>
      </c>
      <c r="D64" s="43" t="s">
        <v>4056</v>
      </c>
      <c r="E64" s="36" t="s">
        <v>3192</v>
      </c>
      <c r="F64" s="19">
        <v>57</v>
      </c>
      <c r="G64" s="6"/>
      <c r="H64" s="34" t="s">
        <v>3721</v>
      </c>
      <c r="I64" s="38" t="s">
        <v>196</v>
      </c>
      <c r="J64" s="38"/>
      <c r="K64" s="38"/>
      <c r="L64" s="6" t="s">
        <v>100</v>
      </c>
      <c r="M64" s="113">
        <v>1</v>
      </c>
      <c r="N64" s="45">
        <v>-3.40282346639E+38</v>
      </c>
      <c r="O64" s="2">
        <v>3.40282346639E+38</v>
      </c>
      <c r="P64" s="38">
        <f>IFERROR(Table3335678[[#This Row],[Min Count]]/Table3335678[[#This Row],[Scalar]],"")</f>
        <v>-3.40282346639E+38</v>
      </c>
      <c r="Q64" s="36">
        <f>IFERROR(Table3335678[[#This Row],[Max Count]]/Table3335678[[#This Row],[Scalar]],"")</f>
        <v>3.40282346639E+38</v>
      </c>
      <c r="R64" s="34"/>
      <c r="S64" s="34"/>
      <c r="T64" s="34" t="s">
        <v>3723</v>
      </c>
      <c r="U64" s="33" t="s">
        <v>3815</v>
      </c>
      <c r="V64" s="33" t="s">
        <v>8423</v>
      </c>
      <c r="W64" s="33"/>
      <c r="X64" s="33"/>
    </row>
    <row r="65" spans="1:24" ht="16.149999999999999" customHeight="1" x14ac:dyDescent="0.15">
      <c r="A65" s="6">
        <v>59</v>
      </c>
      <c r="B65" s="18" t="s">
        <v>75</v>
      </c>
      <c r="C65" s="43" t="s">
        <v>3719</v>
      </c>
      <c r="D65" s="43" t="s">
        <v>4059</v>
      </c>
      <c r="E65" s="36" t="s">
        <v>3192</v>
      </c>
      <c r="F65" s="19">
        <v>58</v>
      </c>
      <c r="G65" s="6"/>
      <c r="H65" s="2" t="s">
        <v>4060</v>
      </c>
      <c r="I65" s="38" t="s">
        <v>196</v>
      </c>
      <c r="J65" s="38"/>
      <c r="K65" s="38"/>
      <c r="L65" s="6" t="s">
        <v>560</v>
      </c>
      <c r="M65" s="113">
        <v>1</v>
      </c>
      <c r="N65" s="45">
        <v>-3.40282346639E+38</v>
      </c>
      <c r="O65" s="2">
        <v>3.40282346639E+38</v>
      </c>
      <c r="P65" s="38">
        <f>IFERROR(Table3335678[[#This Row],[Min Count]]/Table3335678[[#This Row],[Scalar]],"")</f>
        <v>-3.40282346639E+38</v>
      </c>
      <c r="Q65" s="36">
        <f>IFERROR(Table3335678[[#This Row],[Max Count]]/Table3335678[[#This Row],[Scalar]],"")</f>
        <v>3.40282346639E+38</v>
      </c>
      <c r="R65" s="34"/>
      <c r="S65" s="34"/>
      <c r="T65" s="34" t="s">
        <v>3807</v>
      </c>
      <c r="U65" s="33" t="s">
        <v>3950</v>
      </c>
      <c r="V65" s="33" t="s">
        <v>8424</v>
      </c>
      <c r="W65" s="33"/>
      <c r="X65" s="33"/>
    </row>
    <row r="66" spans="1:24" ht="16.149999999999999" customHeight="1" x14ac:dyDescent="0.15">
      <c r="A66" s="6">
        <v>60</v>
      </c>
      <c r="B66" s="18" t="s">
        <v>75</v>
      </c>
      <c r="C66" s="43" t="s">
        <v>3719</v>
      </c>
      <c r="D66" s="43" t="s">
        <v>4063</v>
      </c>
      <c r="E66" s="36" t="s">
        <v>3192</v>
      </c>
      <c r="F66" s="19">
        <v>59</v>
      </c>
      <c r="G66" s="6"/>
      <c r="H66" s="2" t="s">
        <v>4064</v>
      </c>
      <c r="I66" s="38" t="s">
        <v>196</v>
      </c>
      <c r="J66" s="38"/>
      <c r="K66" s="38"/>
      <c r="L66" s="6" t="s">
        <v>781</v>
      </c>
      <c r="M66" s="113">
        <v>1</v>
      </c>
      <c r="N66" s="45">
        <v>-3.40282346639E+38</v>
      </c>
      <c r="O66" s="2">
        <v>3.40282346639E+38</v>
      </c>
      <c r="P66" s="38">
        <f>IFERROR(Table3335678[[#This Row],[Min Count]]/Table3335678[[#This Row],[Scalar]],"")</f>
        <v>-3.40282346639E+38</v>
      </c>
      <c r="Q66" s="36">
        <f>IFERROR(Table3335678[[#This Row],[Max Count]]/Table3335678[[#This Row],[Scalar]],"")</f>
        <v>3.40282346639E+38</v>
      </c>
      <c r="R66" s="34"/>
      <c r="S66" s="34"/>
      <c r="T66" s="34" t="s">
        <v>3807</v>
      </c>
      <c r="U66" s="33" t="s">
        <v>3815</v>
      </c>
      <c r="V66" s="33" t="s">
        <v>8425</v>
      </c>
      <c r="W66" s="33"/>
      <c r="X66" s="33"/>
    </row>
    <row r="67" spans="1:24" ht="16.149999999999999" customHeight="1" x14ac:dyDescent="0.15">
      <c r="A67" s="6">
        <v>61</v>
      </c>
      <c r="B67" s="18" t="s">
        <v>75</v>
      </c>
      <c r="C67" s="43" t="s">
        <v>3719</v>
      </c>
      <c r="D67" s="43" t="s">
        <v>4067</v>
      </c>
      <c r="E67" s="36" t="s">
        <v>3192</v>
      </c>
      <c r="F67" s="19">
        <v>60</v>
      </c>
      <c r="G67" s="6"/>
      <c r="H67" s="2" t="s">
        <v>4068</v>
      </c>
      <c r="I67" s="38" t="s">
        <v>196</v>
      </c>
      <c r="J67" s="38"/>
      <c r="K67" s="38"/>
      <c r="L67" s="6" t="s">
        <v>781</v>
      </c>
      <c r="M67" s="113">
        <v>1</v>
      </c>
      <c r="N67" s="45">
        <v>-3.40282346639E+38</v>
      </c>
      <c r="O67" s="2">
        <v>3.40282346639E+38</v>
      </c>
      <c r="P67" s="38">
        <f>IFERROR(Table3335678[[#This Row],[Min Count]]/Table3335678[[#This Row],[Scalar]],"")</f>
        <v>-3.40282346639E+38</v>
      </c>
      <c r="Q67" s="36">
        <f>IFERROR(Table3335678[[#This Row],[Max Count]]/Table3335678[[#This Row],[Scalar]],"")</f>
        <v>3.40282346639E+38</v>
      </c>
      <c r="R67" s="34"/>
      <c r="S67" s="34"/>
      <c r="T67" s="34" t="s">
        <v>3807</v>
      </c>
      <c r="U67" s="33" t="s">
        <v>3815</v>
      </c>
      <c r="V67" s="33" t="s">
        <v>8426</v>
      </c>
      <c r="W67" s="33"/>
      <c r="X67" s="33"/>
    </row>
    <row r="68" spans="1:24" ht="16.149999999999999" customHeight="1" x14ac:dyDescent="0.15">
      <c r="A68" s="6">
        <v>62</v>
      </c>
      <c r="B68" s="18" t="s">
        <v>75</v>
      </c>
      <c r="C68" s="43" t="s">
        <v>3719</v>
      </c>
      <c r="D68" s="43" t="s">
        <v>4071</v>
      </c>
      <c r="E68" s="36" t="s">
        <v>3192</v>
      </c>
      <c r="F68" s="19">
        <v>61</v>
      </c>
      <c r="G68" s="6"/>
      <c r="H68" s="2" t="s">
        <v>4072</v>
      </c>
      <c r="I68" s="38" t="s">
        <v>196</v>
      </c>
      <c r="J68" s="38"/>
      <c r="K68" s="38"/>
      <c r="L68" s="6" t="s">
        <v>113</v>
      </c>
      <c r="M68" s="113">
        <v>1</v>
      </c>
      <c r="N68" s="45">
        <v>-3.40282346639E+38</v>
      </c>
      <c r="O68" s="2">
        <v>3.40282346639E+38</v>
      </c>
      <c r="P68" s="38">
        <f>IFERROR(Table3335678[[#This Row],[Min Count]]/Table3335678[[#This Row],[Scalar]],"")</f>
        <v>-3.40282346639E+38</v>
      </c>
      <c r="Q68" s="36">
        <f>IFERROR(Table3335678[[#This Row],[Max Count]]/Table3335678[[#This Row],[Scalar]],"")</f>
        <v>3.40282346639E+38</v>
      </c>
      <c r="R68" s="34"/>
      <c r="S68" s="34"/>
      <c r="T68" s="34" t="s">
        <v>3807</v>
      </c>
      <c r="U68" s="33" t="s">
        <v>3815</v>
      </c>
      <c r="V68" s="33" t="s">
        <v>8427</v>
      </c>
      <c r="W68" s="33"/>
      <c r="X68" s="33"/>
    </row>
    <row r="69" spans="1:24" ht="16.149999999999999" customHeight="1" x14ac:dyDescent="0.15">
      <c r="A69" s="6">
        <v>63</v>
      </c>
      <c r="B69" s="18" t="s">
        <v>75</v>
      </c>
      <c r="C69" s="43" t="s">
        <v>3719</v>
      </c>
      <c r="D69" s="43" t="s">
        <v>4006</v>
      </c>
      <c r="E69" s="36" t="s">
        <v>3192</v>
      </c>
      <c r="F69" s="19">
        <v>62</v>
      </c>
      <c r="G69" s="6"/>
      <c r="H69" s="2" t="s">
        <v>4007</v>
      </c>
      <c r="I69" s="38" t="s">
        <v>196</v>
      </c>
      <c r="J69" s="38"/>
      <c r="K69" s="38"/>
      <c r="L69" s="6" t="s">
        <v>123</v>
      </c>
      <c r="M69" s="113">
        <v>1</v>
      </c>
      <c r="N69" s="45">
        <v>-3.40282346639E+38</v>
      </c>
      <c r="O69" s="2">
        <v>3.40282346639E+38</v>
      </c>
      <c r="P69" s="38">
        <f>IFERROR(Table3335678[[#This Row],[Min Count]]/Table3335678[[#This Row],[Scalar]],"")</f>
        <v>-3.40282346639E+38</v>
      </c>
      <c r="Q69" s="36">
        <f>IFERROR(Table3335678[[#This Row],[Max Count]]/Table3335678[[#This Row],[Scalar]],"")</f>
        <v>3.40282346639E+38</v>
      </c>
      <c r="R69" s="34"/>
      <c r="S69" s="34"/>
      <c r="T69" s="34" t="s">
        <v>3707</v>
      </c>
      <c r="U69" s="33" t="s">
        <v>4008</v>
      </c>
      <c r="V69" s="33" t="s">
        <v>8428</v>
      </c>
      <c r="W69" s="33"/>
      <c r="X69" s="33"/>
    </row>
    <row r="70" spans="1:24" ht="16.149999999999999" customHeight="1" x14ac:dyDescent="0.15">
      <c r="A70" s="6">
        <v>64</v>
      </c>
      <c r="B70" s="18" t="s">
        <v>75</v>
      </c>
      <c r="C70" s="43" t="s">
        <v>3719</v>
      </c>
      <c r="D70" s="43" t="s">
        <v>4011</v>
      </c>
      <c r="E70" s="36" t="s">
        <v>3192</v>
      </c>
      <c r="F70" s="19">
        <v>63</v>
      </c>
      <c r="G70" s="6"/>
      <c r="H70" s="2" t="s">
        <v>4012</v>
      </c>
      <c r="I70" s="38" t="s">
        <v>196</v>
      </c>
      <c r="J70" s="38"/>
      <c r="K70" s="38"/>
      <c r="L70" s="6" t="s">
        <v>123</v>
      </c>
      <c r="M70" s="113">
        <v>1</v>
      </c>
      <c r="N70" s="45">
        <v>-3.40282346639E+38</v>
      </c>
      <c r="O70" s="2">
        <v>3.40282346639E+38</v>
      </c>
      <c r="P70" s="38">
        <f>IFERROR(Table3335678[[#This Row],[Min Count]]/Table3335678[[#This Row],[Scalar]],"")</f>
        <v>-3.40282346639E+38</v>
      </c>
      <c r="Q70" s="36">
        <f>IFERROR(Table3335678[[#This Row],[Max Count]]/Table3335678[[#This Row],[Scalar]],"")</f>
        <v>3.40282346639E+38</v>
      </c>
      <c r="R70" s="34"/>
      <c r="S70" s="34"/>
      <c r="T70" s="34" t="s">
        <v>3707</v>
      </c>
      <c r="U70" s="33" t="s">
        <v>4008</v>
      </c>
      <c r="V70" s="33" t="s">
        <v>8429</v>
      </c>
      <c r="W70" s="33"/>
      <c r="X70" s="33"/>
    </row>
    <row r="71" spans="1:24" ht="16.149999999999999" customHeight="1" x14ac:dyDescent="0.15">
      <c r="A71" s="6">
        <v>65</v>
      </c>
      <c r="B71" s="18" t="s">
        <v>75</v>
      </c>
      <c r="C71" s="43" t="s">
        <v>3719</v>
      </c>
      <c r="D71" s="43" t="s">
        <v>4015</v>
      </c>
      <c r="E71" s="36" t="s">
        <v>3192</v>
      </c>
      <c r="F71" s="19">
        <v>64</v>
      </c>
      <c r="G71" s="6"/>
      <c r="H71" s="2" t="s">
        <v>4016</v>
      </c>
      <c r="I71" s="38" t="s">
        <v>196</v>
      </c>
      <c r="J71" s="38"/>
      <c r="K71" s="38"/>
      <c r="L71" s="6" t="s">
        <v>123</v>
      </c>
      <c r="M71" s="113">
        <v>1</v>
      </c>
      <c r="N71" s="45">
        <v>-3.40282346639E+38</v>
      </c>
      <c r="O71" s="2">
        <v>3.40282346639E+38</v>
      </c>
      <c r="P71" s="38">
        <f>IFERROR(Table3335678[[#This Row],[Min Count]]/Table3335678[[#This Row],[Scalar]],"")</f>
        <v>-3.40282346639E+38</v>
      </c>
      <c r="Q71" s="36">
        <f>IFERROR(Table3335678[[#This Row],[Max Count]]/Table3335678[[#This Row],[Scalar]],"")</f>
        <v>3.40282346639E+38</v>
      </c>
      <c r="R71" s="34"/>
      <c r="S71" s="34"/>
      <c r="T71" s="34" t="s">
        <v>3707</v>
      </c>
      <c r="U71" s="33" t="s">
        <v>4008</v>
      </c>
      <c r="V71" s="33" t="s">
        <v>8430</v>
      </c>
      <c r="W71" s="33"/>
      <c r="X71" s="33"/>
    </row>
    <row r="72" spans="1:24" ht="16.149999999999999" customHeight="1" x14ac:dyDescent="0.15">
      <c r="A72" s="6">
        <v>66</v>
      </c>
      <c r="B72" s="18" t="s">
        <v>75</v>
      </c>
      <c r="C72" s="43" t="s">
        <v>3719</v>
      </c>
      <c r="D72" s="43" t="s">
        <v>4019</v>
      </c>
      <c r="E72" s="36" t="s">
        <v>3192</v>
      </c>
      <c r="F72" s="19">
        <v>65</v>
      </c>
      <c r="G72" s="6"/>
      <c r="H72" s="2" t="s">
        <v>4020</v>
      </c>
      <c r="I72" s="38" t="s">
        <v>196</v>
      </c>
      <c r="J72" s="38"/>
      <c r="K72" s="38"/>
      <c r="L72" s="6" t="s">
        <v>123</v>
      </c>
      <c r="M72" s="113">
        <v>1</v>
      </c>
      <c r="N72" s="45">
        <v>-3.40282346639E+38</v>
      </c>
      <c r="O72" s="2">
        <v>3.40282346639E+38</v>
      </c>
      <c r="P72" s="38">
        <f>IFERROR(Table3335678[[#This Row],[Min Count]]/Table3335678[[#This Row],[Scalar]],"")</f>
        <v>-3.40282346639E+38</v>
      </c>
      <c r="Q72" s="36">
        <f>IFERROR(Table3335678[[#This Row],[Max Count]]/Table3335678[[#This Row],[Scalar]],"")</f>
        <v>3.40282346639E+38</v>
      </c>
      <c r="R72" s="34"/>
      <c r="S72" s="34"/>
      <c r="T72" s="34" t="s">
        <v>3707</v>
      </c>
      <c r="U72" s="33" t="s">
        <v>4008</v>
      </c>
      <c r="V72" s="33" t="s">
        <v>8431</v>
      </c>
      <c r="W72" s="33"/>
      <c r="X72" s="33"/>
    </row>
    <row r="73" spans="1:24" ht="16.149999999999999" customHeight="1" x14ac:dyDescent="0.15">
      <c r="A73" s="6">
        <v>67</v>
      </c>
      <c r="B73" s="18" t="s">
        <v>75</v>
      </c>
      <c r="C73" s="43" t="s">
        <v>3719</v>
      </c>
      <c r="D73" s="43" t="s">
        <v>4023</v>
      </c>
      <c r="E73" s="36" t="s">
        <v>3192</v>
      </c>
      <c r="F73" s="19">
        <v>66</v>
      </c>
      <c r="G73" s="6"/>
      <c r="H73" s="2" t="s">
        <v>4024</v>
      </c>
      <c r="I73" s="38" t="s">
        <v>196</v>
      </c>
      <c r="J73" s="38"/>
      <c r="K73" s="38"/>
      <c r="L73" s="6" t="s">
        <v>123</v>
      </c>
      <c r="M73" s="113">
        <v>1</v>
      </c>
      <c r="N73" s="45">
        <v>-3.40282346639E+38</v>
      </c>
      <c r="O73" s="2">
        <v>3.40282346639E+38</v>
      </c>
      <c r="P73" s="38">
        <f>IFERROR(Table3335678[[#This Row],[Min Count]]/Table3335678[[#This Row],[Scalar]],"")</f>
        <v>-3.40282346639E+38</v>
      </c>
      <c r="Q73" s="36">
        <f>IFERROR(Table3335678[[#This Row],[Max Count]]/Table3335678[[#This Row],[Scalar]],"")</f>
        <v>3.40282346639E+38</v>
      </c>
      <c r="R73" s="34"/>
      <c r="S73" s="34"/>
      <c r="T73" s="34" t="s">
        <v>3707</v>
      </c>
      <c r="U73" s="33" t="s">
        <v>4008</v>
      </c>
      <c r="V73" s="33" t="s">
        <v>8432</v>
      </c>
      <c r="W73" s="33"/>
      <c r="X73" s="33"/>
    </row>
    <row r="74" spans="1:24" ht="16.149999999999999" customHeight="1" x14ac:dyDescent="0.15">
      <c r="A74" s="6">
        <v>68</v>
      </c>
      <c r="B74" s="18" t="s">
        <v>75</v>
      </c>
      <c r="C74" s="43" t="s">
        <v>3719</v>
      </c>
      <c r="D74" s="43" t="s">
        <v>4027</v>
      </c>
      <c r="E74" s="36" t="s">
        <v>3192</v>
      </c>
      <c r="F74" s="19">
        <v>67</v>
      </c>
      <c r="G74" s="6"/>
      <c r="H74" s="2" t="s">
        <v>4028</v>
      </c>
      <c r="I74" s="38" t="s">
        <v>196</v>
      </c>
      <c r="J74" s="38"/>
      <c r="K74" s="38"/>
      <c r="L74" s="6" t="s">
        <v>123</v>
      </c>
      <c r="M74" s="113">
        <v>1</v>
      </c>
      <c r="N74" s="45">
        <v>-3.40282346639E+38</v>
      </c>
      <c r="O74" s="2">
        <v>3.40282346639E+38</v>
      </c>
      <c r="P74" s="38">
        <f>IFERROR(Table3335678[[#This Row],[Min Count]]/Table3335678[[#This Row],[Scalar]],"")</f>
        <v>-3.40282346639E+38</v>
      </c>
      <c r="Q74" s="36">
        <f>IFERROR(Table3335678[[#This Row],[Max Count]]/Table3335678[[#This Row],[Scalar]],"")</f>
        <v>3.40282346639E+38</v>
      </c>
      <c r="R74" s="34"/>
      <c r="S74" s="34"/>
      <c r="T74" s="34" t="s">
        <v>3707</v>
      </c>
      <c r="U74" s="33" t="s">
        <v>4008</v>
      </c>
      <c r="V74" s="33" t="s">
        <v>8433</v>
      </c>
      <c r="W74" s="33"/>
      <c r="X74" s="33"/>
    </row>
    <row r="75" spans="1:24" ht="16.149999999999999" customHeight="1" x14ac:dyDescent="0.15">
      <c r="A75" s="6">
        <v>69</v>
      </c>
      <c r="B75" s="18" t="s">
        <v>75</v>
      </c>
      <c r="C75" s="43" t="s">
        <v>3719</v>
      </c>
      <c r="D75" s="43" t="s">
        <v>4031</v>
      </c>
      <c r="E75" s="36" t="s">
        <v>3192</v>
      </c>
      <c r="F75" s="19">
        <v>68</v>
      </c>
      <c r="G75" s="6"/>
      <c r="H75" s="2" t="s">
        <v>4032</v>
      </c>
      <c r="I75" s="38" t="s">
        <v>196</v>
      </c>
      <c r="J75" s="38"/>
      <c r="K75" s="38"/>
      <c r="L75" s="6" t="s">
        <v>123</v>
      </c>
      <c r="M75" s="113">
        <v>1</v>
      </c>
      <c r="N75" s="45">
        <v>-3.40282346639E+38</v>
      </c>
      <c r="O75" s="2">
        <v>3.40282346639E+38</v>
      </c>
      <c r="P75" s="38">
        <f>IFERROR(Table3335678[[#This Row],[Min Count]]/Table3335678[[#This Row],[Scalar]],"")</f>
        <v>-3.40282346639E+38</v>
      </c>
      <c r="Q75" s="36">
        <f>IFERROR(Table3335678[[#This Row],[Max Count]]/Table3335678[[#This Row],[Scalar]],"")</f>
        <v>3.40282346639E+38</v>
      </c>
      <c r="R75" s="34"/>
      <c r="S75" s="34"/>
      <c r="T75" s="34" t="s">
        <v>3707</v>
      </c>
      <c r="U75" s="33" t="s">
        <v>4008</v>
      </c>
      <c r="V75" s="33" t="s">
        <v>8434</v>
      </c>
      <c r="W75" s="33"/>
      <c r="X75" s="33"/>
    </row>
    <row r="76" spans="1:24" ht="16.149999999999999" customHeight="1" x14ac:dyDescent="0.15">
      <c r="A76" s="6">
        <v>70</v>
      </c>
      <c r="B76" s="18" t="s">
        <v>75</v>
      </c>
      <c r="C76" s="43" t="s">
        <v>3719</v>
      </c>
      <c r="D76" s="43" t="s">
        <v>7405</v>
      </c>
      <c r="E76" s="36" t="s">
        <v>3192</v>
      </c>
      <c r="F76" s="19">
        <v>69</v>
      </c>
      <c r="G76" s="6"/>
      <c r="H76" s="2" t="s">
        <v>7406</v>
      </c>
      <c r="I76" s="38" t="s">
        <v>196</v>
      </c>
      <c r="J76" s="38"/>
      <c r="K76" s="38"/>
      <c r="L76" s="6" t="s">
        <v>123</v>
      </c>
      <c r="M76" s="113">
        <v>1</v>
      </c>
      <c r="N76" s="45">
        <v>-3.40282346639E+38</v>
      </c>
      <c r="O76" s="2">
        <v>3.40282346639E+38</v>
      </c>
      <c r="P76" s="38">
        <f>IFERROR(Table3335678[[#This Row],[Min Count]]/Table3335678[[#This Row],[Scalar]],"")</f>
        <v>-3.40282346639E+38</v>
      </c>
      <c r="Q76" s="36">
        <f>IFERROR(Table3335678[[#This Row],[Max Count]]/Table3335678[[#This Row],[Scalar]],"")</f>
        <v>3.40282346639E+38</v>
      </c>
      <c r="R76" s="34"/>
      <c r="S76" s="34"/>
      <c r="T76" s="34" t="s">
        <v>3707</v>
      </c>
      <c r="U76" s="33" t="s">
        <v>4008</v>
      </c>
      <c r="V76" s="33" t="s">
        <v>8435</v>
      </c>
      <c r="W76" s="33"/>
      <c r="X76" s="33"/>
    </row>
    <row r="77" spans="1:24" ht="16.149999999999999" customHeight="1" x14ac:dyDescent="0.15">
      <c r="A77" s="6">
        <v>71</v>
      </c>
      <c r="B77" s="18" t="s">
        <v>75</v>
      </c>
      <c r="C77" s="43" t="s">
        <v>3719</v>
      </c>
      <c r="D77" s="43" t="s">
        <v>7407</v>
      </c>
      <c r="E77" s="36" t="s">
        <v>3192</v>
      </c>
      <c r="F77" s="19">
        <v>70</v>
      </c>
      <c r="G77" s="6"/>
      <c r="H77" s="2" t="s">
        <v>7408</v>
      </c>
      <c r="I77" s="38" t="s">
        <v>196</v>
      </c>
      <c r="J77" s="38"/>
      <c r="K77" s="38"/>
      <c r="L77" s="6" t="s">
        <v>123</v>
      </c>
      <c r="M77" s="113">
        <v>1</v>
      </c>
      <c r="N77" s="45">
        <v>-3.40282346639E+38</v>
      </c>
      <c r="O77" s="2">
        <v>3.40282346639E+38</v>
      </c>
      <c r="P77" s="38">
        <f>IFERROR(Table3335678[[#This Row],[Min Count]]/Table3335678[[#This Row],[Scalar]],"")</f>
        <v>-3.40282346639E+38</v>
      </c>
      <c r="Q77" s="36">
        <f>IFERROR(Table3335678[[#This Row],[Max Count]]/Table3335678[[#This Row],[Scalar]],"")</f>
        <v>3.40282346639E+38</v>
      </c>
      <c r="R77" s="34"/>
      <c r="S77" s="34"/>
      <c r="T77" s="34" t="s">
        <v>3707</v>
      </c>
      <c r="U77" s="33" t="s">
        <v>4008</v>
      </c>
      <c r="V77" s="33" t="s">
        <v>8436</v>
      </c>
      <c r="W77" s="33"/>
      <c r="X77" s="33"/>
    </row>
    <row r="78" spans="1:24" ht="16.149999999999999" customHeight="1" x14ac:dyDescent="0.15">
      <c r="A78" s="6">
        <v>72</v>
      </c>
      <c r="B78" s="18" t="s">
        <v>75</v>
      </c>
      <c r="C78" s="43" t="s">
        <v>3719</v>
      </c>
      <c r="D78" s="43" t="s">
        <v>7409</v>
      </c>
      <c r="E78" s="36" t="s">
        <v>3192</v>
      </c>
      <c r="F78" s="19">
        <v>71</v>
      </c>
      <c r="G78" s="6"/>
      <c r="H78" s="2" t="s">
        <v>7410</v>
      </c>
      <c r="I78" s="38" t="s">
        <v>196</v>
      </c>
      <c r="J78" s="38"/>
      <c r="K78" s="38"/>
      <c r="L78" s="6" t="s">
        <v>123</v>
      </c>
      <c r="M78" s="113">
        <v>1</v>
      </c>
      <c r="N78" s="45">
        <v>-3.40282346639E+38</v>
      </c>
      <c r="O78" s="2">
        <v>3.40282346639E+38</v>
      </c>
      <c r="P78" s="38">
        <f>IFERROR(Table3335678[[#This Row],[Min Count]]/Table3335678[[#This Row],[Scalar]],"")</f>
        <v>-3.40282346639E+38</v>
      </c>
      <c r="Q78" s="36">
        <f>IFERROR(Table3335678[[#This Row],[Max Count]]/Table3335678[[#This Row],[Scalar]],"")</f>
        <v>3.40282346639E+38</v>
      </c>
      <c r="R78" s="34"/>
      <c r="S78" s="34"/>
      <c r="T78" s="34" t="s">
        <v>3707</v>
      </c>
      <c r="U78" s="33" t="s">
        <v>4008</v>
      </c>
      <c r="V78" s="33" t="s">
        <v>8437</v>
      </c>
      <c r="W78" s="33"/>
      <c r="X78" s="33"/>
    </row>
    <row r="79" spans="1:24" ht="16.149999999999999" customHeight="1" x14ac:dyDescent="0.15">
      <c r="A79" s="6">
        <v>73</v>
      </c>
      <c r="B79" s="18" t="s">
        <v>75</v>
      </c>
      <c r="C79" s="43" t="s">
        <v>3719</v>
      </c>
      <c r="D79" s="43" t="s">
        <v>7411</v>
      </c>
      <c r="E79" s="36" t="s">
        <v>3192</v>
      </c>
      <c r="F79" s="19">
        <v>72</v>
      </c>
      <c r="G79" s="6"/>
      <c r="H79" s="2" t="s">
        <v>7412</v>
      </c>
      <c r="I79" s="38" t="s">
        <v>196</v>
      </c>
      <c r="J79" s="38"/>
      <c r="K79" s="38"/>
      <c r="L79" s="6" t="s">
        <v>123</v>
      </c>
      <c r="M79" s="113">
        <v>1</v>
      </c>
      <c r="N79" s="45">
        <v>-3.40282346639E+38</v>
      </c>
      <c r="O79" s="2">
        <v>3.40282346639E+38</v>
      </c>
      <c r="P79" s="38">
        <f>IFERROR(Table3335678[[#This Row],[Min Count]]/Table3335678[[#This Row],[Scalar]],"")</f>
        <v>-3.40282346639E+38</v>
      </c>
      <c r="Q79" s="36">
        <f>IFERROR(Table3335678[[#This Row],[Max Count]]/Table3335678[[#This Row],[Scalar]],"")</f>
        <v>3.40282346639E+38</v>
      </c>
      <c r="R79" s="34"/>
      <c r="S79" s="34"/>
      <c r="T79" s="34" t="s">
        <v>3707</v>
      </c>
      <c r="U79" s="33" t="s">
        <v>4008</v>
      </c>
      <c r="V79" s="33" t="s">
        <v>8438</v>
      </c>
      <c r="W79" s="33"/>
      <c r="X79" s="33"/>
    </row>
    <row r="80" spans="1:24" ht="16.149999999999999" customHeight="1" x14ac:dyDescent="0.15">
      <c r="A80" s="6">
        <v>74</v>
      </c>
      <c r="B80" s="18" t="s">
        <v>75</v>
      </c>
      <c r="C80" s="43" t="s">
        <v>3719</v>
      </c>
      <c r="D80" s="43" t="s">
        <v>7413</v>
      </c>
      <c r="E80" s="36" t="s">
        <v>3192</v>
      </c>
      <c r="F80" s="19">
        <v>73</v>
      </c>
      <c r="G80" s="6"/>
      <c r="H80" s="2" t="s">
        <v>7414</v>
      </c>
      <c r="I80" s="38" t="s">
        <v>196</v>
      </c>
      <c r="J80" s="38"/>
      <c r="K80" s="38"/>
      <c r="L80" s="6" t="s">
        <v>123</v>
      </c>
      <c r="M80" s="113">
        <v>1</v>
      </c>
      <c r="N80" s="45">
        <v>-3.40282346639E+38</v>
      </c>
      <c r="O80" s="2">
        <v>3.40282346639E+38</v>
      </c>
      <c r="P80" s="38">
        <f>IFERROR(Table3335678[[#This Row],[Min Count]]/Table3335678[[#This Row],[Scalar]],"")</f>
        <v>-3.40282346639E+38</v>
      </c>
      <c r="Q80" s="36">
        <f>IFERROR(Table3335678[[#This Row],[Max Count]]/Table3335678[[#This Row],[Scalar]],"")</f>
        <v>3.40282346639E+38</v>
      </c>
      <c r="R80" s="34"/>
      <c r="S80" s="34"/>
      <c r="T80" s="34" t="s">
        <v>3707</v>
      </c>
      <c r="U80" s="33" t="s">
        <v>4008</v>
      </c>
      <c r="V80" s="33" t="s">
        <v>8439</v>
      </c>
      <c r="W80" s="33"/>
      <c r="X80" s="33"/>
    </row>
    <row r="81" spans="1:24" ht="16.149999999999999" customHeight="1" x14ac:dyDescent="0.15">
      <c r="A81" s="6">
        <v>75</v>
      </c>
      <c r="B81" s="18" t="s">
        <v>75</v>
      </c>
      <c r="C81" s="43" t="s">
        <v>3719</v>
      </c>
      <c r="D81" s="43" t="s">
        <v>7415</v>
      </c>
      <c r="E81" s="36" t="s">
        <v>3192</v>
      </c>
      <c r="F81" s="19">
        <v>74</v>
      </c>
      <c r="G81" s="6"/>
      <c r="H81" s="2" t="s">
        <v>7416</v>
      </c>
      <c r="I81" s="38" t="s">
        <v>196</v>
      </c>
      <c r="J81" s="38"/>
      <c r="K81" s="38"/>
      <c r="L81" s="6" t="s">
        <v>123</v>
      </c>
      <c r="M81" s="113">
        <v>1</v>
      </c>
      <c r="N81" s="45">
        <v>-3.40282346639E+38</v>
      </c>
      <c r="O81" s="2">
        <v>3.40282346639E+38</v>
      </c>
      <c r="P81" s="38">
        <f>IFERROR(Table3335678[[#This Row],[Min Count]]/Table3335678[[#This Row],[Scalar]],"")</f>
        <v>-3.40282346639E+38</v>
      </c>
      <c r="Q81" s="36">
        <f>IFERROR(Table3335678[[#This Row],[Max Count]]/Table3335678[[#This Row],[Scalar]],"")</f>
        <v>3.40282346639E+38</v>
      </c>
      <c r="R81" s="34"/>
      <c r="S81" s="34"/>
      <c r="T81" s="34" t="s">
        <v>3707</v>
      </c>
      <c r="U81" s="33" t="s">
        <v>4008</v>
      </c>
      <c r="V81" s="33" t="s">
        <v>8440</v>
      </c>
      <c r="W81" s="33"/>
      <c r="X81" s="33"/>
    </row>
    <row r="82" spans="1:24" ht="16.149999999999999" customHeight="1" x14ac:dyDescent="0.15">
      <c r="A82" s="6">
        <v>76</v>
      </c>
      <c r="B82" s="18" t="s">
        <v>75</v>
      </c>
      <c r="C82" s="43" t="s">
        <v>3719</v>
      </c>
      <c r="D82" s="43" t="s">
        <v>7417</v>
      </c>
      <c r="E82" s="36" t="s">
        <v>3192</v>
      </c>
      <c r="F82" s="19">
        <v>75</v>
      </c>
      <c r="G82" s="6"/>
      <c r="H82" s="2" t="s">
        <v>7418</v>
      </c>
      <c r="I82" s="38" t="s">
        <v>196</v>
      </c>
      <c r="J82" s="38"/>
      <c r="K82" s="38"/>
      <c r="L82" s="6" t="s">
        <v>123</v>
      </c>
      <c r="M82" s="113">
        <v>1</v>
      </c>
      <c r="N82" s="45">
        <v>-3.40282346639E+38</v>
      </c>
      <c r="O82" s="2">
        <v>3.40282346639E+38</v>
      </c>
      <c r="P82" s="38">
        <f>IFERROR(Table3335678[[#This Row],[Min Count]]/Table3335678[[#This Row],[Scalar]],"")</f>
        <v>-3.40282346639E+38</v>
      </c>
      <c r="Q82" s="36">
        <f>IFERROR(Table3335678[[#This Row],[Max Count]]/Table3335678[[#This Row],[Scalar]],"")</f>
        <v>3.40282346639E+38</v>
      </c>
      <c r="R82" s="34"/>
      <c r="S82" s="34"/>
      <c r="T82" s="34" t="s">
        <v>3707</v>
      </c>
      <c r="U82" s="33" t="s">
        <v>4008</v>
      </c>
      <c r="V82" s="33" t="s">
        <v>8441</v>
      </c>
      <c r="W82" s="33"/>
      <c r="X82" s="33"/>
    </row>
    <row r="83" spans="1:24" ht="16.149999999999999" customHeight="1" x14ac:dyDescent="0.15">
      <c r="A83" s="6">
        <v>77</v>
      </c>
      <c r="B83" s="18" t="s">
        <v>75</v>
      </c>
      <c r="C83" s="43" t="s">
        <v>3719</v>
      </c>
      <c r="D83" s="43" t="s">
        <v>7419</v>
      </c>
      <c r="E83" s="36" t="s">
        <v>3192</v>
      </c>
      <c r="F83" s="19">
        <v>76</v>
      </c>
      <c r="G83" s="6"/>
      <c r="H83" s="2" t="s">
        <v>7420</v>
      </c>
      <c r="I83" s="38" t="s">
        <v>196</v>
      </c>
      <c r="J83" s="38"/>
      <c r="K83" s="38"/>
      <c r="L83" s="6" t="s">
        <v>123</v>
      </c>
      <c r="M83" s="113">
        <v>1</v>
      </c>
      <c r="N83" s="45">
        <v>-3.40282346639E+38</v>
      </c>
      <c r="O83" s="2">
        <v>3.40282346639E+38</v>
      </c>
      <c r="P83" s="38">
        <f>IFERROR(Table3335678[[#This Row],[Min Count]]/Table3335678[[#This Row],[Scalar]],"")</f>
        <v>-3.40282346639E+38</v>
      </c>
      <c r="Q83" s="36">
        <f>IFERROR(Table3335678[[#This Row],[Max Count]]/Table3335678[[#This Row],[Scalar]],"")</f>
        <v>3.40282346639E+38</v>
      </c>
      <c r="R83" s="34"/>
      <c r="S83" s="34"/>
      <c r="T83" s="34" t="s">
        <v>3707</v>
      </c>
      <c r="U83" s="33" t="s">
        <v>4008</v>
      </c>
      <c r="V83" s="33" t="s">
        <v>8442</v>
      </c>
      <c r="W83" s="33"/>
      <c r="X83" s="33"/>
    </row>
    <row r="84" spans="1:24" ht="16.149999999999999" customHeight="1" x14ac:dyDescent="0.15">
      <c r="A84" s="6">
        <v>78</v>
      </c>
      <c r="B84" s="18" t="s">
        <v>75</v>
      </c>
      <c r="C84" s="43" t="s">
        <v>3719</v>
      </c>
      <c r="D84" s="43" t="s">
        <v>7421</v>
      </c>
      <c r="E84" s="36" t="s">
        <v>3192</v>
      </c>
      <c r="F84" s="19">
        <v>77</v>
      </c>
      <c r="G84" s="6"/>
      <c r="H84" s="2" t="s">
        <v>7422</v>
      </c>
      <c r="I84" s="38" t="s">
        <v>196</v>
      </c>
      <c r="J84" s="38"/>
      <c r="K84" s="38"/>
      <c r="L84" s="6" t="s">
        <v>123</v>
      </c>
      <c r="M84" s="113">
        <v>1</v>
      </c>
      <c r="N84" s="45">
        <v>-3.40282346639E+38</v>
      </c>
      <c r="O84" s="2">
        <v>3.40282346639E+38</v>
      </c>
      <c r="P84" s="38">
        <f>IFERROR(Table3335678[[#This Row],[Min Count]]/Table3335678[[#This Row],[Scalar]],"")</f>
        <v>-3.40282346639E+38</v>
      </c>
      <c r="Q84" s="36">
        <f>IFERROR(Table3335678[[#This Row],[Max Count]]/Table3335678[[#This Row],[Scalar]],"")</f>
        <v>3.40282346639E+38</v>
      </c>
      <c r="R84" s="34"/>
      <c r="S84" s="34"/>
      <c r="T84" s="34" t="s">
        <v>3707</v>
      </c>
      <c r="U84" s="33" t="s">
        <v>4008</v>
      </c>
      <c r="V84" s="33" t="s">
        <v>8443</v>
      </c>
      <c r="W84" s="33"/>
      <c r="X84" s="33"/>
    </row>
    <row r="85" spans="1:24" ht="16.149999999999999" customHeight="1" x14ac:dyDescent="0.15">
      <c r="A85" s="6">
        <v>79</v>
      </c>
      <c r="B85" s="18" t="s">
        <v>75</v>
      </c>
      <c r="C85" s="43" t="s">
        <v>3719</v>
      </c>
      <c r="D85" s="43" t="s">
        <v>7423</v>
      </c>
      <c r="E85" s="36" t="s">
        <v>3192</v>
      </c>
      <c r="F85" s="19">
        <v>78</v>
      </c>
      <c r="G85" s="6"/>
      <c r="H85" s="2" t="s">
        <v>4076</v>
      </c>
      <c r="I85" s="38" t="s">
        <v>196</v>
      </c>
      <c r="J85" s="38"/>
      <c r="K85" s="38"/>
      <c r="L85" s="6" t="s">
        <v>2311</v>
      </c>
      <c r="M85" s="113">
        <v>1</v>
      </c>
      <c r="N85" s="45">
        <v>-3.40282346639E+38</v>
      </c>
      <c r="O85" s="2">
        <v>3.40282346639E+38</v>
      </c>
      <c r="P85" s="38">
        <f>IFERROR(Table3335678[[#This Row],[Min Count]]/Table3335678[[#This Row],[Scalar]],"")</f>
        <v>-3.40282346639E+38</v>
      </c>
      <c r="Q85" s="36">
        <f>IFERROR(Table3335678[[#This Row],[Max Count]]/Table3335678[[#This Row],[Scalar]],"")</f>
        <v>3.40282346639E+38</v>
      </c>
      <c r="R85" s="34"/>
      <c r="S85" s="34"/>
      <c r="T85" s="34" t="s">
        <v>3723</v>
      </c>
      <c r="U85" s="33" t="s">
        <v>3815</v>
      </c>
      <c r="V85" s="33" t="s">
        <v>8444</v>
      </c>
      <c r="W85" s="33"/>
      <c r="X85" s="33"/>
    </row>
    <row r="86" spans="1:24" ht="16.149999999999999" customHeight="1" x14ac:dyDescent="0.15">
      <c r="A86" s="6">
        <v>80</v>
      </c>
      <c r="B86" s="18" t="s">
        <v>75</v>
      </c>
      <c r="C86" s="43" t="s">
        <v>3719</v>
      </c>
      <c r="D86" s="43" t="s">
        <v>7424</v>
      </c>
      <c r="E86" s="36" t="s">
        <v>3192</v>
      </c>
      <c r="F86" s="19">
        <v>79</v>
      </c>
      <c r="G86" s="6"/>
      <c r="H86" s="2" t="s">
        <v>7425</v>
      </c>
      <c r="I86" s="38" t="s">
        <v>196</v>
      </c>
      <c r="J86" s="38"/>
      <c r="K86" s="38"/>
      <c r="L86" s="6" t="s">
        <v>266</v>
      </c>
      <c r="M86" s="113">
        <v>1</v>
      </c>
      <c r="N86" s="45">
        <v>-3.40282346639E+38</v>
      </c>
      <c r="O86" s="2">
        <v>3.40282346639E+38</v>
      </c>
      <c r="P86" s="38">
        <f>IFERROR(Table3335678[[#This Row],[Min Count]]/Table3335678[[#This Row],[Scalar]],"")</f>
        <v>-3.40282346639E+38</v>
      </c>
      <c r="Q86" s="36">
        <f>IFERROR(Table3335678[[#This Row],[Max Count]]/Table3335678[[#This Row],[Scalar]],"")</f>
        <v>3.40282346639E+38</v>
      </c>
      <c r="R86" s="34"/>
      <c r="S86" s="34"/>
      <c r="T86" s="34" t="s">
        <v>3807</v>
      </c>
      <c r="U86" s="33" t="s">
        <v>3815</v>
      </c>
      <c r="V86" s="33" t="s">
        <v>8445</v>
      </c>
      <c r="W86" s="33"/>
      <c r="X86" s="33"/>
    </row>
    <row r="87" spans="1:24" ht="16.149999999999999" customHeight="1" x14ac:dyDescent="0.15">
      <c r="A87" s="6">
        <v>81</v>
      </c>
      <c r="B87" s="18" t="s">
        <v>75</v>
      </c>
      <c r="C87" s="43" t="s">
        <v>3719</v>
      </c>
      <c r="D87" s="43" t="s">
        <v>7426</v>
      </c>
      <c r="E87" s="36" t="s">
        <v>3192</v>
      </c>
      <c r="F87" s="19">
        <v>80</v>
      </c>
      <c r="G87" s="6"/>
      <c r="H87" s="2" t="s">
        <v>7425</v>
      </c>
      <c r="I87" s="38" t="s">
        <v>196</v>
      </c>
      <c r="J87" s="38"/>
      <c r="K87" s="38"/>
      <c r="L87" s="6" t="s">
        <v>266</v>
      </c>
      <c r="M87" s="113">
        <v>1</v>
      </c>
      <c r="N87" s="45">
        <v>-3.40282346639E+38</v>
      </c>
      <c r="O87" s="2">
        <v>3.40282346639E+38</v>
      </c>
      <c r="P87" s="38">
        <f>IFERROR(Table3335678[[#This Row],[Min Count]]/Table3335678[[#This Row],[Scalar]],"")</f>
        <v>-3.40282346639E+38</v>
      </c>
      <c r="Q87" s="36">
        <f>IFERROR(Table3335678[[#This Row],[Max Count]]/Table3335678[[#This Row],[Scalar]],"")</f>
        <v>3.40282346639E+38</v>
      </c>
      <c r="R87" s="34"/>
      <c r="S87" s="34"/>
      <c r="T87" s="34" t="s">
        <v>3807</v>
      </c>
      <c r="U87" s="33" t="s">
        <v>3815</v>
      </c>
      <c r="V87" s="33" t="s">
        <v>8446</v>
      </c>
      <c r="W87" s="33"/>
      <c r="X87" s="33"/>
    </row>
    <row r="88" spans="1:24" ht="16.149999999999999" customHeight="1" x14ac:dyDescent="0.15">
      <c r="A88" s="6">
        <v>82</v>
      </c>
      <c r="B88" s="18" t="s">
        <v>75</v>
      </c>
      <c r="C88" s="43" t="s">
        <v>3719</v>
      </c>
      <c r="D88" s="43" t="s">
        <v>7427</v>
      </c>
      <c r="E88" s="36" t="s">
        <v>3192</v>
      </c>
      <c r="F88" s="19">
        <v>81</v>
      </c>
      <c r="G88" s="6"/>
      <c r="H88" s="2" t="s">
        <v>7425</v>
      </c>
      <c r="I88" s="38" t="s">
        <v>196</v>
      </c>
      <c r="J88" s="38"/>
      <c r="K88" s="38"/>
      <c r="L88" s="6" t="s">
        <v>266</v>
      </c>
      <c r="M88" s="113">
        <v>1</v>
      </c>
      <c r="N88" s="45">
        <v>-3.40282346639E+38</v>
      </c>
      <c r="O88" s="2">
        <v>3.40282346639E+38</v>
      </c>
      <c r="P88" s="38">
        <f>IFERROR(Table3335678[[#This Row],[Min Count]]/Table3335678[[#This Row],[Scalar]],"")</f>
        <v>-3.40282346639E+38</v>
      </c>
      <c r="Q88" s="36">
        <f>IFERROR(Table3335678[[#This Row],[Max Count]]/Table3335678[[#This Row],[Scalar]],"")</f>
        <v>3.40282346639E+38</v>
      </c>
      <c r="R88" s="34"/>
      <c r="S88" s="34"/>
      <c r="T88" s="34" t="s">
        <v>3807</v>
      </c>
      <c r="U88" s="33" t="s">
        <v>3815</v>
      </c>
      <c r="V88" s="33" t="s">
        <v>8447</v>
      </c>
      <c r="W88" s="33"/>
      <c r="X88" s="33"/>
    </row>
    <row r="89" spans="1:24" ht="16.149999999999999" customHeight="1" x14ac:dyDescent="0.15">
      <c r="A89" s="6">
        <v>83</v>
      </c>
      <c r="B89" s="18" t="s">
        <v>75</v>
      </c>
      <c r="C89" s="43" t="s">
        <v>3719</v>
      </c>
      <c r="D89" s="43" t="s">
        <v>7428</v>
      </c>
      <c r="E89" s="36" t="s">
        <v>3192</v>
      </c>
      <c r="F89" s="19">
        <v>82</v>
      </c>
      <c r="G89" s="6"/>
      <c r="H89" s="2" t="s">
        <v>7425</v>
      </c>
      <c r="I89" s="38" t="s">
        <v>196</v>
      </c>
      <c r="J89" s="38"/>
      <c r="K89" s="38"/>
      <c r="L89" s="6" t="s">
        <v>266</v>
      </c>
      <c r="M89" s="113">
        <v>1</v>
      </c>
      <c r="N89" s="45">
        <v>-3.40282346639E+38</v>
      </c>
      <c r="O89" s="2">
        <v>3.40282346639E+38</v>
      </c>
      <c r="P89" s="38">
        <f>IFERROR(Table3335678[[#This Row],[Min Count]]/Table3335678[[#This Row],[Scalar]],"")</f>
        <v>-3.40282346639E+38</v>
      </c>
      <c r="Q89" s="36">
        <f>IFERROR(Table3335678[[#This Row],[Max Count]]/Table3335678[[#This Row],[Scalar]],"")</f>
        <v>3.40282346639E+38</v>
      </c>
      <c r="R89" s="34"/>
      <c r="S89" s="34"/>
      <c r="T89" s="34" t="s">
        <v>3807</v>
      </c>
      <c r="U89" s="33" t="s">
        <v>3815</v>
      </c>
      <c r="V89" s="33" t="s">
        <v>8448</v>
      </c>
      <c r="W89" s="33"/>
      <c r="X89" s="33"/>
    </row>
    <row r="90" spans="1:24" ht="16.149999999999999" customHeight="1" x14ac:dyDescent="0.15">
      <c r="A90" s="6">
        <v>84</v>
      </c>
      <c r="B90" s="18" t="s">
        <v>75</v>
      </c>
      <c r="C90" s="43" t="s">
        <v>3719</v>
      </c>
      <c r="D90" s="43" t="s">
        <v>7429</v>
      </c>
      <c r="E90" s="36" t="s">
        <v>3192</v>
      </c>
      <c r="F90" s="19">
        <v>83</v>
      </c>
      <c r="G90" s="6"/>
      <c r="H90" s="2" t="s">
        <v>7425</v>
      </c>
      <c r="I90" s="38" t="s">
        <v>196</v>
      </c>
      <c r="J90" s="38"/>
      <c r="K90" s="38"/>
      <c r="L90" s="6" t="s">
        <v>266</v>
      </c>
      <c r="M90" s="113">
        <v>1</v>
      </c>
      <c r="N90" s="45">
        <v>-3.40282346639E+38</v>
      </c>
      <c r="O90" s="2">
        <v>3.40282346639E+38</v>
      </c>
      <c r="P90" s="38">
        <f>IFERROR(Table3335678[[#This Row],[Min Count]]/Table3335678[[#This Row],[Scalar]],"")</f>
        <v>-3.40282346639E+38</v>
      </c>
      <c r="Q90" s="36">
        <f>IFERROR(Table3335678[[#This Row],[Max Count]]/Table3335678[[#This Row],[Scalar]],"")</f>
        <v>3.40282346639E+38</v>
      </c>
      <c r="R90" s="34"/>
      <c r="S90" s="34"/>
      <c r="T90" s="34" t="s">
        <v>3807</v>
      </c>
      <c r="U90" s="33" t="s">
        <v>3815</v>
      </c>
      <c r="V90" s="33" t="s">
        <v>8449</v>
      </c>
      <c r="W90" s="33"/>
      <c r="X90" s="33"/>
    </row>
    <row r="91" spans="1:24" ht="16.149999999999999" customHeight="1" x14ac:dyDescent="0.15">
      <c r="A91" s="6">
        <v>85</v>
      </c>
      <c r="B91" s="18" t="s">
        <v>75</v>
      </c>
      <c r="C91" s="43" t="s">
        <v>3719</v>
      </c>
      <c r="D91" s="43" t="s">
        <v>7430</v>
      </c>
      <c r="E91" s="36" t="s">
        <v>3192</v>
      </c>
      <c r="F91" s="19">
        <v>84</v>
      </c>
      <c r="G91" s="6"/>
      <c r="H91" s="2" t="s">
        <v>7425</v>
      </c>
      <c r="I91" s="38" t="s">
        <v>196</v>
      </c>
      <c r="J91" s="38"/>
      <c r="K91" s="38"/>
      <c r="L91" s="6" t="s">
        <v>266</v>
      </c>
      <c r="M91" s="113">
        <v>1</v>
      </c>
      <c r="N91" s="45">
        <v>-3.40282346639E+38</v>
      </c>
      <c r="O91" s="2">
        <v>3.40282346639E+38</v>
      </c>
      <c r="P91" s="38">
        <f>IFERROR(Table3335678[[#This Row],[Min Count]]/Table3335678[[#This Row],[Scalar]],"")</f>
        <v>-3.40282346639E+38</v>
      </c>
      <c r="Q91" s="36">
        <f>IFERROR(Table3335678[[#This Row],[Max Count]]/Table3335678[[#This Row],[Scalar]],"")</f>
        <v>3.40282346639E+38</v>
      </c>
      <c r="R91" s="34"/>
      <c r="S91" s="34"/>
      <c r="T91" s="34" t="s">
        <v>3807</v>
      </c>
      <c r="U91" s="33" t="s">
        <v>3815</v>
      </c>
      <c r="V91" s="33" t="s">
        <v>8450</v>
      </c>
      <c r="W91" s="33"/>
      <c r="X91" s="33"/>
    </row>
    <row r="92" spans="1:24" ht="16.149999999999999" customHeight="1" x14ac:dyDescent="0.15">
      <c r="A92" s="6">
        <v>86</v>
      </c>
      <c r="B92" s="18" t="s">
        <v>75</v>
      </c>
      <c r="C92" s="43" t="s">
        <v>3719</v>
      </c>
      <c r="D92" s="43" t="s">
        <v>7431</v>
      </c>
      <c r="E92" s="36" t="s">
        <v>3192</v>
      </c>
      <c r="F92" s="19">
        <v>85</v>
      </c>
      <c r="G92" s="6"/>
      <c r="H92" s="34"/>
      <c r="I92" s="38"/>
      <c r="J92" s="38"/>
      <c r="K92" s="38"/>
      <c r="L92" s="6"/>
      <c r="M92" s="113">
        <v>1</v>
      </c>
      <c r="N92" s="45">
        <v>-3.40282346639E+38</v>
      </c>
      <c r="O92" s="2">
        <v>3.40282346639E+38</v>
      </c>
      <c r="P92" s="38">
        <f>IFERROR(Table3335678[[#This Row],[Min Count]]/Table3335678[[#This Row],[Scalar]],"")</f>
        <v>-3.40282346639E+38</v>
      </c>
      <c r="Q92" s="36">
        <f>IFERROR(Table3335678[[#This Row],[Max Count]]/Table3335678[[#This Row],[Scalar]],"")</f>
        <v>3.40282346639E+38</v>
      </c>
      <c r="R92" s="34"/>
      <c r="S92" s="34"/>
      <c r="T92" s="34" t="s">
        <v>3852</v>
      </c>
      <c r="U92" s="33" t="s">
        <v>3853</v>
      </c>
      <c r="V92" s="33" t="s">
        <v>8451</v>
      </c>
      <c r="W92" s="33"/>
      <c r="X92" s="33"/>
    </row>
    <row r="93" spans="1:24" ht="16.149999999999999" customHeight="1" x14ac:dyDescent="0.15">
      <c r="A93" s="6">
        <v>87</v>
      </c>
      <c r="B93" s="18" t="s">
        <v>75</v>
      </c>
      <c r="C93" s="43" t="s">
        <v>3719</v>
      </c>
      <c r="D93" s="43" t="s">
        <v>7432</v>
      </c>
      <c r="E93" s="36" t="s">
        <v>3192</v>
      </c>
      <c r="F93" s="19">
        <v>86</v>
      </c>
      <c r="G93" s="6"/>
      <c r="H93" s="34"/>
      <c r="I93" s="38"/>
      <c r="J93" s="38"/>
      <c r="K93" s="38"/>
      <c r="L93" s="6"/>
      <c r="M93" s="113">
        <v>1</v>
      </c>
      <c r="N93" s="45">
        <v>-3.40282346639E+38</v>
      </c>
      <c r="O93" s="2">
        <v>3.40282346639E+38</v>
      </c>
      <c r="P93" s="38">
        <f>IFERROR(Table3335678[[#This Row],[Min Count]]/Table3335678[[#This Row],[Scalar]],"")</f>
        <v>-3.40282346639E+38</v>
      </c>
      <c r="Q93" s="36">
        <f>IFERROR(Table3335678[[#This Row],[Max Count]]/Table3335678[[#This Row],[Scalar]],"")</f>
        <v>3.40282346639E+38</v>
      </c>
      <c r="R93" s="34"/>
      <c r="S93" s="34"/>
      <c r="T93" s="34" t="s">
        <v>3852</v>
      </c>
      <c r="U93" s="33" t="s">
        <v>3853</v>
      </c>
      <c r="V93" s="33" t="s">
        <v>8452</v>
      </c>
      <c r="W93" s="33"/>
      <c r="X93" s="33"/>
    </row>
    <row r="94" spans="1:24" ht="16.149999999999999" customHeight="1" x14ac:dyDescent="0.15">
      <c r="A94" s="6">
        <v>88</v>
      </c>
      <c r="B94" s="18" t="s">
        <v>75</v>
      </c>
      <c r="C94" s="43" t="s">
        <v>3719</v>
      </c>
      <c r="D94" s="43" t="s">
        <v>7433</v>
      </c>
      <c r="E94" s="36" t="s">
        <v>3192</v>
      </c>
      <c r="F94" s="19">
        <v>87</v>
      </c>
      <c r="G94" s="6"/>
      <c r="H94" s="34"/>
      <c r="I94" s="38"/>
      <c r="J94" s="38"/>
      <c r="K94" s="38"/>
      <c r="L94" s="6"/>
      <c r="M94" s="113">
        <v>1</v>
      </c>
      <c r="N94" s="45">
        <v>-3.40282346639E+38</v>
      </c>
      <c r="O94" s="2">
        <v>3.40282346639E+38</v>
      </c>
      <c r="P94" s="38">
        <f>IFERROR(Table3335678[[#This Row],[Min Count]]/Table3335678[[#This Row],[Scalar]],"")</f>
        <v>-3.40282346639E+38</v>
      </c>
      <c r="Q94" s="36">
        <f>IFERROR(Table3335678[[#This Row],[Max Count]]/Table3335678[[#This Row],[Scalar]],"")</f>
        <v>3.40282346639E+38</v>
      </c>
      <c r="R94" s="34"/>
      <c r="S94" s="34"/>
      <c r="T94" s="34" t="s">
        <v>3852</v>
      </c>
      <c r="U94" s="33" t="s">
        <v>3853</v>
      </c>
      <c r="V94" s="33" t="s">
        <v>8453</v>
      </c>
      <c r="W94" s="33"/>
      <c r="X94" s="33"/>
    </row>
    <row r="95" spans="1:24" ht="16.149999999999999" customHeight="1" x14ac:dyDescent="0.15">
      <c r="A95" s="6">
        <v>89</v>
      </c>
      <c r="B95" s="18" t="s">
        <v>75</v>
      </c>
      <c r="C95" s="43" t="s">
        <v>3719</v>
      </c>
      <c r="D95" s="43" t="s">
        <v>7434</v>
      </c>
      <c r="E95" s="36" t="s">
        <v>3192</v>
      </c>
      <c r="F95" s="19">
        <v>88</v>
      </c>
      <c r="G95" s="6"/>
      <c r="H95" s="34"/>
      <c r="I95" s="38"/>
      <c r="J95" s="38"/>
      <c r="K95" s="38"/>
      <c r="L95" s="6"/>
      <c r="M95" s="113">
        <v>1</v>
      </c>
      <c r="N95" s="45">
        <v>-3.40282346639E+38</v>
      </c>
      <c r="O95" s="2">
        <v>3.40282346639E+38</v>
      </c>
      <c r="P95" s="38">
        <f>IFERROR(Table3335678[[#This Row],[Min Count]]/Table3335678[[#This Row],[Scalar]],"")</f>
        <v>-3.40282346639E+38</v>
      </c>
      <c r="Q95" s="36">
        <f>IFERROR(Table3335678[[#This Row],[Max Count]]/Table3335678[[#This Row],[Scalar]],"")</f>
        <v>3.40282346639E+38</v>
      </c>
      <c r="R95" s="34"/>
      <c r="S95" s="34"/>
      <c r="T95" s="34" t="s">
        <v>3852</v>
      </c>
      <c r="U95" s="33" t="s">
        <v>3853</v>
      </c>
      <c r="V95" s="33" t="s">
        <v>8454</v>
      </c>
      <c r="W95" s="33"/>
      <c r="X95" s="33"/>
    </row>
    <row r="96" spans="1:24" ht="16.149999999999999" customHeight="1" x14ac:dyDescent="0.15">
      <c r="A96" s="6">
        <v>90</v>
      </c>
      <c r="B96" s="18" t="s">
        <v>75</v>
      </c>
      <c r="C96" s="43" t="s">
        <v>3719</v>
      </c>
      <c r="D96" s="43" t="s">
        <v>7435</v>
      </c>
      <c r="E96" s="36" t="s">
        <v>3192</v>
      </c>
      <c r="F96" s="19">
        <v>89</v>
      </c>
      <c r="G96" s="6"/>
      <c r="H96" s="34"/>
      <c r="I96" s="38"/>
      <c r="J96" s="38"/>
      <c r="K96" s="38"/>
      <c r="L96" s="6"/>
      <c r="M96" s="113">
        <v>1</v>
      </c>
      <c r="N96" s="45">
        <v>-3.40282346639E+38</v>
      </c>
      <c r="O96" s="2">
        <v>3.40282346639E+38</v>
      </c>
      <c r="P96" s="38">
        <f>IFERROR(Table3335678[[#This Row],[Min Count]]/Table3335678[[#This Row],[Scalar]],"")</f>
        <v>-3.40282346639E+38</v>
      </c>
      <c r="Q96" s="36">
        <f>IFERROR(Table3335678[[#This Row],[Max Count]]/Table3335678[[#This Row],[Scalar]],"")</f>
        <v>3.40282346639E+38</v>
      </c>
      <c r="R96" s="34"/>
      <c r="S96" s="34"/>
      <c r="T96" s="34" t="s">
        <v>3852</v>
      </c>
      <c r="U96" s="33" t="s">
        <v>3853</v>
      </c>
      <c r="V96" s="33" t="s">
        <v>8455</v>
      </c>
      <c r="W96" s="33"/>
      <c r="X96" s="33"/>
    </row>
    <row r="97" spans="1:32" ht="16.149999999999999" customHeight="1" x14ac:dyDescent="0.15">
      <c r="A97" s="6">
        <v>91</v>
      </c>
      <c r="B97" s="18" t="s">
        <v>75</v>
      </c>
      <c r="C97" s="43" t="s">
        <v>3719</v>
      </c>
      <c r="D97" s="43" t="s">
        <v>7436</v>
      </c>
      <c r="E97" s="36" t="s">
        <v>3192</v>
      </c>
      <c r="F97" s="19">
        <v>90</v>
      </c>
      <c r="G97" s="6"/>
      <c r="H97" s="34"/>
      <c r="I97" s="38"/>
      <c r="J97" s="38"/>
      <c r="K97" s="38"/>
      <c r="L97" s="6"/>
      <c r="M97" s="113">
        <v>1</v>
      </c>
      <c r="N97" s="45">
        <v>-3.40282346639E+38</v>
      </c>
      <c r="O97" s="2">
        <v>3.40282346639E+38</v>
      </c>
      <c r="P97" s="38">
        <f>IFERROR(Table3335678[[#This Row],[Min Count]]/Table3335678[[#This Row],[Scalar]],"")</f>
        <v>-3.40282346639E+38</v>
      </c>
      <c r="Q97" s="36">
        <f>IFERROR(Table3335678[[#This Row],[Max Count]]/Table3335678[[#This Row],[Scalar]],"")</f>
        <v>3.40282346639E+38</v>
      </c>
      <c r="R97" s="34"/>
      <c r="S97" s="34"/>
      <c r="T97" s="34" t="s">
        <v>3852</v>
      </c>
      <c r="U97" s="33" t="s">
        <v>3853</v>
      </c>
      <c r="V97" s="33" t="s">
        <v>8456</v>
      </c>
      <c r="W97" s="33"/>
      <c r="X97" s="33"/>
    </row>
    <row r="98" spans="1:32" ht="16.149999999999999" customHeight="1" x14ac:dyDescent="0.15">
      <c r="A98" s="6">
        <v>92</v>
      </c>
      <c r="B98" s="18" t="s">
        <v>75</v>
      </c>
      <c r="C98" s="43" t="s">
        <v>3719</v>
      </c>
      <c r="D98" s="43" t="s">
        <v>7437</v>
      </c>
      <c r="E98" s="36" t="s">
        <v>3192</v>
      </c>
      <c r="F98" s="19">
        <v>91</v>
      </c>
      <c r="G98" s="6"/>
      <c r="H98" s="34"/>
      <c r="I98" s="38"/>
      <c r="J98" s="38"/>
      <c r="K98" s="38"/>
      <c r="L98" s="6"/>
      <c r="M98" s="113">
        <v>1</v>
      </c>
      <c r="N98" s="45">
        <v>-3.40282346639E+38</v>
      </c>
      <c r="O98" s="2">
        <v>3.40282346639E+38</v>
      </c>
      <c r="P98" s="38">
        <f>IFERROR(Table3335678[[#This Row],[Min Count]]/Table3335678[[#This Row],[Scalar]],"")</f>
        <v>-3.40282346639E+38</v>
      </c>
      <c r="Q98" s="36">
        <f>IFERROR(Table3335678[[#This Row],[Max Count]]/Table3335678[[#This Row],[Scalar]],"")</f>
        <v>3.40282346639E+38</v>
      </c>
      <c r="R98" s="34"/>
      <c r="S98" s="34"/>
      <c r="T98" s="34" t="s">
        <v>3852</v>
      </c>
      <c r="U98" s="33" t="s">
        <v>3853</v>
      </c>
      <c r="V98" s="33" t="s">
        <v>8457</v>
      </c>
      <c r="W98" s="33"/>
      <c r="X98" s="33"/>
    </row>
    <row r="99" spans="1:32" ht="16.149999999999999" customHeight="1" x14ac:dyDescent="0.15">
      <c r="A99" s="6">
        <v>93</v>
      </c>
      <c r="B99" s="18" t="s">
        <v>75</v>
      </c>
      <c r="C99" s="43" t="s">
        <v>3719</v>
      </c>
      <c r="D99" s="43" t="s">
        <v>7438</v>
      </c>
      <c r="E99" s="36" t="s">
        <v>3192</v>
      </c>
      <c r="F99" s="19">
        <v>92</v>
      </c>
      <c r="G99" s="6"/>
      <c r="H99" s="34"/>
      <c r="I99" s="38"/>
      <c r="J99" s="38"/>
      <c r="K99" s="38"/>
      <c r="L99" s="6"/>
      <c r="M99" s="113">
        <v>1</v>
      </c>
      <c r="N99" s="45">
        <v>-3.40282346639E+38</v>
      </c>
      <c r="O99" s="2">
        <v>3.40282346639E+38</v>
      </c>
      <c r="P99" s="38">
        <f>IFERROR(Table3335678[[#This Row],[Min Count]]/Table3335678[[#This Row],[Scalar]],"")</f>
        <v>-3.40282346639E+38</v>
      </c>
      <c r="Q99" s="36">
        <f>IFERROR(Table3335678[[#This Row],[Max Count]]/Table3335678[[#This Row],[Scalar]],"")</f>
        <v>3.40282346639E+38</v>
      </c>
      <c r="R99" s="34"/>
      <c r="S99" s="34"/>
      <c r="T99" s="34" t="s">
        <v>3852</v>
      </c>
      <c r="U99" s="33" t="s">
        <v>3853</v>
      </c>
      <c r="V99" s="33" t="s">
        <v>8458</v>
      </c>
      <c r="W99" s="33"/>
      <c r="X99" s="33"/>
    </row>
    <row r="100" spans="1:32" ht="16.149999999999999" customHeight="1" x14ac:dyDescent="0.15">
      <c r="A100" s="6">
        <v>94</v>
      </c>
      <c r="B100" s="18" t="s">
        <v>75</v>
      </c>
      <c r="C100" s="43" t="s">
        <v>3719</v>
      </c>
      <c r="D100" s="43" t="s">
        <v>7439</v>
      </c>
      <c r="E100" s="36" t="s">
        <v>3192</v>
      </c>
      <c r="F100" s="19">
        <v>93</v>
      </c>
      <c r="G100" s="6"/>
      <c r="H100" s="34"/>
      <c r="I100" s="38"/>
      <c r="J100" s="38"/>
      <c r="K100" s="38"/>
      <c r="L100" s="6"/>
      <c r="M100" s="113">
        <v>1</v>
      </c>
      <c r="N100" s="45">
        <v>-3.40282346639E+38</v>
      </c>
      <c r="O100" s="2">
        <v>3.40282346639E+38</v>
      </c>
      <c r="P100" s="38">
        <f>IFERROR(Table3335678[[#This Row],[Min Count]]/Table3335678[[#This Row],[Scalar]],"")</f>
        <v>-3.40282346639E+38</v>
      </c>
      <c r="Q100" s="36">
        <f>IFERROR(Table3335678[[#This Row],[Max Count]]/Table3335678[[#This Row],[Scalar]],"")</f>
        <v>3.40282346639E+38</v>
      </c>
      <c r="R100" s="34"/>
      <c r="S100" s="34"/>
      <c r="T100" s="34" t="s">
        <v>3852</v>
      </c>
      <c r="U100" s="33" t="s">
        <v>3853</v>
      </c>
      <c r="V100" s="33" t="s">
        <v>8459</v>
      </c>
      <c r="W100" s="33"/>
      <c r="X100" s="33"/>
    </row>
    <row r="101" spans="1:32" ht="16.149999999999999" customHeight="1" x14ac:dyDescent="0.15">
      <c r="A101" s="6">
        <v>95</v>
      </c>
      <c r="B101" s="18" t="s">
        <v>75</v>
      </c>
      <c r="C101" s="43" t="s">
        <v>3719</v>
      </c>
      <c r="D101" s="43" t="s">
        <v>7440</v>
      </c>
      <c r="E101" s="36" t="s">
        <v>3192</v>
      </c>
      <c r="F101" s="19">
        <v>94</v>
      </c>
      <c r="G101" s="6"/>
      <c r="H101" s="34"/>
      <c r="I101" s="38"/>
      <c r="J101" s="38"/>
      <c r="K101" s="38"/>
      <c r="L101" s="6"/>
      <c r="M101" s="113">
        <v>1</v>
      </c>
      <c r="N101" s="45">
        <v>-3.40282346639E+38</v>
      </c>
      <c r="O101" s="2">
        <v>3.40282346639E+38</v>
      </c>
      <c r="P101" s="38">
        <f>IFERROR(Table3335678[[#This Row],[Min Count]]/Table3335678[[#This Row],[Scalar]],"")</f>
        <v>-3.40282346639E+38</v>
      </c>
      <c r="Q101" s="36">
        <f>IFERROR(Table3335678[[#This Row],[Max Count]]/Table3335678[[#This Row],[Scalar]],"")</f>
        <v>3.40282346639E+38</v>
      </c>
      <c r="R101" s="34"/>
      <c r="S101" s="34"/>
      <c r="T101" s="34" t="s">
        <v>3852</v>
      </c>
      <c r="U101" s="33" t="s">
        <v>3853</v>
      </c>
      <c r="V101" s="33" t="s">
        <v>8460</v>
      </c>
      <c r="W101" s="33"/>
      <c r="X101" s="33"/>
    </row>
    <row r="102" spans="1:32" ht="15.75" customHeight="1" x14ac:dyDescent="0.15">
      <c r="A102" s="6">
        <v>96</v>
      </c>
      <c r="B102" s="18" t="s">
        <v>75</v>
      </c>
      <c r="C102" s="34" t="s">
        <v>3719</v>
      </c>
      <c r="D102" t="s">
        <v>4093</v>
      </c>
      <c r="E102" s="2" t="s">
        <v>3192</v>
      </c>
      <c r="F102" s="19">
        <v>95</v>
      </c>
      <c r="G102" s="6"/>
      <c r="H102" s="34" t="s">
        <v>3721</v>
      </c>
      <c r="I102" s="38" t="s">
        <v>196</v>
      </c>
      <c r="J102" s="38"/>
      <c r="K102" s="38"/>
      <c r="L102" s="38" t="s">
        <v>3722</v>
      </c>
      <c r="M102" s="19">
        <v>1</v>
      </c>
      <c r="N102" s="76">
        <v>-3.40282346639E+38</v>
      </c>
      <c r="O102" s="6">
        <v>3.40282346639E+38</v>
      </c>
      <c r="P102" s="38">
        <f>IFERROR(Table3335678[[#This Row],[Min Count]]/Table3335678[[#This Row],[Scalar]],"")</f>
        <v>-3.40282346639E+38</v>
      </c>
      <c r="Q102" s="38">
        <f>IFERROR(Table3335678[[#This Row],[Max Count]]/Table3335678[[#This Row],[Scalar]],"")</f>
        <v>3.40282346639E+38</v>
      </c>
      <c r="R102" s="130"/>
      <c r="S102" s="34"/>
      <c r="T102" s="34" t="s">
        <v>3723</v>
      </c>
      <c r="U102" s="8" t="s">
        <v>3950</v>
      </c>
      <c r="V102" s="36" t="s">
        <v>8461</v>
      </c>
      <c r="W102" s="8" t="s">
        <v>3725</v>
      </c>
      <c r="X102" s="34"/>
      <c r="Y102"/>
      <c r="AC102"/>
      <c r="AD102"/>
      <c r="AE102"/>
      <c r="AF102"/>
    </row>
    <row r="103" spans="1:32" ht="16.149999999999999" customHeight="1" x14ac:dyDescent="0.15">
      <c r="A103" s="6">
        <v>97</v>
      </c>
      <c r="B103" s="18" t="s">
        <v>75</v>
      </c>
      <c r="C103" s="43" t="s">
        <v>3719</v>
      </c>
      <c r="D103" t="s">
        <v>4094</v>
      </c>
      <c r="E103" s="36" t="s">
        <v>3192</v>
      </c>
      <c r="F103" s="19">
        <v>96</v>
      </c>
      <c r="G103" s="6"/>
      <c r="H103" s="2" t="s">
        <v>3954</v>
      </c>
      <c r="I103" s="38" t="s">
        <v>196</v>
      </c>
      <c r="J103" s="38"/>
      <c r="K103" s="38"/>
      <c r="L103" s="38" t="s">
        <v>82</v>
      </c>
      <c r="M103" s="19">
        <v>1</v>
      </c>
      <c r="N103" s="76">
        <v>-3.40282346639E+38</v>
      </c>
      <c r="O103" s="2">
        <v>3.40282346639E+38</v>
      </c>
      <c r="P103" s="19">
        <f>IFERROR(Table3335678[[#This Row],[Min Count]]/Table3335678[[#This Row],[Scalar]],"")</f>
        <v>-3.40282346639E+38</v>
      </c>
      <c r="Q103" s="36">
        <f>IFERROR(Table3335678[[#This Row],[Max Count]]/Table3335678[[#This Row],[Scalar]],"")</f>
        <v>3.40282346639E+38</v>
      </c>
      <c r="R103" s="34"/>
      <c r="S103" s="34"/>
      <c r="T103" s="34" t="s">
        <v>3707</v>
      </c>
      <c r="U103" s="33" t="s">
        <v>3950</v>
      </c>
      <c r="V103" s="33" t="s">
        <v>8462</v>
      </c>
      <c r="W103" s="33"/>
      <c r="X103" s="33"/>
    </row>
    <row r="104" spans="1:32" ht="16.149999999999999" customHeight="1" x14ac:dyDescent="0.15">
      <c r="A104" s="6">
        <v>98</v>
      </c>
      <c r="B104" s="18" t="s">
        <v>75</v>
      </c>
      <c r="C104" s="43" t="s">
        <v>3719</v>
      </c>
      <c r="D104" s="43" t="s">
        <v>4095</v>
      </c>
      <c r="E104" s="36" t="s">
        <v>3192</v>
      </c>
      <c r="F104" s="19">
        <v>97</v>
      </c>
      <c r="G104" s="6"/>
      <c r="H104" s="2" t="s">
        <v>3958</v>
      </c>
      <c r="I104" s="38" t="s">
        <v>196</v>
      </c>
      <c r="J104" s="38"/>
      <c r="K104" s="38"/>
      <c r="L104" s="38" t="s">
        <v>153</v>
      </c>
      <c r="M104" s="19">
        <v>1</v>
      </c>
      <c r="N104" s="76">
        <v>-3.40282346639E+38</v>
      </c>
      <c r="O104" s="2">
        <v>3.40282346639E+38</v>
      </c>
      <c r="P104" s="19">
        <f>IFERROR(Table3335678[[#This Row],[Min Count]]/Table3335678[[#This Row],[Scalar]],"")</f>
        <v>-3.40282346639E+38</v>
      </c>
      <c r="Q104" s="36">
        <f>IFERROR(Table3335678[[#This Row],[Max Count]]/Table3335678[[#This Row],[Scalar]],"")</f>
        <v>3.40282346639E+38</v>
      </c>
      <c r="R104" s="34"/>
      <c r="S104" s="34"/>
      <c r="T104" s="34" t="s">
        <v>3707</v>
      </c>
      <c r="U104" s="33" t="s">
        <v>3950</v>
      </c>
      <c r="V104" s="33" t="s">
        <v>8463</v>
      </c>
      <c r="W104" s="33"/>
      <c r="X104" s="33"/>
    </row>
    <row r="105" spans="1:32" ht="16.149999999999999" customHeight="1" x14ac:dyDescent="0.15">
      <c r="A105" s="6">
        <v>99</v>
      </c>
      <c r="B105" s="18" t="s">
        <v>75</v>
      </c>
      <c r="C105" s="43" t="s">
        <v>3719</v>
      </c>
      <c r="D105" t="s">
        <v>4096</v>
      </c>
      <c r="E105" s="36" t="s">
        <v>3192</v>
      </c>
      <c r="F105" s="19">
        <v>98</v>
      </c>
      <c r="G105" s="6"/>
      <c r="H105" s="2" t="s">
        <v>3962</v>
      </c>
      <c r="I105" s="38" t="s">
        <v>196</v>
      </c>
      <c r="J105" s="38"/>
      <c r="K105" s="38"/>
      <c r="L105" s="38" t="s">
        <v>123</v>
      </c>
      <c r="M105" s="19">
        <v>1</v>
      </c>
      <c r="N105" s="76">
        <v>-3.40282346639E+38</v>
      </c>
      <c r="O105" s="2">
        <v>3.40282346639E+38</v>
      </c>
      <c r="P105" s="19">
        <f>IFERROR(Table3335678[[#This Row],[Min Count]]/Table3335678[[#This Row],[Scalar]],"")</f>
        <v>-3.40282346639E+38</v>
      </c>
      <c r="Q105" s="36">
        <f>IFERROR(Table3335678[[#This Row],[Max Count]]/Table3335678[[#This Row],[Scalar]],"")</f>
        <v>3.40282346639E+38</v>
      </c>
      <c r="R105" s="34"/>
      <c r="S105" s="34"/>
      <c r="T105" s="34" t="s">
        <v>3707</v>
      </c>
      <c r="U105" s="33" t="s">
        <v>3950</v>
      </c>
      <c r="V105" s="33" t="s">
        <v>8464</v>
      </c>
      <c r="W105" s="33"/>
      <c r="X105" s="33"/>
    </row>
    <row r="106" spans="1:32" ht="16.149999999999999" customHeight="1" x14ac:dyDescent="0.15">
      <c r="A106" s="6">
        <v>100</v>
      </c>
      <c r="B106" s="18" t="s">
        <v>75</v>
      </c>
      <c r="C106" s="43" t="s">
        <v>3719</v>
      </c>
      <c r="D106" t="s">
        <v>4097</v>
      </c>
      <c r="E106" s="36" t="s">
        <v>3192</v>
      </c>
      <c r="F106" s="19">
        <v>99</v>
      </c>
      <c r="G106" s="6"/>
      <c r="H106" s="2" t="s">
        <v>3966</v>
      </c>
      <c r="I106" s="38" t="s">
        <v>196</v>
      </c>
      <c r="J106" s="38"/>
      <c r="K106" s="38"/>
      <c r="L106" s="38" t="s">
        <v>123</v>
      </c>
      <c r="M106" s="19">
        <v>1</v>
      </c>
      <c r="N106" s="76">
        <v>-3.40282346639E+38</v>
      </c>
      <c r="O106" s="2">
        <v>3.40282346639E+38</v>
      </c>
      <c r="P106" s="19">
        <f>IFERROR(Table3335678[[#This Row],[Min Count]]/Table3335678[[#This Row],[Scalar]],"")</f>
        <v>-3.40282346639E+38</v>
      </c>
      <c r="Q106" s="36">
        <f>IFERROR(Table3335678[[#This Row],[Max Count]]/Table3335678[[#This Row],[Scalar]],"")</f>
        <v>3.40282346639E+38</v>
      </c>
      <c r="R106" s="34"/>
      <c r="S106" s="34"/>
      <c r="T106" s="34" t="s">
        <v>3707</v>
      </c>
      <c r="U106" s="33" t="s">
        <v>3950</v>
      </c>
      <c r="V106" s="33" t="s">
        <v>8465</v>
      </c>
      <c r="W106" s="33"/>
      <c r="X106" s="33"/>
    </row>
    <row r="107" spans="1:32" ht="16.149999999999999" customHeight="1" x14ac:dyDescent="0.15">
      <c r="A107" s="6">
        <v>101</v>
      </c>
      <c r="B107" s="18" t="s">
        <v>75</v>
      </c>
      <c r="C107" s="43" t="s">
        <v>3719</v>
      </c>
      <c r="D107" t="s">
        <v>4098</v>
      </c>
      <c r="E107" s="36" t="s">
        <v>3192</v>
      </c>
      <c r="F107" s="19">
        <v>100</v>
      </c>
      <c r="G107" s="6"/>
      <c r="H107" s="2" t="s">
        <v>3971</v>
      </c>
      <c r="I107" s="38" t="s">
        <v>196</v>
      </c>
      <c r="J107" s="38"/>
      <c r="K107" s="38"/>
      <c r="L107" s="38" t="s">
        <v>123</v>
      </c>
      <c r="M107" s="19">
        <v>1</v>
      </c>
      <c r="N107" s="76">
        <v>-3.40282346639E+38</v>
      </c>
      <c r="O107" s="2">
        <v>3.40282346639E+38</v>
      </c>
      <c r="P107" s="19">
        <f>IFERROR(Table3335678[[#This Row],[Min Count]]/Table3335678[[#This Row],[Scalar]],"")</f>
        <v>-3.40282346639E+38</v>
      </c>
      <c r="Q107" s="36">
        <f>IFERROR(Table3335678[[#This Row],[Max Count]]/Table3335678[[#This Row],[Scalar]],"")</f>
        <v>3.40282346639E+38</v>
      </c>
      <c r="R107" s="34"/>
      <c r="S107" s="34"/>
      <c r="T107" s="34" t="s">
        <v>3707</v>
      </c>
      <c r="U107" s="33" t="s">
        <v>3950</v>
      </c>
      <c r="V107" s="33" t="s">
        <v>8466</v>
      </c>
      <c r="W107" s="33"/>
      <c r="X107" s="33"/>
    </row>
    <row r="108" spans="1:32" ht="16.149999999999999" customHeight="1" x14ac:dyDescent="0.15">
      <c r="A108" s="6">
        <v>102</v>
      </c>
      <c r="B108" s="18" t="s">
        <v>75</v>
      </c>
      <c r="C108" s="43" t="s">
        <v>3719</v>
      </c>
      <c r="D108" t="s">
        <v>4099</v>
      </c>
      <c r="E108" s="36" t="s">
        <v>3192</v>
      </c>
      <c r="F108" s="19">
        <v>101</v>
      </c>
      <c r="G108" s="6"/>
      <c r="H108" s="2" t="s">
        <v>3975</v>
      </c>
      <c r="I108" s="38" t="s">
        <v>196</v>
      </c>
      <c r="J108" s="38"/>
      <c r="K108" s="38"/>
      <c r="L108" s="38" t="s">
        <v>113</v>
      </c>
      <c r="M108" s="19">
        <v>1</v>
      </c>
      <c r="N108" s="76">
        <v>-3.40282346639E+38</v>
      </c>
      <c r="O108" s="2">
        <v>3.40282346639E+38</v>
      </c>
      <c r="P108" s="19">
        <f>IFERROR(Table3335678[[#This Row],[Min Count]]/Table3335678[[#This Row],[Scalar]],"")</f>
        <v>-3.40282346639E+38</v>
      </c>
      <c r="Q108" s="36">
        <f>IFERROR(Table3335678[[#This Row],[Max Count]]/Table3335678[[#This Row],[Scalar]],"")</f>
        <v>3.40282346639E+38</v>
      </c>
      <c r="R108" s="34"/>
      <c r="S108" s="34"/>
      <c r="T108" s="34" t="s">
        <v>3707</v>
      </c>
      <c r="U108" s="33" t="s">
        <v>3950</v>
      </c>
      <c r="V108" s="33" t="s">
        <v>8467</v>
      </c>
      <c r="W108" s="33"/>
      <c r="X108" s="33"/>
    </row>
    <row r="109" spans="1:32" ht="16.149999999999999" customHeight="1" x14ac:dyDescent="0.15">
      <c r="A109" s="6">
        <v>103</v>
      </c>
      <c r="B109" s="18" t="s">
        <v>75</v>
      </c>
      <c r="C109" s="43" t="s">
        <v>3719</v>
      </c>
      <c r="D109" t="s">
        <v>4100</v>
      </c>
      <c r="E109" s="36" t="s">
        <v>3192</v>
      </c>
      <c r="F109" s="19">
        <v>102</v>
      </c>
      <c r="G109" s="6"/>
      <c r="H109" s="2" t="s">
        <v>3979</v>
      </c>
      <c r="I109" s="38" t="s">
        <v>196</v>
      </c>
      <c r="J109" s="38"/>
      <c r="K109" s="38"/>
      <c r="L109" s="38" t="s">
        <v>113</v>
      </c>
      <c r="M109" s="19">
        <v>1</v>
      </c>
      <c r="N109" s="76">
        <v>-3.40282346639E+38</v>
      </c>
      <c r="O109" s="2">
        <v>3.40282346639E+38</v>
      </c>
      <c r="P109" s="19">
        <f>IFERROR(Table3335678[[#This Row],[Min Count]]/Table3335678[[#This Row],[Scalar]],"")</f>
        <v>-3.40282346639E+38</v>
      </c>
      <c r="Q109" s="36">
        <f>IFERROR(Table3335678[[#This Row],[Max Count]]/Table3335678[[#This Row],[Scalar]],"")</f>
        <v>3.40282346639E+38</v>
      </c>
      <c r="R109" s="34"/>
      <c r="S109" s="34"/>
      <c r="T109" s="34" t="s">
        <v>3707</v>
      </c>
      <c r="U109" s="33" t="s">
        <v>3950</v>
      </c>
      <c r="V109" s="33" t="s">
        <v>8468</v>
      </c>
      <c r="W109" s="33"/>
      <c r="X109" s="33"/>
    </row>
    <row r="110" spans="1:32" ht="16.149999999999999" customHeight="1" x14ac:dyDescent="0.15">
      <c r="A110" s="6">
        <v>104</v>
      </c>
      <c r="B110" s="18" t="s">
        <v>75</v>
      </c>
      <c r="C110" s="43" t="s">
        <v>3719</v>
      </c>
      <c r="D110" t="s">
        <v>4101</v>
      </c>
      <c r="E110" s="36" t="s">
        <v>3192</v>
      </c>
      <c r="F110" s="19">
        <v>103</v>
      </c>
      <c r="G110" s="6"/>
      <c r="H110" s="2" t="s">
        <v>3983</v>
      </c>
      <c r="I110" s="38" t="s">
        <v>196</v>
      </c>
      <c r="J110" s="38"/>
      <c r="K110" s="38"/>
      <c r="L110" s="38" t="s">
        <v>113</v>
      </c>
      <c r="M110" s="19">
        <v>1</v>
      </c>
      <c r="N110" s="76">
        <v>-3.40282346639E+38</v>
      </c>
      <c r="O110" s="2">
        <v>3.40282346639E+38</v>
      </c>
      <c r="P110" s="19">
        <f>IFERROR(Table3335678[[#This Row],[Min Count]]/Table3335678[[#This Row],[Scalar]],"")</f>
        <v>-3.40282346639E+38</v>
      </c>
      <c r="Q110" s="36">
        <f>IFERROR(Table3335678[[#This Row],[Max Count]]/Table3335678[[#This Row],[Scalar]],"")</f>
        <v>3.40282346639E+38</v>
      </c>
      <c r="R110" s="34"/>
      <c r="S110" s="34"/>
      <c r="T110" s="34" t="s">
        <v>3707</v>
      </c>
      <c r="U110" s="33" t="s">
        <v>3950</v>
      </c>
      <c r="V110" s="33" t="s">
        <v>8469</v>
      </c>
      <c r="W110" s="33"/>
      <c r="X110" s="33"/>
    </row>
    <row r="111" spans="1:32" ht="16.149999999999999" customHeight="1" x14ac:dyDescent="0.15">
      <c r="A111" s="6">
        <v>105</v>
      </c>
      <c r="B111" s="18" t="s">
        <v>75</v>
      </c>
      <c r="C111" s="43" t="s">
        <v>3719</v>
      </c>
      <c r="D111" t="s">
        <v>4102</v>
      </c>
      <c r="E111" s="36" t="s">
        <v>3192</v>
      </c>
      <c r="F111" s="19">
        <v>104</v>
      </c>
      <c r="G111" s="6"/>
      <c r="H111" s="2" t="s">
        <v>3987</v>
      </c>
      <c r="I111" s="38" t="s">
        <v>196</v>
      </c>
      <c r="J111" s="38"/>
      <c r="K111" s="38"/>
      <c r="L111" s="38" t="s">
        <v>145</v>
      </c>
      <c r="M111" s="19">
        <v>1</v>
      </c>
      <c r="N111" s="76">
        <v>-3.40282346639E+38</v>
      </c>
      <c r="O111" s="2">
        <v>3.40282346639E+38</v>
      </c>
      <c r="P111" s="19">
        <f>IFERROR(Table3335678[[#This Row],[Min Count]]/Table3335678[[#This Row],[Scalar]],"")</f>
        <v>-3.40282346639E+38</v>
      </c>
      <c r="Q111" s="36">
        <f>IFERROR(Table3335678[[#This Row],[Max Count]]/Table3335678[[#This Row],[Scalar]],"")</f>
        <v>3.40282346639E+38</v>
      </c>
      <c r="R111" s="34"/>
      <c r="S111" s="34"/>
      <c r="T111" s="34" t="s">
        <v>3707</v>
      </c>
      <c r="U111" s="33" t="s">
        <v>3950</v>
      </c>
      <c r="V111" s="33" t="s">
        <v>8470</v>
      </c>
      <c r="W111" s="33"/>
      <c r="X111" s="33"/>
    </row>
    <row r="112" spans="1:32" ht="16.149999999999999" customHeight="1" x14ac:dyDescent="0.15">
      <c r="A112" s="6">
        <v>106</v>
      </c>
      <c r="B112" s="18" t="s">
        <v>75</v>
      </c>
      <c r="C112" s="43" t="s">
        <v>3719</v>
      </c>
      <c r="D112" t="s">
        <v>4103</v>
      </c>
      <c r="E112" s="36" t="s">
        <v>3192</v>
      </c>
      <c r="F112" s="19">
        <v>105</v>
      </c>
      <c r="G112" s="6"/>
      <c r="H112" s="2" t="s">
        <v>3991</v>
      </c>
      <c r="I112" s="38" t="s">
        <v>196</v>
      </c>
      <c r="J112" s="38"/>
      <c r="K112" s="38"/>
      <c r="L112" s="38" t="s">
        <v>149</v>
      </c>
      <c r="M112" s="19">
        <v>1</v>
      </c>
      <c r="N112" s="76">
        <v>-3.40282346639E+38</v>
      </c>
      <c r="O112" s="2">
        <v>3.40282346639E+38</v>
      </c>
      <c r="P112" s="19">
        <f>IFERROR(Table3335678[[#This Row],[Min Count]]/Table3335678[[#This Row],[Scalar]],"")</f>
        <v>-3.40282346639E+38</v>
      </c>
      <c r="Q112" s="36">
        <f>IFERROR(Table3335678[[#This Row],[Max Count]]/Table3335678[[#This Row],[Scalar]],"")</f>
        <v>3.40282346639E+38</v>
      </c>
      <c r="R112" s="34"/>
      <c r="S112" s="34"/>
      <c r="T112" s="34" t="s">
        <v>3707</v>
      </c>
      <c r="U112" s="33" t="s">
        <v>3950</v>
      </c>
      <c r="V112" s="33" t="s">
        <v>8471</v>
      </c>
      <c r="W112" s="33"/>
      <c r="X112" s="33"/>
    </row>
    <row r="113" spans="1:24" ht="16.149999999999999" customHeight="1" x14ac:dyDescent="0.15">
      <c r="A113" s="6">
        <v>107</v>
      </c>
      <c r="B113" s="18" t="s">
        <v>75</v>
      </c>
      <c r="C113" s="43" t="s">
        <v>3719</v>
      </c>
      <c r="D113" s="43" t="s">
        <v>4104</v>
      </c>
      <c r="E113" s="36" t="s">
        <v>3192</v>
      </c>
      <c r="F113" s="19">
        <v>106</v>
      </c>
      <c r="G113" s="6"/>
      <c r="H113" s="2" t="s">
        <v>3995</v>
      </c>
      <c r="I113" s="38" t="s">
        <v>196</v>
      </c>
      <c r="J113" s="38"/>
      <c r="K113" s="38"/>
      <c r="L113" s="6" t="s">
        <v>82</v>
      </c>
      <c r="M113" s="19">
        <v>1</v>
      </c>
      <c r="N113" s="76">
        <v>-3.40282346639E+38</v>
      </c>
      <c r="O113" s="2">
        <v>3.40282346639E+38</v>
      </c>
      <c r="P113" s="19">
        <f>IFERROR(Table3335678[[#This Row],[Min Count]]/Table3335678[[#This Row],[Scalar]],"")</f>
        <v>-3.40282346639E+38</v>
      </c>
      <c r="Q113" s="36">
        <f>IFERROR(Table3335678[[#This Row],[Max Count]]/Table3335678[[#This Row],[Scalar]],"")</f>
        <v>3.40282346639E+38</v>
      </c>
      <c r="R113" s="34"/>
      <c r="S113" s="34"/>
      <c r="T113" s="34" t="s">
        <v>3707</v>
      </c>
      <c r="U113" s="33" t="s">
        <v>3950</v>
      </c>
      <c r="V113" s="33" t="s">
        <v>8472</v>
      </c>
      <c r="W113" s="33"/>
      <c r="X113" s="33"/>
    </row>
    <row r="114" spans="1:24" ht="16.149999999999999" customHeight="1" x14ac:dyDescent="0.15">
      <c r="A114" s="6">
        <v>108</v>
      </c>
      <c r="B114" s="18" t="s">
        <v>75</v>
      </c>
      <c r="C114" s="43" t="s">
        <v>3719</v>
      </c>
      <c r="D114" s="43" t="s">
        <v>4105</v>
      </c>
      <c r="E114" s="36" t="s">
        <v>3192</v>
      </c>
      <c r="F114" s="19">
        <v>107</v>
      </c>
      <c r="G114" s="6"/>
      <c r="H114" s="2" t="s">
        <v>3999</v>
      </c>
      <c r="I114" s="38" t="s">
        <v>196</v>
      </c>
      <c r="J114" s="38"/>
      <c r="K114" s="38"/>
      <c r="L114" s="6" t="s">
        <v>123</v>
      </c>
      <c r="M114" s="19">
        <v>1</v>
      </c>
      <c r="N114" s="76">
        <v>-3.40282346639E+38</v>
      </c>
      <c r="O114" s="2">
        <v>3.40282346639E+38</v>
      </c>
      <c r="P114" s="19">
        <f>IFERROR(Table3335678[[#This Row],[Min Count]]/Table3335678[[#This Row],[Scalar]],"")</f>
        <v>-3.40282346639E+38</v>
      </c>
      <c r="Q114" s="36">
        <f>IFERROR(Table3335678[[#This Row],[Max Count]]/Table3335678[[#This Row],[Scalar]],"")</f>
        <v>3.40282346639E+38</v>
      </c>
      <c r="R114" s="34"/>
      <c r="S114" s="34"/>
      <c r="T114" s="34" t="s">
        <v>3707</v>
      </c>
      <c r="U114" s="33" t="s">
        <v>3950</v>
      </c>
      <c r="V114" s="33" t="s">
        <v>8473</v>
      </c>
      <c r="W114" s="33"/>
      <c r="X114" s="33"/>
    </row>
    <row r="115" spans="1:24" ht="16.149999999999999" customHeight="1" x14ac:dyDescent="0.15">
      <c r="A115" s="6">
        <v>109</v>
      </c>
      <c r="B115" s="18" t="s">
        <v>75</v>
      </c>
      <c r="C115" s="43" t="s">
        <v>3719</v>
      </c>
      <c r="D115" s="43" t="s">
        <v>4106</v>
      </c>
      <c r="E115" s="36" t="s">
        <v>3192</v>
      </c>
      <c r="F115" s="19">
        <v>108</v>
      </c>
      <c r="G115" s="6"/>
      <c r="H115" s="2" t="s">
        <v>4003</v>
      </c>
      <c r="I115" s="38" t="s">
        <v>196</v>
      </c>
      <c r="J115" s="38"/>
      <c r="K115" s="38"/>
      <c r="L115" s="6" t="s">
        <v>113</v>
      </c>
      <c r="M115" s="19">
        <v>1</v>
      </c>
      <c r="N115" s="76">
        <v>-3.40282346639E+38</v>
      </c>
      <c r="O115" s="2">
        <v>3.40282346639E+38</v>
      </c>
      <c r="P115" s="24">
        <f>IFERROR(Table3335678[[#This Row],[Min Count]]/Table3335678[[#This Row],[Scalar]],"")</f>
        <v>-3.40282346639E+38</v>
      </c>
      <c r="Q115" s="36">
        <f>IFERROR(Table3335678[[#This Row],[Max Count]]/Table3335678[[#This Row],[Scalar]],"")</f>
        <v>3.40282346639E+38</v>
      </c>
      <c r="R115" s="34"/>
      <c r="S115" s="34"/>
      <c r="T115" s="34" t="s">
        <v>3707</v>
      </c>
      <c r="U115" s="33" t="s">
        <v>3950</v>
      </c>
      <c r="V115" s="33" t="s">
        <v>8474</v>
      </c>
      <c r="W115" s="33"/>
      <c r="X115" s="33"/>
    </row>
    <row r="116" spans="1:24" ht="16.149999999999999" customHeight="1" x14ac:dyDescent="0.15">
      <c r="A116" s="6">
        <v>110</v>
      </c>
      <c r="B116" s="18" t="s">
        <v>75</v>
      </c>
      <c r="C116" s="43" t="s">
        <v>3719</v>
      </c>
      <c r="D116" s="43" t="s">
        <v>4114</v>
      </c>
      <c r="E116" s="36" t="s">
        <v>3192</v>
      </c>
      <c r="F116" s="19">
        <v>109</v>
      </c>
      <c r="G116" s="6"/>
      <c r="H116" s="2" t="s">
        <v>4036</v>
      </c>
      <c r="I116" s="38" t="s">
        <v>196</v>
      </c>
      <c r="J116" s="38"/>
      <c r="K116" s="38"/>
      <c r="L116" s="6" t="s">
        <v>86</v>
      </c>
      <c r="M116" s="113">
        <v>1</v>
      </c>
      <c r="N116" s="76">
        <v>-3.40282346639E+38</v>
      </c>
      <c r="O116" s="2">
        <v>3.40282346639E+38</v>
      </c>
      <c r="P116" s="38">
        <f>IFERROR(Table3335678[[#This Row],[Min Count]]/Table3335678[[#This Row],[Scalar]],"")</f>
        <v>-3.40282346639E+38</v>
      </c>
      <c r="Q116" s="36">
        <f>IFERROR(Table3335678[[#This Row],[Max Count]]/Table3335678[[#This Row],[Scalar]],"")</f>
        <v>3.40282346639E+38</v>
      </c>
      <c r="R116" s="34"/>
      <c r="S116" s="34"/>
      <c r="T116" s="34" t="s">
        <v>3807</v>
      </c>
      <c r="U116" s="33" t="s">
        <v>3950</v>
      </c>
      <c r="V116" s="33" t="s">
        <v>8475</v>
      </c>
      <c r="W116" s="33"/>
      <c r="X116" s="33"/>
    </row>
    <row r="117" spans="1:24" ht="16.149999999999999" customHeight="1" x14ac:dyDescent="0.15">
      <c r="A117" s="6">
        <v>111</v>
      </c>
      <c r="B117" s="18" t="s">
        <v>75</v>
      </c>
      <c r="C117" s="43" t="s">
        <v>3719</v>
      </c>
      <c r="D117" s="43" t="s">
        <v>4115</v>
      </c>
      <c r="E117" s="36" t="s">
        <v>3192</v>
      </c>
      <c r="F117" s="19">
        <v>110</v>
      </c>
      <c r="G117" s="6"/>
      <c r="H117" s="34" t="s">
        <v>3721</v>
      </c>
      <c r="I117" s="38" t="s">
        <v>196</v>
      </c>
      <c r="J117" s="38"/>
      <c r="K117" s="38"/>
      <c r="L117" s="6" t="s">
        <v>86</v>
      </c>
      <c r="M117" s="113">
        <v>1</v>
      </c>
      <c r="N117" s="45">
        <v>-3.40282346639E+38</v>
      </c>
      <c r="O117" s="2">
        <v>3.40282346639E+38</v>
      </c>
      <c r="P117" s="38">
        <f>IFERROR(Table3335678[[#This Row],[Min Count]]/Table3335678[[#This Row],[Scalar]],"")</f>
        <v>-3.40282346639E+38</v>
      </c>
      <c r="Q117" s="36">
        <f>IFERROR(Table3335678[[#This Row],[Max Count]]/Table3335678[[#This Row],[Scalar]],"")</f>
        <v>3.40282346639E+38</v>
      </c>
      <c r="R117" s="34"/>
      <c r="S117" s="34"/>
      <c r="T117" s="34" t="s">
        <v>3723</v>
      </c>
      <c r="U117" s="33" t="s">
        <v>3950</v>
      </c>
      <c r="V117" s="33" t="s">
        <v>8476</v>
      </c>
      <c r="W117" s="33"/>
      <c r="X117" s="33"/>
    </row>
    <row r="118" spans="1:24" ht="16.149999999999999" customHeight="1" x14ac:dyDescent="0.15">
      <c r="A118" s="6">
        <v>112</v>
      </c>
      <c r="B118" s="18" t="s">
        <v>75</v>
      </c>
      <c r="C118" s="43" t="s">
        <v>3719</v>
      </c>
      <c r="D118" s="43" t="s">
        <v>4116</v>
      </c>
      <c r="E118" s="36" t="s">
        <v>3192</v>
      </c>
      <c r="F118" s="19">
        <v>111</v>
      </c>
      <c r="G118" s="6"/>
      <c r="H118" s="2" t="s">
        <v>4043</v>
      </c>
      <c r="I118" s="38" t="s">
        <v>196</v>
      </c>
      <c r="J118" s="38"/>
      <c r="K118" s="38"/>
      <c r="L118" s="6" t="s">
        <v>86</v>
      </c>
      <c r="M118" s="113">
        <v>1</v>
      </c>
      <c r="N118" s="45">
        <v>-3.40282346639E+38</v>
      </c>
      <c r="O118" s="2">
        <v>3.40282346639E+38</v>
      </c>
      <c r="P118" s="38">
        <f>IFERROR(Table3335678[[#This Row],[Min Count]]/Table3335678[[#This Row],[Scalar]],"")</f>
        <v>-3.40282346639E+38</v>
      </c>
      <c r="Q118" s="36">
        <f>IFERROR(Table3335678[[#This Row],[Max Count]]/Table3335678[[#This Row],[Scalar]],"")</f>
        <v>3.40282346639E+38</v>
      </c>
      <c r="R118" s="34"/>
      <c r="S118" s="34"/>
      <c r="T118" s="34" t="s">
        <v>3807</v>
      </c>
      <c r="U118" s="33" t="s">
        <v>3815</v>
      </c>
      <c r="V118" s="33" t="s">
        <v>8477</v>
      </c>
      <c r="W118" s="33"/>
      <c r="X118" s="33"/>
    </row>
    <row r="119" spans="1:24" ht="16.149999999999999" customHeight="1" x14ac:dyDescent="0.15">
      <c r="A119" s="6">
        <v>113</v>
      </c>
      <c r="B119" s="18" t="s">
        <v>75</v>
      </c>
      <c r="C119" s="43" t="s">
        <v>3719</v>
      </c>
      <c r="D119" s="43" t="s">
        <v>4117</v>
      </c>
      <c r="E119" s="36" t="s">
        <v>3192</v>
      </c>
      <c r="F119" s="19">
        <v>112</v>
      </c>
      <c r="G119" s="6"/>
      <c r="H119" s="2" t="s">
        <v>4047</v>
      </c>
      <c r="I119" s="38" t="s">
        <v>196</v>
      </c>
      <c r="J119" s="38"/>
      <c r="K119" s="38"/>
      <c r="L119" s="6" t="s">
        <v>104</v>
      </c>
      <c r="M119" s="113">
        <v>1</v>
      </c>
      <c r="N119" s="45">
        <v>-3.40282346639E+38</v>
      </c>
      <c r="O119" s="2">
        <v>3.40282346639E+38</v>
      </c>
      <c r="P119" s="38">
        <f>IFERROR(Table3335678[[#This Row],[Min Count]]/Table3335678[[#This Row],[Scalar]],"")</f>
        <v>-3.40282346639E+38</v>
      </c>
      <c r="Q119" s="36">
        <f>IFERROR(Table3335678[[#This Row],[Max Count]]/Table3335678[[#This Row],[Scalar]],"")</f>
        <v>3.40282346639E+38</v>
      </c>
      <c r="R119" s="34"/>
      <c r="S119" s="34"/>
      <c r="T119" s="34" t="s">
        <v>3807</v>
      </c>
      <c r="U119" s="33" t="s">
        <v>3815</v>
      </c>
      <c r="V119" s="33" t="s">
        <v>8478</v>
      </c>
      <c r="W119" s="33"/>
      <c r="X119" s="33"/>
    </row>
    <row r="120" spans="1:24" ht="16.149999999999999" customHeight="1" x14ac:dyDescent="0.15">
      <c r="A120" s="6">
        <v>114</v>
      </c>
      <c r="B120" s="18" t="s">
        <v>75</v>
      </c>
      <c r="C120" s="43" t="s">
        <v>3719</v>
      </c>
      <c r="D120" s="43" t="s">
        <v>4118</v>
      </c>
      <c r="E120" s="36" t="s">
        <v>3192</v>
      </c>
      <c r="F120" s="19">
        <v>113</v>
      </c>
      <c r="G120" s="6"/>
      <c r="H120" s="2" t="s">
        <v>4051</v>
      </c>
      <c r="I120" s="38" t="s">
        <v>3729</v>
      </c>
      <c r="J120" s="38"/>
      <c r="K120" s="38"/>
      <c r="L120" s="6" t="s">
        <v>266</v>
      </c>
      <c r="M120" s="113">
        <v>1</v>
      </c>
      <c r="N120" s="45">
        <v>-3.40282346639E+38</v>
      </c>
      <c r="O120" s="2">
        <v>3.40282346639E+38</v>
      </c>
      <c r="P120" s="38">
        <f>IFERROR(Table3335678[[#This Row],[Min Count]]/Table3335678[[#This Row],[Scalar]],"")</f>
        <v>-3.40282346639E+38</v>
      </c>
      <c r="Q120" s="36">
        <f>IFERROR(Table3335678[[#This Row],[Max Count]]/Table3335678[[#This Row],[Scalar]],"")</f>
        <v>3.40282346639E+38</v>
      </c>
      <c r="R120" s="130" t="s">
        <v>3824</v>
      </c>
      <c r="S120" s="34" t="s">
        <v>3793</v>
      </c>
      <c r="T120" s="34" t="s">
        <v>3807</v>
      </c>
      <c r="U120" s="33" t="s">
        <v>3815</v>
      </c>
      <c r="V120" s="33" t="s">
        <v>8479</v>
      </c>
      <c r="W120" s="33"/>
      <c r="X120" s="33"/>
    </row>
    <row r="121" spans="1:24" ht="16.149999999999999" customHeight="1" x14ac:dyDescent="0.15">
      <c r="A121" s="6">
        <v>115</v>
      </c>
      <c r="B121" s="18" t="s">
        <v>75</v>
      </c>
      <c r="C121" s="43" t="s">
        <v>3719</v>
      </c>
      <c r="D121" s="43" t="s">
        <v>4120</v>
      </c>
      <c r="E121" s="36" t="s">
        <v>3192</v>
      </c>
      <c r="F121" s="19">
        <v>114</v>
      </c>
      <c r="G121" s="6"/>
      <c r="H121" s="34" t="s">
        <v>3721</v>
      </c>
      <c r="I121" s="38" t="s">
        <v>196</v>
      </c>
      <c r="J121" s="38"/>
      <c r="K121" s="38"/>
      <c r="L121" s="6" t="s">
        <v>100</v>
      </c>
      <c r="M121" s="113">
        <v>1</v>
      </c>
      <c r="N121" s="45">
        <v>-3.40282346639E+38</v>
      </c>
      <c r="O121" s="2">
        <v>3.40282346639E+38</v>
      </c>
      <c r="P121" s="38">
        <f>IFERROR(Table3335678[[#This Row],[Min Count]]/Table3335678[[#This Row],[Scalar]],"")</f>
        <v>-3.40282346639E+38</v>
      </c>
      <c r="Q121" s="36">
        <f>IFERROR(Table3335678[[#This Row],[Max Count]]/Table3335678[[#This Row],[Scalar]],"")</f>
        <v>3.40282346639E+38</v>
      </c>
      <c r="R121" s="34"/>
      <c r="S121" s="34"/>
      <c r="T121" s="34" t="s">
        <v>3723</v>
      </c>
      <c r="U121" s="33" t="s">
        <v>3815</v>
      </c>
      <c r="V121" s="33" t="s">
        <v>8480</v>
      </c>
      <c r="W121" s="33"/>
      <c r="X121" s="33"/>
    </row>
    <row r="122" spans="1:24" ht="16.149999999999999" customHeight="1" x14ac:dyDescent="0.15">
      <c r="A122" s="6">
        <v>116</v>
      </c>
      <c r="B122" s="18" t="s">
        <v>75</v>
      </c>
      <c r="C122" s="43" t="s">
        <v>3719</v>
      </c>
      <c r="D122" s="43" t="s">
        <v>4121</v>
      </c>
      <c r="E122" s="36" t="s">
        <v>3192</v>
      </c>
      <c r="F122" s="19">
        <v>115</v>
      </c>
      <c r="G122" s="6"/>
      <c r="H122" s="2" t="s">
        <v>4060</v>
      </c>
      <c r="I122" s="38" t="s">
        <v>196</v>
      </c>
      <c r="J122" s="38"/>
      <c r="K122" s="38"/>
      <c r="L122" s="6" t="s">
        <v>560</v>
      </c>
      <c r="M122" s="113">
        <v>1</v>
      </c>
      <c r="N122" s="45">
        <v>-3.40282346639E+38</v>
      </c>
      <c r="O122" s="2">
        <v>3.40282346639E+38</v>
      </c>
      <c r="P122" s="38">
        <f>IFERROR(Table3335678[[#This Row],[Min Count]]/Table3335678[[#This Row],[Scalar]],"")</f>
        <v>-3.40282346639E+38</v>
      </c>
      <c r="Q122" s="36">
        <f>IFERROR(Table3335678[[#This Row],[Max Count]]/Table3335678[[#This Row],[Scalar]],"")</f>
        <v>3.40282346639E+38</v>
      </c>
      <c r="R122" s="34"/>
      <c r="S122" s="34"/>
      <c r="T122" s="34" t="s">
        <v>3807</v>
      </c>
      <c r="U122" s="33" t="s">
        <v>3950</v>
      </c>
      <c r="V122" s="33" t="s">
        <v>8481</v>
      </c>
      <c r="W122" s="33"/>
      <c r="X122" s="33"/>
    </row>
    <row r="123" spans="1:24" ht="16.149999999999999" customHeight="1" x14ac:dyDescent="0.15">
      <c r="A123" s="6">
        <v>117</v>
      </c>
      <c r="B123" s="18" t="s">
        <v>75</v>
      </c>
      <c r="C123" s="43" t="s">
        <v>3719</v>
      </c>
      <c r="D123" s="43" t="s">
        <v>4122</v>
      </c>
      <c r="E123" s="36" t="s">
        <v>3192</v>
      </c>
      <c r="F123" s="19">
        <v>116</v>
      </c>
      <c r="G123" s="6"/>
      <c r="H123" s="2" t="s">
        <v>4064</v>
      </c>
      <c r="I123" s="38" t="s">
        <v>196</v>
      </c>
      <c r="J123" s="38"/>
      <c r="K123" s="38"/>
      <c r="L123" s="6" t="s">
        <v>781</v>
      </c>
      <c r="M123" s="113">
        <v>1</v>
      </c>
      <c r="N123" s="45">
        <v>-3.40282346639E+38</v>
      </c>
      <c r="O123" s="2">
        <v>3.40282346639E+38</v>
      </c>
      <c r="P123" s="38">
        <f>IFERROR(Table3335678[[#This Row],[Min Count]]/Table3335678[[#This Row],[Scalar]],"")</f>
        <v>-3.40282346639E+38</v>
      </c>
      <c r="Q123" s="36">
        <f>IFERROR(Table3335678[[#This Row],[Max Count]]/Table3335678[[#This Row],[Scalar]],"")</f>
        <v>3.40282346639E+38</v>
      </c>
      <c r="R123" s="34"/>
      <c r="S123" s="34"/>
      <c r="T123" s="34" t="s">
        <v>3807</v>
      </c>
      <c r="U123" s="33" t="s">
        <v>3815</v>
      </c>
      <c r="V123" s="33" t="s">
        <v>8482</v>
      </c>
      <c r="W123" s="33"/>
      <c r="X123" s="33"/>
    </row>
    <row r="124" spans="1:24" ht="16.149999999999999" customHeight="1" x14ac:dyDescent="0.15">
      <c r="A124" s="6">
        <v>118</v>
      </c>
      <c r="B124" s="18" t="s">
        <v>75</v>
      </c>
      <c r="C124" s="43" t="s">
        <v>3719</v>
      </c>
      <c r="D124" s="43" t="s">
        <v>4123</v>
      </c>
      <c r="E124" s="36" t="s">
        <v>3192</v>
      </c>
      <c r="F124" s="19">
        <v>117</v>
      </c>
      <c r="G124" s="6"/>
      <c r="H124" s="2" t="s">
        <v>4068</v>
      </c>
      <c r="I124" s="38" t="s">
        <v>196</v>
      </c>
      <c r="J124" s="38"/>
      <c r="K124" s="38"/>
      <c r="L124" s="6" t="s">
        <v>781</v>
      </c>
      <c r="M124" s="113">
        <v>1</v>
      </c>
      <c r="N124" s="45">
        <v>-3.40282346639E+38</v>
      </c>
      <c r="O124" s="2">
        <v>3.40282346639E+38</v>
      </c>
      <c r="P124" s="38">
        <f>IFERROR(Table3335678[[#This Row],[Min Count]]/Table3335678[[#This Row],[Scalar]],"")</f>
        <v>-3.40282346639E+38</v>
      </c>
      <c r="Q124" s="36">
        <f>IFERROR(Table3335678[[#This Row],[Max Count]]/Table3335678[[#This Row],[Scalar]],"")</f>
        <v>3.40282346639E+38</v>
      </c>
      <c r="R124" s="34"/>
      <c r="S124" s="34"/>
      <c r="T124" s="34" t="s">
        <v>3807</v>
      </c>
      <c r="U124" s="33" t="s">
        <v>3815</v>
      </c>
      <c r="V124" s="33" t="s">
        <v>8483</v>
      </c>
      <c r="W124" s="33"/>
      <c r="X124" s="33"/>
    </row>
    <row r="125" spans="1:24" ht="16.149999999999999" customHeight="1" x14ac:dyDescent="0.15">
      <c r="A125" s="6">
        <v>119</v>
      </c>
      <c r="B125" s="18" t="s">
        <v>75</v>
      </c>
      <c r="C125" s="43" t="s">
        <v>3719</v>
      </c>
      <c r="D125" s="43" t="s">
        <v>4124</v>
      </c>
      <c r="E125" s="36" t="s">
        <v>3192</v>
      </c>
      <c r="F125" s="19">
        <v>118</v>
      </c>
      <c r="G125" s="6"/>
      <c r="H125" s="2" t="s">
        <v>4072</v>
      </c>
      <c r="I125" s="38" t="s">
        <v>196</v>
      </c>
      <c r="J125" s="38"/>
      <c r="K125" s="38"/>
      <c r="L125" s="6" t="s">
        <v>113</v>
      </c>
      <c r="M125" s="113">
        <v>1</v>
      </c>
      <c r="N125" s="45">
        <v>-3.40282346639E+38</v>
      </c>
      <c r="O125" s="2">
        <v>3.40282346639E+38</v>
      </c>
      <c r="P125" s="38">
        <f>IFERROR(Table3335678[[#This Row],[Min Count]]/Table3335678[[#This Row],[Scalar]],"")</f>
        <v>-3.40282346639E+38</v>
      </c>
      <c r="Q125" s="36">
        <f>IFERROR(Table3335678[[#This Row],[Max Count]]/Table3335678[[#This Row],[Scalar]],"")</f>
        <v>3.40282346639E+38</v>
      </c>
      <c r="R125" s="34"/>
      <c r="S125" s="34"/>
      <c r="T125" s="34" t="s">
        <v>3807</v>
      </c>
      <c r="U125" s="33" t="s">
        <v>3815</v>
      </c>
      <c r="V125" s="33" t="s">
        <v>8484</v>
      </c>
      <c r="W125" s="33"/>
      <c r="X125" s="33"/>
    </row>
    <row r="126" spans="1:24" ht="16.149999999999999" customHeight="1" x14ac:dyDescent="0.15">
      <c r="A126" s="6">
        <v>120</v>
      </c>
      <c r="B126" s="18" t="s">
        <v>75</v>
      </c>
      <c r="C126" s="43" t="s">
        <v>3719</v>
      </c>
      <c r="D126" s="43" t="s">
        <v>4107</v>
      </c>
      <c r="E126" s="36" t="s">
        <v>3192</v>
      </c>
      <c r="F126" s="19">
        <v>119</v>
      </c>
      <c r="G126" s="6"/>
      <c r="H126" s="2" t="s">
        <v>4007</v>
      </c>
      <c r="I126" s="38" t="s">
        <v>196</v>
      </c>
      <c r="J126" s="38"/>
      <c r="K126" s="38"/>
      <c r="L126" s="6" t="s">
        <v>123</v>
      </c>
      <c r="M126" s="113">
        <v>1</v>
      </c>
      <c r="N126" s="45">
        <v>-3.40282346639E+38</v>
      </c>
      <c r="O126" s="2">
        <v>3.40282346639E+38</v>
      </c>
      <c r="P126" s="38">
        <f>IFERROR(Table3335678[[#This Row],[Min Count]]/Table3335678[[#This Row],[Scalar]],"")</f>
        <v>-3.40282346639E+38</v>
      </c>
      <c r="Q126" s="36">
        <f>IFERROR(Table3335678[[#This Row],[Max Count]]/Table3335678[[#This Row],[Scalar]],"")</f>
        <v>3.40282346639E+38</v>
      </c>
      <c r="R126" s="34"/>
      <c r="S126" s="34"/>
      <c r="T126" s="34" t="s">
        <v>3707</v>
      </c>
      <c r="U126" s="33" t="s">
        <v>4008</v>
      </c>
      <c r="V126" s="33" t="s">
        <v>8485</v>
      </c>
      <c r="W126" s="33"/>
      <c r="X126" s="33"/>
    </row>
    <row r="127" spans="1:24" ht="16.149999999999999" customHeight="1" x14ac:dyDescent="0.15">
      <c r="A127" s="6">
        <v>121</v>
      </c>
      <c r="B127" s="18" t="s">
        <v>75</v>
      </c>
      <c r="C127" s="43" t="s">
        <v>3719</v>
      </c>
      <c r="D127" s="43" t="s">
        <v>4108</v>
      </c>
      <c r="E127" s="36" t="s">
        <v>3192</v>
      </c>
      <c r="F127" s="19">
        <v>120</v>
      </c>
      <c r="G127" s="6"/>
      <c r="H127" s="2" t="s">
        <v>4012</v>
      </c>
      <c r="I127" s="38" t="s">
        <v>196</v>
      </c>
      <c r="J127" s="38"/>
      <c r="K127" s="38"/>
      <c r="L127" s="6" t="s">
        <v>123</v>
      </c>
      <c r="M127" s="113">
        <v>1</v>
      </c>
      <c r="N127" s="45">
        <v>-3.40282346639E+38</v>
      </c>
      <c r="O127" s="2">
        <v>3.40282346639E+38</v>
      </c>
      <c r="P127" s="38">
        <f>IFERROR(Table3335678[[#This Row],[Min Count]]/Table3335678[[#This Row],[Scalar]],"")</f>
        <v>-3.40282346639E+38</v>
      </c>
      <c r="Q127" s="36">
        <f>IFERROR(Table3335678[[#This Row],[Max Count]]/Table3335678[[#This Row],[Scalar]],"")</f>
        <v>3.40282346639E+38</v>
      </c>
      <c r="R127" s="34"/>
      <c r="S127" s="34"/>
      <c r="T127" s="34" t="s">
        <v>3707</v>
      </c>
      <c r="U127" s="33" t="s">
        <v>4008</v>
      </c>
      <c r="V127" s="33" t="s">
        <v>8486</v>
      </c>
      <c r="W127" s="33"/>
      <c r="X127" s="33"/>
    </row>
    <row r="128" spans="1:24" ht="16.149999999999999" customHeight="1" x14ac:dyDescent="0.15">
      <c r="A128" s="6">
        <v>122</v>
      </c>
      <c r="B128" s="18" t="s">
        <v>75</v>
      </c>
      <c r="C128" s="43" t="s">
        <v>3719</v>
      </c>
      <c r="D128" s="43" t="s">
        <v>4109</v>
      </c>
      <c r="E128" s="36" t="s">
        <v>3192</v>
      </c>
      <c r="F128" s="19">
        <v>121</v>
      </c>
      <c r="G128" s="6"/>
      <c r="H128" s="2" t="s">
        <v>4016</v>
      </c>
      <c r="I128" s="38" t="s">
        <v>196</v>
      </c>
      <c r="J128" s="38"/>
      <c r="K128" s="38"/>
      <c r="L128" s="6" t="s">
        <v>123</v>
      </c>
      <c r="M128" s="113">
        <v>1</v>
      </c>
      <c r="N128" s="45">
        <v>-3.40282346639E+38</v>
      </c>
      <c r="O128" s="2">
        <v>3.40282346639E+38</v>
      </c>
      <c r="P128" s="38">
        <f>IFERROR(Table3335678[[#This Row],[Min Count]]/Table3335678[[#This Row],[Scalar]],"")</f>
        <v>-3.40282346639E+38</v>
      </c>
      <c r="Q128" s="36">
        <f>IFERROR(Table3335678[[#This Row],[Max Count]]/Table3335678[[#This Row],[Scalar]],"")</f>
        <v>3.40282346639E+38</v>
      </c>
      <c r="R128" s="34"/>
      <c r="S128" s="34"/>
      <c r="T128" s="34" t="s">
        <v>3707</v>
      </c>
      <c r="U128" s="33" t="s">
        <v>4008</v>
      </c>
      <c r="V128" s="33" t="s">
        <v>8487</v>
      </c>
      <c r="W128" s="33"/>
      <c r="X128" s="33"/>
    </row>
    <row r="129" spans="1:24" ht="16.149999999999999" customHeight="1" x14ac:dyDescent="0.15">
      <c r="A129" s="6">
        <v>123</v>
      </c>
      <c r="B129" s="18" t="s">
        <v>75</v>
      </c>
      <c r="C129" s="43" t="s">
        <v>3719</v>
      </c>
      <c r="D129" s="43" t="s">
        <v>4110</v>
      </c>
      <c r="E129" s="36" t="s">
        <v>3192</v>
      </c>
      <c r="F129" s="19">
        <v>122</v>
      </c>
      <c r="G129" s="6"/>
      <c r="H129" s="2" t="s">
        <v>4020</v>
      </c>
      <c r="I129" s="38" t="s">
        <v>196</v>
      </c>
      <c r="J129" s="38"/>
      <c r="K129" s="38"/>
      <c r="L129" s="6" t="s">
        <v>123</v>
      </c>
      <c r="M129" s="113">
        <v>1</v>
      </c>
      <c r="N129" s="45">
        <v>-3.40282346639E+38</v>
      </c>
      <c r="O129" s="2">
        <v>3.40282346639E+38</v>
      </c>
      <c r="P129" s="38">
        <f>IFERROR(Table3335678[[#This Row],[Min Count]]/Table3335678[[#This Row],[Scalar]],"")</f>
        <v>-3.40282346639E+38</v>
      </c>
      <c r="Q129" s="36">
        <f>IFERROR(Table3335678[[#This Row],[Max Count]]/Table3335678[[#This Row],[Scalar]],"")</f>
        <v>3.40282346639E+38</v>
      </c>
      <c r="R129" s="34"/>
      <c r="S129" s="34"/>
      <c r="T129" s="34" t="s">
        <v>3707</v>
      </c>
      <c r="U129" s="33" t="s">
        <v>4008</v>
      </c>
      <c r="V129" s="33" t="s">
        <v>8488</v>
      </c>
      <c r="W129" s="33"/>
      <c r="X129" s="33"/>
    </row>
    <row r="130" spans="1:24" ht="16.149999999999999" customHeight="1" x14ac:dyDescent="0.15">
      <c r="A130" s="6">
        <v>124</v>
      </c>
      <c r="B130" s="18" t="s">
        <v>75</v>
      </c>
      <c r="C130" s="43" t="s">
        <v>3719</v>
      </c>
      <c r="D130" s="43" t="s">
        <v>4111</v>
      </c>
      <c r="E130" s="36" t="s">
        <v>3192</v>
      </c>
      <c r="F130" s="19">
        <v>123</v>
      </c>
      <c r="G130" s="6"/>
      <c r="H130" s="2" t="s">
        <v>4024</v>
      </c>
      <c r="I130" s="38" t="s">
        <v>196</v>
      </c>
      <c r="J130" s="38"/>
      <c r="K130" s="38"/>
      <c r="L130" s="6" t="s">
        <v>123</v>
      </c>
      <c r="M130" s="113">
        <v>1</v>
      </c>
      <c r="N130" s="45">
        <v>-3.40282346639E+38</v>
      </c>
      <c r="O130" s="2">
        <v>3.40282346639E+38</v>
      </c>
      <c r="P130" s="38">
        <f>IFERROR(Table3335678[[#This Row],[Min Count]]/Table3335678[[#This Row],[Scalar]],"")</f>
        <v>-3.40282346639E+38</v>
      </c>
      <c r="Q130" s="36">
        <f>IFERROR(Table3335678[[#This Row],[Max Count]]/Table3335678[[#This Row],[Scalar]],"")</f>
        <v>3.40282346639E+38</v>
      </c>
      <c r="R130" s="34"/>
      <c r="S130" s="34"/>
      <c r="T130" s="34" t="s">
        <v>3707</v>
      </c>
      <c r="U130" s="33" t="s">
        <v>4008</v>
      </c>
      <c r="V130" s="33" t="s">
        <v>8489</v>
      </c>
      <c r="W130" s="33"/>
      <c r="X130" s="33"/>
    </row>
    <row r="131" spans="1:24" ht="16.149999999999999" customHeight="1" x14ac:dyDescent="0.15">
      <c r="A131" s="6">
        <v>125</v>
      </c>
      <c r="B131" s="18" t="s">
        <v>75</v>
      </c>
      <c r="C131" s="43" t="s">
        <v>3719</v>
      </c>
      <c r="D131" s="43" t="s">
        <v>4112</v>
      </c>
      <c r="E131" s="36" t="s">
        <v>3192</v>
      </c>
      <c r="F131" s="19">
        <v>124</v>
      </c>
      <c r="G131" s="6"/>
      <c r="H131" s="2" t="s">
        <v>4028</v>
      </c>
      <c r="I131" s="38" t="s">
        <v>196</v>
      </c>
      <c r="J131" s="38"/>
      <c r="K131" s="38"/>
      <c r="L131" s="6" t="s">
        <v>123</v>
      </c>
      <c r="M131" s="113">
        <v>1</v>
      </c>
      <c r="N131" s="45">
        <v>-3.40282346639E+38</v>
      </c>
      <c r="O131" s="2">
        <v>3.40282346639E+38</v>
      </c>
      <c r="P131" s="38">
        <f>IFERROR(Table3335678[[#This Row],[Min Count]]/Table3335678[[#This Row],[Scalar]],"")</f>
        <v>-3.40282346639E+38</v>
      </c>
      <c r="Q131" s="36">
        <f>IFERROR(Table3335678[[#This Row],[Max Count]]/Table3335678[[#This Row],[Scalar]],"")</f>
        <v>3.40282346639E+38</v>
      </c>
      <c r="R131" s="34"/>
      <c r="S131" s="34"/>
      <c r="T131" s="34" t="s">
        <v>3707</v>
      </c>
      <c r="U131" s="33" t="s">
        <v>4008</v>
      </c>
      <c r="V131" s="33" t="s">
        <v>8490</v>
      </c>
      <c r="W131" s="33"/>
      <c r="X131" s="33"/>
    </row>
    <row r="132" spans="1:24" ht="16.149999999999999" customHeight="1" x14ac:dyDescent="0.15">
      <c r="A132" s="6">
        <v>126</v>
      </c>
      <c r="B132" s="18" t="s">
        <v>75</v>
      </c>
      <c r="C132" s="43" t="s">
        <v>3719</v>
      </c>
      <c r="D132" s="43" t="s">
        <v>4113</v>
      </c>
      <c r="E132" s="36" t="s">
        <v>3192</v>
      </c>
      <c r="F132" s="19">
        <v>125</v>
      </c>
      <c r="G132" s="6"/>
      <c r="H132" s="2" t="s">
        <v>4032</v>
      </c>
      <c r="I132" s="38" t="s">
        <v>196</v>
      </c>
      <c r="J132" s="38"/>
      <c r="K132" s="38"/>
      <c r="L132" s="6" t="s">
        <v>123</v>
      </c>
      <c r="M132" s="113">
        <v>1</v>
      </c>
      <c r="N132" s="45">
        <v>-3.40282346639E+38</v>
      </c>
      <c r="O132" s="2">
        <v>3.40282346639E+38</v>
      </c>
      <c r="P132" s="38">
        <f>IFERROR(Table3335678[[#This Row],[Min Count]]/Table3335678[[#This Row],[Scalar]],"")</f>
        <v>-3.40282346639E+38</v>
      </c>
      <c r="Q132" s="36">
        <f>IFERROR(Table3335678[[#This Row],[Max Count]]/Table3335678[[#This Row],[Scalar]],"")</f>
        <v>3.40282346639E+38</v>
      </c>
      <c r="R132" s="34"/>
      <c r="S132" s="34"/>
      <c r="T132" s="34" t="s">
        <v>3707</v>
      </c>
      <c r="U132" s="33" t="s">
        <v>4008</v>
      </c>
      <c r="V132" s="33" t="s">
        <v>8491</v>
      </c>
      <c r="W132" s="33"/>
      <c r="X132" s="33"/>
    </row>
    <row r="133" spans="1:24" ht="16.149999999999999" customHeight="1" x14ac:dyDescent="0.15">
      <c r="A133" s="6">
        <v>127</v>
      </c>
      <c r="B133" s="18" t="s">
        <v>75</v>
      </c>
      <c r="C133" s="43" t="s">
        <v>3719</v>
      </c>
      <c r="D133" s="43" t="s">
        <v>7441</v>
      </c>
      <c r="E133" s="36" t="s">
        <v>3192</v>
      </c>
      <c r="F133" s="19">
        <v>126</v>
      </c>
      <c r="G133" s="6"/>
      <c r="H133" s="2" t="s">
        <v>7406</v>
      </c>
      <c r="I133" s="38" t="s">
        <v>196</v>
      </c>
      <c r="J133" s="38"/>
      <c r="K133" s="38"/>
      <c r="L133" s="6" t="s">
        <v>123</v>
      </c>
      <c r="M133" s="113">
        <v>1</v>
      </c>
      <c r="N133" s="45">
        <v>-3.40282346639E+38</v>
      </c>
      <c r="O133" s="2">
        <v>3.40282346639E+38</v>
      </c>
      <c r="P133" s="38">
        <f>IFERROR(Table3335678[[#This Row],[Min Count]]/Table3335678[[#This Row],[Scalar]],"")</f>
        <v>-3.40282346639E+38</v>
      </c>
      <c r="Q133" s="36">
        <f>IFERROR(Table3335678[[#This Row],[Max Count]]/Table3335678[[#This Row],[Scalar]],"")</f>
        <v>3.40282346639E+38</v>
      </c>
      <c r="R133" s="34"/>
      <c r="S133" s="34"/>
      <c r="T133" s="34" t="s">
        <v>3707</v>
      </c>
      <c r="U133" s="33" t="s">
        <v>4008</v>
      </c>
      <c r="V133" s="33" t="s">
        <v>8492</v>
      </c>
      <c r="W133" s="33"/>
      <c r="X133" s="33"/>
    </row>
    <row r="134" spans="1:24" ht="16.149999999999999" customHeight="1" x14ac:dyDescent="0.15">
      <c r="A134" s="6">
        <v>128</v>
      </c>
      <c r="B134" s="18" t="s">
        <v>75</v>
      </c>
      <c r="C134" s="43" t="s">
        <v>3719</v>
      </c>
      <c r="D134" s="43" t="s">
        <v>7442</v>
      </c>
      <c r="E134" s="36" t="s">
        <v>3192</v>
      </c>
      <c r="F134" s="19">
        <v>127</v>
      </c>
      <c r="G134" s="6"/>
      <c r="H134" s="2" t="s">
        <v>7408</v>
      </c>
      <c r="I134" s="38" t="s">
        <v>196</v>
      </c>
      <c r="J134" s="38"/>
      <c r="K134" s="38"/>
      <c r="L134" s="6" t="s">
        <v>123</v>
      </c>
      <c r="M134" s="113">
        <v>1</v>
      </c>
      <c r="N134" s="45">
        <v>-3.40282346639E+38</v>
      </c>
      <c r="O134" s="2">
        <v>3.40282346639E+38</v>
      </c>
      <c r="P134" s="38">
        <f>IFERROR(Table3335678[[#This Row],[Min Count]]/Table3335678[[#This Row],[Scalar]],"")</f>
        <v>-3.40282346639E+38</v>
      </c>
      <c r="Q134" s="36">
        <f>IFERROR(Table3335678[[#This Row],[Max Count]]/Table3335678[[#This Row],[Scalar]],"")</f>
        <v>3.40282346639E+38</v>
      </c>
      <c r="R134" s="34"/>
      <c r="S134" s="34"/>
      <c r="T134" s="34" t="s">
        <v>3707</v>
      </c>
      <c r="U134" s="33" t="s">
        <v>4008</v>
      </c>
      <c r="V134" s="33" t="s">
        <v>8493</v>
      </c>
      <c r="W134" s="33"/>
      <c r="X134" s="33"/>
    </row>
    <row r="135" spans="1:24" ht="16.149999999999999" customHeight="1" x14ac:dyDescent="0.15">
      <c r="A135" s="6">
        <v>129</v>
      </c>
      <c r="B135" s="18" t="s">
        <v>75</v>
      </c>
      <c r="C135" s="43" t="s">
        <v>3719</v>
      </c>
      <c r="D135" s="43" t="s">
        <v>7443</v>
      </c>
      <c r="E135" s="36" t="s">
        <v>3192</v>
      </c>
      <c r="F135" s="19">
        <v>128</v>
      </c>
      <c r="G135" s="6"/>
      <c r="H135" s="2" t="s">
        <v>7410</v>
      </c>
      <c r="I135" s="38" t="s">
        <v>196</v>
      </c>
      <c r="J135" s="38"/>
      <c r="K135" s="38"/>
      <c r="L135" s="6" t="s">
        <v>123</v>
      </c>
      <c r="M135" s="113">
        <v>1</v>
      </c>
      <c r="N135" s="45">
        <v>-3.40282346639E+38</v>
      </c>
      <c r="O135" s="2">
        <v>3.40282346639E+38</v>
      </c>
      <c r="P135" s="38">
        <f>IFERROR(Table3335678[[#This Row],[Min Count]]/Table3335678[[#This Row],[Scalar]],"")</f>
        <v>-3.40282346639E+38</v>
      </c>
      <c r="Q135" s="36">
        <f>IFERROR(Table3335678[[#This Row],[Max Count]]/Table3335678[[#This Row],[Scalar]],"")</f>
        <v>3.40282346639E+38</v>
      </c>
      <c r="R135" s="34"/>
      <c r="S135" s="34"/>
      <c r="T135" s="34" t="s">
        <v>3707</v>
      </c>
      <c r="U135" s="33" t="s">
        <v>4008</v>
      </c>
      <c r="V135" s="33" t="s">
        <v>8494</v>
      </c>
      <c r="W135" s="33"/>
      <c r="X135" s="33"/>
    </row>
    <row r="136" spans="1:24" ht="16.149999999999999" customHeight="1" x14ac:dyDescent="0.15">
      <c r="A136" s="6">
        <v>130</v>
      </c>
      <c r="B136" s="18" t="s">
        <v>75</v>
      </c>
      <c r="C136" s="43" t="s">
        <v>3719</v>
      </c>
      <c r="D136" s="43" t="s">
        <v>7444</v>
      </c>
      <c r="E136" s="36" t="s">
        <v>3192</v>
      </c>
      <c r="F136" s="19">
        <v>129</v>
      </c>
      <c r="G136" s="6"/>
      <c r="H136" s="2" t="s">
        <v>7412</v>
      </c>
      <c r="I136" s="38" t="s">
        <v>196</v>
      </c>
      <c r="J136" s="38"/>
      <c r="K136" s="38"/>
      <c r="L136" s="6" t="s">
        <v>123</v>
      </c>
      <c r="M136" s="113">
        <v>1</v>
      </c>
      <c r="N136" s="45">
        <v>-3.40282346639E+38</v>
      </c>
      <c r="O136" s="2">
        <v>3.40282346639E+38</v>
      </c>
      <c r="P136" s="38">
        <f>IFERROR(Table3335678[[#This Row],[Min Count]]/Table3335678[[#This Row],[Scalar]],"")</f>
        <v>-3.40282346639E+38</v>
      </c>
      <c r="Q136" s="36">
        <f>IFERROR(Table3335678[[#This Row],[Max Count]]/Table3335678[[#This Row],[Scalar]],"")</f>
        <v>3.40282346639E+38</v>
      </c>
      <c r="R136" s="34"/>
      <c r="S136" s="34"/>
      <c r="T136" s="34" t="s">
        <v>3707</v>
      </c>
      <c r="U136" s="33" t="s">
        <v>4008</v>
      </c>
      <c r="V136" s="33" t="s">
        <v>8495</v>
      </c>
      <c r="W136" s="33"/>
      <c r="X136" s="33"/>
    </row>
    <row r="137" spans="1:24" ht="16.149999999999999" customHeight="1" x14ac:dyDescent="0.15">
      <c r="A137" s="6">
        <v>131</v>
      </c>
      <c r="B137" s="18" t="s">
        <v>75</v>
      </c>
      <c r="C137" s="43" t="s">
        <v>3719</v>
      </c>
      <c r="D137" s="43" t="s">
        <v>7445</v>
      </c>
      <c r="E137" s="36" t="s">
        <v>3192</v>
      </c>
      <c r="F137" s="19">
        <v>130</v>
      </c>
      <c r="G137" s="6"/>
      <c r="H137" s="2" t="s">
        <v>7414</v>
      </c>
      <c r="I137" s="38" t="s">
        <v>196</v>
      </c>
      <c r="J137" s="38"/>
      <c r="K137" s="38"/>
      <c r="L137" s="6" t="s">
        <v>123</v>
      </c>
      <c r="M137" s="113">
        <v>1</v>
      </c>
      <c r="N137" s="45">
        <v>-3.40282346639E+38</v>
      </c>
      <c r="O137" s="2">
        <v>3.40282346639E+38</v>
      </c>
      <c r="P137" s="38">
        <f>IFERROR(Table3335678[[#This Row],[Min Count]]/Table3335678[[#This Row],[Scalar]],"")</f>
        <v>-3.40282346639E+38</v>
      </c>
      <c r="Q137" s="36">
        <f>IFERROR(Table3335678[[#This Row],[Max Count]]/Table3335678[[#This Row],[Scalar]],"")</f>
        <v>3.40282346639E+38</v>
      </c>
      <c r="R137" s="34"/>
      <c r="S137" s="34"/>
      <c r="T137" s="34" t="s">
        <v>3707</v>
      </c>
      <c r="U137" s="33" t="s">
        <v>4008</v>
      </c>
      <c r="V137" s="33" t="s">
        <v>8496</v>
      </c>
      <c r="W137" s="33"/>
      <c r="X137" s="33"/>
    </row>
    <row r="138" spans="1:24" ht="16.149999999999999" customHeight="1" x14ac:dyDescent="0.15">
      <c r="A138" s="6">
        <v>132</v>
      </c>
      <c r="B138" s="18" t="s">
        <v>75</v>
      </c>
      <c r="C138" s="43" t="s">
        <v>3719</v>
      </c>
      <c r="D138" s="43" t="s">
        <v>7446</v>
      </c>
      <c r="E138" s="36" t="s">
        <v>3192</v>
      </c>
      <c r="F138" s="19">
        <v>131</v>
      </c>
      <c r="G138" s="6"/>
      <c r="H138" s="2" t="s">
        <v>7416</v>
      </c>
      <c r="I138" s="38" t="s">
        <v>196</v>
      </c>
      <c r="J138" s="38"/>
      <c r="K138" s="38"/>
      <c r="L138" s="6" t="s">
        <v>123</v>
      </c>
      <c r="M138" s="113">
        <v>1</v>
      </c>
      <c r="N138" s="45">
        <v>-3.40282346639E+38</v>
      </c>
      <c r="O138" s="2">
        <v>3.40282346639E+38</v>
      </c>
      <c r="P138" s="38">
        <f>IFERROR(Table3335678[[#This Row],[Min Count]]/Table3335678[[#This Row],[Scalar]],"")</f>
        <v>-3.40282346639E+38</v>
      </c>
      <c r="Q138" s="36">
        <f>IFERROR(Table3335678[[#This Row],[Max Count]]/Table3335678[[#This Row],[Scalar]],"")</f>
        <v>3.40282346639E+38</v>
      </c>
      <c r="R138" s="34"/>
      <c r="S138" s="34"/>
      <c r="T138" s="34" t="s">
        <v>3707</v>
      </c>
      <c r="U138" s="33" t="s">
        <v>4008</v>
      </c>
      <c r="V138" s="33" t="s">
        <v>8497</v>
      </c>
      <c r="W138" s="33"/>
      <c r="X138" s="33"/>
    </row>
    <row r="139" spans="1:24" ht="16.149999999999999" customHeight="1" x14ac:dyDescent="0.15">
      <c r="A139" s="6">
        <v>133</v>
      </c>
      <c r="B139" s="18" t="s">
        <v>75</v>
      </c>
      <c r="C139" s="43" t="s">
        <v>3719</v>
      </c>
      <c r="D139" s="43" t="s">
        <v>7447</v>
      </c>
      <c r="E139" s="36" t="s">
        <v>3192</v>
      </c>
      <c r="F139" s="19">
        <v>132</v>
      </c>
      <c r="G139" s="6"/>
      <c r="H139" s="2" t="s">
        <v>7418</v>
      </c>
      <c r="I139" s="38" t="s">
        <v>196</v>
      </c>
      <c r="J139" s="38"/>
      <c r="K139" s="38"/>
      <c r="L139" s="6" t="s">
        <v>123</v>
      </c>
      <c r="M139" s="113">
        <v>1</v>
      </c>
      <c r="N139" s="45">
        <v>-3.40282346639E+38</v>
      </c>
      <c r="O139" s="2">
        <v>3.40282346639E+38</v>
      </c>
      <c r="P139" s="38">
        <f>IFERROR(Table3335678[[#This Row],[Min Count]]/Table3335678[[#This Row],[Scalar]],"")</f>
        <v>-3.40282346639E+38</v>
      </c>
      <c r="Q139" s="36">
        <f>IFERROR(Table3335678[[#This Row],[Max Count]]/Table3335678[[#This Row],[Scalar]],"")</f>
        <v>3.40282346639E+38</v>
      </c>
      <c r="R139" s="34"/>
      <c r="S139" s="34"/>
      <c r="T139" s="34" t="s">
        <v>3707</v>
      </c>
      <c r="U139" s="33" t="s">
        <v>4008</v>
      </c>
      <c r="V139" s="33" t="s">
        <v>8498</v>
      </c>
      <c r="W139" s="33"/>
      <c r="X139" s="33"/>
    </row>
    <row r="140" spans="1:24" ht="16.149999999999999" customHeight="1" x14ac:dyDescent="0.15">
      <c r="A140" s="6">
        <v>134</v>
      </c>
      <c r="B140" s="18" t="s">
        <v>75</v>
      </c>
      <c r="C140" s="43" t="s">
        <v>3719</v>
      </c>
      <c r="D140" s="43" t="s">
        <v>7448</v>
      </c>
      <c r="E140" s="36" t="s">
        <v>3192</v>
      </c>
      <c r="F140" s="19">
        <v>133</v>
      </c>
      <c r="G140" s="6"/>
      <c r="H140" s="2" t="s">
        <v>7420</v>
      </c>
      <c r="I140" s="38" t="s">
        <v>196</v>
      </c>
      <c r="J140" s="38"/>
      <c r="K140" s="38"/>
      <c r="L140" s="6" t="s">
        <v>123</v>
      </c>
      <c r="M140" s="113">
        <v>1</v>
      </c>
      <c r="N140" s="45">
        <v>-3.40282346639E+38</v>
      </c>
      <c r="O140" s="2">
        <v>3.40282346639E+38</v>
      </c>
      <c r="P140" s="38">
        <f>IFERROR(Table3335678[[#This Row],[Min Count]]/Table3335678[[#This Row],[Scalar]],"")</f>
        <v>-3.40282346639E+38</v>
      </c>
      <c r="Q140" s="36">
        <f>IFERROR(Table3335678[[#This Row],[Max Count]]/Table3335678[[#This Row],[Scalar]],"")</f>
        <v>3.40282346639E+38</v>
      </c>
      <c r="R140" s="34"/>
      <c r="S140" s="34"/>
      <c r="T140" s="34" t="s">
        <v>3707</v>
      </c>
      <c r="U140" s="33" t="s">
        <v>4008</v>
      </c>
      <c r="V140" s="33" t="s">
        <v>8499</v>
      </c>
      <c r="W140" s="33"/>
      <c r="X140" s="33"/>
    </row>
    <row r="141" spans="1:24" ht="16.149999999999999" customHeight="1" x14ac:dyDescent="0.15">
      <c r="A141" s="6">
        <v>135</v>
      </c>
      <c r="B141" s="18" t="s">
        <v>75</v>
      </c>
      <c r="C141" s="43" t="s">
        <v>3719</v>
      </c>
      <c r="D141" s="43" t="s">
        <v>7449</v>
      </c>
      <c r="E141" s="36" t="s">
        <v>3192</v>
      </c>
      <c r="F141" s="19">
        <v>134</v>
      </c>
      <c r="G141" s="6"/>
      <c r="H141" s="2" t="s">
        <v>7422</v>
      </c>
      <c r="I141" s="38" t="s">
        <v>196</v>
      </c>
      <c r="J141" s="38"/>
      <c r="K141" s="38"/>
      <c r="L141" s="6" t="s">
        <v>123</v>
      </c>
      <c r="M141" s="113">
        <v>1</v>
      </c>
      <c r="N141" s="45">
        <v>-3.40282346639E+38</v>
      </c>
      <c r="O141" s="2">
        <v>3.40282346639E+38</v>
      </c>
      <c r="P141" s="38">
        <f>IFERROR(Table3335678[[#This Row],[Min Count]]/Table3335678[[#This Row],[Scalar]],"")</f>
        <v>-3.40282346639E+38</v>
      </c>
      <c r="Q141" s="36">
        <f>IFERROR(Table3335678[[#This Row],[Max Count]]/Table3335678[[#This Row],[Scalar]],"")</f>
        <v>3.40282346639E+38</v>
      </c>
      <c r="R141" s="34"/>
      <c r="S141" s="34"/>
      <c r="T141" s="34" t="s">
        <v>3707</v>
      </c>
      <c r="U141" s="33" t="s">
        <v>4008</v>
      </c>
      <c r="V141" s="33" t="s">
        <v>8500</v>
      </c>
      <c r="W141" s="33"/>
      <c r="X141" s="33"/>
    </row>
    <row r="142" spans="1:24" ht="16.149999999999999" customHeight="1" x14ac:dyDescent="0.15">
      <c r="A142" s="6">
        <v>136</v>
      </c>
      <c r="B142" s="18" t="s">
        <v>75</v>
      </c>
      <c r="C142" s="43" t="s">
        <v>3719</v>
      </c>
      <c r="D142" s="43" t="s">
        <v>7450</v>
      </c>
      <c r="E142" s="36" t="s">
        <v>3192</v>
      </c>
      <c r="F142" s="19">
        <v>135</v>
      </c>
      <c r="G142" s="6"/>
      <c r="H142" s="2" t="s">
        <v>4130</v>
      </c>
      <c r="I142" s="38" t="s">
        <v>196</v>
      </c>
      <c r="J142" s="38"/>
      <c r="K142" s="38"/>
      <c r="L142" s="6" t="s">
        <v>2311</v>
      </c>
      <c r="M142" s="113">
        <v>1</v>
      </c>
      <c r="N142" s="45">
        <v>-3.40282346639E+38</v>
      </c>
      <c r="O142" s="2">
        <v>3.40282346639E+38</v>
      </c>
      <c r="P142" s="38">
        <f>IFERROR(Table3335678[[#This Row],[Min Count]]/Table3335678[[#This Row],[Scalar]],"")</f>
        <v>-3.40282346639E+38</v>
      </c>
      <c r="Q142" s="36">
        <f>IFERROR(Table3335678[[#This Row],[Max Count]]/Table3335678[[#This Row],[Scalar]],"")</f>
        <v>3.40282346639E+38</v>
      </c>
      <c r="R142" s="34"/>
      <c r="S142" s="34"/>
      <c r="T142" s="34" t="s">
        <v>3723</v>
      </c>
      <c r="U142" s="33" t="s">
        <v>3815</v>
      </c>
      <c r="V142" s="33" t="s">
        <v>8501</v>
      </c>
      <c r="W142" s="33"/>
      <c r="X142" s="33"/>
    </row>
    <row r="143" spans="1:24" ht="16.149999999999999" customHeight="1" x14ac:dyDescent="0.15">
      <c r="A143" s="6">
        <v>137</v>
      </c>
      <c r="B143" s="18" t="s">
        <v>75</v>
      </c>
      <c r="C143" s="43" t="s">
        <v>3719</v>
      </c>
      <c r="D143" s="43" t="s">
        <v>7451</v>
      </c>
      <c r="E143" s="36" t="s">
        <v>3192</v>
      </c>
      <c r="F143" s="19">
        <v>136</v>
      </c>
      <c r="G143" s="6"/>
      <c r="H143" s="2" t="s">
        <v>7425</v>
      </c>
      <c r="I143" s="38" t="s">
        <v>196</v>
      </c>
      <c r="J143" s="38"/>
      <c r="K143" s="38"/>
      <c r="L143" s="6" t="s">
        <v>266</v>
      </c>
      <c r="M143" s="113">
        <v>1</v>
      </c>
      <c r="N143" s="45">
        <v>-3.40282346639E+38</v>
      </c>
      <c r="O143" s="2">
        <v>3.40282346639E+38</v>
      </c>
      <c r="P143" s="38">
        <f>IFERROR(Table3335678[[#This Row],[Min Count]]/Table3335678[[#This Row],[Scalar]],"")</f>
        <v>-3.40282346639E+38</v>
      </c>
      <c r="Q143" s="36">
        <f>IFERROR(Table3335678[[#This Row],[Max Count]]/Table3335678[[#This Row],[Scalar]],"")</f>
        <v>3.40282346639E+38</v>
      </c>
      <c r="R143" s="34"/>
      <c r="S143" s="34"/>
      <c r="T143" s="34" t="s">
        <v>3807</v>
      </c>
      <c r="U143" s="33" t="s">
        <v>3815</v>
      </c>
      <c r="V143" s="33" t="s">
        <v>8502</v>
      </c>
      <c r="W143" s="33"/>
      <c r="X143" s="33"/>
    </row>
    <row r="144" spans="1:24" ht="16.149999999999999" customHeight="1" x14ac:dyDescent="0.15">
      <c r="A144" s="6">
        <v>138</v>
      </c>
      <c r="B144" s="18" t="s">
        <v>75</v>
      </c>
      <c r="C144" s="43" t="s">
        <v>3719</v>
      </c>
      <c r="D144" s="43" t="s">
        <v>7452</v>
      </c>
      <c r="E144" s="36" t="s">
        <v>3192</v>
      </c>
      <c r="F144" s="19">
        <v>137</v>
      </c>
      <c r="G144" s="6"/>
      <c r="H144" s="2" t="s">
        <v>7425</v>
      </c>
      <c r="I144" s="38" t="s">
        <v>196</v>
      </c>
      <c r="J144" s="38"/>
      <c r="K144" s="38"/>
      <c r="L144" s="6" t="s">
        <v>266</v>
      </c>
      <c r="M144" s="113">
        <v>1</v>
      </c>
      <c r="N144" s="45">
        <v>-3.40282346639E+38</v>
      </c>
      <c r="O144" s="2">
        <v>3.40282346639E+38</v>
      </c>
      <c r="P144" s="38">
        <f>IFERROR(Table3335678[[#This Row],[Min Count]]/Table3335678[[#This Row],[Scalar]],"")</f>
        <v>-3.40282346639E+38</v>
      </c>
      <c r="Q144" s="36">
        <f>IFERROR(Table3335678[[#This Row],[Max Count]]/Table3335678[[#This Row],[Scalar]],"")</f>
        <v>3.40282346639E+38</v>
      </c>
      <c r="R144" s="34"/>
      <c r="S144" s="34"/>
      <c r="T144" s="34" t="s">
        <v>3807</v>
      </c>
      <c r="U144" s="33" t="s">
        <v>3815</v>
      </c>
      <c r="V144" s="33" t="s">
        <v>8503</v>
      </c>
      <c r="W144" s="33"/>
      <c r="X144" s="33"/>
    </row>
    <row r="145" spans="1:24" ht="16.149999999999999" customHeight="1" x14ac:dyDescent="0.15">
      <c r="A145" s="6">
        <v>139</v>
      </c>
      <c r="B145" s="18" t="s">
        <v>75</v>
      </c>
      <c r="C145" s="43" t="s">
        <v>3719</v>
      </c>
      <c r="D145" s="43" t="s">
        <v>7453</v>
      </c>
      <c r="E145" s="36" t="s">
        <v>3192</v>
      </c>
      <c r="F145" s="19">
        <v>138</v>
      </c>
      <c r="G145" s="6"/>
      <c r="H145" s="2" t="s">
        <v>7425</v>
      </c>
      <c r="I145" s="38" t="s">
        <v>196</v>
      </c>
      <c r="J145" s="38"/>
      <c r="K145" s="38"/>
      <c r="L145" s="6" t="s">
        <v>266</v>
      </c>
      <c r="M145" s="113">
        <v>1</v>
      </c>
      <c r="N145" s="45">
        <v>-3.40282346639E+38</v>
      </c>
      <c r="O145" s="2">
        <v>3.40282346639E+38</v>
      </c>
      <c r="P145" s="38">
        <f>IFERROR(Table3335678[[#This Row],[Min Count]]/Table3335678[[#This Row],[Scalar]],"")</f>
        <v>-3.40282346639E+38</v>
      </c>
      <c r="Q145" s="36">
        <f>IFERROR(Table3335678[[#This Row],[Max Count]]/Table3335678[[#This Row],[Scalar]],"")</f>
        <v>3.40282346639E+38</v>
      </c>
      <c r="R145" s="34"/>
      <c r="S145" s="34"/>
      <c r="T145" s="34" t="s">
        <v>3807</v>
      </c>
      <c r="U145" s="33" t="s">
        <v>3815</v>
      </c>
      <c r="V145" s="33" t="s">
        <v>8504</v>
      </c>
      <c r="W145" s="33"/>
      <c r="X145" s="33"/>
    </row>
    <row r="146" spans="1:24" ht="16.149999999999999" customHeight="1" x14ac:dyDescent="0.15">
      <c r="A146" s="6">
        <v>140</v>
      </c>
      <c r="B146" s="18" t="s">
        <v>75</v>
      </c>
      <c r="C146" s="43" t="s">
        <v>3719</v>
      </c>
      <c r="D146" s="43" t="s">
        <v>7454</v>
      </c>
      <c r="E146" s="36" t="s">
        <v>3192</v>
      </c>
      <c r="F146" s="19">
        <v>139</v>
      </c>
      <c r="G146" s="6"/>
      <c r="H146" s="2" t="s">
        <v>7425</v>
      </c>
      <c r="I146" s="38" t="s">
        <v>196</v>
      </c>
      <c r="J146" s="38"/>
      <c r="K146" s="38"/>
      <c r="L146" s="6" t="s">
        <v>266</v>
      </c>
      <c r="M146" s="113">
        <v>1</v>
      </c>
      <c r="N146" s="45">
        <v>-3.40282346639E+38</v>
      </c>
      <c r="O146" s="2">
        <v>3.40282346639E+38</v>
      </c>
      <c r="P146" s="38">
        <f>IFERROR(Table3335678[[#This Row],[Min Count]]/Table3335678[[#This Row],[Scalar]],"")</f>
        <v>-3.40282346639E+38</v>
      </c>
      <c r="Q146" s="36">
        <f>IFERROR(Table3335678[[#This Row],[Max Count]]/Table3335678[[#This Row],[Scalar]],"")</f>
        <v>3.40282346639E+38</v>
      </c>
      <c r="R146" s="34"/>
      <c r="S146" s="34"/>
      <c r="T146" s="34" t="s">
        <v>3807</v>
      </c>
      <c r="U146" s="33" t="s">
        <v>3815</v>
      </c>
      <c r="V146" s="33" t="s">
        <v>8505</v>
      </c>
      <c r="W146" s="33"/>
      <c r="X146" s="33"/>
    </row>
    <row r="147" spans="1:24" ht="16.149999999999999" customHeight="1" x14ac:dyDescent="0.15">
      <c r="A147" s="6">
        <v>141</v>
      </c>
      <c r="B147" s="18" t="s">
        <v>75</v>
      </c>
      <c r="C147" s="43" t="s">
        <v>3719</v>
      </c>
      <c r="D147" s="43" t="s">
        <v>7455</v>
      </c>
      <c r="E147" s="36" t="s">
        <v>3192</v>
      </c>
      <c r="F147" s="19">
        <v>140</v>
      </c>
      <c r="G147" s="6"/>
      <c r="H147" s="2" t="s">
        <v>7425</v>
      </c>
      <c r="I147" s="38" t="s">
        <v>196</v>
      </c>
      <c r="J147" s="38"/>
      <c r="K147" s="38"/>
      <c r="L147" s="6" t="s">
        <v>266</v>
      </c>
      <c r="M147" s="113">
        <v>1</v>
      </c>
      <c r="N147" s="45">
        <v>-3.40282346639E+38</v>
      </c>
      <c r="O147" s="2">
        <v>3.40282346639E+38</v>
      </c>
      <c r="P147" s="38">
        <f>IFERROR(Table3335678[[#This Row],[Min Count]]/Table3335678[[#This Row],[Scalar]],"")</f>
        <v>-3.40282346639E+38</v>
      </c>
      <c r="Q147" s="36">
        <f>IFERROR(Table3335678[[#This Row],[Max Count]]/Table3335678[[#This Row],[Scalar]],"")</f>
        <v>3.40282346639E+38</v>
      </c>
      <c r="R147" s="34"/>
      <c r="S147" s="34"/>
      <c r="T147" s="34" t="s">
        <v>3807</v>
      </c>
      <c r="U147" s="33" t="s">
        <v>3815</v>
      </c>
      <c r="V147" s="33" t="s">
        <v>8506</v>
      </c>
      <c r="W147" s="33"/>
      <c r="X147" s="33"/>
    </row>
    <row r="148" spans="1:24" ht="16.149999999999999" customHeight="1" x14ac:dyDescent="0.15">
      <c r="A148" s="6">
        <v>142</v>
      </c>
      <c r="B148" s="18" t="s">
        <v>75</v>
      </c>
      <c r="C148" s="43" t="s">
        <v>3719</v>
      </c>
      <c r="D148" s="43" t="s">
        <v>7456</v>
      </c>
      <c r="E148" s="36" t="s">
        <v>3192</v>
      </c>
      <c r="F148" s="19">
        <v>141</v>
      </c>
      <c r="G148" s="6"/>
      <c r="H148" s="2" t="s">
        <v>7425</v>
      </c>
      <c r="I148" s="38" t="s">
        <v>196</v>
      </c>
      <c r="J148" s="38"/>
      <c r="K148" s="38"/>
      <c r="L148" s="6" t="s">
        <v>266</v>
      </c>
      <c r="M148" s="113">
        <v>1</v>
      </c>
      <c r="N148" s="45">
        <v>-3.40282346639E+38</v>
      </c>
      <c r="O148" s="2">
        <v>3.40282346639E+38</v>
      </c>
      <c r="P148" s="38">
        <f>IFERROR(Table3335678[[#This Row],[Min Count]]/Table3335678[[#This Row],[Scalar]],"")</f>
        <v>-3.40282346639E+38</v>
      </c>
      <c r="Q148" s="36">
        <f>IFERROR(Table3335678[[#This Row],[Max Count]]/Table3335678[[#This Row],[Scalar]],"")</f>
        <v>3.40282346639E+38</v>
      </c>
      <c r="R148" s="34"/>
      <c r="S148" s="34"/>
      <c r="T148" s="34" t="s">
        <v>3807</v>
      </c>
      <c r="U148" s="33" t="s">
        <v>3815</v>
      </c>
      <c r="V148" s="33" t="s">
        <v>8507</v>
      </c>
      <c r="W148" s="33"/>
      <c r="X148" s="33"/>
    </row>
    <row r="149" spans="1:24" ht="16.149999999999999" customHeight="1" x14ac:dyDescent="0.15">
      <c r="A149" s="6">
        <v>143</v>
      </c>
      <c r="B149" s="18" t="s">
        <v>75</v>
      </c>
      <c r="C149" s="43" t="s">
        <v>3719</v>
      </c>
      <c r="D149" s="43" t="s">
        <v>7457</v>
      </c>
      <c r="E149" s="36" t="s">
        <v>3192</v>
      </c>
      <c r="F149" s="19">
        <v>142</v>
      </c>
      <c r="G149" s="6"/>
      <c r="H149" s="34"/>
      <c r="I149" s="38"/>
      <c r="J149" s="38"/>
      <c r="K149" s="38"/>
      <c r="L149" s="6"/>
      <c r="M149" s="113">
        <v>1</v>
      </c>
      <c r="N149" s="45">
        <v>-3.40282346639E+38</v>
      </c>
      <c r="O149" s="2">
        <v>3.40282346639E+38</v>
      </c>
      <c r="P149" s="38">
        <f>IFERROR(Table3335678[[#This Row],[Min Count]]/Table3335678[[#This Row],[Scalar]],"")</f>
        <v>-3.40282346639E+38</v>
      </c>
      <c r="Q149" s="36">
        <f>IFERROR(Table3335678[[#This Row],[Max Count]]/Table3335678[[#This Row],[Scalar]],"")</f>
        <v>3.40282346639E+38</v>
      </c>
      <c r="R149" s="34"/>
      <c r="S149" s="34"/>
      <c r="T149" s="34" t="s">
        <v>3852</v>
      </c>
      <c r="U149" s="33" t="s">
        <v>3853</v>
      </c>
      <c r="V149" s="33" t="s">
        <v>8508</v>
      </c>
      <c r="W149" s="33"/>
      <c r="X149" s="33"/>
    </row>
    <row r="150" spans="1:24" ht="16.149999999999999" customHeight="1" x14ac:dyDescent="0.15">
      <c r="A150" s="6">
        <v>144</v>
      </c>
      <c r="B150" s="18" t="s">
        <v>75</v>
      </c>
      <c r="C150" s="43" t="s">
        <v>3719</v>
      </c>
      <c r="D150" s="43" t="s">
        <v>7458</v>
      </c>
      <c r="E150" s="36" t="s">
        <v>3192</v>
      </c>
      <c r="F150" s="19">
        <v>143</v>
      </c>
      <c r="G150" s="6"/>
      <c r="H150" s="34"/>
      <c r="I150" s="38"/>
      <c r="J150" s="38"/>
      <c r="K150" s="38"/>
      <c r="L150" s="6"/>
      <c r="M150" s="113">
        <v>1</v>
      </c>
      <c r="N150" s="45">
        <v>-3.40282346639E+38</v>
      </c>
      <c r="O150" s="2">
        <v>3.40282346639E+38</v>
      </c>
      <c r="P150" s="38">
        <f>IFERROR(Table3335678[[#This Row],[Min Count]]/Table3335678[[#This Row],[Scalar]],"")</f>
        <v>-3.40282346639E+38</v>
      </c>
      <c r="Q150" s="36">
        <f>IFERROR(Table3335678[[#This Row],[Max Count]]/Table3335678[[#This Row],[Scalar]],"")</f>
        <v>3.40282346639E+38</v>
      </c>
      <c r="R150" s="34"/>
      <c r="S150" s="34"/>
      <c r="T150" s="34" t="s">
        <v>3852</v>
      </c>
      <c r="U150" s="33" t="s">
        <v>3853</v>
      </c>
      <c r="V150" s="33" t="s">
        <v>8509</v>
      </c>
      <c r="W150" s="33"/>
      <c r="X150" s="33"/>
    </row>
    <row r="151" spans="1:24" ht="16.149999999999999" customHeight="1" x14ac:dyDescent="0.15">
      <c r="A151" s="6">
        <v>145</v>
      </c>
      <c r="B151" s="18" t="s">
        <v>75</v>
      </c>
      <c r="C151" s="43" t="s">
        <v>3719</v>
      </c>
      <c r="D151" s="43" t="s">
        <v>7459</v>
      </c>
      <c r="E151" s="36" t="s">
        <v>3192</v>
      </c>
      <c r="F151" s="19">
        <v>144</v>
      </c>
      <c r="G151" s="6"/>
      <c r="H151" s="34"/>
      <c r="I151" s="38"/>
      <c r="J151" s="38"/>
      <c r="K151" s="38"/>
      <c r="L151" s="6"/>
      <c r="M151" s="113">
        <v>1</v>
      </c>
      <c r="N151" s="45">
        <v>-3.40282346639E+38</v>
      </c>
      <c r="O151" s="2">
        <v>3.40282346639E+38</v>
      </c>
      <c r="P151" s="38">
        <f>IFERROR(Table3335678[[#This Row],[Min Count]]/Table3335678[[#This Row],[Scalar]],"")</f>
        <v>-3.40282346639E+38</v>
      </c>
      <c r="Q151" s="36">
        <f>IFERROR(Table3335678[[#This Row],[Max Count]]/Table3335678[[#This Row],[Scalar]],"")</f>
        <v>3.40282346639E+38</v>
      </c>
      <c r="R151" s="34"/>
      <c r="S151" s="34"/>
      <c r="T151" s="34" t="s">
        <v>3852</v>
      </c>
      <c r="U151" s="33" t="s">
        <v>3853</v>
      </c>
      <c r="V151" s="33" t="s">
        <v>8510</v>
      </c>
      <c r="W151" s="33"/>
      <c r="X151" s="33"/>
    </row>
    <row r="152" spans="1:24" ht="16.149999999999999" customHeight="1" x14ac:dyDescent="0.15">
      <c r="A152" s="6">
        <v>146</v>
      </c>
      <c r="B152" s="18" t="s">
        <v>75</v>
      </c>
      <c r="C152" s="43" t="s">
        <v>3719</v>
      </c>
      <c r="D152" s="43" t="s">
        <v>7460</v>
      </c>
      <c r="E152" s="36" t="s">
        <v>3192</v>
      </c>
      <c r="F152" s="19">
        <v>145</v>
      </c>
      <c r="G152" s="6"/>
      <c r="H152" s="34"/>
      <c r="I152" s="38"/>
      <c r="J152" s="38"/>
      <c r="K152" s="38"/>
      <c r="L152" s="6"/>
      <c r="M152" s="113">
        <v>1</v>
      </c>
      <c r="N152" s="45">
        <v>-3.40282346639E+38</v>
      </c>
      <c r="O152" s="2">
        <v>3.40282346639E+38</v>
      </c>
      <c r="P152" s="38">
        <f>IFERROR(Table3335678[[#This Row],[Min Count]]/Table3335678[[#This Row],[Scalar]],"")</f>
        <v>-3.40282346639E+38</v>
      </c>
      <c r="Q152" s="36">
        <f>IFERROR(Table3335678[[#This Row],[Max Count]]/Table3335678[[#This Row],[Scalar]],"")</f>
        <v>3.40282346639E+38</v>
      </c>
      <c r="R152" s="34"/>
      <c r="S152" s="34"/>
      <c r="T152" s="34" t="s">
        <v>3852</v>
      </c>
      <c r="U152" s="33" t="s">
        <v>3853</v>
      </c>
      <c r="V152" s="33" t="s">
        <v>8511</v>
      </c>
      <c r="W152" s="33"/>
      <c r="X152" s="33"/>
    </row>
    <row r="153" spans="1:24" ht="16.149999999999999" customHeight="1" x14ac:dyDescent="0.15">
      <c r="A153" s="6">
        <v>147</v>
      </c>
      <c r="B153" s="18" t="s">
        <v>75</v>
      </c>
      <c r="C153" s="43" t="s">
        <v>3719</v>
      </c>
      <c r="D153" s="43" t="s">
        <v>7461</v>
      </c>
      <c r="E153" s="36" t="s">
        <v>3192</v>
      </c>
      <c r="F153" s="19">
        <v>146</v>
      </c>
      <c r="G153" s="6"/>
      <c r="H153" s="34"/>
      <c r="I153" s="38"/>
      <c r="J153" s="38"/>
      <c r="K153" s="38"/>
      <c r="L153" s="6"/>
      <c r="M153" s="113">
        <v>1</v>
      </c>
      <c r="N153" s="45">
        <v>-3.40282346639E+38</v>
      </c>
      <c r="O153" s="2">
        <v>3.40282346639E+38</v>
      </c>
      <c r="P153" s="38">
        <f>IFERROR(Table3335678[[#This Row],[Min Count]]/Table3335678[[#This Row],[Scalar]],"")</f>
        <v>-3.40282346639E+38</v>
      </c>
      <c r="Q153" s="36">
        <f>IFERROR(Table3335678[[#This Row],[Max Count]]/Table3335678[[#This Row],[Scalar]],"")</f>
        <v>3.40282346639E+38</v>
      </c>
      <c r="R153" s="34"/>
      <c r="S153" s="34"/>
      <c r="T153" s="34" t="s">
        <v>3852</v>
      </c>
      <c r="U153" s="33" t="s">
        <v>3853</v>
      </c>
      <c r="V153" s="33" t="s">
        <v>8512</v>
      </c>
      <c r="W153" s="33"/>
      <c r="X153" s="33"/>
    </row>
    <row r="154" spans="1:24" ht="16.149999999999999" customHeight="1" x14ac:dyDescent="0.15">
      <c r="A154" s="6">
        <v>148</v>
      </c>
      <c r="B154" s="18" t="s">
        <v>75</v>
      </c>
      <c r="C154" s="43" t="s">
        <v>3719</v>
      </c>
      <c r="D154" s="43" t="s">
        <v>7462</v>
      </c>
      <c r="E154" s="36" t="s">
        <v>3192</v>
      </c>
      <c r="F154" s="19">
        <v>147</v>
      </c>
      <c r="G154" s="6"/>
      <c r="H154" s="34"/>
      <c r="I154" s="38"/>
      <c r="J154" s="38"/>
      <c r="K154" s="38"/>
      <c r="L154" s="6"/>
      <c r="M154" s="113">
        <v>1</v>
      </c>
      <c r="N154" s="45">
        <v>-3.40282346639E+38</v>
      </c>
      <c r="O154" s="2">
        <v>3.40282346639E+38</v>
      </c>
      <c r="P154" s="38">
        <f>IFERROR(Table3335678[[#This Row],[Min Count]]/Table3335678[[#This Row],[Scalar]],"")</f>
        <v>-3.40282346639E+38</v>
      </c>
      <c r="Q154" s="36">
        <f>IFERROR(Table3335678[[#This Row],[Max Count]]/Table3335678[[#This Row],[Scalar]],"")</f>
        <v>3.40282346639E+38</v>
      </c>
      <c r="R154" s="34"/>
      <c r="S154" s="34"/>
      <c r="T154" s="34" t="s">
        <v>3852</v>
      </c>
      <c r="U154" s="33" t="s">
        <v>3853</v>
      </c>
      <c r="V154" s="33" t="s">
        <v>8513</v>
      </c>
      <c r="W154" s="33"/>
      <c r="X154" s="33"/>
    </row>
    <row r="155" spans="1:24" ht="16.149999999999999" customHeight="1" x14ac:dyDescent="0.15">
      <c r="A155" s="6">
        <v>149</v>
      </c>
      <c r="B155" s="18" t="s">
        <v>75</v>
      </c>
      <c r="C155" s="43" t="s">
        <v>3719</v>
      </c>
      <c r="D155" s="43" t="s">
        <v>7463</v>
      </c>
      <c r="E155" s="36" t="s">
        <v>3192</v>
      </c>
      <c r="F155" s="19">
        <v>148</v>
      </c>
      <c r="G155" s="6"/>
      <c r="H155" s="34"/>
      <c r="I155" s="38"/>
      <c r="J155" s="38"/>
      <c r="K155" s="38"/>
      <c r="L155" s="6"/>
      <c r="M155" s="113">
        <v>1</v>
      </c>
      <c r="N155" s="45">
        <v>-3.40282346639E+38</v>
      </c>
      <c r="O155" s="2">
        <v>3.40282346639E+38</v>
      </c>
      <c r="P155" s="38">
        <f>IFERROR(Table3335678[[#This Row],[Min Count]]/Table3335678[[#This Row],[Scalar]],"")</f>
        <v>-3.40282346639E+38</v>
      </c>
      <c r="Q155" s="36">
        <f>IFERROR(Table3335678[[#This Row],[Max Count]]/Table3335678[[#This Row],[Scalar]],"")</f>
        <v>3.40282346639E+38</v>
      </c>
      <c r="R155" s="34"/>
      <c r="S155" s="34"/>
      <c r="T155" s="34" t="s">
        <v>3852</v>
      </c>
      <c r="U155" s="33" t="s">
        <v>3853</v>
      </c>
      <c r="V155" s="33" t="s">
        <v>8514</v>
      </c>
      <c r="W155" s="33"/>
      <c r="X155" s="33"/>
    </row>
    <row r="156" spans="1:24" ht="16.149999999999999" customHeight="1" x14ac:dyDescent="0.15">
      <c r="A156" s="6">
        <v>150</v>
      </c>
      <c r="B156" s="18" t="s">
        <v>75</v>
      </c>
      <c r="C156" s="43" t="s">
        <v>3719</v>
      </c>
      <c r="D156" s="43" t="s">
        <v>7464</v>
      </c>
      <c r="E156" s="36" t="s">
        <v>3192</v>
      </c>
      <c r="F156" s="19">
        <v>149</v>
      </c>
      <c r="G156" s="6"/>
      <c r="H156" s="34"/>
      <c r="I156" s="38"/>
      <c r="J156" s="38"/>
      <c r="K156" s="38"/>
      <c r="L156" s="6"/>
      <c r="M156" s="113">
        <v>1</v>
      </c>
      <c r="N156" s="45">
        <v>-3.40282346639E+38</v>
      </c>
      <c r="O156" s="2">
        <v>3.40282346639E+38</v>
      </c>
      <c r="P156" s="38">
        <f>IFERROR(Table3335678[[#This Row],[Min Count]]/Table3335678[[#This Row],[Scalar]],"")</f>
        <v>-3.40282346639E+38</v>
      </c>
      <c r="Q156" s="36">
        <f>IFERROR(Table3335678[[#This Row],[Max Count]]/Table3335678[[#This Row],[Scalar]],"")</f>
        <v>3.40282346639E+38</v>
      </c>
      <c r="R156" s="34"/>
      <c r="S156" s="34"/>
      <c r="T156" s="34" t="s">
        <v>3852</v>
      </c>
      <c r="U156" s="33" t="s">
        <v>3853</v>
      </c>
      <c r="V156" s="33" t="s">
        <v>8515</v>
      </c>
      <c r="W156" s="33"/>
      <c r="X156" s="33"/>
    </row>
    <row r="157" spans="1:24" ht="16.149999999999999" customHeight="1" x14ac:dyDescent="0.15">
      <c r="A157" s="6">
        <v>151</v>
      </c>
      <c r="B157" s="18" t="s">
        <v>75</v>
      </c>
      <c r="C157" s="43" t="s">
        <v>3719</v>
      </c>
      <c r="D157" s="43" t="s">
        <v>7465</v>
      </c>
      <c r="E157" s="36" t="s">
        <v>3192</v>
      </c>
      <c r="F157" s="19">
        <v>150</v>
      </c>
      <c r="G157" s="6"/>
      <c r="H157" s="34"/>
      <c r="I157" s="38"/>
      <c r="J157" s="38"/>
      <c r="K157" s="38"/>
      <c r="L157" s="6"/>
      <c r="M157" s="113">
        <v>1</v>
      </c>
      <c r="N157" s="45">
        <v>-3.40282346639E+38</v>
      </c>
      <c r="O157" s="2">
        <v>3.40282346639E+38</v>
      </c>
      <c r="P157" s="38">
        <f>IFERROR(Table3335678[[#This Row],[Min Count]]/Table3335678[[#This Row],[Scalar]],"")</f>
        <v>-3.40282346639E+38</v>
      </c>
      <c r="Q157" s="36">
        <f>IFERROR(Table3335678[[#This Row],[Max Count]]/Table3335678[[#This Row],[Scalar]],"")</f>
        <v>3.40282346639E+38</v>
      </c>
      <c r="R157" s="34"/>
      <c r="S157" s="34"/>
      <c r="T157" s="34" t="s">
        <v>3852</v>
      </c>
      <c r="U157" s="33" t="s">
        <v>3853</v>
      </c>
      <c r="V157" s="33" t="s">
        <v>8516</v>
      </c>
      <c r="W157" s="33"/>
      <c r="X157" s="33"/>
    </row>
    <row r="158" spans="1:24" ht="16.149999999999999" customHeight="1" x14ac:dyDescent="0.15">
      <c r="A158" s="6">
        <v>152</v>
      </c>
      <c r="B158" s="18" t="s">
        <v>75</v>
      </c>
      <c r="C158" s="43" t="s">
        <v>3719</v>
      </c>
      <c r="D158" s="43" t="s">
        <v>7466</v>
      </c>
      <c r="E158" s="36" t="s">
        <v>3192</v>
      </c>
      <c r="F158" s="19">
        <v>151</v>
      </c>
      <c r="G158" s="6"/>
      <c r="H158" s="34"/>
      <c r="I158" s="38"/>
      <c r="J158" s="38"/>
      <c r="K158" s="38"/>
      <c r="L158" s="6"/>
      <c r="M158" s="113">
        <v>1</v>
      </c>
      <c r="N158" s="45">
        <v>-3.40282346639E+38</v>
      </c>
      <c r="O158" s="2">
        <v>3.40282346639E+38</v>
      </c>
      <c r="P158" s="38">
        <f>IFERROR(Table3335678[[#This Row],[Min Count]]/Table3335678[[#This Row],[Scalar]],"")</f>
        <v>-3.40282346639E+38</v>
      </c>
      <c r="Q158" s="36">
        <f>IFERROR(Table3335678[[#This Row],[Max Count]]/Table3335678[[#This Row],[Scalar]],"")</f>
        <v>3.40282346639E+38</v>
      </c>
      <c r="R158" s="34"/>
      <c r="S158" s="34"/>
      <c r="T158" s="34" t="s">
        <v>3852</v>
      </c>
      <c r="U158" s="33" t="s">
        <v>3853</v>
      </c>
      <c r="V158" s="33" t="s">
        <v>8517</v>
      </c>
      <c r="W158" s="33"/>
      <c r="X158" s="33"/>
    </row>
    <row r="159" spans="1:24" ht="16.149999999999999" customHeight="1" x14ac:dyDescent="0.15">
      <c r="A159" s="6">
        <v>153</v>
      </c>
      <c r="B159" s="18" t="s">
        <v>75</v>
      </c>
      <c r="C159" s="43" t="s">
        <v>3719</v>
      </c>
      <c r="D159" s="43" t="s">
        <v>3856</v>
      </c>
      <c r="E159" s="36" t="s">
        <v>107</v>
      </c>
      <c r="F159" s="19">
        <v>152</v>
      </c>
      <c r="G159" s="6"/>
      <c r="H159" s="34" t="s">
        <v>7467</v>
      </c>
      <c r="I159" s="38"/>
      <c r="J159" s="38"/>
      <c r="K159" s="38"/>
      <c r="L159" s="6" t="s">
        <v>2311</v>
      </c>
      <c r="M159" s="48">
        <v>1</v>
      </c>
      <c r="N159" s="45">
        <v>-2147483648</v>
      </c>
      <c r="O159" s="2">
        <v>2147483647</v>
      </c>
      <c r="P159" s="38">
        <f>IFERROR(Table3335678[[#This Row],[Min Count]]/Table3335678[[#This Row],[Scalar]],"")</f>
        <v>-2147483648</v>
      </c>
      <c r="Q159" s="36">
        <f>IFERROR(Table3335678[[#This Row],[Max Count]]/Table3335678[[#This Row],[Scalar]],"")</f>
        <v>2147483647</v>
      </c>
      <c r="R159" s="34"/>
      <c r="S159" s="34"/>
      <c r="T159" s="34" t="s">
        <v>3807</v>
      </c>
      <c r="U159" s="33" t="s">
        <v>3815</v>
      </c>
      <c r="V159" s="33" t="s">
        <v>8518</v>
      </c>
      <c r="W159" s="33"/>
      <c r="X159" s="33"/>
    </row>
    <row r="160" spans="1:24" ht="16.149999999999999" customHeight="1" x14ac:dyDescent="0.15">
      <c r="A160" s="6">
        <v>154</v>
      </c>
      <c r="B160" s="18" t="s">
        <v>75</v>
      </c>
      <c r="C160" s="43" t="s">
        <v>3719</v>
      </c>
      <c r="D160" s="43" t="s">
        <v>3860</v>
      </c>
      <c r="E160" s="36" t="s">
        <v>107</v>
      </c>
      <c r="F160" s="19">
        <v>153</v>
      </c>
      <c r="G160" s="6"/>
      <c r="H160" s="34" t="s">
        <v>3857</v>
      </c>
      <c r="I160" s="38"/>
      <c r="J160" s="38"/>
      <c r="K160" s="38"/>
      <c r="L160" s="6" t="s">
        <v>2311</v>
      </c>
      <c r="M160" s="48">
        <v>1</v>
      </c>
      <c r="N160" s="45">
        <v>-2147483648</v>
      </c>
      <c r="O160" s="2">
        <v>2147483647</v>
      </c>
      <c r="P160" s="38">
        <f>IFERROR(Table3335678[[#This Row],[Min Count]]/Table3335678[[#This Row],[Scalar]],"")</f>
        <v>-2147483648</v>
      </c>
      <c r="Q160" s="36">
        <f>IFERROR(Table3335678[[#This Row],[Max Count]]/Table3335678[[#This Row],[Scalar]],"")</f>
        <v>2147483647</v>
      </c>
      <c r="R160" s="34"/>
      <c r="S160" s="34"/>
      <c r="T160" s="34" t="s">
        <v>3807</v>
      </c>
      <c r="U160" s="33" t="s">
        <v>3815</v>
      </c>
      <c r="V160" s="33" t="s">
        <v>8519</v>
      </c>
      <c r="W160" s="33"/>
      <c r="X160" s="33"/>
    </row>
    <row r="161" spans="1:24" ht="16.149999999999999" customHeight="1" x14ac:dyDescent="0.15">
      <c r="A161" s="6">
        <v>155</v>
      </c>
      <c r="B161" s="18" t="s">
        <v>75</v>
      </c>
      <c r="C161" s="43" t="s">
        <v>3719</v>
      </c>
      <c r="D161" s="43" t="s">
        <v>3864</v>
      </c>
      <c r="E161" s="36" t="s">
        <v>107</v>
      </c>
      <c r="F161" s="19">
        <v>154</v>
      </c>
      <c r="G161" s="6"/>
      <c r="H161" s="34" t="s">
        <v>3861</v>
      </c>
      <c r="I161" s="38"/>
      <c r="J161" s="38"/>
      <c r="K161" s="38"/>
      <c r="L161" s="6" t="s">
        <v>2311</v>
      </c>
      <c r="M161" s="48">
        <v>1</v>
      </c>
      <c r="N161" s="45">
        <v>-2147483648</v>
      </c>
      <c r="O161" s="2">
        <v>2147483647</v>
      </c>
      <c r="P161" s="38">
        <f>IFERROR(Table3335678[[#This Row],[Min Count]]/Table3335678[[#This Row],[Scalar]],"")</f>
        <v>-2147483648</v>
      </c>
      <c r="Q161" s="36">
        <f>IFERROR(Table3335678[[#This Row],[Max Count]]/Table3335678[[#This Row],[Scalar]],"")</f>
        <v>2147483647</v>
      </c>
      <c r="R161" s="34"/>
      <c r="S161" s="34"/>
      <c r="T161" s="34" t="s">
        <v>3807</v>
      </c>
      <c r="U161" s="33" t="s">
        <v>3815</v>
      </c>
      <c r="V161" s="33" t="s">
        <v>8520</v>
      </c>
      <c r="W161" s="33"/>
      <c r="X161" s="33"/>
    </row>
    <row r="162" spans="1:24" ht="16.149999999999999" customHeight="1" x14ac:dyDescent="0.15">
      <c r="A162" s="6">
        <v>156</v>
      </c>
      <c r="B162" s="18" t="s">
        <v>75</v>
      </c>
      <c r="C162" s="43" t="s">
        <v>3719</v>
      </c>
      <c r="D162" s="43" t="s">
        <v>3868</v>
      </c>
      <c r="E162" s="36" t="s">
        <v>107</v>
      </c>
      <c r="F162" s="19">
        <v>155</v>
      </c>
      <c r="G162" s="6"/>
      <c r="H162" s="34" t="s">
        <v>3865</v>
      </c>
      <c r="I162" s="38"/>
      <c r="J162" s="38"/>
      <c r="K162" s="38"/>
      <c r="L162" s="6" t="s">
        <v>2311</v>
      </c>
      <c r="M162" s="48">
        <v>1</v>
      </c>
      <c r="N162" s="45">
        <v>-2147483648</v>
      </c>
      <c r="O162" s="2">
        <v>2147483647</v>
      </c>
      <c r="P162" s="38">
        <f>IFERROR(Table3335678[[#This Row],[Min Count]]/Table3335678[[#This Row],[Scalar]],"")</f>
        <v>-2147483648</v>
      </c>
      <c r="Q162" s="36">
        <f>IFERROR(Table3335678[[#This Row],[Max Count]]/Table3335678[[#This Row],[Scalar]],"")</f>
        <v>2147483647</v>
      </c>
      <c r="R162" s="34"/>
      <c r="S162" s="34"/>
      <c r="T162" s="34" t="s">
        <v>3807</v>
      </c>
      <c r="U162" s="33" t="s">
        <v>3815</v>
      </c>
      <c r="V162" s="33" t="s">
        <v>8521</v>
      </c>
      <c r="W162" s="33"/>
      <c r="X162" s="33"/>
    </row>
    <row r="163" spans="1:24" ht="16.149999999999999" customHeight="1" x14ac:dyDescent="0.15">
      <c r="A163" s="6">
        <v>157</v>
      </c>
      <c r="B163" s="18" t="s">
        <v>75</v>
      </c>
      <c r="C163" s="43" t="s">
        <v>3719</v>
      </c>
      <c r="D163" s="43" t="s">
        <v>3872</v>
      </c>
      <c r="E163" s="36" t="s">
        <v>107</v>
      </c>
      <c r="F163" s="19">
        <v>156</v>
      </c>
      <c r="G163" s="6"/>
      <c r="H163" s="34" t="s">
        <v>3869</v>
      </c>
      <c r="I163" s="38"/>
      <c r="J163" s="38"/>
      <c r="K163" s="38"/>
      <c r="L163" s="6" t="s">
        <v>2311</v>
      </c>
      <c r="M163" s="48">
        <v>1</v>
      </c>
      <c r="N163" s="45">
        <v>-2147483648</v>
      </c>
      <c r="O163" s="2">
        <v>2147483647</v>
      </c>
      <c r="P163" s="38">
        <f>IFERROR(Table3335678[[#This Row],[Min Count]]/Table3335678[[#This Row],[Scalar]],"")</f>
        <v>-2147483648</v>
      </c>
      <c r="Q163" s="36">
        <f>IFERROR(Table3335678[[#This Row],[Max Count]]/Table3335678[[#This Row],[Scalar]],"")</f>
        <v>2147483647</v>
      </c>
      <c r="R163" s="34"/>
      <c r="S163" s="34"/>
      <c r="T163" s="34" t="s">
        <v>3807</v>
      </c>
      <c r="U163" s="33" t="s">
        <v>3815</v>
      </c>
      <c r="V163" s="33" t="s">
        <v>8522</v>
      </c>
      <c r="W163" s="33"/>
      <c r="X163" s="33"/>
    </row>
    <row r="164" spans="1:24" ht="16.149999999999999" customHeight="1" x14ac:dyDescent="0.15">
      <c r="A164" s="6">
        <v>158</v>
      </c>
      <c r="B164" s="18" t="s">
        <v>75</v>
      </c>
      <c r="C164" s="43" t="s">
        <v>3719</v>
      </c>
      <c r="D164" s="43" t="s">
        <v>3876</v>
      </c>
      <c r="E164" s="36" t="s">
        <v>107</v>
      </c>
      <c r="F164" s="19">
        <v>157</v>
      </c>
      <c r="G164" s="6"/>
      <c r="H164" s="34" t="s">
        <v>3873</v>
      </c>
      <c r="I164" s="38"/>
      <c r="J164" s="38"/>
      <c r="K164" s="38"/>
      <c r="L164" s="6" t="s">
        <v>2311</v>
      </c>
      <c r="M164" s="48">
        <v>1</v>
      </c>
      <c r="N164" s="45">
        <v>-2147483648</v>
      </c>
      <c r="O164" s="2">
        <v>2147483647</v>
      </c>
      <c r="P164" s="38">
        <f>IFERROR(Table3335678[[#This Row],[Min Count]]/Table3335678[[#This Row],[Scalar]],"")</f>
        <v>-2147483648</v>
      </c>
      <c r="Q164" s="36">
        <f>IFERROR(Table3335678[[#This Row],[Max Count]]/Table3335678[[#This Row],[Scalar]],"")</f>
        <v>2147483647</v>
      </c>
      <c r="R164" s="34"/>
      <c r="S164" s="34"/>
      <c r="T164" s="34" t="s">
        <v>3807</v>
      </c>
      <c r="U164" s="33" t="s">
        <v>3815</v>
      </c>
      <c r="V164" s="33" t="s">
        <v>8523</v>
      </c>
      <c r="W164" s="33"/>
      <c r="X164" s="33"/>
    </row>
    <row r="165" spans="1:24" ht="16.149999999999999" customHeight="1" x14ac:dyDescent="0.15">
      <c r="A165" s="6">
        <v>159</v>
      </c>
      <c r="B165" s="18" t="s">
        <v>75</v>
      </c>
      <c r="C165" s="43" t="s">
        <v>3719</v>
      </c>
      <c r="D165" s="43" t="s">
        <v>3880</v>
      </c>
      <c r="E165" s="36" t="s">
        <v>107</v>
      </c>
      <c r="F165" s="19">
        <v>158</v>
      </c>
      <c r="G165" s="6"/>
      <c r="H165" s="34" t="s">
        <v>3877</v>
      </c>
      <c r="I165" s="38"/>
      <c r="J165" s="38"/>
      <c r="K165" s="38"/>
      <c r="L165" s="6" t="s">
        <v>2311</v>
      </c>
      <c r="M165" s="48">
        <v>1</v>
      </c>
      <c r="N165" s="45">
        <v>-2147483648</v>
      </c>
      <c r="O165" s="2">
        <v>2147483647</v>
      </c>
      <c r="P165" s="38">
        <f>IFERROR(Table3335678[[#This Row],[Min Count]]/Table3335678[[#This Row],[Scalar]],"")</f>
        <v>-2147483648</v>
      </c>
      <c r="Q165" s="36">
        <f>IFERROR(Table3335678[[#This Row],[Max Count]]/Table3335678[[#This Row],[Scalar]],"")</f>
        <v>2147483647</v>
      </c>
      <c r="R165" s="34"/>
      <c r="S165" s="34"/>
      <c r="T165" s="34" t="s">
        <v>3807</v>
      </c>
      <c r="U165" s="33" t="s">
        <v>3815</v>
      </c>
      <c r="V165" s="33" t="s">
        <v>8524</v>
      </c>
      <c r="W165" s="33"/>
      <c r="X165" s="33"/>
    </row>
    <row r="166" spans="1:24" ht="16.149999999999999" customHeight="1" x14ac:dyDescent="0.15">
      <c r="A166" s="6">
        <v>160</v>
      </c>
      <c r="B166" s="18" t="s">
        <v>75</v>
      </c>
      <c r="C166" s="43" t="s">
        <v>3719</v>
      </c>
      <c r="D166" s="43" t="s">
        <v>7468</v>
      </c>
      <c r="E166" s="36" t="s">
        <v>107</v>
      </c>
      <c r="F166" s="19">
        <v>159</v>
      </c>
      <c r="G166" s="6"/>
      <c r="H166" s="34" t="s">
        <v>3881</v>
      </c>
      <c r="I166" s="38"/>
      <c r="J166" s="38"/>
      <c r="K166" s="38"/>
      <c r="L166" s="6" t="s">
        <v>2311</v>
      </c>
      <c r="M166" s="48">
        <v>1</v>
      </c>
      <c r="N166" s="45">
        <v>-2147483648</v>
      </c>
      <c r="O166" s="2">
        <v>2147483647</v>
      </c>
      <c r="P166" s="38">
        <f>IFERROR(Table3335678[[#This Row],[Min Count]]/Table3335678[[#This Row],[Scalar]],"")</f>
        <v>-2147483648</v>
      </c>
      <c r="Q166" s="36">
        <f>IFERROR(Table3335678[[#This Row],[Max Count]]/Table3335678[[#This Row],[Scalar]],"")</f>
        <v>2147483647</v>
      </c>
      <c r="R166" s="34"/>
      <c r="S166" s="34"/>
      <c r="T166" s="34" t="s">
        <v>3807</v>
      </c>
      <c r="U166" s="33" t="s">
        <v>3815</v>
      </c>
      <c r="V166" s="33" t="s">
        <v>8525</v>
      </c>
      <c r="W166" s="33"/>
      <c r="X166" s="33"/>
    </row>
    <row r="167" spans="1:24" ht="16.149999999999999" customHeight="1" x14ac:dyDescent="0.15">
      <c r="A167" s="6">
        <v>161</v>
      </c>
      <c r="B167" s="18" t="s">
        <v>75</v>
      </c>
      <c r="C167" s="43" t="s">
        <v>3719</v>
      </c>
      <c r="D167" s="43" t="s">
        <v>7469</v>
      </c>
      <c r="E167" s="36" t="s">
        <v>107</v>
      </c>
      <c r="F167" s="19">
        <v>160</v>
      </c>
      <c r="G167" s="6"/>
      <c r="H167" s="34" t="s">
        <v>7470</v>
      </c>
      <c r="I167" s="38"/>
      <c r="J167" s="38"/>
      <c r="K167" s="38"/>
      <c r="L167" s="6" t="s">
        <v>2311</v>
      </c>
      <c r="M167" s="48">
        <v>1</v>
      </c>
      <c r="N167" s="45">
        <v>-2147483648</v>
      </c>
      <c r="O167" s="2">
        <v>2147483647</v>
      </c>
      <c r="P167" s="38">
        <f>IFERROR(Table3335678[[#This Row],[Min Count]]/Table3335678[[#This Row],[Scalar]],"")</f>
        <v>-2147483648</v>
      </c>
      <c r="Q167" s="36">
        <f>IFERROR(Table3335678[[#This Row],[Max Count]]/Table3335678[[#This Row],[Scalar]],"")</f>
        <v>2147483647</v>
      </c>
      <c r="R167" s="34"/>
      <c r="S167" s="34"/>
      <c r="T167" s="34" t="s">
        <v>3807</v>
      </c>
      <c r="U167" s="33" t="s">
        <v>3815</v>
      </c>
      <c r="V167" s="33" t="s">
        <v>8526</v>
      </c>
      <c r="W167" s="33"/>
      <c r="X167" s="33"/>
    </row>
    <row r="168" spans="1:24" ht="16.149999999999999" customHeight="1" x14ac:dyDescent="0.15">
      <c r="A168" s="6">
        <v>162</v>
      </c>
      <c r="B168" s="18" t="s">
        <v>75</v>
      </c>
      <c r="C168" s="43" t="s">
        <v>3719</v>
      </c>
      <c r="D168" s="43" t="s">
        <v>7471</v>
      </c>
      <c r="E168" s="36" t="s">
        <v>107</v>
      </c>
      <c r="F168" s="19">
        <v>161</v>
      </c>
      <c r="G168" s="6"/>
      <c r="H168" s="34" t="s">
        <v>7472</v>
      </c>
      <c r="I168" s="38"/>
      <c r="J168" s="38"/>
      <c r="K168" s="38"/>
      <c r="L168" s="6" t="s">
        <v>2311</v>
      </c>
      <c r="M168" s="48">
        <v>1</v>
      </c>
      <c r="N168" s="45">
        <v>-2147483648</v>
      </c>
      <c r="O168" s="2">
        <v>2147483647</v>
      </c>
      <c r="P168" s="38">
        <f>IFERROR(Table3335678[[#This Row],[Min Count]]/Table3335678[[#This Row],[Scalar]],"")</f>
        <v>-2147483648</v>
      </c>
      <c r="Q168" s="36">
        <f>IFERROR(Table3335678[[#This Row],[Max Count]]/Table3335678[[#This Row],[Scalar]],"")</f>
        <v>2147483647</v>
      </c>
      <c r="R168" s="34"/>
      <c r="S168" s="34"/>
      <c r="T168" s="34" t="s">
        <v>3807</v>
      </c>
      <c r="U168" s="33" t="s">
        <v>3815</v>
      </c>
      <c r="V168" s="33" t="s">
        <v>8527</v>
      </c>
      <c r="W168" s="33"/>
      <c r="X168" s="33"/>
    </row>
    <row r="169" spans="1:24" ht="16.149999999999999" customHeight="1" x14ac:dyDescent="0.15">
      <c r="A169" s="6">
        <v>163</v>
      </c>
      <c r="B169" s="18" t="s">
        <v>75</v>
      </c>
      <c r="C169" s="43" t="s">
        <v>3719</v>
      </c>
      <c r="D169" s="43" t="s">
        <v>7473</v>
      </c>
      <c r="E169" s="36" t="s">
        <v>107</v>
      </c>
      <c r="F169" s="19">
        <v>162</v>
      </c>
      <c r="G169" s="6"/>
      <c r="H169" s="34" t="s">
        <v>7474</v>
      </c>
      <c r="I169" s="38"/>
      <c r="J169" s="38"/>
      <c r="K169" s="38"/>
      <c r="L169" s="6" t="s">
        <v>2311</v>
      </c>
      <c r="M169" s="48">
        <v>1</v>
      </c>
      <c r="N169" s="45">
        <v>-2147483648</v>
      </c>
      <c r="O169" s="2">
        <v>2147483647</v>
      </c>
      <c r="P169" s="38">
        <f>IFERROR(Table3335678[[#This Row],[Min Count]]/Table3335678[[#This Row],[Scalar]],"")</f>
        <v>-2147483648</v>
      </c>
      <c r="Q169" s="36">
        <f>IFERROR(Table3335678[[#This Row],[Max Count]]/Table3335678[[#This Row],[Scalar]],"")</f>
        <v>2147483647</v>
      </c>
      <c r="R169" s="34"/>
      <c r="S169" s="34"/>
      <c r="T169" s="34" t="s">
        <v>3807</v>
      </c>
      <c r="U169" s="33" t="s">
        <v>3815</v>
      </c>
      <c r="V169" s="33" t="s">
        <v>8528</v>
      </c>
      <c r="W169" s="33"/>
      <c r="X169" s="33"/>
    </row>
    <row r="170" spans="1:24" ht="16.149999999999999" customHeight="1" x14ac:dyDescent="0.15">
      <c r="A170" s="6">
        <v>164</v>
      </c>
      <c r="B170" s="18" t="s">
        <v>75</v>
      </c>
      <c r="C170" s="43" t="s">
        <v>3719</v>
      </c>
      <c r="D170" s="43" t="s">
        <v>7475</v>
      </c>
      <c r="E170" s="36" t="s">
        <v>107</v>
      </c>
      <c r="F170" s="19">
        <v>163</v>
      </c>
      <c r="G170" s="6"/>
      <c r="H170" s="34" t="s">
        <v>7476</v>
      </c>
      <c r="I170" s="38"/>
      <c r="J170" s="38"/>
      <c r="K170" s="38"/>
      <c r="L170" s="6" t="s">
        <v>2311</v>
      </c>
      <c r="M170" s="48">
        <v>1</v>
      </c>
      <c r="N170" s="45">
        <v>-2147483648</v>
      </c>
      <c r="O170" s="2">
        <v>2147483647</v>
      </c>
      <c r="P170" s="38">
        <f>IFERROR(Table3335678[[#This Row],[Min Count]]/Table3335678[[#This Row],[Scalar]],"")</f>
        <v>-2147483648</v>
      </c>
      <c r="Q170" s="36">
        <f>IFERROR(Table3335678[[#This Row],[Max Count]]/Table3335678[[#This Row],[Scalar]],"")</f>
        <v>2147483647</v>
      </c>
      <c r="R170" s="34"/>
      <c r="S170" s="34"/>
      <c r="T170" s="34" t="s">
        <v>3807</v>
      </c>
      <c r="U170" s="33" t="s">
        <v>3815</v>
      </c>
      <c r="V170" s="33" t="s">
        <v>8529</v>
      </c>
      <c r="W170" s="33"/>
      <c r="X170" s="33"/>
    </row>
    <row r="171" spans="1:24" ht="16.149999999999999" customHeight="1" x14ac:dyDescent="0.15">
      <c r="A171" s="6">
        <v>165</v>
      </c>
      <c r="B171" s="18" t="s">
        <v>75</v>
      </c>
      <c r="C171" s="43" t="s">
        <v>3719</v>
      </c>
      <c r="D171" s="43" t="s">
        <v>7477</v>
      </c>
      <c r="E171" s="36" t="s">
        <v>107</v>
      </c>
      <c r="F171" s="19">
        <v>164</v>
      </c>
      <c r="G171" s="6"/>
      <c r="H171" s="34" t="s">
        <v>7478</v>
      </c>
      <c r="I171" s="38"/>
      <c r="J171" s="38"/>
      <c r="K171" s="38"/>
      <c r="L171" s="6" t="s">
        <v>2311</v>
      </c>
      <c r="M171" s="48">
        <v>1</v>
      </c>
      <c r="N171" s="45">
        <v>-2147483648</v>
      </c>
      <c r="O171" s="2">
        <v>2147483647</v>
      </c>
      <c r="P171" s="38">
        <f>IFERROR(Table3335678[[#This Row],[Min Count]]/Table3335678[[#This Row],[Scalar]],"")</f>
        <v>-2147483648</v>
      </c>
      <c r="Q171" s="36">
        <f>IFERROR(Table3335678[[#This Row],[Max Count]]/Table3335678[[#This Row],[Scalar]],"")</f>
        <v>2147483647</v>
      </c>
      <c r="R171" s="34"/>
      <c r="S171" s="34"/>
      <c r="T171" s="34" t="s">
        <v>3807</v>
      </c>
      <c r="U171" s="33" t="s">
        <v>3815</v>
      </c>
      <c r="V171" s="33" t="s">
        <v>8530</v>
      </c>
      <c r="W171" s="33"/>
      <c r="X171" s="33"/>
    </row>
    <row r="172" spans="1:24" ht="16.149999999999999" customHeight="1" x14ac:dyDescent="0.15">
      <c r="A172" s="6">
        <v>166</v>
      </c>
      <c r="B172" s="18" t="s">
        <v>75</v>
      </c>
      <c r="C172" s="43" t="s">
        <v>3719</v>
      </c>
      <c r="D172" s="43" t="s">
        <v>7479</v>
      </c>
      <c r="E172" s="36" t="s">
        <v>107</v>
      </c>
      <c r="F172" s="19">
        <v>165</v>
      </c>
      <c r="G172" s="6"/>
      <c r="H172" s="34" t="s">
        <v>7480</v>
      </c>
      <c r="I172" s="38"/>
      <c r="J172" s="38"/>
      <c r="K172" s="38"/>
      <c r="L172" s="6" t="s">
        <v>2311</v>
      </c>
      <c r="M172" s="48">
        <v>1</v>
      </c>
      <c r="N172" s="45">
        <v>-2147483648</v>
      </c>
      <c r="O172" s="2">
        <v>2147483647</v>
      </c>
      <c r="P172" s="38">
        <f>IFERROR(Table3335678[[#This Row],[Min Count]]/Table3335678[[#This Row],[Scalar]],"")</f>
        <v>-2147483648</v>
      </c>
      <c r="Q172" s="36">
        <f>IFERROR(Table3335678[[#This Row],[Max Count]]/Table3335678[[#This Row],[Scalar]],"")</f>
        <v>2147483647</v>
      </c>
      <c r="R172" s="34"/>
      <c r="S172" s="34"/>
      <c r="T172" s="34" t="s">
        <v>3807</v>
      </c>
      <c r="U172" s="33" t="s">
        <v>3815</v>
      </c>
      <c r="V172" s="33" t="s">
        <v>8531</v>
      </c>
      <c r="W172" s="33"/>
      <c r="X172" s="33"/>
    </row>
    <row r="173" spans="1:24" ht="16.149999999999999" customHeight="1" x14ac:dyDescent="0.15">
      <c r="A173" s="6">
        <v>167</v>
      </c>
      <c r="B173" s="18" t="s">
        <v>75</v>
      </c>
      <c r="C173" s="43" t="s">
        <v>3719</v>
      </c>
      <c r="D173" s="43" t="s">
        <v>7481</v>
      </c>
      <c r="E173" s="36" t="s">
        <v>107</v>
      </c>
      <c r="F173" s="19">
        <v>166</v>
      </c>
      <c r="G173" s="6"/>
      <c r="H173" s="34" t="s">
        <v>7482</v>
      </c>
      <c r="I173" s="38"/>
      <c r="J173" s="38"/>
      <c r="K173" s="38"/>
      <c r="L173" s="6" t="s">
        <v>2311</v>
      </c>
      <c r="M173" s="48">
        <v>1</v>
      </c>
      <c r="N173" s="45">
        <v>-2147483648</v>
      </c>
      <c r="O173" s="2">
        <v>2147483647</v>
      </c>
      <c r="P173" s="38">
        <f>IFERROR(Table3335678[[#This Row],[Min Count]]/Table3335678[[#This Row],[Scalar]],"")</f>
        <v>-2147483648</v>
      </c>
      <c r="Q173" s="36">
        <f>IFERROR(Table3335678[[#This Row],[Max Count]]/Table3335678[[#This Row],[Scalar]],"")</f>
        <v>2147483647</v>
      </c>
      <c r="R173" s="34"/>
      <c r="S173" s="34"/>
      <c r="T173" s="34" t="s">
        <v>3807</v>
      </c>
      <c r="U173" s="33" t="s">
        <v>3815</v>
      </c>
      <c r="V173" s="33" t="s">
        <v>8532</v>
      </c>
      <c r="W173" s="33"/>
      <c r="X173" s="33"/>
    </row>
    <row r="174" spans="1:24" ht="16.149999999999999" customHeight="1" x14ac:dyDescent="0.15">
      <c r="A174" s="6">
        <v>168</v>
      </c>
      <c r="B174" s="18" t="s">
        <v>75</v>
      </c>
      <c r="C174" s="43" t="s">
        <v>3719</v>
      </c>
      <c r="D174" s="43" t="s">
        <v>7483</v>
      </c>
      <c r="E174" s="36" t="s">
        <v>107</v>
      </c>
      <c r="F174" s="19">
        <v>167</v>
      </c>
      <c r="G174" s="6"/>
      <c r="H174" s="34" t="s">
        <v>7484</v>
      </c>
      <c r="I174" s="38"/>
      <c r="J174" s="38"/>
      <c r="K174" s="38"/>
      <c r="L174" s="6" t="s">
        <v>2311</v>
      </c>
      <c r="M174" s="48">
        <v>1</v>
      </c>
      <c r="N174" s="45">
        <v>-2147483648</v>
      </c>
      <c r="O174" s="2">
        <v>2147483647</v>
      </c>
      <c r="P174" s="38">
        <f>IFERROR(Table3335678[[#This Row],[Min Count]]/Table3335678[[#This Row],[Scalar]],"")</f>
        <v>-2147483648</v>
      </c>
      <c r="Q174" s="36">
        <f>IFERROR(Table3335678[[#This Row],[Max Count]]/Table3335678[[#This Row],[Scalar]],"")</f>
        <v>2147483647</v>
      </c>
      <c r="R174" s="34"/>
      <c r="S174" s="34"/>
      <c r="T174" s="34" t="s">
        <v>3807</v>
      </c>
      <c r="U174" s="33" t="s">
        <v>3815</v>
      </c>
      <c r="V174" s="33" t="s">
        <v>8533</v>
      </c>
      <c r="W174" s="33"/>
      <c r="X174" s="33"/>
    </row>
    <row r="175" spans="1:24" ht="16.149999999999999" customHeight="1" x14ac:dyDescent="0.15">
      <c r="A175" s="6">
        <v>169</v>
      </c>
      <c r="B175" s="18" t="s">
        <v>75</v>
      </c>
      <c r="C175" s="43" t="s">
        <v>3719</v>
      </c>
      <c r="D175" s="43" t="s">
        <v>3884</v>
      </c>
      <c r="E175" s="36" t="s">
        <v>107</v>
      </c>
      <c r="F175" s="19">
        <v>168</v>
      </c>
      <c r="G175" s="6"/>
      <c r="H175" s="34" t="s">
        <v>7485</v>
      </c>
      <c r="I175" s="38"/>
      <c r="J175" s="38"/>
      <c r="K175" s="38"/>
      <c r="L175" s="6" t="s">
        <v>2311</v>
      </c>
      <c r="M175" s="48">
        <v>1</v>
      </c>
      <c r="N175" s="45">
        <v>-2147483648</v>
      </c>
      <c r="O175" s="2">
        <v>2147483647</v>
      </c>
      <c r="P175" s="38">
        <f>IFERROR(Table3335678[[#This Row],[Min Count]]/Table3335678[[#This Row],[Scalar]],"")</f>
        <v>-2147483648</v>
      </c>
      <c r="Q175" s="36">
        <f>IFERROR(Table3335678[[#This Row],[Max Count]]/Table3335678[[#This Row],[Scalar]],"")</f>
        <v>2147483647</v>
      </c>
      <c r="R175" s="34"/>
      <c r="S175" s="34"/>
      <c r="T175" s="34" t="s">
        <v>3807</v>
      </c>
      <c r="U175" s="33" t="s">
        <v>3815</v>
      </c>
      <c r="V175" s="33" t="s">
        <v>8534</v>
      </c>
      <c r="W175" s="33"/>
      <c r="X175" s="33"/>
    </row>
    <row r="176" spans="1:24" ht="16.149999999999999" customHeight="1" x14ac:dyDescent="0.15">
      <c r="A176" s="6">
        <v>170</v>
      </c>
      <c r="B176" s="18" t="s">
        <v>75</v>
      </c>
      <c r="C176" s="43" t="s">
        <v>3719</v>
      </c>
      <c r="D176" s="43" t="s">
        <v>3888</v>
      </c>
      <c r="E176" s="36" t="s">
        <v>107</v>
      </c>
      <c r="F176" s="19">
        <v>169</v>
      </c>
      <c r="G176" s="6"/>
      <c r="H176" s="34" t="s">
        <v>3885</v>
      </c>
      <c r="I176" s="38"/>
      <c r="J176" s="38"/>
      <c r="K176" s="38"/>
      <c r="L176" s="6" t="s">
        <v>2311</v>
      </c>
      <c r="M176" s="48">
        <v>1</v>
      </c>
      <c r="N176" s="45">
        <v>-2147483648</v>
      </c>
      <c r="O176" s="2">
        <v>2147483647</v>
      </c>
      <c r="P176" s="38">
        <f>IFERROR(Table3335678[[#This Row],[Min Count]]/Table3335678[[#This Row],[Scalar]],"")</f>
        <v>-2147483648</v>
      </c>
      <c r="Q176" s="36">
        <f>IFERROR(Table3335678[[#This Row],[Max Count]]/Table3335678[[#This Row],[Scalar]],"")</f>
        <v>2147483647</v>
      </c>
      <c r="R176" s="34"/>
      <c r="S176" s="34"/>
      <c r="T176" s="34" t="s">
        <v>3807</v>
      </c>
      <c r="U176" s="33" t="s">
        <v>3815</v>
      </c>
      <c r="V176" s="33" t="s">
        <v>8535</v>
      </c>
      <c r="W176" s="33"/>
      <c r="X176" s="33"/>
    </row>
    <row r="177" spans="1:24" ht="16.149999999999999" customHeight="1" x14ac:dyDescent="0.15">
      <c r="A177" s="6">
        <v>171</v>
      </c>
      <c r="B177" s="18" t="s">
        <v>75</v>
      </c>
      <c r="C177" s="43" t="s">
        <v>3719</v>
      </c>
      <c r="D177" s="43" t="s">
        <v>3892</v>
      </c>
      <c r="E177" s="36" t="s">
        <v>107</v>
      </c>
      <c r="F177" s="19">
        <v>170</v>
      </c>
      <c r="G177" s="6"/>
      <c r="H177" s="34" t="s">
        <v>3889</v>
      </c>
      <c r="I177" s="38"/>
      <c r="J177" s="38"/>
      <c r="K177" s="38"/>
      <c r="L177" s="6" t="s">
        <v>2311</v>
      </c>
      <c r="M177" s="48">
        <v>1</v>
      </c>
      <c r="N177" s="45">
        <v>-2147483648</v>
      </c>
      <c r="O177" s="2">
        <v>2147483647</v>
      </c>
      <c r="P177" s="38">
        <f>IFERROR(Table3335678[[#This Row],[Min Count]]/Table3335678[[#This Row],[Scalar]],"")</f>
        <v>-2147483648</v>
      </c>
      <c r="Q177" s="36">
        <f>IFERROR(Table3335678[[#This Row],[Max Count]]/Table3335678[[#This Row],[Scalar]],"")</f>
        <v>2147483647</v>
      </c>
      <c r="R177" s="34"/>
      <c r="S177" s="34"/>
      <c r="T177" s="34" t="s">
        <v>3807</v>
      </c>
      <c r="U177" s="33" t="s">
        <v>3815</v>
      </c>
      <c r="V177" s="33" t="s">
        <v>8536</v>
      </c>
      <c r="W177" s="33"/>
      <c r="X177" s="33"/>
    </row>
    <row r="178" spans="1:24" ht="16.149999999999999" customHeight="1" x14ac:dyDescent="0.15">
      <c r="A178" s="6">
        <v>172</v>
      </c>
      <c r="B178" s="18" t="s">
        <v>75</v>
      </c>
      <c r="C178" s="43" t="s">
        <v>3719</v>
      </c>
      <c r="D178" s="43" t="s">
        <v>3895</v>
      </c>
      <c r="E178" s="36" t="s">
        <v>107</v>
      </c>
      <c r="F178" s="19">
        <v>171</v>
      </c>
      <c r="G178" s="6"/>
      <c r="H178" s="34" t="s">
        <v>3893</v>
      </c>
      <c r="I178" s="38"/>
      <c r="J178" s="38"/>
      <c r="K178" s="38"/>
      <c r="L178" s="6" t="s">
        <v>2311</v>
      </c>
      <c r="M178" s="48">
        <v>1</v>
      </c>
      <c r="N178" s="45">
        <v>-2147483648</v>
      </c>
      <c r="O178" s="2">
        <v>2147483647</v>
      </c>
      <c r="P178" s="38">
        <f>IFERROR(Table3335678[[#This Row],[Min Count]]/Table3335678[[#This Row],[Scalar]],"")</f>
        <v>-2147483648</v>
      </c>
      <c r="Q178" s="36">
        <f>IFERROR(Table3335678[[#This Row],[Max Count]]/Table3335678[[#This Row],[Scalar]],"")</f>
        <v>2147483647</v>
      </c>
      <c r="R178" s="34"/>
      <c r="S178" s="34"/>
      <c r="T178" s="34" t="s">
        <v>3807</v>
      </c>
      <c r="U178" s="33" t="s">
        <v>3815</v>
      </c>
      <c r="V178" s="33" t="s">
        <v>8537</v>
      </c>
      <c r="W178" s="33"/>
      <c r="X178" s="33"/>
    </row>
    <row r="179" spans="1:24" ht="16.149999999999999" customHeight="1" x14ac:dyDescent="0.15">
      <c r="A179" s="6">
        <v>173</v>
      </c>
      <c r="B179" s="18" t="s">
        <v>75</v>
      </c>
      <c r="C179" s="43" t="s">
        <v>3719</v>
      </c>
      <c r="D179" s="43" t="s">
        <v>3898</v>
      </c>
      <c r="E179" s="36" t="s">
        <v>107</v>
      </c>
      <c r="F179" s="19">
        <v>172</v>
      </c>
      <c r="G179" s="6"/>
      <c r="H179" s="34" t="s">
        <v>3896</v>
      </c>
      <c r="I179" s="38"/>
      <c r="J179" s="38"/>
      <c r="K179" s="38"/>
      <c r="L179" s="6" t="s">
        <v>2311</v>
      </c>
      <c r="M179" s="48">
        <v>1</v>
      </c>
      <c r="N179" s="45">
        <v>-2147483648</v>
      </c>
      <c r="O179" s="2">
        <v>2147483647</v>
      </c>
      <c r="P179" s="38">
        <f>IFERROR(Table3335678[[#This Row],[Min Count]]/Table3335678[[#This Row],[Scalar]],"")</f>
        <v>-2147483648</v>
      </c>
      <c r="Q179" s="36">
        <f>IFERROR(Table3335678[[#This Row],[Max Count]]/Table3335678[[#This Row],[Scalar]],"")</f>
        <v>2147483647</v>
      </c>
      <c r="R179" s="34"/>
      <c r="S179" s="34"/>
      <c r="T179" s="34" t="s">
        <v>3807</v>
      </c>
      <c r="U179" s="33" t="s">
        <v>3815</v>
      </c>
      <c r="V179" s="33" t="s">
        <v>8538</v>
      </c>
      <c r="W179" s="33"/>
      <c r="X179" s="33"/>
    </row>
    <row r="180" spans="1:24" ht="16.149999999999999" customHeight="1" x14ac:dyDescent="0.15">
      <c r="A180" s="6">
        <v>174</v>
      </c>
      <c r="B180" s="18" t="s">
        <v>75</v>
      </c>
      <c r="C180" s="43" t="s">
        <v>3719</v>
      </c>
      <c r="D180" s="43" t="s">
        <v>3901</v>
      </c>
      <c r="E180" s="36" t="s">
        <v>107</v>
      </c>
      <c r="F180" s="19">
        <v>173</v>
      </c>
      <c r="G180" s="6"/>
      <c r="H180" s="34" t="s">
        <v>3899</v>
      </c>
      <c r="I180" s="38"/>
      <c r="J180" s="38"/>
      <c r="K180" s="38"/>
      <c r="L180" s="6" t="s">
        <v>2311</v>
      </c>
      <c r="M180" s="48">
        <v>1</v>
      </c>
      <c r="N180" s="45">
        <v>-2147483648</v>
      </c>
      <c r="O180" s="2">
        <v>2147483647</v>
      </c>
      <c r="P180" s="38">
        <f>IFERROR(Table3335678[[#This Row],[Min Count]]/Table3335678[[#This Row],[Scalar]],"")</f>
        <v>-2147483648</v>
      </c>
      <c r="Q180" s="36">
        <f>IFERROR(Table3335678[[#This Row],[Max Count]]/Table3335678[[#This Row],[Scalar]],"")</f>
        <v>2147483647</v>
      </c>
      <c r="R180" s="34"/>
      <c r="S180" s="34"/>
      <c r="T180" s="34" t="s">
        <v>3807</v>
      </c>
      <c r="U180" s="33" t="s">
        <v>3815</v>
      </c>
      <c r="V180" s="33" t="s">
        <v>8539</v>
      </c>
      <c r="W180" s="33"/>
      <c r="X180" s="33"/>
    </row>
    <row r="181" spans="1:24" ht="16.149999999999999" customHeight="1" x14ac:dyDescent="0.15">
      <c r="A181" s="6">
        <v>175</v>
      </c>
      <c r="B181" s="18" t="s">
        <v>75</v>
      </c>
      <c r="C181" s="43" t="s">
        <v>3719</v>
      </c>
      <c r="D181" s="43" t="s">
        <v>3904</v>
      </c>
      <c r="E181" s="36" t="s">
        <v>107</v>
      </c>
      <c r="F181" s="19">
        <v>174</v>
      </c>
      <c r="G181" s="6"/>
      <c r="H181" s="34" t="s">
        <v>3902</v>
      </c>
      <c r="I181" s="38"/>
      <c r="J181" s="38"/>
      <c r="K181" s="38"/>
      <c r="L181" s="6" t="s">
        <v>2311</v>
      </c>
      <c r="M181" s="48">
        <v>1</v>
      </c>
      <c r="N181" s="45">
        <v>-2147483648</v>
      </c>
      <c r="O181" s="2">
        <v>2147483647</v>
      </c>
      <c r="P181" s="38">
        <f>IFERROR(Table3335678[[#This Row],[Min Count]]/Table3335678[[#This Row],[Scalar]],"")</f>
        <v>-2147483648</v>
      </c>
      <c r="Q181" s="36">
        <f>IFERROR(Table3335678[[#This Row],[Max Count]]/Table3335678[[#This Row],[Scalar]],"")</f>
        <v>2147483647</v>
      </c>
      <c r="R181" s="34"/>
      <c r="S181" s="34"/>
      <c r="T181" s="34" t="s">
        <v>3807</v>
      </c>
      <c r="U181" s="33" t="s">
        <v>3815</v>
      </c>
      <c r="V181" s="33" t="s">
        <v>8540</v>
      </c>
      <c r="W181" s="33"/>
      <c r="X181" s="33"/>
    </row>
    <row r="182" spans="1:24" ht="16.149999999999999" customHeight="1" x14ac:dyDescent="0.15">
      <c r="A182" s="6">
        <v>176</v>
      </c>
      <c r="B182" s="18" t="s">
        <v>75</v>
      </c>
      <c r="C182" s="43" t="s">
        <v>3719</v>
      </c>
      <c r="D182" s="43" t="s">
        <v>7486</v>
      </c>
      <c r="E182" s="36" t="s">
        <v>107</v>
      </c>
      <c r="F182" s="19">
        <v>175</v>
      </c>
      <c r="G182" s="6"/>
      <c r="H182" s="34" t="s">
        <v>3905</v>
      </c>
      <c r="I182" s="38"/>
      <c r="J182" s="38"/>
      <c r="K182" s="38"/>
      <c r="L182" s="6" t="s">
        <v>2311</v>
      </c>
      <c r="M182" s="48">
        <v>1</v>
      </c>
      <c r="N182" s="45">
        <v>-2147483648</v>
      </c>
      <c r="O182" s="2">
        <v>2147483647</v>
      </c>
      <c r="P182" s="38">
        <f>IFERROR(Table3335678[[#This Row],[Min Count]]/Table3335678[[#This Row],[Scalar]],"")</f>
        <v>-2147483648</v>
      </c>
      <c r="Q182" s="36">
        <f>IFERROR(Table3335678[[#This Row],[Max Count]]/Table3335678[[#This Row],[Scalar]],"")</f>
        <v>2147483647</v>
      </c>
      <c r="R182" s="34"/>
      <c r="S182" s="34"/>
      <c r="T182" s="34" t="s">
        <v>3807</v>
      </c>
      <c r="U182" s="33" t="s">
        <v>3815</v>
      </c>
      <c r="V182" s="33" t="s">
        <v>8541</v>
      </c>
      <c r="W182" s="33"/>
      <c r="X182" s="33"/>
    </row>
    <row r="183" spans="1:24" ht="16.149999999999999" customHeight="1" x14ac:dyDescent="0.15">
      <c r="A183" s="6">
        <v>177</v>
      </c>
      <c r="B183" s="18" t="s">
        <v>75</v>
      </c>
      <c r="C183" s="43" t="s">
        <v>3719</v>
      </c>
      <c r="D183" s="43" t="s">
        <v>7487</v>
      </c>
      <c r="E183" s="36" t="s">
        <v>107</v>
      </c>
      <c r="F183" s="19">
        <v>176</v>
      </c>
      <c r="G183" s="6"/>
      <c r="H183" s="34" t="s">
        <v>7488</v>
      </c>
      <c r="I183" s="38"/>
      <c r="J183" s="38"/>
      <c r="K183" s="38"/>
      <c r="L183" s="6" t="s">
        <v>2311</v>
      </c>
      <c r="M183" s="48">
        <v>1</v>
      </c>
      <c r="N183" s="45">
        <v>-2147483648</v>
      </c>
      <c r="O183" s="2">
        <v>2147483647</v>
      </c>
      <c r="P183" s="38">
        <f>IFERROR(Table3335678[[#This Row],[Min Count]]/Table3335678[[#This Row],[Scalar]],"")</f>
        <v>-2147483648</v>
      </c>
      <c r="Q183" s="36">
        <f>IFERROR(Table3335678[[#This Row],[Max Count]]/Table3335678[[#This Row],[Scalar]],"")</f>
        <v>2147483647</v>
      </c>
      <c r="R183" s="34"/>
      <c r="S183" s="34"/>
      <c r="T183" s="34" t="s">
        <v>3807</v>
      </c>
      <c r="U183" s="33" t="s">
        <v>3815</v>
      </c>
      <c r="V183" s="33" t="s">
        <v>8542</v>
      </c>
      <c r="W183" s="33"/>
      <c r="X183" s="33"/>
    </row>
    <row r="184" spans="1:24" ht="16.149999999999999" customHeight="1" x14ac:dyDescent="0.15">
      <c r="A184" s="6">
        <v>178</v>
      </c>
      <c r="B184" s="18" t="s">
        <v>75</v>
      </c>
      <c r="C184" s="43" t="s">
        <v>3719</v>
      </c>
      <c r="D184" s="43" t="s">
        <v>7489</v>
      </c>
      <c r="E184" s="36" t="s">
        <v>107</v>
      </c>
      <c r="F184" s="19">
        <v>177</v>
      </c>
      <c r="G184" s="6"/>
      <c r="H184" s="34" t="s">
        <v>7490</v>
      </c>
      <c r="I184" s="38"/>
      <c r="J184" s="38"/>
      <c r="K184" s="38"/>
      <c r="L184" s="6" t="s">
        <v>2311</v>
      </c>
      <c r="M184" s="48">
        <v>1</v>
      </c>
      <c r="N184" s="45">
        <v>-2147483648</v>
      </c>
      <c r="O184" s="2">
        <v>2147483647</v>
      </c>
      <c r="P184" s="38">
        <f>IFERROR(Table3335678[[#This Row],[Min Count]]/Table3335678[[#This Row],[Scalar]],"")</f>
        <v>-2147483648</v>
      </c>
      <c r="Q184" s="36">
        <f>IFERROR(Table3335678[[#This Row],[Max Count]]/Table3335678[[#This Row],[Scalar]],"")</f>
        <v>2147483647</v>
      </c>
      <c r="R184" s="34"/>
      <c r="S184" s="34"/>
      <c r="T184" s="34" t="s">
        <v>3807</v>
      </c>
      <c r="U184" s="33" t="s">
        <v>3815</v>
      </c>
      <c r="V184" s="33" t="s">
        <v>8543</v>
      </c>
      <c r="W184" s="33"/>
      <c r="X184" s="33"/>
    </row>
    <row r="185" spans="1:24" ht="16.149999999999999" customHeight="1" x14ac:dyDescent="0.15">
      <c r="A185" s="6">
        <v>179</v>
      </c>
      <c r="B185" s="18" t="s">
        <v>75</v>
      </c>
      <c r="C185" s="43" t="s">
        <v>3719</v>
      </c>
      <c r="D185" s="43" t="s">
        <v>7491</v>
      </c>
      <c r="E185" s="36" t="s">
        <v>107</v>
      </c>
      <c r="F185" s="19">
        <v>178</v>
      </c>
      <c r="G185" s="6"/>
      <c r="H185" s="34" t="s">
        <v>7492</v>
      </c>
      <c r="I185" s="38"/>
      <c r="J185" s="38"/>
      <c r="K185" s="38"/>
      <c r="L185" s="6" t="s">
        <v>2311</v>
      </c>
      <c r="M185" s="48">
        <v>1</v>
      </c>
      <c r="N185" s="45">
        <v>-2147483648</v>
      </c>
      <c r="O185" s="2">
        <v>2147483647</v>
      </c>
      <c r="P185" s="38">
        <f>IFERROR(Table3335678[[#This Row],[Min Count]]/Table3335678[[#This Row],[Scalar]],"")</f>
        <v>-2147483648</v>
      </c>
      <c r="Q185" s="36">
        <f>IFERROR(Table3335678[[#This Row],[Max Count]]/Table3335678[[#This Row],[Scalar]],"")</f>
        <v>2147483647</v>
      </c>
      <c r="R185" s="34"/>
      <c r="S185" s="34"/>
      <c r="T185" s="34" t="s">
        <v>3807</v>
      </c>
      <c r="U185" s="33" t="s">
        <v>3815</v>
      </c>
      <c r="V185" s="33" t="s">
        <v>8544</v>
      </c>
      <c r="W185" s="33"/>
      <c r="X185" s="33"/>
    </row>
    <row r="186" spans="1:24" ht="16.149999999999999" customHeight="1" x14ac:dyDescent="0.15">
      <c r="A186" s="6">
        <v>180</v>
      </c>
      <c r="B186" s="18" t="s">
        <v>75</v>
      </c>
      <c r="C186" s="43" t="s">
        <v>3719</v>
      </c>
      <c r="D186" s="43" t="s">
        <v>7493</v>
      </c>
      <c r="E186" s="36" t="s">
        <v>107</v>
      </c>
      <c r="F186" s="19">
        <v>179</v>
      </c>
      <c r="G186" s="6"/>
      <c r="H186" s="34" t="s">
        <v>7494</v>
      </c>
      <c r="I186" s="38"/>
      <c r="J186" s="38"/>
      <c r="K186" s="38"/>
      <c r="L186" s="6" t="s">
        <v>2311</v>
      </c>
      <c r="M186" s="48">
        <v>1</v>
      </c>
      <c r="N186" s="45">
        <v>-2147483648</v>
      </c>
      <c r="O186" s="2">
        <v>2147483647</v>
      </c>
      <c r="P186" s="38">
        <f>IFERROR(Table3335678[[#This Row],[Min Count]]/Table3335678[[#This Row],[Scalar]],"")</f>
        <v>-2147483648</v>
      </c>
      <c r="Q186" s="36">
        <f>IFERROR(Table3335678[[#This Row],[Max Count]]/Table3335678[[#This Row],[Scalar]],"")</f>
        <v>2147483647</v>
      </c>
      <c r="R186" s="34"/>
      <c r="S186" s="34"/>
      <c r="T186" s="34" t="s">
        <v>3807</v>
      </c>
      <c r="U186" s="33" t="s">
        <v>3815</v>
      </c>
      <c r="V186" s="33" t="s">
        <v>8545</v>
      </c>
      <c r="W186" s="33"/>
      <c r="X186" s="33"/>
    </row>
    <row r="187" spans="1:24" ht="16.149999999999999" customHeight="1" x14ac:dyDescent="0.15">
      <c r="A187" s="6">
        <v>181</v>
      </c>
      <c r="B187" s="18" t="s">
        <v>75</v>
      </c>
      <c r="C187" s="43" t="s">
        <v>3719</v>
      </c>
      <c r="D187" s="43" t="s">
        <v>7495</v>
      </c>
      <c r="E187" s="36" t="s">
        <v>107</v>
      </c>
      <c r="F187" s="19">
        <v>180</v>
      </c>
      <c r="G187" s="6"/>
      <c r="H187" s="34" t="s">
        <v>7496</v>
      </c>
      <c r="I187" s="38"/>
      <c r="J187" s="38"/>
      <c r="K187" s="38"/>
      <c r="L187" s="6" t="s">
        <v>2311</v>
      </c>
      <c r="M187" s="48">
        <v>1</v>
      </c>
      <c r="N187" s="45">
        <v>-2147483648</v>
      </c>
      <c r="O187" s="2">
        <v>2147483647</v>
      </c>
      <c r="P187" s="38">
        <f>IFERROR(Table3335678[[#This Row],[Min Count]]/Table3335678[[#This Row],[Scalar]],"")</f>
        <v>-2147483648</v>
      </c>
      <c r="Q187" s="36">
        <f>IFERROR(Table3335678[[#This Row],[Max Count]]/Table3335678[[#This Row],[Scalar]],"")</f>
        <v>2147483647</v>
      </c>
      <c r="R187" s="34"/>
      <c r="S187" s="34"/>
      <c r="T187" s="34" t="s">
        <v>3807</v>
      </c>
      <c r="U187" s="33" t="s">
        <v>3815</v>
      </c>
      <c r="V187" s="33" t="s">
        <v>8546</v>
      </c>
      <c r="W187" s="33"/>
      <c r="X187" s="33"/>
    </row>
    <row r="188" spans="1:24" ht="16.149999999999999" customHeight="1" x14ac:dyDescent="0.15">
      <c r="A188" s="6">
        <v>182</v>
      </c>
      <c r="B188" s="18" t="s">
        <v>75</v>
      </c>
      <c r="C188" s="43" t="s">
        <v>3719</v>
      </c>
      <c r="D188" s="43" t="s">
        <v>7497</v>
      </c>
      <c r="E188" s="36" t="s">
        <v>107</v>
      </c>
      <c r="F188" s="19">
        <v>181</v>
      </c>
      <c r="G188" s="6"/>
      <c r="H188" s="34" t="s">
        <v>7498</v>
      </c>
      <c r="I188" s="38"/>
      <c r="J188" s="38"/>
      <c r="K188" s="38"/>
      <c r="L188" s="6" t="s">
        <v>2311</v>
      </c>
      <c r="M188" s="48">
        <v>1</v>
      </c>
      <c r="N188" s="45">
        <v>-2147483648</v>
      </c>
      <c r="O188" s="2">
        <v>2147483647</v>
      </c>
      <c r="P188" s="38">
        <f>IFERROR(Table3335678[[#This Row],[Min Count]]/Table3335678[[#This Row],[Scalar]],"")</f>
        <v>-2147483648</v>
      </c>
      <c r="Q188" s="36">
        <f>IFERROR(Table3335678[[#This Row],[Max Count]]/Table3335678[[#This Row],[Scalar]],"")</f>
        <v>2147483647</v>
      </c>
      <c r="R188" s="34"/>
      <c r="S188" s="34"/>
      <c r="T188" s="34" t="s">
        <v>3807</v>
      </c>
      <c r="U188" s="33" t="s">
        <v>3815</v>
      </c>
      <c r="V188" s="33" t="s">
        <v>8547</v>
      </c>
      <c r="W188" s="33"/>
      <c r="X188" s="33"/>
    </row>
    <row r="189" spans="1:24" ht="16.149999999999999" customHeight="1" x14ac:dyDescent="0.15">
      <c r="A189" s="6">
        <v>183</v>
      </c>
      <c r="B189" s="18" t="s">
        <v>75</v>
      </c>
      <c r="C189" s="43" t="s">
        <v>3719</v>
      </c>
      <c r="D189" s="43" t="s">
        <v>7499</v>
      </c>
      <c r="E189" s="36" t="s">
        <v>107</v>
      </c>
      <c r="F189" s="19">
        <v>182</v>
      </c>
      <c r="G189" s="6"/>
      <c r="H189" s="34" t="s">
        <v>7500</v>
      </c>
      <c r="I189" s="38"/>
      <c r="J189" s="38"/>
      <c r="K189" s="38"/>
      <c r="L189" s="6" t="s">
        <v>2311</v>
      </c>
      <c r="M189" s="48">
        <v>1</v>
      </c>
      <c r="N189" s="45">
        <v>-2147483648</v>
      </c>
      <c r="O189" s="2">
        <v>2147483647</v>
      </c>
      <c r="P189" s="38">
        <f>IFERROR(Table3335678[[#This Row],[Min Count]]/Table3335678[[#This Row],[Scalar]],"")</f>
        <v>-2147483648</v>
      </c>
      <c r="Q189" s="36">
        <f>IFERROR(Table3335678[[#This Row],[Max Count]]/Table3335678[[#This Row],[Scalar]],"")</f>
        <v>2147483647</v>
      </c>
      <c r="R189" s="34"/>
      <c r="S189" s="34"/>
      <c r="T189" s="34" t="s">
        <v>3807</v>
      </c>
      <c r="U189" s="33" t="s">
        <v>3815</v>
      </c>
      <c r="V189" s="33" t="s">
        <v>8548</v>
      </c>
      <c r="W189" s="33"/>
      <c r="X189" s="33"/>
    </row>
    <row r="190" spans="1:24" ht="16.149999999999999" customHeight="1" x14ac:dyDescent="0.15">
      <c r="A190" s="6">
        <v>184</v>
      </c>
      <c r="B190" s="18" t="s">
        <v>75</v>
      </c>
      <c r="C190" s="43" t="s">
        <v>3719</v>
      </c>
      <c r="D190" s="43" t="s">
        <v>7501</v>
      </c>
      <c r="E190" s="36" t="s">
        <v>107</v>
      </c>
      <c r="F190" s="19">
        <v>183</v>
      </c>
      <c r="G190" s="6"/>
      <c r="H190" s="34" t="s">
        <v>7502</v>
      </c>
      <c r="I190" s="38"/>
      <c r="J190" s="38"/>
      <c r="K190" s="38"/>
      <c r="L190" s="6" t="s">
        <v>2311</v>
      </c>
      <c r="M190" s="48">
        <v>1</v>
      </c>
      <c r="N190" s="45">
        <v>-2147483648</v>
      </c>
      <c r="O190" s="2">
        <v>2147483647</v>
      </c>
      <c r="P190" s="38">
        <f>IFERROR(Table3335678[[#This Row],[Min Count]]/Table3335678[[#This Row],[Scalar]],"")</f>
        <v>-2147483648</v>
      </c>
      <c r="Q190" s="36">
        <f>IFERROR(Table3335678[[#This Row],[Max Count]]/Table3335678[[#This Row],[Scalar]],"")</f>
        <v>2147483647</v>
      </c>
      <c r="R190" s="34"/>
      <c r="S190" s="34"/>
      <c r="T190" s="34" t="s">
        <v>3807</v>
      </c>
      <c r="U190" s="33" t="s">
        <v>3815</v>
      </c>
      <c r="V190" s="33" t="s">
        <v>8549</v>
      </c>
      <c r="W190" s="33"/>
      <c r="X190" s="33"/>
    </row>
    <row r="191" spans="1:24" ht="16.149999999999999" customHeight="1" x14ac:dyDescent="0.15">
      <c r="A191" s="6">
        <v>185</v>
      </c>
      <c r="B191" s="18" t="s">
        <v>75</v>
      </c>
      <c r="C191" s="43" t="s">
        <v>4267</v>
      </c>
      <c r="D191" s="43" t="s">
        <v>3720</v>
      </c>
      <c r="E191" s="36" t="s">
        <v>219</v>
      </c>
      <c r="F191" s="19">
        <v>0</v>
      </c>
      <c r="G191" s="6"/>
      <c r="H191" s="34" t="s">
        <v>3721</v>
      </c>
      <c r="I191" s="38" t="s">
        <v>196</v>
      </c>
      <c r="J191" s="38"/>
      <c r="K191" s="38"/>
      <c r="L191" s="6" t="s">
        <v>61</v>
      </c>
      <c r="M191" s="113">
        <v>1</v>
      </c>
      <c r="N191" s="45" t="s">
        <v>62</v>
      </c>
      <c r="O191" s="2" t="s">
        <v>62</v>
      </c>
      <c r="P191" s="38" t="str">
        <f>IFERROR(Table3335678[[#This Row],[Min Count]]/Table3335678[[#This Row],[Scalar]],"")</f>
        <v/>
      </c>
      <c r="Q191" s="36" t="str">
        <f>IFERROR(Table3335678[[#This Row],[Max Count]]/Table3335678[[#This Row],[Scalar]],"")</f>
        <v/>
      </c>
      <c r="R191" s="34"/>
      <c r="S191" s="34"/>
      <c r="T191" s="34" t="s">
        <v>3723</v>
      </c>
      <c r="U191" s="33" t="s">
        <v>3853</v>
      </c>
      <c r="V191" s="33" t="s">
        <v>8550</v>
      </c>
      <c r="W191" s="33"/>
      <c r="X191" s="33"/>
    </row>
    <row r="192" spans="1:24" ht="16.149999999999999" customHeight="1" x14ac:dyDescent="0.15">
      <c r="A192" s="6">
        <v>186</v>
      </c>
      <c r="B192" s="18" t="s">
        <v>75</v>
      </c>
      <c r="C192" s="43" t="s">
        <v>4267</v>
      </c>
      <c r="D192" s="43" t="s">
        <v>7503</v>
      </c>
      <c r="E192" s="36" t="s">
        <v>219</v>
      </c>
      <c r="F192" s="19">
        <v>0</v>
      </c>
      <c r="G192" s="6">
        <v>0</v>
      </c>
      <c r="H192" s="34" t="s">
        <v>7504</v>
      </c>
      <c r="I192" s="38" t="s">
        <v>196</v>
      </c>
      <c r="J192" s="38" t="s">
        <v>198</v>
      </c>
      <c r="K192" s="38" t="s">
        <v>197</v>
      </c>
      <c r="L192" s="6"/>
      <c r="M192" s="113"/>
      <c r="N192" s="45" t="s">
        <v>62</v>
      </c>
      <c r="O192" s="2" t="s">
        <v>62</v>
      </c>
      <c r="P192" s="38" t="str">
        <f>IFERROR(Table3335678[[#This Row],[Min Count]]/Table3335678[[#This Row],[Scalar]],"")</f>
        <v/>
      </c>
      <c r="Q192" s="36" t="str">
        <f>IFERROR(Table3335678[[#This Row],[Max Count]]/Table3335678[[#This Row],[Scalar]],"")</f>
        <v/>
      </c>
      <c r="R192" s="34"/>
      <c r="S192" s="34"/>
      <c r="T192" s="34" t="s">
        <v>3723</v>
      </c>
      <c r="U192" s="33" t="s">
        <v>3950</v>
      </c>
      <c r="V192" s="33" t="s">
        <v>8551</v>
      </c>
      <c r="W192" s="33"/>
      <c r="X192" s="33"/>
    </row>
    <row r="193" spans="1:24" ht="16.149999999999999" customHeight="1" x14ac:dyDescent="0.15">
      <c r="A193" s="6">
        <v>187</v>
      </c>
      <c r="B193" s="18" t="s">
        <v>75</v>
      </c>
      <c r="C193" s="43" t="s">
        <v>4267</v>
      </c>
      <c r="D193" s="43" t="s">
        <v>7505</v>
      </c>
      <c r="E193" s="36" t="s">
        <v>219</v>
      </c>
      <c r="F193" s="19">
        <v>0</v>
      </c>
      <c r="G193" s="6">
        <v>1</v>
      </c>
      <c r="H193" s="34" t="s">
        <v>7506</v>
      </c>
      <c r="I193" s="38" t="s">
        <v>196</v>
      </c>
      <c r="J193" s="38" t="s">
        <v>198</v>
      </c>
      <c r="K193" s="38" t="s">
        <v>197</v>
      </c>
      <c r="L193" s="6"/>
      <c r="M193" s="113"/>
      <c r="N193" s="45" t="s">
        <v>62</v>
      </c>
      <c r="O193" s="2" t="s">
        <v>62</v>
      </c>
      <c r="P193" s="38" t="str">
        <f>IFERROR(Table3335678[[#This Row],[Min Count]]/Table3335678[[#This Row],[Scalar]],"")</f>
        <v/>
      </c>
      <c r="Q193" s="36" t="str">
        <f>IFERROR(Table3335678[[#This Row],[Max Count]]/Table3335678[[#This Row],[Scalar]],"")</f>
        <v/>
      </c>
      <c r="R193" s="34"/>
      <c r="S193" s="34"/>
      <c r="T193" s="34" t="s">
        <v>3723</v>
      </c>
      <c r="U193" s="33" t="s">
        <v>3950</v>
      </c>
      <c r="V193" s="33" t="s">
        <v>8552</v>
      </c>
      <c r="W193" s="33"/>
      <c r="X193" s="33"/>
    </row>
    <row r="194" spans="1:24" ht="16.149999999999999" customHeight="1" x14ac:dyDescent="0.15">
      <c r="A194" s="6">
        <v>188</v>
      </c>
      <c r="B194" s="18" t="s">
        <v>75</v>
      </c>
      <c r="C194" s="43" t="s">
        <v>4267</v>
      </c>
      <c r="D194" s="43" t="s">
        <v>4270</v>
      </c>
      <c r="E194" s="36" t="s">
        <v>219</v>
      </c>
      <c r="F194" s="19">
        <v>0</v>
      </c>
      <c r="G194" s="6">
        <v>2</v>
      </c>
      <c r="H194" s="34" t="s">
        <v>7507</v>
      </c>
      <c r="I194" s="38" t="s">
        <v>196</v>
      </c>
      <c r="J194" s="38" t="s">
        <v>197</v>
      </c>
      <c r="K194" s="38" t="s">
        <v>198</v>
      </c>
      <c r="L194" s="6"/>
      <c r="M194" s="113"/>
      <c r="N194" s="45" t="s">
        <v>62</v>
      </c>
      <c r="O194" s="2" t="s">
        <v>62</v>
      </c>
      <c r="P194" s="38" t="str">
        <f>IFERROR(Table3335678[[#This Row],[Min Count]]/Table3335678[[#This Row],[Scalar]],"")</f>
        <v/>
      </c>
      <c r="Q194" s="36" t="str">
        <f>IFERROR(Table3335678[[#This Row],[Max Count]]/Table3335678[[#This Row],[Scalar]],"")</f>
        <v/>
      </c>
      <c r="R194" s="34"/>
      <c r="S194" s="34"/>
      <c r="T194" s="34" t="s">
        <v>3723</v>
      </c>
      <c r="U194" s="33" t="s">
        <v>3950</v>
      </c>
      <c r="V194" s="33" t="s">
        <v>4272</v>
      </c>
      <c r="W194" s="33"/>
      <c r="X194" s="33"/>
    </row>
    <row r="195" spans="1:24" ht="16.149999999999999" customHeight="1" x14ac:dyDescent="0.15">
      <c r="A195" s="6">
        <v>189</v>
      </c>
      <c r="B195" s="18" t="s">
        <v>75</v>
      </c>
      <c r="C195" s="43" t="s">
        <v>4267</v>
      </c>
      <c r="D195" s="43" t="s">
        <v>7508</v>
      </c>
      <c r="E195" s="36" t="s">
        <v>219</v>
      </c>
      <c r="F195" s="19">
        <v>0</v>
      </c>
      <c r="G195" s="6">
        <v>3</v>
      </c>
      <c r="H195" s="34" t="s">
        <v>7509</v>
      </c>
      <c r="I195" s="38" t="s">
        <v>171</v>
      </c>
      <c r="J195" s="38" t="s">
        <v>285</v>
      </c>
      <c r="K195" s="38" t="s">
        <v>286</v>
      </c>
      <c r="L195" s="6"/>
      <c r="M195" s="113"/>
      <c r="N195" s="45" t="s">
        <v>62</v>
      </c>
      <c r="O195" s="2" t="s">
        <v>62</v>
      </c>
      <c r="P195" s="38" t="str">
        <f>IFERROR(Table3335678[[#This Row],[Min Count]]/Table3335678[[#This Row],[Scalar]],"")</f>
        <v/>
      </c>
      <c r="Q195" s="36" t="str">
        <f>IFERROR(Table3335678[[#This Row],[Max Count]]/Table3335678[[#This Row],[Scalar]],"")</f>
        <v/>
      </c>
      <c r="R195" s="34"/>
      <c r="S195" s="34"/>
      <c r="T195" s="34" t="s">
        <v>3723</v>
      </c>
      <c r="U195" s="33" t="s">
        <v>3950</v>
      </c>
      <c r="V195" s="33" t="s">
        <v>8553</v>
      </c>
      <c r="W195" s="33"/>
      <c r="X195" s="33"/>
    </row>
    <row r="196" spans="1:24" ht="16.149999999999999" customHeight="1" x14ac:dyDescent="0.15">
      <c r="A196" s="6">
        <v>190</v>
      </c>
      <c r="B196" s="18" t="s">
        <v>75</v>
      </c>
      <c r="C196" s="43" t="s">
        <v>4267</v>
      </c>
      <c r="D196" s="43" t="s">
        <v>7510</v>
      </c>
      <c r="E196" s="36" t="s">
        <v>219</v>
      </c>
      <c r="F196" s="19">
        <v>0</v>
      </c>
      <c r="G196" s="6">
        <v>4</v>
      </c>
      <c r="H196" s="34" t="s">
        <v>7511</v>
      </c>
      <c r="I196" s="38" t="s">
        <v>196</v>
      </c>
      <c r="J196" s="38" t="s">
        <v>222</v>
      </c>
      <c r="K196" s="38" t="s">
        <v>226</v>
      </c>
      <c r="L196" s="6"/>
      <c r="M196" s="113"/>
      <c r="N196" s="45" t="s">
        <v>62</v>
      </c>
      <c r="O196" s="2" t="s">
        <v>62</v>
      </c>
      <c r="P196" s="38" t="str">
        <f>IFERROR(Table3335678[[#This Row],[Min Count]]/Table3335678[[#This Row],[Scalar]],"")</f>
        <v/>
      </c>
      <c r="Q196" s="36" t="str">
        <f>IFERROR(Table3335678[[#This Row],[Max Count]]/Table3335678[[#This Row],[Scalar]],"")</f>
        <v/>
      </c>
      <c r="R196" s="34"/>
      <c r="S196" s="34"/>
      <c r="T196" s="34" t="s">
        <v>3723</v>
      </c>
      <c r="U196" s="33" t="s">
        <v>3708</v>
      </c>
      <c r="V196" s="33" t="s">
        <v>8554</v>
      </c>
      <c r="W196" s="33"/>
      <c r="X196" s="33"/>
    </row>
    <row r="197" spans="1:24" ht="16.149999999999999" customHeight="1" x14ac:dyDescent="0.15">
      <c r="A197" s="6">
        <v>191</v>
      </c>
      <c r="B197" s="18" t="s">
        <v>75</v>
      </c>
      <c r="C197" s="43" t="s">
        <v>4267</v>
      </c>
      <c r="D197" s="43" t="s">
        <v>7512</v>
      </c>
      <c r="E197" s="36" t="s">
        <v>219</v>
      </c>
      <c r="F197" s="19">
        <v>0</v>
      </c>
      <c r="G197" s="6">
        <v>5</v>
      </c>
      <c r="H197" s="34" t="s">
        <v>7513</v>
      </c>
      <c r="I197" s="38" t="s">
        <v>196</v>
      </c>
      <c r="J197" s="38" t="s">
        <v>226</v>
      </c>
      <c r="K197" s="38" t="s">
        <v>222</v>
      </c>
      <c r="L197" s="6"/>
      <c r="M197" s="113"/>
      <c r="N197" s="45" t="s">
        <v>62</v>
      </c>
      <c r="O197" s="2" t="s">
        <v>62</v>
      </c>
      <c r="P197" s="38" t="str">
        <f>IFERROR(Table3335678[[#This Row],[Min Count]]/Table3335678[[#This Row],[Scalar]],"")</f>
        <v/>
      </c>
      <c r="Q197" s="36" t="str">
        <f>IFERROR(Table3335678[[#This Row],[Max Count]]/Table3335678[[#This Row],[Scalar]],"")</f>
        <v/>
      </c>
      <c r="R197" s="34"/>
      <c r="S197" s="34"/>
      <c r="T197" s="34" t="s">
        <v>3723</v>
      </c>
      <c r="U197" s="33" t="s">
        <v>3708</v>
      </c>
      <c r="V197" s="33" t="s">
        <v>8555</v>
      </c>
      <c r="W197" s="33"/>
      <c r="X197" s="33"/>
    </row>
    <row r="198" spans="1:24" ht="16.149999999999999" customHeight="1" x14ac:dyDescent="0.15">
      <c r="A198" s="6">
        <v>192</v>
      </c>
      <c r="B198" s="18" t="s">
        <v>75</v>
      </c>
      <c r="C198" s="43" t="s">
        <v>4267</v>
      </c>
      <c r="D198" s="43" t="s">
        <v>3949</v>
      </c>
      <c r="E198" s="36" t="s">
        <v>219</v>
      </c>
      <c r="F198" s="19">
        <v>1</v>
      </c>
      <c r="G198" s="6"/>
      <c r="H198" s="34" t="s">
        <v>3721</v>
      </c>
      <c r="I198" s="38" t="s">
        <v>196</v>
      </c>
      <c r="J198" s="38"/>
      <c r="K198" s="38"/>
      <c r="L198" s="6" t="s">
        <v>61</v>
      </c>
      <c r="M198" s="113">
        <v>1</v>
      </c>
      <c r="N198" s="45" t="s">
        <v>62</v>
      </c>
      <c r="O198" s="2" t="s">
        <v>62</v>
      </c>
      <c r="P198" s="38" t="str">
        <f>IFERROR(Table3335678[[#This Row],[Min Count]]/Table3335678[[#This Row],[Scalar]],"")</f>
        <v/>
      </c>
      <c r="Q198" s="36" t="str">
        <f>IFERROR(Table3335678[[#This Row],[Max Count]]/Table3335678[[#This Row],[Scalar]],"")</f>
        <v/>
      </c>
      <c r="R198" s="34"/>
      <c r="S198" s="34"/>
      <c r="T198" s="34" t="s">
        <v>3723</v>
      </c>
      <c r="U198" s="33" t="s">
        <v>3853</v>
      </c>
      <c r="V198" s="33" t="s">
        <v>8556</v>
      </c>
      <c r="W198" s="33"/>
      <c r="X198" s="33"/>
    </row>
    <row r="199" spans="1:24" ht="16.149999999999999" customHeight="1" x14ac:dyDescent="0.15">
      <c r="A199" s="6">
        <v>193</v>
      </c>
      <c r="B199" s="18" t="s">
        <v>75</v>
      </c>
      <c r="C199" s="43" t="s">
        <v>4267</v>
      </c>
      <c r="D199" s="43" t="s">
        <v>7514</v>
      </c>
      <c r="E199" s="36" t="s">
        <v>219</v>
      </c>
      <c r="F199" s="19">
        <v>1</v>
      </c>
      <c r="G199" s="6">
        <v>0</v>
      </c>
      <c r="H199" s="34" t="s">
        <v>7515</v>
      </c>
      <c r="I199" s="38" t="s">
        <v>196</v>
      </c>
      <c r="J199" s="38" t="s">
        <v>198</v>
      </c>
      <c r="K199" s="38" t="s">
        <v>197</v>
      </c>
      <c r="L199" s="6"/>
      <c r="M199" s="113"/>
      <c r="N199" s="45" t="s">
        <v>62</v>
      </c>
      <c r="O199" s="2" t="s">
        <v>62</v>
      </c>
      <c r="P199" s="38" t="str">
        <f>IFERROR(Table3335678[[#This Row],[Min Count]]/Table3335678[[#This Row],[Scalar]],"")</f>
        <v/>
      </c>
      <c r="Q199" s="36" t="str">
        <f>IFERROR(Table3335678[[#This Row],[Max Count]]/Table3335678[[#This Row],[Scalar]],"")</f>
        <v/>
      </c>
      <c r="R199" s="34"/>
      <c r="S199" s="34"/>
      <c r="T199" s="34" t="s">
        <v>3723</v>
      </c>
      <c r="U199" s="33" t="s">
        <v>3950</v>
      </c>
      <c r="V199" s="33" t="s">
        <v>8557</v>
      </c>
      <c r="W199" s="33"/>
      <c r="X199" s="33"/>
    </row>
    <row r="200" spans="1:24" ht="16.149999999999999" customHeight="1" x14ac:dyDescent="0.15">
      <c r="A200" s="6">
        <v>194</v>
      </c>
      <c r="B200" s="18" t="s">
        <v>75</v>
      </c>
      <c r="C200" s="43" t="s">
        <v>4267</v>
      </c>
      <c r="D200" s="43" t="s">
        <v>7516</v>
      </c>
      <c r="E200" s="36" t="s">
        <v>219</v>
      </c>
      <c r="F200" s="19">
        <v>1</v>
      </c>
      <c r="G200" s="6">
        <v>1</v>
      </c>
      <c r="H200" s="34" t="s">
        <v>7517</v>
      </c>
      <c r="I200" s="38" t="s">
        <v>196</v>
      </c>
      <c r="J200" s="38" t="s">
        <v>197</v>
      </c>
      <c r="K200" s="38" t="s">
        <v>198</v>
      </c>
      <c r="L200" s="6"/>
      <c r="M200" s="113"/>
      <c r="N200" s="45" t="s">
        <v>62</v>
      </c>
      <c r="O200" s="2" t="s">
        <v>62</v>
      </c>
      <c r="P200" s="38" t="str">
        <f>IFERROR(Table3335678[[#This Row],[Min Count]]/Table3335678[[#This Row],[Scalar]],"")</f>
        <v/>
      </c>
      <c r="Q200" s="36" t="str">
        <f>IFERROR(Table3335678[[#This Row],[Max Count]]/Table3335678[[#This Row],[Scalar]],"")</f>
        <v/>
      </c>
      <c r="R200" s="34"/>
      <c r="S200" s="34"/>
      <c r="T200" s="34" t="s">
        <v>3723</v>
      </c>
      <c r="U200" s="33" t="s">
        <v>3950</v>
      </c>
      <c r="V200" s="33" t="s">
        <v>8558</v>
      </c>
      <c r="W200" s="33"/>
      <c r="X200" s="33"/>
    </row>
    <row r="201" spans="1:24" ht="16.149999999999999" customHeight="1" x14ac:dyDescent="0.15">
      <c r="A201" s="6">
        <v>195</v>
      </c>
      <c r="B201" s="18" t="s">
        <v>75</v>
      </c>
      <c r="C201" s="43" t="s">
        <v>4267</v>
      </c>
      <c r="D201" s="43" t="s">
        <v>7518</v>
      </c>
      <c r="E201" s="36" t="s">
        <v>219</v>
      </c>
      <c r="F201" s="19">
        <v>1</v>
      </c>
      <c r="G201" s="6">
        <v>2</v>
      </c>
      <c r="H201" s="34" t="s">
        <v>7519</v>
      </c>
      <c r="I201" s="38" t="s">
        <v>196</v>
      </c>
      <c r="J201" s="38" t="s">
        <v>197</v>
      </c>
      <c r="K201" s="38" t="s">
        <v>198</v>
      </c>
      <c r="L201" s="6"/>
      <c r="M201" s="113"/>
      <c r="N201" s="45" t="s">
        <v>62</v>
      </c>
      <c r="O201" s="2" t="s">
        <v>62</v>
      </c>
      <c r="P201" s="38" t="str">
        <f>IFERROR(Table3335678[[#This Row],[Min Count]]/Table3335678[[#This Row],[Scalar]],"")</f>
        <v/>
      </c>
      <c r="Q201" s="36" t="str">
        <f>IFERROR(Table3335678[[#This Row],[Max Count]]/Table3335678[[#This Row],[Scalar]],"")</f>
        <v/>
      </c>
      <c r="R201" s="34"/>
      <c r="S201" s="34"/>
      <c r="T201" s="34" t="s">
        <v>3723</v>
      </c>
      <c r="U201" s="33" t="s">
        <v>3950</v>
      </c>
      <c r="V201" s="33" t="s">
        <v>8559</v>
      </c>
      <c r="W201" s="33"/>
      <c r="X201" s="33"/>
    </row>
    <row r="202" spans="1:24" ht="16.149999999999999" customHeight="1" x14ac:dyDescent="0.15">
      <c r="A202" s="6">
        <v>196</v>
      </c>
      <c r="B202" s="18" t="s">
        <v>75</v>
      </c>
      <c r="C202" s="43" t="s">
        <v>4267</v>
      </c>
      <c r="D202" s="43" t="s">
        <v>7520</v>
      </c>
      <c r="E202" s="36" t="s">
        <v>219</v>
      </c>
      <c r="F202" s="19">
        <v>1</v>
      </c>
      <c r="G202" s="6">
        <v>3</v>
      </c>
      <c r="H202" s="34" t="s">
        <v>7521</v>
      </c>
      <c r="I202" s="38" t="s">
        <v>196</v>
      </c>
      <c r="J202" s="38" t="s">
        <v>197</v>
      </c>
      <c r="K202" s="38" t="s">
        <v>198</v>
      </c>
      <c r="L202" s="6"/>
      <c r="M202" s="48"/>
      <c r="N202" s="45" t="s">
        <v>62</v>
      </c>
      <c r="O202" s="2" t="s">
        <v>62</v>
      </c>
      <c r="P202" s="38" t="str">
        <f>IFERROR(Table3335678[[#This Row],[Min Count]]/Table3335678[[#This Row],[Scalar]],"")</f>
        <v/>
      </c>
      <c r="Q202" s="36" t="str">
        <f>IFERROR(Table3335678[[#This Row],[Max Count]]/Table3335678[[#This Row],[Scalar]],"")</f>
        <v/>
      </c>
      <c r="R202" s="34"/>
      <c r="S202" s="34"/>
      <c r="T202" s="34" t="s">
        <v>3723</v>
      </c>
      <c r="U202" s="33" t="s">
        <v>3950</v>
      </c>
      <c r="V202" s="33" t="s">
        <v>8560</v>
      </c>
      <c r="W202" s="33"/>
      <c r="X202" s="33"/>
    </row>
    <row r="203" spans="1:24" ht="16.149999999999999" customHeight="1" x14ac:dyDescent="0.15">
      <c r="A203" s="6">
        <v>197</v>
      </c>
      <c r="B203" s="18" t="s">
        <v>75</v>
      </c>
      <c r="C203" s="43" t="s">
        <v>4267</v>
      </c>
      <c r="D203" s="43" t="s">
        <v>4641</v>
      </c>
      <c r="E203" s="36" t="s">
        <v>219</v>
      </c>
      <c r="F203" s="19">
        <v>1</v>
      </c>
      <c r="G203" s="6">
        <v>4</v>
      </c>
      <c r="H203" s="34" t="s">
        <v>7522</v>
      </c>
      <c r="I203" s="38" t="s">
        <v>196</v>
      </c>
      <c r="J203" s="38" t="s">
        <v>197</v>
      </c>
      <c r="K203" s="38" t="s">
        <v>198</v>
      </c>
      <c r="L203" s="6"/>
      <c r="M203" s="113"/>
      <c r="N203" s="45" t="s">
        <v>62</v>
      </c>
      <c r="O203" s="2" t="s">
        <v>62</v>
      </c>
      <c r="P203" s="38" t="str">
        <f>IFERROR(Table3335678[[#This Row],[Min Count]]/Table3335678[[#This Row],[Scalar]],"")</f>
        <v/>
      </c>
      <c r="Q203" s="36" t="str">
        <f>IFERROR(Table3335678[[#This Row],[Max Count]]/Table3335678[[#This Row],[Scalar]],"")</f>
        <v/>
      </c>
      <c r="R203" s="34"/>
      <c r="S203" s="34"/>
      <c r="T203" s="34" t="s">
        <v>3723</v>
      </c>
      <c r="U203" s="33" t="s">
        <v>3950</v>
      </c>
      <c r="V203" s="33" t="s">
        <v>8561</v>
      </c>
      <c r="W203" s="33"/>
      <c r="X203" s="33"/>
    </row>
    <row r="204" spans="1:24" ht="16.149999999999999" customHeight="1" x14ac:dyDescent="0.15">
      <c r="A204" s="6">
        <v>198</v>
      </c>
      <c r="B204" s="18" t="s">
        <v>75</v>
      </c>
      <c r="C204" s="43" t="s">
        <v>4267</v>
      </c>
      <c r="D204" s="43" t="s">
        <v>7523</v>
      </c>
      <c r="E204" s="36" t="s">
        <v>219</v>
      </c>
      <c r="F204" s="19">
        <v>1</v>
      </c>
      <c r="G204" s="6">
        <v>5</v>
      </c>
      <c r="H204" s="34" t="s">
        <v>7524</v>
      </c>
      <c r="I204" s="38" t="s">
        <v>196</v>
      </c>
      <c r="J204" s="38" t="s">
        <v>197</v>
      </c>
      <c r="K204" s="38" t="s">
        <v>198</v>
      </c>
      <c r="L204" s="6"/>
      <c r="M204" s="113"/>
      <c r="N204" s="45" t="s">
        <v>62</v>
      </c>
      <c r="O204" s="2" t="s">
        <v>62</v>
      </c>
      <c r="P204" s="38" t="str">
        <f>IFERROR(Table3335678[[#This Row],[Min Count]]/Table3335678[[#This Row],[Scalar]],"")</f>
        <v/>
      </c>
      <c r="Q204" s="36" t="str">
        <f>IFERROR(Table3335678[[#This Row],[Max Count]]/Table3335678[[#This Row],[Scalar]],"")</f>
        <v/>
      </c>
      <c r="R204" s="34"/>
      <c r="S204" s="34"/>
      <c r="T204" s="34" t="s">
        <v>3723</v>
      </c>
      <c r="U204" s="33" t="s">
        <v>3950</v>
      </c>
      <c r="V204" s="33" t="s">
        <v>8562</v>
      </c>
      <c r="W204" s="33"/>
      <c r="X204" s="33"/>
    </row>
    <row r="205" spans="1:24" ht="16.149999999999999" customHeight="1" x14ac:dyDescent="0.15">
      <c r="A205" s="6">
        <v>199</v>
      </c>
      <c r="B205" s="18" t="s">
        <v>75</v>
      </c>
      <c r="C205" s="43" t="s">
        <v>4267</v>
      </c>
      <c r="D205" s="43" t="s">
        <v>7525</v>
      </c>
      <c r="E205" s="36" t="s">
        <v>219</v>
      </c>
      <c r="F205" s="19">
        <v>1</v>
      </c>
      <c r="G205" s="6">
        <v>6</v>
      </c>
      <c r="H205" s="34" t="s">
        <v>7526</v>
      </c>
      <c r="I205" s="38" t="s">
        <v>196</v>
      </c>
      <c r="J205" s="38" t="s">
        <v>197</v>
      </c>
      <c r="K205" s="38" t="s">
        <v>198</v>
      </c>
      <c r="L205" s="6"/>
      <c r="M205" s="113"/>
      <c r="N205" s="45" t="s">
        <v>62</v>
      </c>
      <c r="O205" s="2" t="s">
        <v>62</v>
      </c>
      <c r="P205" s="38" t="str">
        <f>IFERROR(Table3335678[[#This Row],[Min Count]]/Table3335678[[#This Row],[Scalar]],"")</f>
        <v/>
      </c>
      <c r="Q205" s="36" t="str">
        <f>IFERROR(Table3335678[[#This Row],[Max Count]]/Table3335678[[#This Row],[Scalar]],"")</f>
        <v/>
      </c>
      <c r="R205" s="34"/>
      <c r="S205" s="34"/>
      <c r="T205" s="34" t="s">
        <v>3723</v>
      </c>
      <c r="U205" s="33" t="s">
        <v>3950</v>
      </c>
      <c r="V205" s="33" t="s">
        <v>8563</v>
      </c>
      <c r="W205" s="33"/>
      <c r="X205" s="33"/>
    </row>
    <row r="206" spans="1:24" ht="16.149999999999999" customHeight="1" x14ac:dyDescent="0.15">
      <c r="A206" s="6">
        <v>200</v>
      </c>
      <c r="B206" s="18" t="s">
        <v>75</v>
      </c>
      <c r="C206" s="43" t="s">
        <v>4267</v>
      </c>
      <c r="D206" s="43" t="s">
        <v>7527</v>
      </c>
      <c r="E206" s="36" t="s">
        <v>219</v>
      </c>
      <c r="F206" s="19">
        <v>1</v>
      </c>
      <c r="G206" s="6">
        <v>7</v>
      </c>
      <c r="H206" s="34" t="s">
        <v>7528</v>
      </c>
      <c r="I206" s="38" t="s">
        <v>196</v>
      </c>
      <c r="J206" s="38" t="s">
        <v>197</v>
      </c>
      <c r="K206" s="38" t="s">
        <v>198</v>
      </c>
      <c r="L206" s="6"/>
      <c r="M206" s="113"/>
      <c r="N206" s="45" t="s">
        <v>62</v>
      </c>
      <c r="O206" s="2" t="s">
        <v>62</v>
      </c>
      <c r="P206" s="38" t="str">
        <f>IFERROR(Table3335678[[#This Row],[Min Count]]/Table3335678[[#This Row],[Scalar]],"")</f>
        <v/>
      </c>
      <c r="Q206" s="36" t="str">
        <f>IFERROR(Table3335678[[#This Row],[Max Count]]/Table3335678[[#This Row],[Scalar]],"")</f>
        <v/>
      </c>
      <c r="R206" s="34"/>
      <c r="S206" s="34"/>
      <c r="T206" s="34" t="s">
        <v>3723</v>
      </c>
      <c r="U206" s="33" t="s">
        <v>3950</v>
      </c>
      <c r="V206" s="33" t="s">
        <v>8564</v>
      </c>
      <c r="W206" s="33"/>
      <c r="X206" s="33"/>
    </row>
    <row r="207" spans="1:24" ht="16.149999999999999" customHeight="1" x14ac:dyDescent="0.15">
      <c r="A207" s="6">
        <v>201</v>
      </c>
      <c r="B207" s="18" t="s">
        <v>75</v>
      </c>
      <c r="C207" s="43" t="s">
        <v>4267</v>
      </c>
      <c r="D207" s="43" t="s">
        <v>7529</v>
      </c>
      <c r="E207" s="36" t="s">
        <v>219</v>
      </c>
      <c r="F207" s="19">
        <v>1</v>
      </c>
      <c r="G207" s="6">
        <v>8</v>
      </c>
      <c r="H207" s="34" t="s">
        <v>7530</v>
      </c>
      <c r="I207" s="38" t="s">
        <v>196</v>
      </c>
      <c r="J207" s="6" t="s">
        <v>222</v>
      </c>
      <c r="K207" s="38" t="s">
        <v>224</v>
      </c>
      <c r="L207" s="6"/>
      <c r="M207" s="113"/>
      <c r="N207" s="45" t="s">
        <v>62</v>
      </c>
      <c r="O207" s="2" t="s">
        <v>62</v>
      </c>
      <c r="P207" s="38" t="str">
        <f>IFERROR(Table3335678[[#This Row],[Min Count]]/Table3335678[[#This Row],[Scalar]],"")</f>
        <v/>
      </c>
      <c r="Q207" s="36" t="str">
        <f>IFERROR(Table3335678[[#This Row],[Max Count]]/Table3335678[[#This Row],[Scalar]],"")</f>
        <v/>
      </c>
      <c r="R207" s="34"/>
      <c r="S207" s="34"/>
      <c r="T207" s="34" t="s">
        <v>3723</v>
      </c>
      <c r="U207" s="33" t="s">
        <v>3950</v>
      </c>
      <c r="V207" s="33" t="s">
        <v>8565</v>
      </c>
      <c r="W207" s="33"/>
      <c r="X207" s="33"/>
    </row>
    <row r="208" spans="1:24" ht="16.149999999999999" customHeight="1" x14ac:dyDescent="0.15">
      <c r="A208" s="6">
        <v>202</v>
      </c>
      <c r="B208" s="18" t="s">
        <v>75</v>
      </c>
      <c r="C208" s="43" t="s">
        <v>4267</v>
      </c>
      <c r="D208" s="43" t="s">
        <v>7531</v>
      </c>
      <c r="E208" s="36" t="s">
        <v>219</v>
      </c>
      <c r="F208" s="19">
        <v>1</v>
      </c>
      <c r="G208" s="6">
        <v>9</v>
      </c>
      <c r="H208" s="34" t="s">
        <v>7532</v>
      </c>
      <c r="I208" s="38" t="s">
        <v>196</v>
      </c>
      <c r="J208" s="6" t="s">
        <v>226</v>
      </c>
      <c r="K208" s="38" t="s">
        <v>228</v>
      </c>
      <c r="L208" s="6"/>
      <c r="M208" s="113"/>
      <c r="N208" s="45" t="s">
        <v>62</v>
      </c>
      <c r="O208" s="2" t="s">
        <v>62</v>
      </c>
      <c r="P208" s="38" t="str">
        <f>IFERROR(Table3335678[[#This Row],[Min Count]]/Table3335678[[#This Row],[Scalar]],"")</f>
        <v/>
      </c>
      <c r="Q208" s="36" t="str">
        <f>IFERROR(Table3335678[[#This Row],[Max Count]]/Table3335678[[#This Row],[Scalar]],"")</f>
        <v/>
      </c>
      <c r="R208" s="34"/>
      <c r="S208" s="34"/>
      <c r="T208" s="34" t="s">
        <v>3723</v>
      </c>
      <c r="U208" s="33" t="s">
        <v>3950</v>
      </c>
      <c r="V208" s="33" t="s">
        <v>8566</v>
      </c>
      <c r="W208" s="33"/>
      <c r="X208" s="33"/>
    </row>
    <row r="209" spans="1:24" ht="16.149999999999999" customHeight="1" x14ac:dyDescent="0.15">
      <c r="A209" s="6">
        <v>203</v>
      </c>
      <c r="B209" s="18" t="s">
        <v>75</v>
      </c>
      <c r="C209" s="43" t="s">
        <v>4267</v>
      </c>
      <c r="D209" s="43" t="s">
        <v>7533</v>
      </c>
      <c r="E209" s="36" t="s">
        <v>219</v>
      </c>
      <c r="F209" s="19">
        <v>1</v>
      </c>
      <c r="G209" s="6">
        <v>10</v>
      </c>
      <c r="H209" s="34" t="s">
        <v>7534</v>
      </c>
      <c r="I209" s="38" t="s">
        <v>196</v>
      </c>
      <c r="J209" s="6" t="s">
        <v>797</v>
      </c>
      <c r="K209" s="38" t="s">
        <v>798</v>
      </c>
      <c r="L209" s="6"/>
      <c r="M209" s="113"/>
      <c r="N209" s="45" t="s">
        <v>62</v>
      </c>
      <c r="O209" s="2" t="s">
        <v>62</v>
      </c>
      <c r="P209" s="38" t="str">
        <f>IFERROR(Table3335678[[#This Row],[Min Count]]/Table3335678[[#This Row],[Scalar]],"")</f>
        <v/>
      </c>
      <c r="Q209" s="36" t="str">
        <f>IFERROR(Table3335678[[#This Row],[Max Count]]/Table3335678[[#This Row],[Scalar]],"")</f>
        <v/>
      </c>
      <c r="R209" s="34"/>
      <c r="S209" s="34"/>
      <c r="T209" s="34" t="s">
        <v>3723</v>
      </c>
      <c r="U209" s="33" t="s">
        <v>3950</v>
      </c>
      <c r="V209" s="33" t="s">
        <v>8567</v>
      </c>
      <c r="W209" s="33"/>
      <c r="X209" s="33"/>
    </row>
    <row r="210" spans="1:24" ht="16.149999999999999" customHeight="1" x14ac:dyDescent="0.15">
      <c r="A210" s="6">
        <v>204</v>
      </c>
      <c r="B210" s="18" t="s">
        <v>75</v>
      </c>
      <c r="C210" s="43" t="s">
        <v>4267</v>
      </c>
      <c r="D210" s="43" t="s">
        <v>7535</v>
      </c>
      <c r="E210" s="36" t="s">
        <v>219</v>
      </c>
      <c r="F210" s="19">
        <v>1</v>
      </c>
      <c r="G210" s="6">
        <v>11</v>
      </c>
      <c r="H210" s="34" t="s">
        <v>7536</v>
      </c>
      <c r="I210" s="38" t="s">
        <v>196</v>
      </c>
      <c r="J210" s="6" t="s">
        <v>226</v>
      </c>
      <c r="K210" s="38" t="s">
        <v>228</v>
      </c>
      <c r="L210" s="6"/>
      <c r="M210" s="113"/>
      <c r="N210" s="45" t="s">
        <v>62</v>
      </c>
      <c r="O210" s="2" t="s">
        <v>62</v>
      </c>
      <c r="P210" s="38" t="str">
        <f>IFERROR(Table3335678[[#This Row],[Min Count]]/Table3335678[[#This Row],[Scalar]],"")</f>
        <v/>
      </c>
      <c r="Q210" s="36" t="str">
        <f>IFERROR(Table3335678[[#This Row],[Max Count]]/Table3335678[[#This Row],[Scalar]],"")</f>
        <v/>
      </c>
      <c r="R210" s="34"/>
      <c r="S210" s="34"/>
      <c r="T210" s="34" t="s">
        <v>3723</v>
      </c>
      <c r="U210" s="33" t="s">
        <v>3950</v>
      </c>
      <c r="V210" s="33" t="s">
        <v>8568</v>
      </c>
      <c r="W210" s="33"/>
      <c r="X210" s="33"/>
    </row>
    <row r="211" spans="1:24" ht="16.149999999999999" customHeight="1" x14ac:dyDescent="0.15">
      <c r="A211" s="6">
        <v>205</v>
      </c>
      <c r="B211" s="18" t="s">
        <v>75</v>
      </c>
      <c r="C211" s="43" t="s">
        <v>4267</v>
      </c>
      <c r="D211" s="43" t="s">
        <v>7537</v>
      </c>
      <c r="E211" s="36" t="s">
        <v>219</v>
      </c>
      <c r="F211" s="19">
        <v>1</v>
      </c>
      <c r="G211" s="6">
        <v>12</v>
      </c>
      <c r="H211" s="34" t="s">
        <v>7538</v>
      </c>
      <c r="I211" s="38" t="s">
        <v>196</v>
      </c>
      <c r="J211" s="6" t="s">
        <v>797</v>
      </c>
      <c r="K211" s="38" t="s">
        <v>798</v>
      </c>
      <c r="L211" s="6"/>
      <c r="M211" s="113"/>
      <c r="N211" s="45" t="s">
        <v>62</v>
      </c>
      <c r="O211" s="2" t="s">
        <v>62</v>
      </c>
      <c r="P211" s="38" t="str">
        <f>IFERROR(Table3335678[[#This Row],[Min Count]]/Table3335678[[#This Row],[Scalar]],"")</f>
        <v/>
      </c>
      <c r="Q211" s="36" t="str">
        <f>IFERROR(Table3335678[[#This Row],[Max Count]]/Table3335678[[#This Row],[Scalar]],"")</f>
        <v/>
      </c>
      <c r="R211" s="34"/>
      <c r="S211" s="34"/>
      <c r="T211" s="34" t="s">
        <v>3723</v>
      </c>
      <c r="U211" s="33" t="s">
        <v>3950</v>
      </c>
      <c r="V211" s="33" t="s">
        <v>8569</v>
      </c>
      <c r="W211" s="33"/>
      <c r="X211" s="33"/>
    </row>
    <row r="212" spans="1:24" ht="16.149999999999999" customHeight="1" x14ac:dyDescent="0.15">
      <c r="A212" s="6">
        <v>206</v>
      </c>
      <c r="B212" s="18" t="s">
        <v>75</v>
      </c>
      <c r="C212" s="43" t="s">
        <v>4267</v>
      </c>
      <c r="D212" s="43" t="s">
        <v>7539</v>
      </c>
      <c r="E212" s="36" t="s">
        <v>219</v>
      </c>
      <c r="F212" s="19">
        <v>1</v>
      </c>
      <c r="G212" s="6">
        <v>13</v>
      </c>
      <c r="H212" s="34" t="s">
        <v>7540</v>
      </c>
      <c r="I212" s="38" t="s">
        <v>171</v>
      </c>
      <c r="J212" s="6" t="s">
        <v>177</v>
      </c>
      <c r="K212" s="38" t="s">
        <v>173</v>
      </c>
      <c r="L212" s="6"/>
      <c r="M212" s="113"/>
      <c r="N212" s="45" t="s">
        <v>62</v>
      </c>
      <c r="O212" s="2" t="s">
        <v>62</v>
      </c>
      <c r="P212" s="38" t="str">
        <f>IFERROR(Table3335678[[#This Row],[Min Count]]/Table3335678[[#This Row],[Scalar]],"")</f>
        <v/>
      </c>
      <c r="Q212" s="36" t="str">
        <f>IFERROR(Table3335678[[#This Row],[Max Count]]/Table3335678[[#This Row],[Scalar]],"")</f>
        <v/>
      </c>
      <c r="R212" s="34"/>
      <c r="S212" s="34"/>
      <c r="T212" s="34" t="s">
        <v>3723</v>
      </c>
      <c r="U212" s="33" t="s">
        <v>3950</v>
      </c>
      <c r="V212" s="33" t="s">
        <v>8570</v>
      </c>
      <c r="W212" s="33"/>
      <c r="X212" s="33"/>
    </row>
    <row r="213" spans="1:24" ht="16.149999999999999" customHeight="1" x14ac:dyDescent="0.15">
      <c r="A213" s="6">
        <v>207</v>
      </c>
      <c r="B213" s="18" t="s">
        <v>75</v>
      </c>
      <c r="C213" s="43" t="s">
        <v>4267</v>
      </c>
      <c r="D213" s="43" t="s">
        <v>7541</v>
      </c>
      <c r="E213" s="36" t="s">
        <v>219</v>
      </c>
      <c r="F213" s="19">
        <v>1</v>
      </c>
      <c r="G213" s="6">
        <v>14</v>
      </c>
      <c r="H213" s="34" t="s">
        <v>7542</v>
      </c>
      <c r="I213" s="38" t="s">
        <v>196</v>
      </c>
      <c r="J213" s="6" t="s">
        <v>811</v>
      </c>
      <c r="K213" s="38" t="s">
        <v>812</v>
      </c>
      <c r="L213" s="6"/>
      <c r="M213" s="113"/>
      <c r="N213" s="45" t="s">
        <v>62</v>
      </c>
      <c r="O213" s="2" t="s">
        <v>62</v>
      </c>
      <c r="P213" s="38" t="str">
        <f>IFERROR(Table3335678[[#This Row],[Min Count]]/Table3335678[[#This Row],[Scalar]],"")</f>
        <v/>
      </c>
      <c r="Q213" s="36" t="str">
        <f>IFERROR(Table3335678[[#This Row],[Max Count]]/Table3335678[[#This Row],[Scalar]],"")</f>
        <v/>
      </c>
      <c r="R213" s="34"/>
      <c r="S213" s="34"/>
      <c r="T213" s="34" t="s">
        <v>3723</v>
      </c>
      <c r="U213" s="33" t="s">
        <v>3950</v>
      </c>
      <c r="V213" s="33" t="s">
        <v>8571</v>
      </c>
      <c r="W213" s="33"/>
      <c r="X213" s="33"/>
    </row>
    <row r="214" spans="1:24" ht="16.149999999999999" customHeight="1" x14ac:dyDescent="0.15">
      <c r="A214" s="6">
        <v>208</v>
      </c>
      <c r="B214" s="18" t="s">
        <v>75</v>
      </c>
      <c r="C214" s="43" t="s">
        <v>4267</v>
      </c>
      <c r="D214" s="43" t="s">
        <v>7543</v>
      </c>
      <c r="E214" s="36" t="s">
        <v>219</v>
      </c>
      <c r="F214" s="19">
        <v>1</v>
      </c>
      <c r="G214" s="6">
        <v>15</v>
      </c>
      <c r="H214" s="34" t="s">
        <v>7544</v>
      </c>
      <c r="I214" s="38" t="s">
        <v>196</v>
      </c>
      <c r="J214" s="6" t="s">
        <v>816</v>
      </c>
      <c r="K214" s="38" t="s">
        <v>817</v>
      </c>
      <c r="L214" s="6"/>
      <c r="M214" s="113"/>
      <c r="N214" s="45" t="s">
        <v>62</v>
      </c>
      <c r="O214" s="2" t="s">
        <v>62</v>
      </c>
      <c r="P214" s="38" t="str">
        <f>IFERROR(Table3335678[[#This Row],[Min Count]]/Table3335678[[#This Row],[Scalar]],"")</f>
        <v/>
      </c>
      <c r="Q214" s="36" t="str">
        <f>IFERROR(Table3335678[[#This Row],[Max Count]]/Table3335678[[#This Row],[Scalar]],"")</f>
        <v/>
      </c>
      <c r="R214" s="34"/>
      <c r="S214" s="34"/>
      <c r="T214" s="34" t="s">
        <v>3723</v>
      </c>
      <c r="U214" s="33" t="s">
        <v>3950</v>
      </c>
      <c r="V214" s="33" t="s">
        <v>8572</v>
      </c>
      <c r="W214" s="33"/>
      <c r="X214" s="33"/>
    </row>
    <row r="215" spans="1:24" ht="16.149999999999999" customHeight="1" x14ac:dyDescent="0.15">
      <c r="A215" s="6">
        <v>209</v>
      </c>
      <c r="B215" s="18" t="s">
        <v>75</v>
      </c>
      <c r="C215" s="43" t="s">
        <v>4267</v>
      </c>
      <c r="D215" s="43" t="s">
        <v>7545</v>
      </c>
      <c r="E215" s="36" t="s">
        <v>219</v>
      </c>
      <c r="F215" s="19">
        <v>1</v>
      </c>
      <c r="G215" s="6">
        <v>16</v>
      </c>
      <c r="H215" s="34" t="s">
        <v>7546</v>
      </c>
      <c r="I215" s="38" t="s">
        <v>171</v>
      </c>
      <c r="J215" s="6" t="s">
        <v>177</v>
      </c>
      <c r="K215" s="38" t="s">
        <v>173</v>
      </c>
      <c r="L215" s="6"/>
      <c r="M215" s="113"/>
      <c r="N215" s="45" t="s">
        <v>62</v>
      </c>
      <c r="O215" s="2" t="s">
        <v>62</v>
      </c>
      <c r="P215" s="38" t="str">
        <f>IFERROR(Table3335678[[#This Row],[Min Count]]/Table3335678[[#This Row],[Scalar]],"")</f>
        <v/>
      </c>
      <c r="Q215" s="36" t="str">
        <f>IFERROR(Table3335678[[#This Row],[Max Count]]/Table3335678[[#This Row],[Scalar]],"")</f>
        <v/>
      </c>
      <c r="R215" s="34"/>
      <c r="S215" s="34"/>
      <c r="T215" s="34" t="s">
        <v>3723</v>
      </c>
      <c r="U215" s="33" t="s">
        <v>3950</v>
      </c>
      <c r="V215" s="33" t="s">
        <v>8573</v>
      </c>
      <c r="W215" s="33"/>
      <c r="X215" s="33"/>
    </row>
    <row r="216" spans="1:24" ht="16.149999999999999" customHeight="1" x14ac:dyDescent="0.15">
      <c r="A216" s="6">
        <v>210</v>
      </c>
      <c r="B216" s="18" t="s">
        <v>75</v>
      </c>
      <c r="C216" s="43" t="s">
        <v>4267</v>
      </c>
      <c r="D216" s="43" t="s">
        <v>7547</v>
      </c>
      <c r="E216" s="36" t="s">
        <v>219</v>
      </c>
      <c r="F216" s="19">
        <v>1</v>
      </c>
      <c r="G216" s="6">
        <v>17</v>
      </c>
      <c r="H216" s="34" t="s">
        <v>7548</v>
      </c>
      <c r="I216" s="38" t="s">
        <v>171</v>
      </c>
      <c r="J216" s="6" t="s">
        <v>177</v>
      </c>
      <c r="K216" s="38" t="s">
        <v>173</v>
      </c>
      <c r="L216" s="6"/>
      <c r="M216" s="113"/>
      <c r="N216" s="45" t="s">
        <v>62</v>
      </c>
      <c r="O216" s="2" t="s">
        <v>62</v>
      </c>
      <c r="P216" s="38" t="str">
        <f>IFERROR(Table3335678[[#This Row],[Min Count]]/Table3335678[[#This Row],[Scalar]],"")</f>
        <v/>
      </c>
      <c r="Q216" s="36" t="str">
        <f>IFERROR(Table3335678[[#This Row],[Max Count]]/Table3335678[[#This Row],[Scalar]],"")</f>
        <v/>
      </c>
      <c r="R216" s="34"/>
      <c r="S216" s="34"/>
      <c r="T216" s="34" t="s">
        <v>3723</v>
      </c>
      <c r="U216" s="33" t="s">
        <v>3950</v>
      </c>
      <c r="V216" s="33" t="s">
        <v>8574</v>
      </c>
      <c r="W216" s="33"/>
      <c r="X216" s="33"/>
    </row>
    <row r="217" spans="1:24" ht="16.149999999999999" customHeight="1" x14ac:dyDescent="0.15">
      <c r="A217" s="6">
        <v>211</v>
      </c>
      <c r="B217" s="18" t="s">
        <v>75</v>
      </c>
      <c r="C217" s="43" t="s">
        <v>4267</v>
      </c>
      <c r="D217" s="43" t="s">
        <v>7549</v>
      </c>
      <c r="E217" s="36" t="s">
        <v>219</v>
      </c>
      <c r="F217" s="19">
        <v>1</v>
      </c>
      <c r="G217" s="6">
        <v>18</v>
      </c>
      <c r="H217" s="34" t="s">
        <v>7550</v>
      </c>
      <c r="I217" s="38" t="s">
        <v>171</v>
      </c>
      <c r="J217" s="6" t="s">
        <v>177</v>
      </c>
      <c r="K217" s="38" t="s">
        <v>173</v>
      </c>
      <c r="L217" s="6"/>
      <c r="M217" s="113"/>
      <c r="N217" s="45" t="s">
        <v>62</v>
      </c>
      <c r="O217" s="2" t="s">
        <v>62</v>
      </c>
      <c r="P217" s="38" t="str">
        <f>IFERROR(Table3335678[[#This Row],[Min Count]]/Table3335678[[#This Row],[Scalar]],"")</f>
        <v/>
      </c>
      <c r="Q217" s="36" t="str">
        <f>IFERROR(Table3335678[[#This Row],[Max Count]]/Table3335678[[#This Row],[Scalar]],"")</f>
        <v/>
      </c>
      <c r="R217" s="34"/>
      <c r="S217" s="34"/>
      <c r="T217" s="34" t="s">
        <v>3723</v>
      </c>
      <c r="U217" s="33" t="s">
        <v>3950</v>
      </c>
      <c r="V217" s="33" t="s">
        <v>8575</v>
      </c>
      <c r="W217" s="33"/>
      <c r="X217" s="33"/>
    </row>
    <row r="218" spans="1:24" ht="16.149999999999999" customHeight="1" x14ac:dyDescent="0.15">
      <c r="A218" s="6">
        <v>212</v>
      </c>
      <c r="B218" s="18" t="s">
        <v>75</v>
      </c>
      <c r="C218" s="43" t="s">
        <v>4267</v>
      </c>
      <c r="D218" s="43" t="s">
        <v>7551</v>
      </c>
      <c r="E218" s="36" t="s">
        <v>219</v>
      </c>
      <c r="F218" s="19">
        <v>1</v>
      </c>
      <c r="G218" s="6">
        <v>19</v>
      </c>
      <c r="H218" s="34" t="s">
        <v>7552</v>
      </c>
      <c r="I218" s="38" t="s">
        <v>196</v>
      </c>
      <c r="J218" s="6" t="s">
        <v>222</v>
      </c>
      <c r="K218" s="38" t="s">
        <v>224</v>
      </c>
      <c r="L218" s="6"/>
      <c r="M218" s="113"/>
      <c r="N218" s="45" t="s">
        <v>62</v>
      </c>
      <c r="O218" s="2" t="s">
        <v>62</v>
      </c>
      <c r="P218" s="38" t="str">
        <f>IFERROR(Table3335678[[#This Row],[Min Count]]/Table3335678[[#This Row],[Scalar]],"")</f>
        <v/>
      </c>
      <c r="Q218" s="36" t="str">
        <f>IFERROR(Table3335678[[#This Row],[Max Count]]/Table3335678[[#This Row],[Scalar]],"")</f>
        <v/>
      </c>
      <c r="R218" s="34"/>
      <c r="S218" s="34"/>
      <c r="T218" s="34" t="s">
        <v>3723</v>
      </c>
      <c r="U218" s="33" t="s">
        <v>3950</v>
      </c>
      <c r="V218" s="33" t="s">
        <v>8576</v>
      </c>
      <c r="W218" s="33"/>
      <c r="X218" s="33"/>
    </row>
    <row r="219" spans="1:24" ht="16.149999999999999" customHeight="1" x14ac:dyDescent="0.15">
      <c r="A219" s="6">
        <v>213</v>
      </c>
      <c r="B219" s="18" t="s">
        <v>75</v>
      </c>
      <c r="C219" s="43" t="s">
        <v>4267</v>
      </c>
      <c r="D219" s="43" t="s">
        <v>7553</v>
      </c>
      <c r="E219" s="36" t="s">
        <v>219</v>
      </c>
      <c r="F219" s="19">
        <v>1</v>
      </c>
      <c r="G219" s="6">
        <v>20</v>
      </c>
      <c r="H219" s="34" t="s">
        <v>7554</v>
      </c>
      <c r="I219" s="38" t="s">
        <v>196</v>
      </c>
      <c r="J219" s="6" t="s">
        <v>226</v>
      </c>
      <c r="K219" s="38" t="s">
        <v>228</v>
      </c>
      <c r="L219" s="6"/>
      <c r="M219" s="113"/>
      <c r="N219" s="45" t="s">
        <v>62</v>
      </c>
      <c r="O219" s="2" t="s">
        <v>62</v>
      </c>
      <c r="P219" s="38" t="str">
        <f>IFERROR(Table3335678[[#This Row],[Min Count]]/Table3335678[[#This Row],[Scalar]],"")</f>
        <v/>
      </c>
      <c r="Q219" s="36" t="str">
        <f>IFERROR(Table3335678[[#This Row],[Max Count]]/Table3335678[[#This Row],[Scalar]],"")</f>
        <v/>
      </c>
      <c r="R219" s="34"/>
      <c r="S219" s="34"/>
      <c r="T219" s="34" t="s">
        <v>3723</v>
      </c>
      <c r="U219" s="33" t="s">
        <v>3950</v>
      </c>
      <c r="V219" s="33" t="s">
        <v>8577</v>
      </c>
      <c r="W219" s="33"/>
      <c r="X219" s="33"/>
    </row>
    <row r="220" spans="1:24" ht="16.149999999999999" customHeight="1" x14ac:dyDescent="0.15">
      <c r="A220" s="6">
        <v>214</v>
      </c>
      <c r="B220" s="18" t="s">
        <v>75</v>
      </c>
      <c r="C220" s="43" t="s">
        <v>4267</v>
      </c>
      <c r="D220" s="43" t="s">
        <v>7555</v>
      </c>
      <c r="E220" s="36" t="s">
        <v>219</v>
      </c>
      <c r="F220" s="19">
        <v>1</v>
      </c>
      <c r="G220" s="6">
        <v>21</v>
      </c>
      <c r="H220" s="34" t="s">
        <v>7556</v>
      </c>
      <c r="I220" s="38" t="s">
        <v>196</v>
      </c>
      <c r="J220" s="6" t="s">
        <v>839</v>
      </c>
      <c r="K220" s="38" t="s">
        <v>840</v>
      </c>
      <c r="L220" s="6"/>
      <c r="M220" s="113"/>
      <c r="N220" s="45" t="s">
        <v>62</v>
      </c>
      <c r="O220" s="2" t="s">
        <v>62</v>
      </c>
      <c r="P220" s="38" t="str">
        <f>IFERROR(Table3335678[[#This Row],[Min Count]]/Table3335678[[#This Row],[Scalar]],"")</f>
        <v/>
      </c>
      <c r="Q220" s="36" t="str">
        <f>IFERROR(Table3335678[[#This Row],[Max Count]]/Table3335678[[#This Row],[Scalar]],"")</f>
        <v/>
      </c>
      <c r="R220" s="34"/>
      <c r="S220" s="34"/>
      <c r="T220" s="34" t="s">
        <v>3723</v>
      </c>
      <c r="U220" s="33" t="s">
        <v>3815</v>
      </c>
      <c r="V220" s="33" t="s">
        <v>8578</v>
      </c>
      <c r="W220" s="33"/>
      <c r="X220" s="33"/>
    </row>
    <row r="221" spans="1:24" ht="16.149999999999999" customHeight="1" x14ac:dyDescent="0.15">
      <c r="A221" s="6">
        <v>215</v>
      </c>
      <c r="B221" s="18" t="s">
        <v>75</v>
      </c>
      <c r="C221" s="43" t="s">
        <v>4267</v>
      </c>
      <c r="D221" s="43" t="s">
        <v>7557</v>
      </c>
      <c r="E221" s="36" t="s">
        <v>219</v>
      </c>
      <c r="F221" s="19">
        <v>1</v>
      </c>
      <c r="G221" s="6">
        <v>22</v>
      </c>
      <c r="H221" s="34" t="s">
        <v>7558</v>
      </c>
      <c r="I221" s="6" t="s">
        <v>2274</v>
      </c>
      <c r="J221" s="6" t="s">
        <v>286</v>
      </c>
      <c r="K221" s="38" t="s">
        <v>285</v>
      </c>
      <c r="L221" s="6"/>
      <c r="M221" s="48"/>
      <c r="N221" s="45" t="s">
        <v>62</v>
      </c>
      <c r="O221" s="2" t="s">
        <v>62</v>
      </c>
      <c r="P221" s="38" t="str">
        <f>IFERROR(Table3335678[[#This Row],[Min Count]]/Table3335678[[#This Row],[Scalar]],"")</f>
        <v/>
      </c>
      <c r="Q221" s="36" t="str">
        <f>IFERROR(Table3335678[[#This Row],[Max Count]]/Table3335678[[#This Row],[Scalar]],"")</f>
        <v/>
      </c>
      <c r="R221" s="34"/>
      <c r="S221" s="34"/>
      <c r="T221" s="34" t="s">
        <v>3723</v>
      </c>
      <c r="U221" s="33" t="s">
        <v>3950</v>
      </c>
      <c r="V221" s="33" t="s">
        <v>8579</v>
      </c>
      <c r="W221" s="33"/>
      <c r="X221" s="33"/>
    </row>
    <row r="222" spans="1:24" ht="16.149999999999999" customHeight="1" x14ac:dyDescent="0.15">
      <c r="A222" s="6">
        <v>216</v>
      </c>
      <c r="B222" s="18" t="s">
        <v>75</v>
      </c>
      <c r="C222" s="43" t="s">
        <v>4267</v>
      </c>
      <c r="D222" s="43" t="s">
        <v>4093</v>
      </c>
      <c r="E222" s="36" t="s">
        <v>219</v>
      </c>
      <c r="F222" s="19">
        <v>2</v>
      </c>
      <c r="G222" s="6"/>
      <c r="H222" s="34" t="s">
        <v>3721</v>
      </c>
      <c r="I222" s="38" t="s">
        <v>196</v>
      </c>
      <c r="J222" s="38"/>
      <c r="K222" s="38"/>
      <c r="L222" s="6" t="s">
        <v>61</v>
      </c>
      <c r="M222" s="113">
        <v>1</v>
      </c>
      <c r="N222" s="45" t="s">
        <v>62</v>
      </c>
      <c r="O222" s="2" t="s">
        <v>62</v>
      </c>
      <c r="P222" s="38" t="str">
        <f>IFERROR(Table3335678[[#This Row],[Min Count]]/Table3335678[[#This Row],[Scalar]],"")</f>
        <v/>
      </c>
      <c r="Q222" s="36" t="str">
        <f>IFERROR(Table3335678[[#This Row],[Max Count]]/Table3335678[[#This Row],[Scalar]],"")</f>
        <v/>
      </c>
      <c r="R222" s="34"/>
      <c r="S222" s="34"/>
      <c r="T222" s="34" t="s">
        <v>3723</v>
      </c>
      <c r="U222" s="33" t="s">
        <v>3853</v>
      </c>
      <c r="V222" s="33" t="s">
        <v>8580</v>
      </c>
      <c r="W222" s="33"/>
      <c r="X222" s="33"/>
    </row>
    <row r="223" spans="1:24" ht="16.149999999999999" customHeight="1" x14ac:dyDescent="0.15">
      <c r="A223" s="6">
        <v>217</v>
      </c>
      <c r="B223" s="18" t="s">
        <v>75</v>
      </c>
      <c r="C223" s="43" t="s">
        <v>4267</v>
      </c>
      <c r="D223" s="43" t="s">
        <v>7559</v>
      </c>
      <c r="E223" s="36" t="s">
        <v>219</v>
      </c>
      <c r="F223" s="19">
        <v>2</v>
      </c>
      <c r="G223" s="6">
        <v>0</v>
      </c>
      <c r="H223" s="34" t="s">
        <v>7560</v>
      </c>
      <c r="I223" s="38" t="s">
        <v>196</v>
      </c>
      <c r="J223" s="38" t="s">
        <v>198</v>
      </c>
      <c r="K223" s="38" t="s">
        <v>197</v>
      </c>
      <c r="L223" s="6"/>
      <c r="M223" s="113"/>
      <c r="N223" s="45" t="s">
        <v>62</v>
      </c>
      <c r="O223" s="2" t="s">
        <v>62</v>
      </c>
      <c r="P223" s="38" t="str">
        <f>IFERROR(Table3335678[[#This Row],[Min Count]]/Table3335678[[#This Row],[Scalar]],"")</f>
        <v/>
      </c>
      <c r="Q223" s="36" t="str">
        <f>IFERROR(Table3335678[[#This Row],[Max Count]]/Table3335678[[#This Row],[Scalar]],"")</f>
        <v/>
      </c>
      <c r="R223" s="34"/>
      <c r="S223" s="34"/>
      <c r="T223" s="34" t="s">
        <v>3723</v>
      </c>
      <c r="U223" s="33" t="s">
        <v>3950</v>
      </c>
      <c r="V223" s="33" t="s">
        <v>8581</v>
      </c>
      <c r="W223" s="33"/>
      <c r="X223" s="33"/>
    </row>
    <row r="224" spans="1:24" ht="16.149999999999999" customHeight="1" x14ac:dyDescent="0.15">
      <c r="A224" s="6">
        <v>218</v>
      </c>
      <c r="B224" s="18" t="s">
        <v>75</v>
      </c>
      <c r="C224" s="43" t="s">
        <v>4267</v>
      </c>
      <c r="D224" s="43" t="s">
        <v>7561</v>
      </c>
      <c r="E224" s="36" t="s">
        <v>219</v>
      </c>
      <c r="F224" s="19">
        <v>2</v>
      </c>
      <c r="G224" s="6">
        <v>1</v>
      </c>
      <c r="H224" s="34" t="s">
        <v>7562</v>
      </c>
      <c r="I224" s="38" t="s">
        <v>196</v>
      </c>
      <c r="J224" s="38" t="s">
        <v>197</v>
      </c>
      <c r="K224" s="38" t="s">
        <v>198</v>
      </c>
      <c r="L224" s="6"/>
      <c r="M224" s="113"/>
      <c r="N224" s="45" t="s">
        <v>62</v>
      </c>
      <c r="O224" s="2" t="s">
        <v>62</v>
      </c>
      <c r="P224" s="38" t="str">
        <f>IFERROR(Table3335678[[#This Row],[Min Count]]/Table3335678[[#This Row],[Scalar]],"")</f>
        <v/>
      </c>
      <c r="Q224" s="36" t="str">
        <f>IFERROR(Table3335678[[#This Row],[Max Count]]/Table3335678[[#This Row],[Scalar]],"")</f>
        <v/>
      </c>
      <c r="R224" s="34"/>
      <c r="S224" s="34"/>
      <c r="T224" s="34" t="s">
        <v>3723</v>
      </c>
      <c r="U224" s="33" t="s">
        <v>3950</v>
      </c>
      <c r="V224" s="33" t="s">
        <v>8582</v>
      </c>
      <c r="W224" s="33"/>
      <c r="X224" s="33"/>
    </row>
    <row r="225" spans="1:24" ht="16.149999999999999" customHeight="1" x14ac:dyDescent="0.15">
      <c r="A225" s="6">
        <v>219</v>
      </c>
      <c r="B225" s="18" t="s">
        <v>75</v>
      </c>
      <c r="C225" s="43" t="s">
        <v>4267</v>
      </c>
      <c r="D225" s="43" t="s">
        <v>7563</v>
      </c>
      <c r="E225" s="36" t="s">
        <v>219</v>
      </c>
      <c r="F225" s="19">
        <v>2</v>
      </c>
      <c r="G225" s="6">
        <v>2</v>
      </c>
      <c r="H225" s="34" t="s">
        <v>7564</v>
      </c>
      <c r="I225" s="38" t="s">
        <v>196</v>
      </c>
      <c r="J225" s="38" t="s">
        <v>197</v>
      </c>
      <c r="K225" s="38" t="s">
        <v>198</v>
      </c>
      <c r="L225" s="6"/>
      <c r="M225" s="113"/>
      <c r="N225" s="45" t="s">
        <v>62</v>
      </c>
      <c r="O225" s="2" t="s">
        <v>62</v>
      </c>
      <c r="P225" s="38" t="str">
        <f>IFERROR(Table3335678[[#This Row],[Min Count]]/Table3335678[[#This Row],[Scalar]],"")</f>
        <v/>
      </c>
      <c r="Q225" s="36" t="str">
        <f>IFERROR(Table3335678[[#This Row],[Max Count]]/Table3335678[[#This Row],[Scalar]],"")</f>
        <v/>
      </c>
      <c r="R225" s="34"/>
      <c r="S225" s="34"/>
      <c r="T225" s="34" t="s">
        <v>3723</v>
      </c>
      <c r="U225" s="33" t="s">
        <v>3950</v>
      </c>
      <c r="V225" s="33" t="s">
        <v>8583</v>
      </c>
      <c r="W225" s="33"/>
      <c r="X225" s="33"/>
    </row>
    <row r="226" spans="1:24" ht="16.149999999999999" customHeight="1" x14ac:dyDescent="0.15">
      <c r="A226" s="6">
        <v>220</v>
      </c>
      <c r="B226" s="18" t="s">
        <v>75</v>
      </c>
      <c r="C226" s="43" t="s">
        <v>4267</v>
      </c>
      <c r="D226" s="43" t="s">
        <v>7565</v>
      </c>
      <c r="E226" s="36" t="s">
        <v>219</v>
      </c>
      <c r="F226" s="19">
        <v>2</v>
      </c>
      <c r="G226" s="6">
        <v>3</v>
      </c>
      <c r="H226" s="34" t="s">
        <v>7566</v>
      </c>
      <c r="I226" s="38" t="s">
        <v>196</v>
      </c>
      <c r="J226" s="38" t="s">
        <v>197</v>
      </c>
      <c r="K226" s="38" t="s">
        <v>198</v>
      </c>
      <c r="L226" s="6"/>
      <c r="M226" s="48"/>
      <c r="N226" s="45" t="s">
        <v>62</v>
      </c>
      <c r="O226" s="2" t="s">
        <v>62</v>
      </c>
      <c r="P226" s="38" t="str">
        <f>IFERROR(Table3335678[[#This Row],[Min Count]]/Table3335678[[#This Row],[Scalar]],"")</f>
        <v/>
      </c>
      <c r="Q226" s="36" t="str">
        <f>IFERROR(Table3335678[[#This Row],[Max Count]]/Table3335678[[#This Row],[Scalar]],"")</f>
        <v/>
      </c>
      <c r="R226" s="34"/>
      <c r="S226" s="34"/>
      <c r="T226" s="34" t="s">
        <v>3723</v>
      </c>
      <c r="U226" s="33" t="s">
        <v>3950</v>
      </c>
      <c r="V226" s="33" t="s">
        <v>8584</v>
      </c>
      <c r="W226" s="33"/>
      <c r="X226" s="33"/>
    </row>
    <row r="227" spans="1:24" ht="16.149999999999999" customHeight="1" x14ac:dyDescent="0.15">
      <c r="A227" s="6">
        <v>221</v>
      </c>
      <c r="B227" s="18" t="s">
        <v>75</v>
      </c>
      <c r="C227" s="43" t="s">
        <v>4267</v>
      </c>
      <c r="D227" s="43" t="s">
        <v>4971</v>
      </c>
      <c r="E227" s="36" t="s">
        <v>219</v>
      </c>
      <c r="F227" s="19">
        <v>2</v>
      </c>
      <c r="G227" s="6">
        <v>4</v>
      </c>
      <c r="H227" s="34" t="s">
        <v>7567</v>
      </c>
      <c r="I227" s="38" t="s">
        <v>196</v>
      </c>
      <c r="J227" s="38" t="s">
        <v>197</v>
      </c>
      <c r="K227" s="38" t="s">
        <v>198</v>
      </c>
      <c r="L227" s="6"/>
      <c r="M227" s="113"/>
      <c r="N227" s="45" t="s">
        <v>62</v>
      </c>
      <c r="O227" s="2" t="s">
        <v>62</v>
      </c>
      <c r="P227" s="38" t="str">
        <f>IFERROR(Table3335678[[#This Row],[Min Count]]/Table3335678[[#This Row],[Scalar]],"")</f>
        <v/>
      </c>
      <c r="Q227" s="36" t="str">
        <f>IFERROR(Table3335678[[#This Row],[Max Count]]/Table3335678[[#This Row],[Scalar]],"")</f>
        <v/>
      </c>
      <c r="R227" s="34"/>
      <c r="S227" s="34"/>
      <c r="T227" s="34" t="s">
        <v>3723</v>
      </c>
      <c r="U227" s="33" t="s">
        <v>3950</v>
      </c>
      <c r="V227" s="33" t="s">
        <v>8585</v>
      </c>
      <c r="W227" s="33"/>
      <c r="X227" s="33"/>
    </row>
    <row r="228" spans="1:24" ht="16.149999999999999" customHeight="1" x14ac:dyDescent="0.15">
      <c r="A228" s="6">
        <v>222</v>
      </c>
      <c r="B228" s="18" t="s">
        <v>75</v>
      </c>
      <c r="C228" s="43" t="s">
        <v>4267</v>
      </c>
      <c r="D228" s="43" t="s">
        <v>7568</v>
      </c>
      <c r="E228" s="36" t="s">
        <v>219</v>
      </c>
      <c r="F228" s="19">
        <v>2</v>
      </c>
      <c r="G228" s="6">
        <v>5</v>
      </c>
      <c r="H228" s="34" t="s">
        <v>7569</v>
      </c>
      <c r="I228" s="38" t="s">
        <v>196</v>
      </c>
      <c r="J228" s="38" t="s">
        <v>197</v>
      </c>
      <c r="K228" s="38" t="s">
        <v>198</v>
      </c>
      <c r="L228" s="6"/>
      <c r="M228" s="113"/>
      <c r="N228" s="45" t="s">
        <v>62</v>
      </c>
      <c r="O228" s="2" t="s">
        <v>62</v>
      </c>
      <c r="P228" s="38" t="str">
        <f>IFERROR(Table3335678[[#This Row],[Min Count]]/Table3335678[[#This Row],[Scalar]],"")</f>
        <v/>
      </c>
      <c r="Q228" s="36" t="str">
        <f>IFERROR(Table3335678[[#This Row],[Max Count]]/Table3335678[[#This Row],[Scalar]],"")</f>
        <v/>
      </c>
      <c r="R228" s="34"/>
      <c r="S228" s="34"/>
      <c r="T228" s="34" t="s">
        <v>3723</v>
      </c>
      <c r="U228" s="33" t="s">
        <v>3950</v>
      </c>
      <c r="V228" s="33" t="s">
        <v>8586</v>
      </c>
      <c r="W228" s="33"/>
      <c r="X228" s="33"/>
    </row>
    <row r="229" spans="1:24" ht="16.149999999999999" customHeight="1" x14ac:dyDescent="0.15">
      <c r="A229" s="6">
        <v>223</v>
      </c>
      <c r="B229" s="18" t="s">
        <v>75</v>
      </c>
      <c r="C229" s="43" t="s">
        <v>4267</v>
      </c>
      <c r="D229" s="43" t="s">
        <v>7570</v>
      </c>
      <c r="E229" s="36" t="s">
        <v>219</v>
      </c>
      <c r="F229" s="19">
        <v>2</v>
      </c>
      <c r="G229" s="6">
        <v>6</v>
      </c>
      <c r="H229" s="34" t="s">
        <v>7571</v>
      </c>
      <c r="I229" s="38" t="s">
        <v>196</v>
      </c>
      <c r="J229" s="38" t="s">
        <v>197</v>
      </c>
      <c r="K229" s="38" t="s">
        <v>198</v>
      </c>
      <c r="L229" s="6"/>
      <c r="M229" s="113"/>
      <c r="N229" s="45" t="s">
        <v>62</v>
      </c>
      <c r="O229" s="2" t="s">
        <v>62</v>
      </c>
      <c r="P229" s="38" t="str">
        <f>IFERROR(Table3335678[[#This Row],[Min Count]]/Table3335678[[#This Row],[Scalar]],"")</f>
        <v/>
      </c>
      <c r="Q229" s="36" t="str">
        <f>IFERROR(Table3335678[[#This Row],[Max Count]]/Table3335678[[#This Row],[Scalar]],"")</f>
        <v/>
      </c>
      <c r="R229" s="34"/>
      <c r="S229" s="34"/>
      <c r="T229" s="34" t="s">
        <v>3723</v>
      </c>
      <c r="U229" s="33" t="s">
        <v>3950</v>
      </c>
      <c r="V229" s="33" t="s">
        <v>8587</v>
      </c>
      <c r="W229" s="33"/>
      <c r="X229" s="33"/>
    </row>
    <row r="230" spans="1:24" ht="16.149999999999999" customHeight="1" x14ac:dyDescent="0.15">
      <c r="A230" s="6">
        <v>224</v>
      </c>
      <c r="B230" s="18" t="s">
        <v>75</v>
      </c>
      <c r="C230" s="43" t="s">
        <v>4267</v>
      </c>
      <c r="D230" s="43" t="s">
        <v>7572</v>
      </c>
      <c r="E230" s="36" t="s">
        <v>219</v>
      </c>
      <c r="F230" s="19">
        <v>2</v>
      </c>
      <c r="G230" s="6">
        <v>7</v>
      </c>
      <c r="H230" s="34" t="s">
        <v>7573</v>
      </c>
      <c r="I230" s="38" t="s">
        <v>196</v>
      </c>
      <c r="J230" s="38" t="s">
        <v>197</v>
      </c>
      <c r="K230" s="38" t="s">
        <v>198</v>
      </c>
      <c r="L230" s="6"/>
      <c r="M230" s="113"/>
      <c r="N230" s="45" t="s">
        <v>62</v>
      </c>
      <c r="O230" s="2" t="s">
        <v>62</v>
      </c>
      <c r="P230" s="38" t="str">
        <f>IFERROR(Table3335678[[#This Row],[Min Count]]/Table3335678[[#This Row],[Scalar]],"")</f>
        <v/>
      </c>
      <c r="Q230" s="36" t="str">
        <f>IFERROR(Table3335678[[#This Row],[Max Count]]/Table3335678[[#This Row],[Scalar]],"")</f>
        <v/>
      </c>
      <c r="R230" s="34"/>
      <c r="S230" s="34"/>
      <c r="T230" s="34" t="s">
        <v>3723</v>
      </c>
      <c r="U230" s="33" t="s">
        <v>3950</v>
      </c>
      <c r="V230" s="33" t="s">
        <v>8588</v>
      </c>
      <c r="W230" s="33"/>
      <c r="X230" s="33"/>
    </row>
    <row r="231" spans="1:24" ht="16.149999999999999" customHeight="1" x14ac:dyDescent="0.15">
      <c r="A231" s="6">
        <v>225</v>
      </c>
      <c r="B231" s="18" t="s">
        <v>75</v>
      </c>
      <c r="C231" s="43" t="s">
        <v>4267</v>
      </c>
      <c r="D231" s="43" t="s">
        <v>7574</v>
      </c>
      <c r="E231" s="36" t="s">
        <v>219</v>
      </c>
      <c r="F231" s="19">
        <v>2</v>
      </c>
      <c r="G231" s="6">
        <v>8</v>
      </c>
      <c r="H231" s="34" t="s">
        <v>7575</v>
      </c>
      <c r="I231" s="38" t="s">
        <v>196</v>
      </c>
      <c r="J231" s="6" t="s">
        <v>222</v>
      </c>
      <c r="K231" s="38" t="s">
        <v>224</v>
      </c>
      <c r="L231" s="6"/>
      <c r="M231" s="113"/>
      <c r="N231" s="45" t="s">
        <v>62</v>
      </c>
      <c r="O231" s="2" t="s">
        <v>62</v>
      </c>
      <c r="P231" s="38" t="str">
        <f>IFERROR(Table3335678[[#This Row],[Min Count]]/Table3335678[[#This Row],[Scalar]],"")</f>
        <v/>
      </c>
      <c r="Q231" s="36" t="str">
        <f>IFERROR(Table3335678[[#This Row],[Max Count]]/Table3335678[[#This Row],[Scalar]],"")</f>
        <v/>
      </c>
      <c r="R231" s="34"/>
      <c r="S231" s="34"/>
      <c r="T231" s="34" t="s">
        <v>3723</v>
      </c>
      <c r="U231" s="33" t="s">
        <v>3950</v>
      </c>
      <c r="V231" s="33" t="s">
        <v>8589</v>
      </c>
      <c r="W231" s="33"/>
      <c r="X231" s="33"/>
    </row>
    <row r="232" spans="1:24" ht="16.149999999999999" customHeight="1" x14ac:dyDescent="0.15">
      <c r="A232" s="6">
        <v>226</v>
      </c>
      <c r="B232" s="18" t="s">
        <v>75</v>
      </c>
      <c r="C232" s="43" t="s">
        <v>4267</v>
      </c>
      <c r="D232" s="43" t="s">
        <v>7576</v>
      </c>
      <c r="E232" s="36" t="s">
        <v>219</v>
      </c>
      <c r="F232" s="19">
        <v>2</v>
      </c>
      <c r="G232" s="6">
        <v>9</v>
      </c>
      <c r="H232" s="34" t="s">
        <v>7577</v>
      </c>
      <c r="I232" s="38" t="s">
        <v>196</v>
      </c>
      <c r="J232" s="6" t="s">
        <v>226</v>
      </c>
      <c r="K232" s="38" t="s">
        <v>228</v>
      </c>
      <c r="L232" s="6"/>
      <c r="M232" s="113"/>
      <c r="N232" s="45" t="s">
        <v>62</v>
      </c>
      <c r="O232" s="2" t="s">
        <v>62</v>
      </c>
      <c r="P232" s="38" t="str">
        <f>IFERROR(Table3335678[[#This Row],[Min Count]]/Table3335678[[#This Row],[Scalar]],"")</f>
        <v/>
      </c>
      <c r="Q232" s="36" t="str">
        <f>IFERROR(Table3335678[[#This Row],[Max Count]]/Table3335678[[#This Row],[Scalar]],"")</f>
        <v/>
      </c>
      <c r="R232" s="34"/>
      <c r="S232" s="34"/>
      <c r="T232" s="34" t="s">
        <v>3723</v>
      </c>
      <c r="U232" s="33" t="s">
        <v>3950</v>
      </c>
      <c r="V232" s="33" t="s">
        <v>8590</v>
      </c>
      <c r="W232" s="33"/>
      <c r="X232" s="33"/>
    </row>
    <row r="233" spans="1:24" ht="16.149999999999999" customHeight="1" x14ac:dyDescent="0.15">
      <c r="A233" s="6">
        <v>227</v>
      </c>
      <c r="B233" s="18" t="s">
        <v>75</v>
      </c>
      <c r="C233" s="43" t="s">
        <v>4267</v>
      </c>
      <c r="D233" s="43" t="s">
        <v>7578</v>
      </c>
      <c r="E233" s="36" t="s">
        <v>219</v>
      </c>
      <c r="F233" s="19">
        <v>2</v>
      </c>
      <c r="G233" s="6">
        <v>10</v>
      </c>
      <c r="H233" s="34" t="s">
        <v>7579</v>
      </c>
      <c r="I233" s="38" t="s">
        <v>196</v>
      </c>
      <c r="J233" s="6" t="s">
        <v>797</v>
      </c>
      <c r="K233" s="38" t="s">
        <v>798</v>
      </c>
      <c r="L233" s="6"/>
      <c r="M233" s="113"/>
      <c r="N233" s="45" t="s">
        <v>62</v>
      </c>
      <c r="O233" s="2" t="s">
        <v>62</v>
      </c>
      <c r="P233" s="38" t="str">
        <f>IFERROR(Table3335678[[#This Row],[Min Count]]/Table3335678[[#This Row],[Scalar]],"")</f>
        <v/>
      </c>
      <c r="Q233" s="36" t="str">
        <f>IFERROR(Table3335678[[#This Row],[Max Count]]/Table3335678[[#This Row],[Scalar]],"")</f>
        <v/>
      </c>
      <c r="R233" s="34"/>
      <c r="S233" s="34"/>
      <c r="T233" s="34" t="s">
        <v>3723</v>
      </c>
      <c r="U233" s="33" t="s">
        <v>3950</v>
      </c>
      <c r="V233" s="33" t="s">
        <v>8591</v>
      </c>
      <c r="W233" s="33"/>
      <c r="X233" s="33"/>
    </row>
    <row r="234" spans="1:24" ht="16.149999999999999" customHeight="1" x14ac:dyDescent="0.15">
      <c r="A234" s="6">
        <v>228</v>
      </c>
      <c r="B234" s="18" t="s">
        <v>75</v>
      </c>
      <c r="C234" s="43" t="s">
        <v>4267</v>
      </c>
      <c r="D234" s="43" t="s">
        <v>7580</v>
      </c>
      <c r="E234" s="36" t="s">
        <v>219</v>
      </c>
      <c r="F234" s="19">
        <v>2</v>
      </c>
      <c r="G234" s="6">
        <v>11</v>
      </c>
      <c r="H234" s="34" t="s">
        <v>7581</v>
      </c>
      <c r="I234" s="38" t="s">
        <v>196</v>
      </c>
      <c r="J234" s="6" t="s">
        <v>226</v>
      </c>
      <c r="K234" s="38" t="s">
        <v>228</v>
      </c>
      <c r="L234" s="6"/>
      <c r="M234" s="113"/>
      <c r="N234" s="45" t="s">
        <v>62</v>
      </c>
      <c r="O234" s="2" t="s">
        <v>62</v>
      </c>
      <c r="P234" s="38" t="str">
        <f>IFERROR(Table3335678[[#This Row],[Min Count]]/Table3335678[[#This Row],[Scalar]],"")</f>
        <v/>
      </c>
      <c r="Q234" s="36" t="str">
        <f>IFERROR(Table3335678[[#This Row],[Max Count]]/Table3335678[[#This Row],[Scalar]],"")</f>
        <v/>
      </c>
      <c r="R234" s="34"/>
      <c r="S234" s="34"/>
      <c r="T234" s="34" t="s">
        <v>3723</v>
      </c>
      <c r="U234" s="33" t="s">
        <v>3950</v>
      </c>
      <c r="V234" s="33" t="s">
        <v>8592</v>
      </c>
      <c r="W234" s="33"/>
      <c r="X234" s="33"/>
    </row>
    <row r="235" spans="1:24" ht="16.149999999999999" customHeight="1" x14ac:dyDescent="0.15">
      <c r="A235" s="6">
        <v>229</v>
      </c>
      <c r="B235" s="18" t="s">
        <v>75</v>
      </c>
      <c r="C235" s="43" t="s">
        <v>4267</v>
      </c>
      <c r="D235" s="43" t="s">
        <v>7582</v>
      </c>
      <c r="E235" s="36" t="s">
        <v>219</v>
      </c>
      <c r="F235" s="19">
        <v>2</v>
      </c>
      <c r="G235" s="6">
        <v>12</v>
      </c>
      <c r="H235" s="34" t="s">
        <v>7583</v>
      </c>
      <c r="I235" s="38" t="s">
        <v>196</v>
      </c>
      <c r="J235" s="6" t="s">
        <v>797</v>
      </c>
      <c r="K235" s="38" t="s">
        <v>798</v>
      </c>
      <c r="L235" s="6"/>
      <c r="M235" s="113"/>
      <c r="N235" s="45" t="s">
        <v>62</v>
      </c>
      <c r="O235" s="2" t="s">
        <v>62</v>
      </c>
      <c r="P235" s="38" t="str">
        <f>IFERROR(Table3335678[[#This Row],[Min Count]]/Table3335678[[#This Row],[Scalar]],"")</f>
        <v/>
      </c>
      <c r="Q235" s="36" t="str">
        <f>IFERROR(Table3335678[[#This Row],[Max Count]]/Table3335678[[#This Row],[Scalar]],"")</f>
        <v/>
      </c>
      <c r="R235" s="34"/>
      <c r="S235" s="34"/>
      <c r="T235" s="34" t="s">
        <v>3723</v>
      </c>
      <c r="U235" s="33" t="s">
        <v>3950</v>
      </c>
      <c r="V235" s="33" t="s">
        <v>8593</v>
      </c>
      <c r="W235" s="33"/>
      <c r="X235" s="33"/>
    </row>
    <row r="236" spans="1:24" ht="16.149999999999999" customHeight="1" x14ac:dyDescent="0.15">
      <c r="A236" s="6">
        <v>230</v>
      </c>
      <c r="B236" s="18" t="s">
        <v>75</v>
      </c>
      <c r="C236" s="43" t="s">
        <v>4267</v>
      </c>
      <c r="D236" s="43" t="s">
        <v>7584</v>
      </c>
      <c r="E236" s="36" t="s">
        <v>219</v>
      </c>
      <c r="F236" s="19">
        <v>2</v>
      </c>
      <c r="G236" s="6">
        <v>13</v>
      </c>
      <c r="H236" s="34" t="s">
        <v>7585</v>
      </c>
      <c r="I236" s="38" t="s">
        <v>171</v>
      </c>
      <c r="J236" s="6" t="s">
        <v>177</v>
      </c>
      <c r="K236" s="38" t="s">
        <v>173</v>
      </c>
      <c r="L236" s="6"/>
      <c r="M236" s="113"/>
      <c r="N236" s="45" t="s">
        <v>62</v>
      </c>
      <c r="O236" s="2" t="s">
        <v>62</v>
      </c>
      <c r="P236" s="38" t="str">
        <f>IFERROR(Table3335678[[#This Row],[Min Count]]/Table3335678[[#This Row],[Scalar]],"")</f>
        <v/>
      </c>
      <c r="Q236" s="36" t="str">
        <f>IFERROR(Table3335678[[#This Row],[Max Count]]/Table3335678[[#This Row],[Scalar]],"")</f>
        <v/>
      </c>
      <c r="R236" s="34"/>
      <c r="S236" s="34"/>
      <c r="T236" s="34" t="s">
        <v>3723</v>
      </c>
      <c r="U236" s="33" t="s">
        <v>3950</v>
      </c>
      <c r="V236" s="33" t="s">
        <v>8594</v>
      </c>
      <c r="W236" s="33"/>
      <c r="X236" s="33"/>
    </row>
    <row r="237" spans="1:24" ht="16.149999999999999" customHeight="1" x14ac:dyDescent="0.15">
      <c r="A237" s="6">
        <v>231</v>
      </c>
      <c r="B237" s="18" t="s">
        <v>75</v>
      </c>
      <c r="C237" s="43" t="s">
        <v>4267</v>
      </c>
      <c r="D237" s="43" t="s">
        <v>7586</v>
      </c>
      <c r="E237" s="36" t="s">
        <v>219</v>
      </c>
      <c r="F237" s="19">
        <v>2</v>
      </c>
      <c r="G237" s="6">
        <v>14</v>
      </c>
      <c r="H237" s="34" t="s">
        <v>7587</v>
      </c>
      <c r="I237" s="38" t="s">
        <v>196</v>
      </c>
      <c r="J237" s="6" t="s">
        <v>811</v>
      </c>
      <c r="K237" s="38" t="s">
        <v>812</v>
      </c>
      <c r="L237" s="6"/>
      <c r="M237" s="113"/>
      <c r="N237" s="45" t="s">
        <v>62</v>
      </c>
      <c r="O237" s="2" t="s">
        <v>62</v>
      </c>
      <c r="P237" s="38" t="str">
        <f>IFERROR(Table3335678[[#This Row],[Min Count]]/Table3335678[[#This Row],[Scalar]],"")</f>
        <v/>
      </c>
      <c r="Q237" s="36" t="str">
        <f>IFERROR(Table3335678[[#This Row],[Max Count]]/Table3335678[[#This Row],[Scalar]],"")</f>
        <v/>
      </c>
      <c r="R237" s="34"/>
      <c r="S237" s="34"/>
      <c r="T237" s="34" t="s">
        <v>3723</v>
      </c>
      <c r="U237" s="33" t="s">
        <v>3950</v>
      </c>
      <c r="V237" s="33" t="s">
        <v>8595</v>
      </c>
      <c r="W237" s="33"/>
      <c r="X237" s="33"/>
    </row>
    <row r="238" spans="1:24" ht="16.149999999999999" customHeight="1" x14ac:dyDescent="0.15">
      <c r="A238" s="6">
        <v>232</v>
      </c>
      <c r="B238" s="18" t="s">
        <v>75</v>
      </c>
      <c r="C238" s="43" t="s">
        <v>4267</v>
      </c>
      <c r="D238" s="43" t="s">
        <v>7588</v>
      </c>
      <c r="E238" s="36" t="s">
        <v>219</v>
      </c>
      <c r="F238" s="19">
        <v>2</v>
      </c>
      <c r="G238" s="6">
        <v>15</v>
      </c>
      <c r="H238" s="34" t="s">
        <v>7589</v>
      </c>
      <c r="I238" s="38" t="s">
        <v>196</v>
      </c>
      <c r="J238" s="6" t="s">
        <v>816</v>
      </c>
      <c r="K238" s="38" t="s">
        <v>817</v>
      </c>
      <c r="L238" s="6"/>
      <c r="M238" s="113"/>
      <c r="N238" s="45" t="s">
        <v>62</v>
      </c>
      <c r="O238" s="2" t="s">
        <v>62</v>
      </c>
      <c r="P238" s="38" t="str">
        <f>IFERROR(Table3335678[[#This Row],[Min Count]]/Table3335678[[#This Row],[Scalar]],"")</f>
        <v/>
      </c>
      <c r="Q238" s="36" t="str">
        <f>IFERROR(Table3335678[[#This Row],[Max Count]]/Table3335678[[#This Row],[Scalar]],"")</f>
        <v/>
      </c>
      <c r="R238" s="34"/>
      <c r="S238" s="34"/>
      <c r="T238" s="34" t="s">
        <v>3723</v>
      </c>
      <c r="U238" s="33" t="s">
        <v>3950</v>
      </c>
      <c r="V238" s="33" t="s">
        <v>8596</v>
      </c>
      <c r="W238" s="33"/>
      <c r="X238" s="33"/>
    </row>
    <row r="239" spans="1:24" ht="16.149999999999999" customHeight="1" x14ac:dyDescent="0.15">
      <c r="A239" s="6">
        <v>233</v>
      </c>
      <c r="B239" s="18" t="s">
        <v>75</v>
      </c>
      <c r="C239" s="43" t="s">
        <v>4267</v>
      </c>
      <c r="D239" s="43" t="s">
        <v>7590</v>
      </c>
      <c r="E239" s="36" t="s">
        <v>219</v>
      </c>
      <c r="F239" s="19">
        <v>2</v>
      </c>
      <c r="G239" s="6">
        <v>16</v>
      </c>
      <c r="H239" s="34" t="s">
        <v>7591</v>
      </c>
      <c r="I239" s="38" t="s">
        <v>171</v>
      </c>
      <c r="J239" s="6" t="s">
        <v>177</v>
      </c>
      <c r="K239" s="38" t="s">
        <v>173</v>
      </c>
      <c r="L239" s="6"/>
      <c r="M239" s="113"/>
      <c r="N239" s="45" t="s">
        <v>62</v>
      </c>
      <c r="O239" s="2" t="s">
        <v>62</v>
      </c>
      <c r="P239" s="38" t="str">
        <f>IFERROR(Table3335678[[#This Row],[Min Count]]/Table3335678[[#This Row],[Scalar]],"")</f>
        <v/>
      </c>
      <c r="Q239" s="36" t="str">
        <f>IFERROR(Table3335678[[#This Row],[Max Count]]/Table3335678[[#This Row],[Scalar]],"")</f>
        <v/>
      </c>
      <c r="R239" s="34"/>
      <c r="S239" s="34"/>
      <c r="T239" s="34" t="s">
        <v>3723</v>
      </c>
      <c r="U239" s="33" t="s">
        <v>3950</v>
      </c>
      <c r="V239" s="33" t="s">
        <v>8597</v>
      </c>
      <c r="W239" s="33"/>
      <c r="X239" s="33"/>
    </row>
    <row r="240" spans="1:24" ht="16.149999999999999" customHeight="1" x14ac:dyDescent="0.15">
      <c r="A240" s="6">
        <v>234</v>
      </c>
      <c r="B240" s="18" t="s">
        <v>75</v>
      </c>
      <c r="C240" s="43" t="s">
        <v>4267</v>
      </c>
      <c r="D240" s="43" t="s">
        <v>7592</v>
      </c>
      <c r="E240" s="36" t="s">
        <v>219</v>
      </c>
      <c r="F240" s="19">
        <v>2</v>
      </c>
      <c r="G240" s="6">
        <v>17</v>
      </c>
      <c r="H240" s="34" t="s">
        <v>7593</v>
      </c>
      <c r="I240" s="38" t="s">
        <v>171</v>
      </c>
      <c r="J240" s="6" t="s">
        <v>177</v>
      </c>
      <c r="K240" s="38" t="s">
        <v>173</v>
      </c>
      <c r="L240" s="6"/>
      <c r="M240" s="113"/>
      <c r="N240" s="45" t="s">
        <v>62</v>
      </c>
      <c r="O240" s="2" t="s">
        <v>62</v>
      </c>
      <c r="P240" s="38" t="str">
        <f>IFERROR(Table3335678[[#This Row],[Min Count]]/Table3335678[[#This Row],[Scalar]],"")</f>
        <v/>
      </c>
      <c r="Q240" s="36" t="str">
        <f>IFERROR(Table3335678[[#This Row],[Max Count]]/Table3335678[[#This Row],[Scalar]],"")</f>
        <v/>
      </c>
      <c r="R240" s="34"/>
      <c r="S240" s="34"/>
      <c r="T240" s="34" t="s">
        <v>3723</v>
      </c>
      <c r="U240" s="33" t="s">
        <v>3950</v>
      </c>
      <c r="V240" s="33" t="s">
        <v>8598</v>
      </c>
      <c r="W240" s="33"/>
      <c r="X240" s="33"/>
    </row>
    <row r="241" spans="1:24" ht="16.149999999999999" customHeight="1" x14ac:dyDescent="0.15">
      <c r="A241" s="6">
        <v>235</v>
      </c>
      <c r="B241" s="18" t="s">
        <v>75</v>
      </c>
      <c r="C241" s="43" t="s">
        <v>4267</v>
      </c>
      <c r="D241" s="43" t="s">
        <v>7594</v>
      </c>
      <c r="E241" s="36" t="s">
        <v>219</v>
      </c>
      <c r="F241" s="19">
        <v>2</v>
      </c>
      <c r="G241" s="6">
        <v>18</v>
      </c>
      <c r="H241" s="34" t="s">
        <v>7595</v>
      </c>
      <c r="I241" s="38" t="s">
        <v>171</v>
      </c>
      <c r="J241" s="6" t="s">
        <v>177</v>
      </c>
      <c r="K241" s="38" t="s">
        <v>173</v>
      </c>
      <c r="L241" s="6"/>
      <c r="M241" s="113"/>
      <c r="N241" s="45" t="s">
        <v>62</v>
      </c>
      <c r="O241" s="2" t="s">
        <v>62</v>
      </c>
      <c r="P241" s="38" t="str">
        <f>IFERROR(Table3335678[[#This Row],[Min Count]]/Table3335678[[#This Row],[Scalar]],"")</f>
        <v/>
      </c>
      <c r="Q241" s="36" t="str">
        <f>IFERROR(Table3335678[[#This Row],[Max Count]]/Table3335678[[#This Row],[Scalar]],"")</f>
        <v/>
      </c>
      <c r="R241" s="34"/>
      <c r="S241" s="34"/>
      <c r="T241" s="34" t="s">
        <v>3723</v>
      </c>
      <c r="U241" s="33" t="s">
        <v>3950</v>
      </c>
      <c r="V241" s="33" t="s">
        <v>8599</v>
      </c>
      <c r="W241" s="33"/>
      <c r="X241" s="33"/>
    </row>
    <row r="242" spans="1:24" ht="16.149999999999999" customHeight="1" x14ac:dyDescent="0.15">
      <c r="A242" s="6">
        <v>236</v>
      </c>
      <c r="B242" s="18" t="s">
        <v>75</v>
      </c>
      <c r="C242" s="43" t="s">
        <v>4267</v>
      </c>
      <c r="D242" s="43" t="s">
        <v>7596</v>
      </c>
      <c r="E242" s="36" t="s">
        <v>219</v>
      </c>
      <c r="F242" s="19">
        <v>2</v>
      </c>
      <c r="G242" s="6">
        <v>19</v>
      </c>
      <c r="H242" s="34" t="s">
        <v>7597</v>
      </c>
      <c r="I242" s="38" t="s">
        <v>196</v>
      </c>
      <c r="J242" s="6" t="s">
        <v>222</v>
      </c>
      <c r="K242" s="38" t="s">
        <v>224</v>
      </c>
      <c r="L242" s="6"/>
      <c r="M242" s="113"/>
      <c r="N242" s="45" t="s">
        <v>62</v>
      </c>
      <c r="O242" s="2" t="s">
        <v>62</v>
      </c>
      <c r="P242" s="38" t="str">
        <f>IFERROR(Table3335678[[#This Row],[Min Count]]/Table3335678[[#This Row],[Scalar]],"")</f>
        <v/>
      </c>
      <c r="Q242" s="36" t="str">
        <f>IFERROR(Table3335678[[#This Row],[Max Count]]/Table3335678[[#This Row],[Scalar]],"")</f>
        <v/>
      </c>
      <c r="R242" s="34"/>
      <c r="S242" s="34"/>
      <c r="T242" s="34" t="s">
        <v>3723</v>
      </c>
      <c r="U242" s="33" t="s">
        <v>3950</v>
      </c>
      <c r="V242" s="33" t="s">
        <v>8600</v>
      </c>
      <c r="W242" s="33"/>
      <c r="X242" s="33"/>
    </row>
    <row r="243" spans="1:24" ht="16.149999999999999" customHeight="1" x14ac:dyDescent="0.15">
      <c r="A243" s="6">
        <v>237</v>
      </c>
      <c r="B243" s="18" t="s">
        <v>75</v>
      </c>
      <c r="C243" s="43" t="s">
        <v>4267</v>
      </c>
      <c r="D243" s="43" t="s">
        <v>7598</v>
      </c>
      <c r="E243" s="36" t="s">
        <v>219</v>
      </c>
      <c r="F243" s="19">
        <v>2</v>
      </c>
      <c r="G243" s="6">
        <v>20</v>
      </c>
      <c r="H243" s="34" t="s">
        <v>7599</v>
      </c>
      <c r="I243" s="38" t="s">
        <v>196</v>
      </c>
      <c r="J243" s="6" t="s">
        <v>226</v>
      </c>
      <c r="K243" s="38" t="s">
        <v>228</v>
      </c>
      <c r="L243" s="6"/>
      <c r="M243" s="113"/>
      <c r="N243" s="45" t="s">
        <v>62</v>
      </c>
      <c r="O243" s="2" t="s">
        <v>62</v>
      </c>
      <c r="P243" s="38" t="str">
        <f>IFERROR(Table3335678[[#This Row],[Min Count]]/Table3335678[[#This Row],[Scalar]],"")</f>
        <v/>
      </c>
      <c r="Q243" s="36" t="str">
        <f>IFERROR(Table3335678[[#This Row],[Max Count]]/Table3335678[[#This Row],[Scalar]],"")</f>
        <v/>
      </c>
      <c r="R243" s="34"/>
      <c r="S243" s="34"/>
      <c r="T243" s="34" t="s">
        <v>3723</v>
      </c>
      <c r="U243" s="33" t="s">
        <v>3950</v>
      </c>
      <c r="V243" s="33" t="s">
        <v>8601</v>
      </c>
      <c r="W243" s="33"/>
      <c r="X243" s="33"/>
    </row>
    <row r="244" spans="1:24" ht="16.149999999999999" customHeight="1" x14ac:dyDescent="0.15">
      <c r="A244" s="6">
        <v>238</v>
      </c>
      <c r="B244" s="18" t="s">
        <v>75</v>
      </c>
      <c r="C244" s="43" t="s">
        <v>4267</v>
      </c>
      <c r="D244" s="43" t="s">
        <v>7600</v>
      </c>
      <c r="E244" s="36" t="s">
        <v>219</v>
      </c>
      <c r="F244" s="19">
        <v>2</v>
      </c>
      <c r="G244" s="6">
        <v>21</v>
      </c>
      <c r="H244" s="34" t="s">
        <v>7601</v>
      </c>
      <c r="I244" s="38" t="s">
        <v>196</v>
      </c>
      <c r="J244" s="6" t="s">
        <v>839</v>
      </c>
      <c r="K244" s="38" t="s">
        <v>840</v>
      </c>
      <c r="L244" s="6"/>
      <c r="M244" s="113"/>
      <c r="N244" s="45" t="s">
        <v>62</v>
      </c>
      <c r="O244" s="2" t="s">
        <v>62</v>
      </c>
      <c r="P244" s="38" t="str">
        <f>IFERROR(Table3335678[[#This Row],[Min Count]]/Table3335678[[#This Row],[Scalar]],"")</f>
        <v/>
      </c>
      <c r="Q244" s="36" t="str">
        <f>IFERROR(Table3335678[[#This Row],[Max Count]]/Table3335678[[#This Row],[Scalar]],"")</f>
        <v/>
      </c>
      <c r="R244" s="34"/>
      <c r="S244" s="34"/>
      <c r="T244" s="34" t="s">
        <v>3723</v>
      </c>
      <c r="U244" s="33" t="s">
        <v>3815</v>
      </c>
      <c r="V244" s="33" t="s">
        <v>8602</v>
      </c>
      <c r="W244" s="33"/>
      <c r="X244" s="33"/>
    </row>
    <row r="245" spans="1:24" ht="16.149999999999999" customHeight="1" x14ac:dyDescent="0.15">
      <c r="A245" s="6">
        <v>239</v>
      </c>
      <c r="B245" s="18" t="s">
        <v>75</v>
      </c>
      <c r="C245" s="43" t="s">
        <v>4267</v>
      </c>
      <c r="D245" s="43" t="s">
        <v>7602</v>
      </c>
      <c r="E245" s="36" t="s">
        <v>219</v>
      </c>
      <c r="F245" s="19">
        <v>2</v>
      </c>
      <c r="G245" s="6">
        <v>22</v>
      </c>
      <c r="H245" s="34" t="s">
        <v>7603</v>
      </c>
      <c r="I245" s="6" t="s">
        <v>2274</v>
      </c>
      <c r="J245" s="6" t="s">
        <v>286</v>
      </c>
      <c r="K245" s="38" t="s">
        <v>285</v>
      </c>
      <c r="L245" s="6"/>
      <c r="M245" s="48"/>
      <c r="N245" s="45" t="s">
        <v>62</v>
      </c>
      <c r="O245" s="2" t="s">
        <v>62</v>
      </c>
      <c r="P245" s="38" t="str">
        <f>IFERROR(Table3335678[[#This Row],[Min Count]]/Table3335678[[#This Row],[Scalar]],"")</f>
        <v/>
      </c>
      <c r="Q245" s="36" t="str">
        <f>IFERROR(Table3335678[[#This Row],[Max Count]]/Table3335678[[#This Row],[Scalar]],"")</f>
        <v/>
      </c>
      <c r="R245" s="34"/>
      <c r="S245" s="34"/>
      <c r="T245" s="34" t="s">
        <v>3723</v>
      </c>
      <c r="U245" s="33" t="s">
        <v>3950</v>
      </c>
      <c r="V245" s="33" t="s">
        <v>8603</v>
      </c>
      <c r="W245" s="33"/>
      <c r="X245" s="33"/>
    </row>
    <row r="246" spans="1:24" ht="16.149999999999999" customHeight="1" x14ac:dyDescent="0.15">
      <c r="A246" s="6">
        <v>240</v>
      </c>
      <c r="B246" s="18" t="s">
        <v>75</v>
      </c>
      <c r="C246" s="43" t="s">
        <v>4267</v>
      </c>
      <c r="D246" s="43" t="s">
        <v>7604</v>
      </c>
      <c r="E246" s="36" t="s">
        <v>219</v>
      </c>
      <c r="F246" s="19">
        <v>3</v>
      </c>
      <c r="G246" s="6"/>
      <c r="H246" s="34" t="s">
        <v>3721</v>
      </c>
      <c r="I246" s="38" t="s">
        <v>196</v>
      </c>
      <c r="J246" s="38"/>
      <c r="K246" s="38"/>
      <c r="L246" s="6"/>
      <c r="M246" s="113"/>
      <c r="N246" s="45" t="s">
        <v>62</v>
      </c>
      <c r="O246" s="2" t="s">
        <v>62</v>
      </c>
      <c r="P246" s="38" t="str">
        <f>IFERROR(Table3335678[[#This Row],[Min Count]]/Table3335678[[#This Row],[Scalar]],"")</f>
        <v/>
      </c>
      <c r="Q246" s="36" t="str">
        <f>IFERROR(Table3335678[[#This Row],[Max Count]]/Table3335678[[#This Row],[Scalar]],"")</f>
        <v/>
      </c>
      <c r="R246" s="34"/>
      <c r="S246" s="34"/>
      <c r="T246" s="34" t="s">
        <v>3723</v>
      </c>
      <c r="U246" s="33" t="s">
        <v>3853</v>
      </c>
      <c r="V246" s="33" t="s">
        <v>8604</v>
      </c>
      <c r="W246" s="33"/>
      <c r="X246" s="33"/>
    </row>
    <row r="247" spans="1:24" ht="16.149999999999999" customHeight="1" x14ac:dyDescent="0.15">
      <c r="A247" s="6">
        <v>241</v>
      </c>
      <c r="B247" s="18" t="s">
        <v>75</v>
      </c>
      <c r="C247" s="43" t="s">
        <v>4267</v>
      </c>
      <c r="D247" s="43" t="s">
        <v>7605</v>
      </c>
      <c r="E247" s="36" t="s">
        <v>219</v>
      </c>
      <c r="F247" s="19">
        <v>3</v>
      </c>
      <c r="G247" s="6">
        <v>0</v>
      </c>
      <c r="H247" s="34" t="s">
        <v>7606</v>
      </c>
      <c r="I247" s="38" t="s">
        <v>171</v>
      </c>
      <c r="J247" s="6" t="s">
        <v>172</v>
      </c>
      <c r="K247" s="38" t="s">
        <v>173</v>
      </c>
      <c r="L247" s="6"/>
      <c r="M247" s="113"/>
      <c r="N247" s="45" t="s">
        <v>62</v>
      </c>
      <c r="O247" s="2" t="s">
        <v>62</v>
      </c>
      <c r="P247" s="38" t="str">
        <f>IFERROR(Table3335678[[#This Row],[Min Count]]/Table3335678[[#This Row],[Scalar]],"")</f>
        <v/>
      </c>
      <c r="Q247" s="36" t="str">
        <f>IFERROR(Table3335678[[#This Row],[Max Count]]/Table3335678[[#This Row],[Scalar]],"")</f>
        <v/>
      </c>
      <c r="R247" s="34"/>
      <c r="S247" s="34"/>
      <c r="T247" s="34" t="s">
        <v>3723</v>
      </c>
      <c r="U247" s="33" t="s">
        <v>4343</v>
      </c>
      <c r="V247" s="33" t="s">
        <v>8605</v>
      </c>
      <c r="W247" s="33"/>
      <c r="X247" s="33"/>
    </row>
    <row r="248" spans="1:24" ht="16.149999999999999" customHeight="1" x14ac:dyDescent="0.15">
      <c r="A248" s="6">
        <v>242</v>
      </c>
      <c r="B248" s="18" t="s">
        <v>75</v>
      </c>
      <c r="C248" s="43" t="s">
        <v>4267</v>
      </c>
      <c r="D248" s="43" t="s">
        <v>7607</v>
      </c>
      <c r="E248" s="36" t="s">
        <v>219</v>
      </c>
      <c r="F248" s="19">
        <v>3</v>
      </c>
      <c r="G248" s="6">
        <v>1</v>
      </c>
      <c r="H248" s="34" t="s">
        <v>7608</v>
      </c>
      <c r="I248" s="38" t="s">
        <v>171</v>
      </c>
      <c r="J248" s="6" t="s">
        <v>172</v>
      </c>
      <c r="K248" s="38" t="s">
        <v>173</v>
      </c>
      <c r="L248" s="6"/>
      <c r="M248" s="113"/>
      <c r="N248" s="45" t="s">
        <v>62</v>
      </c>
      <c r="O248" s="2" t="s">
        <v>62</v>
      </c>
      <c r="P248" s="38" t="str">
        <f>IFERROR(Table3335678[[#This Row],[Min Count]]/Table3335678[[#This Row],[Scalar]],"")</f>
        <v/>
      </c>
      <c r="Q248" s="36" t="str">
        <f>IFERROR(Table3335678[[#This Row],[Max Count]]/Table3335678[[#This Row],[Scalar]],"")</f>
        <v/>
      </c>
      <c r="R248" s="34"/>
      <c r="S248" s="34"/>
      <c r="T248" s="34" t="s">
        <v>3723</v>
      </c>
      <c r="U248" s="33" t="s">
        <v>4343</v>
      </c>
      <c r="V248" s="33" t="s">
        <v>8606</v>
      </c>
      <c r="W248" s="33"/>
      <c r="X248" s="33"/>
    </row>
    <row r="249" spans="1:24" ht="16.149999999999999" customHeight="1" x14ac:dyDescent="0.15">
      <c r="A249" s="6">
        <v>243</v>
      </c>
      <c r="B249" s="18" t="s">
        <v>75</v>
      </c>
      <c r="C249" s="43" t="s">
        <v>4267</v>
      </c>
      <c r="D249" s="43" t="s">
        <v>6065</v>
      </c>
      <c r="E249" s="36" t="s">
        <v>219</v>
      </c>
      <c r="F249" s="19">
        <v>3</v>
      </c>
      <c r="G249" s="6">
        <v>2</v>
      </c>
      <c r="H249" s="34" t="s">
        <v>7609</v>
      </c>
      <c r="I249" s="38" t="s">
        <v>171</v>
      </c>
      <c r="J249" s="6" t="s">
        <v>172</v>
      </c>
      <c r="K249" s="38" t="s">
        <v>173</v>
      </c>
      <c r="L249" s="6"/>
      <c r="M249" s="113"/>
      <c r="N249" s="45" t="s">
        <v>62</v>
      </c>
      <c r="O249" s="2" t="s">
        <v>62</v>
      </c>
      <c r="P249" s="38" t="str">
        <f>IFERROR(Table3335678[[#This Row],[Min Count]]/Table3335678[[#This Row],[Scalar]],"")</f>
        <v/>
      </c>
      <c r="Q249" s="36" t="str">
        <f>IFERROR(Table3335678[[#This Row],[Max Count]]/Table3335678[[#This Row],[Scalar]],"")</f>
        <v/>
      </c>
      <c r="R249" s="34"/>
      <c r="S249" s="34"/>
      <c r="T249" s="34" t="s">
        <v>3723</v>
      </c>
      <c r="U249" s="33" t="s">
        <v>4343</v>
      </c>
      <c r="V249" s="33" t="s">
        <v>8607</v>
      </c>
      <c r="W249" s="33"/>
      <c r="X249" s="33"/>
    </row>
    <row r="250" spans="1:24" ht="16.149999999999999" customHeight="1" x14ac:dyDescent="0.15">
      <c r="A250" s="6">
        <v>244</v>
      </c>
      <c r="B250" s="18" t="s">
        <v>75</v>
      </c>
      <c r="C250" s="43" t="s">
        <v>4267</v>
      </c>
      <c r="D250" s="43" t="s">
        <v>7610</v>
      </c>
      <c r="E250" s="36" t="s">
        <v>219</v>
      </c>
      <c r="F250" s="19">
        <v>3</v>
      </c>
      <c r="G250" s="6">
        <v>3</v>
      </c>
      <c r="H250" s="34" t="s">
        <v>7611</v>
      </c>
      <c r="I250" s="38" t="s">
        <v>171</v>
      </c>
      <c r="J250" s="6" t="s">
        <v>172</v>
      </c>
      <c r="K250" s="38" t="s">
        <v>173</v>
      </c>
      <c r="L250" s="6"/>
      <c r="M250" s="113"/>
      <c r="N250" s="45" t="s">
        <v>62</v>
      </c>
      <c r="O250" s="2" t="s">
        <v>62</v>
      </c>
      <c r="P250" s="38" t="str">
        <f>IFERROR(Table3335678[[#This Row],[Min Count]]/Table3335678[[#This Row],[Scalar]],"")</f>
        <v/>
      </c>
      <c r="Q250" s="36" t="str">
        <f>IFERROR(Table3335678[[#This Row],[Max Count]]/Table3335678[[#This Row],[Scalar]],"")</f>
        <v/>
      </c>
      <c r="R250" s="34"/>
      <c r="S250" s="34"/>
      <c r="T250" s="34" t="s">
        <v>3723</v>
      </c>
      <c r="U250" s="33" t="s">
        <v>4343</v>
      </c>
      <c r="V250" s="33" t="s">
        <v>8608</v>
      </c>
      <c r="W250" s="33"/>
      <c r="X250" s="33"/>
    </row>
    <row r="251" spans="1:24" ht="16.149999999999999" customHeight="1" x14ac:dyDescent="0.15">
      <c r="A251" s="6">
        <v>245</v>
      </c>
      <c r="B251" s="18" t="s">
        <v>75</v>
      </c>
      <c r="C251" s="43" t="s">
        <v>4267</v>
      </c>
      <c r="D251" s="43" t="s">
        <v>7612</v>
      </c>
      <c r="E251" s="36" t="s">
        <v>219</v>
      </c>
      <c r="F251" s="19">
        <v>3</v>
      </c>
      <c r="G251" s="6">
        <v>4</v>
      </c>
      <c r="H251" s="34" t="s">
        <v>7613</v>
      </c>
      <c r="I251" s="38" t="s">
        <v>171</v>
      </c>
      <c r="J251" s="6" t="s">
        <v>172</v>
      </c>
      <c r="K251" s="38" t="s">
        <v>173</v>
      </c>
      <c r="L251" s="6"/>
      <c r="M251" s="113"/>
      <c r="N251" s="45" t="s">
        <v>62</v>
      </c>
      <c r="O251" s="2" t="s">
        <v>62</v>
      </c>
      <c r="P251" s="38" t="str">
        <f>IFERROR(Table3335678[[#This Row],[Min Count]]/Table3335678[[#This Row],[Scalar]],"")</f>
        <v/>
      </c>
      <c r="Q251" s="36" t="str">
        <f>IFERROR(Table3335678[[#This Row],[Max Count]]/Table3335678[[#This Row],[Scalar]],"")</f>
        <v/>
      </c>
      <c r="R251" s="34"/>
      <c r="S251" s="34"/>
      <c r="T251" s="34" t="s">
        <v>3723</v>
      </c>
      <c r="U251" s="33" t="s">
        <v>4343</v>
      </c>
      <c r="V251" s="33" t="s">
        <v>8609</v>
      </c>
      <c r="W251" s="33"/>
      <c r="X251" s="33"/>
    </row>
    <row r="252" spans="1:24" ht="16.149999999999999" customHeight="1" x14ac:dyDescent="0.15">
      <c r="A252" s="6">
        <v>246</v>
      </c>
      <c r="B252" s="18" t="s">
        <v>75</v>
      </c>
      <c r="C252" s="43" t="s">
        <v>4267</v>
      </c>
      <c r="D252" s="43" t="s">
        <v>7614</v>
      </c>
      <c r="E252" s="36" t="s">
        <v>219</v>
      </c>
      <c r="F252" s="19">
        <v>3</v>
      </c>
      <c r="G252" s="6">
        <v>5</v>
      </c>
      <c r="H252" s="34" t="s">
        <v>7615</v>
      </c>
      <c r="I252" s="38" t="s">
        <v>171</v>
      </c>
      <c r="J252" s="6" t="s">
        <v>172</v>
      </c>
      <c r="K252" s="38" t="s">
        <v>173</v>
      </c>
      <c r="L252" s="6"/>
      <c r="M252" s="113"/>
      <c r="N252" s="45" t="s">
        <v>62</v>
      </c>
      <c r="O252" s="2" t="s">
        <v>62</v>
      </c>
      <c r="P252" s="38" t="str">
        <f>IFERROR(Table3335678[[#This Row],[Min Count]]/Table3335678[[#This Row],[Scalar]],"")</f>
        <v/>
      </c>
      <c r="Q252" s="36" t="str">
        <f>IFERROR(Table3335678[[#This Row],[Max Count]]/Table3335678[[#This Row],[Scalar]],"")</f>
        <v/>
      </c>
      <c r="R252" s="34"/>
      <c r="S252" s="34"/>
      <c r="T252" s="34" t="s">
        <v>3723</v>
      </c>
      <c r="U252" s="33" t="s">
        <v>4343</v>
      </c>
      <c r="V252" s="33" t="s">
        <v>8610</v>
      </c>
      <c r="W252" s="33"/>
      <c r="X252" s="33"/>
    </row>
    <row r="253" spans="1:24" ht="16.149999999999999" customHeight="1" x14ac:dyDescent="0.15">
      <c r="A253" s="6">
        <v>247</v>
      </c>
      <c r="B253" s="18" t="s">
        <v>75</v>
      </c>
      <c r="C253" s="43" t="s">
        <v>4267</v>
      </c>
      <c r="D253" s="43" t="s">
        <v>7616</v>
      </c>
      <c r="E253" s="36" t="s">
        <v>219</v>
      </c>
      <c r="F253" s="19">
        <v>3</v>
      </c>
      <c r="G253" s="6">
        <v>6</v>
      </c>
      <c r="H253" s="34" t="s">
        <v>7617</v>
      </c>
      <c r="I253" s="38" t="s">
        <v>171</v>
      </c>
      <c r="J253" s="6" t="s">
        <v>172</v>
      </c>
      <c r="K253" s="38" t="s">
        <v>173</v>
      </c>
      <c r="L253" s="6"/>
      <c r="M253" s="113"/>
      <c r="N253" s="45" t="s">
        <v>62</v>
      </c>
      <c r="O253" s="2" t="s">
        <v>62</v>
      </c>
      <c r="P253" s="38" t="str">
        <f>IFERROR(Table3335678[[#This Row],[Min Count]]/Table3335678[[#This Row],[Scalar]],"")</f>
        <v/>
      </c>
      <c r="Q253" s="36" t="str">
        <f>IFERROR(Table3335678[[#This Row],[Max Count]]/Table3335678[[#This Row],[Scalar]],"")</f>
        <v/>
      </c>
      <c r="R253" s="34"/>
      <c r="S253" s="34"/>
      <c r="T253" s="34" t="s">
        <v>3723</v>
      </c>
      <c r="U253" s="33" t="s">
        <v>4343</v>
      </c>
      <c r="V253" s="33" t="s">
        <v>8611</v>
      </c>
      <c r="W253" s="33"/>
      <c r="X253" s="33"/>
    </row>
    <row r="254" spans="1:24" ht="16.149999999999999" customHeight="1" x14ac:dyDescent="0.15">
      <c r="A254" s="6">
        <v>248</v>
      </c>
      <c r="B254" s="18" t="s">
        <v>75</v>
      </c>
      <c r="C254" s="43" t="s">
        <v>4267</v>
      </c>
      <c r="D254" s="43" t="s">
        <v>7618</v>
      </c>
      <c r="E254" s="36" t="s">
        <v>219</v>
      </c>
      <c r="F254" s="19">
        <v>3</v>
      </c>
      <c r="G254" s="6">
        <v>7</v>
      </c>
      <c r="H254" s="34" t="s">
        <v>7619</v>
      </c>
      <c r="I254" s="38" t="s">
        <v>171</v>
      </c>
      <c r="J254" s="6" t="s">
        <v>172</v>
      </c>
      <c r="K254" s="38" t="s">
        <v>173</v>
      </c>
      <c r="L254" s="6"/>
      <c r="M254" s="113"/>
      <c r="N254" s="45" t="s">
        <v>62</v>
      </c>
      <c r="O254" s="2" t="s">
        <v>62</v>
      </c>
      <c r="P254" s="38" t="str">
        <f>IFERROR(Table3335678[[#This Row],[Min Count]]/Table3335678[[#This Row],[Scalar]],"")</f>
        <v/>
      </c>
      <c r="Q254" s="36" t="str">
        <f>IFERROR(Table3335678[[#This Row],[Max Count]]/Table3335678[[#This Row],[Scalar]],"")</f>
        <v/>
      </c>
      <c r="R254" s="34"/>
      <c r="S254" s="34"/>
      <c r="T254" s="34" t="s">
        <v>3723</v>
      </c>
      <c r="U254" s="33" t="s">
        <v>4343</v>
      </c>
      <c r="V254" s="33" t="s">
        <v>8612</v>
      </c>
      <c r="W254" s="33"/>
      <c r="X254" s="33"/>
    </row>
    <row r="255" spans="1:24" ht="16.149999999999999" customHeight="1" x14ac:dyDescent="0.15">
      <c r="A255" s="6">
        <v>249</v>
      </c>
      <c r="B255" s="18" t="s">
        <v>75</v>
      </c>
      <c r="C255" s="43" t="s">
        <v>4267</v>
      </c>
      <c r="D255" s="43" t="s">
        <v>7620</v>
      </c>
      <c r="E255" s="36" t="s">
        <v>219</v>
      </c>
      <c r="F255" s="19">
        <v>3</v>
      </c>
      <c r="G255" s="6">
        <v>8</v>
      </c>
      <c r="H255" s="34" t="s">
        <v>7621</v>
      </c>
      <c r="I255" s="38" t="s">
        <v>171</v>
      </c>
      <c r="J255" s="6" t="s">
        <v>172</v>
      </c>
      <c r="K255" s="38" t="s">
        <v>173</v>
      </c>
      <c r="L255" s="6"/>
      <c r="M255" s="113"/>
      <c r="N255" s="45" t="s">
        <v>62</v>
      </c>
      <c r="O255" s="2" t="s">
        <v>62</v>
      </c>
      <c r="P255" s="38" t="str">
        <f>IFERROR(Table3335678[[#This Row],[Min Count]]/Table3335678[[#This Row],[Scalar]],"")</f>
        <v/>
      </c>
      <c r="Q255" s="36" t="str">
        <f>IFERROR(Table3335678[[#This Row],[Max Count]]/Table3335678[[#This Row],[Scalar]],"")</f>
        <v/>
      </c>
      <c r="R255" s="34"/>
      <c r="S255" s="34"/>
      <c r="T255" s="34" t="s">
        <v>3723</v>
      </c>
      <c r="U255" s="33" t="s">
        <v>4343</v>
      </c>
      <c r="V255" s="33" t="s">
        <v>8613</v>
      </c>
      <c r="W255" s="33"/>
      <c r="X255" s="33"/>
    </row>
    <row r="256" spans="1:24" ht="16.149999999999999" customHeight="1" x14ac:dyDescent="0.15">
      <c r="A256" s="6">
        <v>250</v>
      </c>
      <c r="B256" s="18" t="s">
        <v>75</v>
      </c>
      <c r="C256" s="43" t="s">
        <v>4267</v>
      </c>
      <c r="D256" s="43" t="s">
        <v>7622</v>
      </c>
      <c r="E256" s="36" t="s">
        <v>219</v>
      </c>
      <c r="F256" s="19">
        <v>3</v>
      </c>
      <c r="G256" s="6">
        <v>9</v>
      </c>
      <c r="H256" s="34" t="s">
        <v>7623</v>
      </c>
      <c r="I256" s="38" t="s">
        <v>171</v>
      </c>
      <c r="J256" s="6" t="s">
        <v>172</v>
      </c>
      <c r="K256" s="38" t="s">
        <v>173</v>
      </c>
      <c r="L256" s="6"/>
      <c r="M256" s="113"/>
      <c r="N256" s="45" t="s">
        <v>62</v>
      </c>
      <c r="O256" s="2" t="s">
        <v>62</v>
      </c>
      <c r="P256" s="38" t="str">
        <f>IFERROR(Table3335678[[#This Row],[Min Count]]/Table3335678[[#This Row],[Scalar]],"")</f>
        <v/>
      </c>
      <c r="Q256" s="36" t="str">
        <f>IFERROR(Table3335678[[#This Row],[Max Count]]/Table3335678[[#This Row],[Scalar]],"")</f>
        <v/>
      </c>
      <c r="R256" s="34"/>
      <c r="S256" s="34"/>
      <c r="T256" s="34" t="s">
        <v>3723</v>
      </c>
      <c r="U256" s="33" t="s">
        <v>4343</v>
      </c>
      <c r="V256" s="33" t="s">
        <v>8614</v>
      </c>
      <c r="W256" s="33"/>
      <c r="X256" s="33"/>
    </row>
    <row r="257" spans="1:24" ht="16.149999999999999" customHeight="1" x14ac:dyDescent="0.15">
      <c r="A257" s="6">
        <v>251</v>
      </c>
      <c r="B257" s="18" t="s">
        <v>75</v>
      </c>
      <c r="C257" s="43" t="s">
        <v>4267</v>
      </c>
      <c r="D257" s="43" t="s">
        <v>7624</v>
      </c>
      <c r="E257" s="36" t="s">
        <v>219</v>
      </c>
      <c r="F257" s="19">
        <v>3</v>
      </c>
      <c r="G257" s="6">
        <v>10</v>
      </c>
      <c r="H257" s="34" t="s">
        <v>7625</v>
      </c>
      <c r="I257" s="38" t="s">
        <v>171</v>
      </c>
      <c r="J257" s="6" t="s">
        <v>172</v>
      </c>
      <c r="K257" s="38" t="s">
        <v>173</v>
      </c>
      <c r="L257" s="6"/>
      <c r="M257" s="113"/>
      <c r="N257" s="45" t="s">
        <v>62</v>
      </c>
      <c r="O257" s="2" t="s">
        <v>62</v>
      </c>
      <c r="P257" s="38" t="str">
        <f>IFERROR(Table3335678[[#This Row],[Min Count]]/Table3335678[[#This Row],[Scalar]],"")</f>
        <v/>
      </c>
      <c r="Q257" s="36" t="str">
        <f>IFERROR(Table3335678[[#This Row],[Max Count]]/Table3335678[[#This Row],[Scalar]],"")</f>
        <v/>
      </c>
      <c r="R257" s="34"/>
      <c r="S257" s="34"/>
      <c r="T257" s="34" t="s">
        <v>3723</v>
      </c>
      <c r="U257" s="33" t="s">
        <v>4343</v>
      </c>
      <c r="V257" s="33" t="s">
        <v>8615</v>
      </c>
      <c r="W257" s="33"/>
      <c r="X257" s="33"/>
    </row>
    <row r="258" spans="1:24" ht="16.149999999999999" customHeight="1" x14ac:dyDescent="0.15">
      <c r="A258" s="6">
        <v>252</v>
      </c>
      <c r="B258" s="18" t="s">
        <v>75</v>
      </c>
      <c r="C258" s="43" t="s">
        <v>4267</v>
      </c>
      <c r="D258" s="43" t="s">
        <v>7626</v>
      </c>
      <c r="E258" s="36" t="s">
        <v>219</v>
      </c>
      <c r="F258" s="19">
        <v>3</v>
      </c>
      <c r="G258" s="6">
        <v>11</v>
      </c>
      <c r="H258" s="34" t="s">
        <v>7627</v>
      </c>
      <c r="I258" s="38" t="s">
        <v>171</v>
      </c>
      <c r="J258" s="6" t="s">
        <v>172</v>
      </c>
      <c r="K258" s="38" t="s">
        <v>173</v>
      </c>
      <c r="L258" s="6"/>
      <c r="M258" s="113"/>
      <c r="N258" s="45" t="s">
        <v>62</v>
      </c>
      <c r="O258" s="2" t="s">
        <v>62</v>
      </c>
      <c r="P258" s="38" t="str">
        <f>IFERROR(Table3335678[[#This Row],[Min Count]]/Table3335678[[#This Row],[Scalar]],"")</f>
        <v/>
      </c>
      <c r="Q258" s="36" t="str">
        <f>IFERROR(Table3335678[[#This Row],[Max Count]]/Table3335678[[#This Row],[Scalar]],"")</f>
        <v/>
      </c>
      <c r="R258" s="34"/>
      <c r="S258" s="34"/>
      <c r="T258" s="34" t="s">
        <v>3723</v>
      </c>
      <c r="U258" s="33" t="s">
        <v>4343</v>
      </c>
      <c r="V258" s="33" t="s">
        <v>8616</v>
      </c>
      <c r="W258" s="33"/>
      <c r="X258" s="33"/>
    </row>
    <row r="259" spans="1:24" ht="16.149999999999999" customHeight="1" x14ac:dyDescent="0.15">
      <c r="A259" s="6">
        <v>253</v>
      </c>
      <c r="B259" s="18" t="s">
        <v>75</v>
      </c>
      <c r="C259" s="43" t="s">
        <v>4267</v>
      </c>
      <c r="D259" s="43" t="s">
        <v>7628</v>
      </c>
      <c r="E259" s="36" t="s">
        <v>219</v>
      </c>
      <c r="F259" s="19">
        <v>3</v>
      </c>
      <c r="G259" s="6">
        <v>12</v>
      </c>
      <c r="H259" s="34" t="s">
        <v>7629</v>
      </c>
      <c r="I259" s="38" t="s">
        <v>171</v>
      </c>
      <c r="J259" s="6" t="s">
        <v>172</v>
      </c>
      <c r="K259" s="38" t="s">
        <v>173</v>
      </c>
      <c r="L259" s="6"/>
      <c r="M259" s="113"/>
      <c r="N259" s="45" t="s">
        <v>62</v>
      </c>
      <c r="O259" s="2" t="s">
        <v>62</v>
      </c>
      <c r="P259" s="38" t="str">
        <f>IFERROR(Table3335678[[#This Row],[Min Count]]/Table3335678[[#This Row],[Scalar]],"")</f>
        <v/>
      </c>
      <c r="Q259" s="36" t="str">
        <f>IFERROR(Table3335678[[#This Row],[Max Count]]/Table3335678[[#This Row],[Scalar]],"")</f>
        <v/>
      </c>
      <c r="R259" s="34"/>
      <c r="S259" s="34"/>
      <c r="T259" s="34" t="s">
        <v>3723</v>
      </c>
      <c r="U259" s="33" t="s">
        <v>4343</v>
      </c>
      <c r="V259" s="33" t="s">
        <v>8617</v>
      </c>
      <c r="W259" s="33"/>
      <c r="X259" s="33"/>
    </row>
    <row r="260" spans="1:24" ht="16.149999999999999" customHeight="1" x14ac:dyDescent="0.15">
      <c r="A260" s="6">
        <v>254</v>
      </c>
      <c r="B260" s="18" t="s">
        <v>75</v>
      </c>
      <c r="C260" s="43" t="s">
        <v>4267</v>
      </c>
      <c r="D260" s="43" t="s">
        <v>7630</v>
      </c>
      <c r="E260" s="36" t="s">
        <v>219</v>
      </c>
      <c r="F260" s="19">
        <v>3</v>
      </c>
      <c r="G260" s="6">
        <v>13</v>
      </c>
      <c r="H260" s="34" t="s">
        <v>7631</v>
      </c>
      <c r="I260" s="38" t="s">
        <v>171</v>
      </c>
      <c r="J260" s="6" t="s">
        <v>172</v>
      </c>
      <c r="K260" s="38" t="s">
        <v>173</v>
      </c>
      <c r="L260" s="6"/>
      <c r="M260" s="113"/>
      <c r="N260" s="45" t="s">
        <v>62</v>
      </c>
      <c r="O260" s="2" t="s">
        <v>62</v>
      </c>
      <c r="P260" s="38" t="str">
        <f>IFERROR(Table3335678[[#This Row],[Min Count]]/Table3335678[[#This Row],[Scalar]],"")</f>
        <v/>
      </c>
      <c r="Q260" s="36" t="str">
        <f>IFERROR(Table3335678[[#This Row],[Max Count]]/Table3335678[[#This Row],[Scalar]],"")</f>
        <v/>
      </c>
      <c r="R260" s="34"/>
      <c r="S260" s="34"/>
      <c r="T260" s="34" t="s">
        <v>3723</v>
      </c>
      <c r="U260" s="33" t="s">
        <v>4343</v>
      </c>
      <c r="V260" s="33" t="s">
        <v>8618</v>
      </c>
      <c r="W260" s="33"/>
      <c r="X260" s="33"/>
    </row>
    <row r="261" spans="1:24" ht="16.149999999999999" customHeight="1" x14ac:dyDescent="0.15">
      <c r="A261" s="6">
        <v>255</v>
      </c>
      <c r="B261" s="18" t="s">
        <v>75</v>
      </c>
      <c r="C261" s="43" t="s">
        <v>4267</v>
      </c>
      <c r="D261" s="43" t="s">
        <v>7632</v>
      </c>
      <c r="E261" s="36" t="s">
        <v>219</v>
      </c>
      <c r="F261" s="19">
        <v>3</v>
      </c>
      <c r="G261" s="6">
        <v>14</v>
      </c>
      <c r="H261" s="34" t="s">
        <v>7633</v>
      </c>
      <c r="I261" s="38" t="s">
        <v>171</v>
      </c>
      <c r="J261" s="6" t="s">
        <v>172</v>
      </c>
      <c r="K261" s="38" t="s">
        <v>173</v>
      </c>
      <c r="L261" s="6"/>
      <c r="M261" s="113"/>
      <c r="N261" s="45" t="s">
        <v>62</v>
      </c>
      <c r="O261" s="2" t="s">
        <v>62</v>
      </c>
      <c r="P261" s="38" t="str">
        <f>IFERROR(Table3335678[[#This Row],[Min Count]]/Table3335678[[#This Row],[Scalar]],"")</f>
        <v/>
      </c>
      <c r="Q261" s="36" t="str">
        <f>IFERROR(Table3335678[[#This Row],[Max Count]]/Table3335678[[#This Row],[Scalar]],"")</f>
        <v/>
      </c>
      <c r="R261" s="34"/>
      <c r="S261" s="34"/>
      <c r="T261" s="34" t="s">
        <v>3723</v>
      </c>
      <c r="U261" s="33" t="s">
        <v>4343</v>
      </c>
      <c r="V261" s="33" t="s">
        <v>8619</v>
      </c>
      <c r="W261" s="33"/>
      <c r="X261" s="33"/>
    </row>
    <row r="262" spans="1:24" ht="16.149999999999999" customHeight="1" x14ac:dyDescent="0.15">
      <c r="A262" s="6">
        <v>256</v>
      </c>
      <c r="B262" s="18" t="s">
        <v>75</v>
      </c>
      <c r="C262" s="43" t="s">
        <v>4267</v>
      </c>
      <c r="D262" s="43" t="s">
        <v>7634</v>
      </c>
      <c r="E262" s="36" t="s">
        <v>219</v>
      </c>
      <c r="F262" s="19">
        <v>4</v>
      </c>
      <c r="G262" s="6"/>
      <c r="H262" s="34" t="s">
        <v>3721</v>
      </c>
      <c r="I262" s="38" t="s">
        <v>196</v>
      </c>
      <c r="J262" s="38"/>
      <c r="K262" s="38"/>
      <c r="L262" s="6" t="s">
        <v>61</v>
      </c>
      <c r="M262" s="113">
        <v>1</v>
      </c>
      <c r="N262" s="45" t="s">
        <v>62</v>
      </c>
      <c r="O262" s="2" t="s">
        <v>62</v>
      </c>
      <c r="P262" s="38" t="str">
        <f>IFERROR(Table3335678[[#This Row],[Min Count]]/Table3335678[[#This Row],[Scalar]],"")</f>
        <v/>
      </c>
      <c r="Q262" s="36" t="str">
        <f>IFERROR(Table3335678[[#This Row],[Max Count]]/Table3335678[[#This Row],[Scalar]],"")</f>
        <v/>
      </c>
      <c r="R262" s="34"/>
      <c r="S262" s="34"/>
      <c r="T262" s="34" t="s">
        <v>3723</v>
      </c>
      <c r="U262" s="33" t="s">
        <v>3853</v>
      </c>
      <c r="V262" s="33" t="s">
        <v>8620</v>
      </c>
      <c r="W262" s="33"/>
      <c r="X262" s="33"/>
    </row>
    <row r="263" spans="1:24" ht="16.149999999999999" customHeight="1" x14ac:dyDescent="0.15">
      <c r="A263" s="6">
        <v>257</v>
      </c>
      <c r="B263" s="18" t="s">
        <v>75</v>
      </c>
      <c r="C263" s="43" t="s">
        <v>4267</v>
      </c>
      <c r="D263" s="43" t="s">
        <v>7635</v>
      </c>
      <c r="E263" s="36" t="s">
        <v>219</v>
      </c>
      <c r="F263" s="19">
        <v>4</v>
      </c>
      <c r="G263" s="6">
        <v>0</v>
      </c>
      <c r="H263" s="34" t="s">
        <v>7636</v>
      </c>
      <c r="I263" s="38" t="s">
        <v>171</v>
      </c>
      <c r="J263" s="38" t="s">
        <v>177</v>
      </c>
      <c r="K263" s="38" t="s">
        <v>173</v>
      </c>
      <c r="L263" s="6"/>
      <c r="M263" s="113"/>
      <c r="N263" s="45" t="s">
        <v>62</v>
      </c>
      <c r="O263" s="2" t="s">
        <v>62</v>
      </c>
      <c r="P263" s="38" t="str">
        <f>IFERROR(Table3335678[[#This Row],[Min Count]]/Table3335678[[#This Row],[Scalar]],"")</f>
        <v/>
      </c>
      <c r="Q263" s="36" t="str">
        <f>IFERROR(Table3335678[[#This Row],[Max Count]]/Table3335678[[#This Row],[Scalar]],"")</f>
        <v/>
      </c>
      <c r="R263" s="34"/>
      <c r="S263" s="34"/>
      <c r="T263" s="34" t="s">
        <v>3723</v>
      </c>
      <c r="U263" s="33" t="s">
        <v>4343</v>
      </c>
      <c r="V263" s="33" t="s">
        <v>8621</v>
      </c>
      <c r="W263" s="33"/>
      <c r="X263" s="33"/>
    </row>
    <row r="264" spans="1:24" ht="16.149999999999999" customHeight="1" x14ac:dyDescent="0.15">
      <c r="A264" s="6">
        <v>258</v>
      </c>
      <c r="B264" s="18" t="s">
        <v>75</v>
      </c>
      <c r="C264" s="43" t="s">
        <v>4267</v>
      </c>
      <c r="D264" s="43" t="s">
        <v>7637</v>
      </c>
      <c r="E264" s="36" t="s">
        <v>219</v>
      </c>
      <c r="F264" s="19">
        <v>4</v>
      </c>
      <c r="G264" s="6">
        <v>1</v>
      </c>
      <c r="H264" s="34" t="s">
        <v>7638</v>
      </c>
      <c r="I264" s="38" t="s">
        <v>171</v>
      </c>
      <c r="J264" s="38" t="s">
        <v>177</v>
      </c>
      <c r="K264" s="38" t="s">
        <v>173</v>
      </c>
      <c r="L264" s="6"/>
      <c r="M264" s="113"/>
      <c r="N264" s="45" t="s">
        <v>62</v>
      </c>
      <c r="O264" s="2" t="s">
        <v>62</v>
      </c>
      <c r="P264" s="38" t="str">
        <f>IFERROR(Table3335678[[#This Row],[Min Count]]/Table3335678[[#This Row],[Scalar]],"")</f>
        <v/>
      </c>
      <c r="Q264" s="36" t="str">
        <f>IFERROR(Table3335678[[#This Row],[Max Count]]/Table3335678[[#This Row],[Scalar]],"")</f>
        <v/>
      </c>
      <c r="R264" s="34"/>
      <c r="S264" s="34"/>
      <c r="T264" s="34" t="s">
        <v>3723</v>
      </c>
      <c r="U264" s="33" t="s">
        <v>4343</v>
      </c>
      <c r="V264" s="33" t="s">
        <v>8622</v>
      </c>
      <c r="W264" s="33"/>
      <c r="X264" s="33"/>
    </row>
    <row r="265" spans="1:24" ht="16.149999999999999" customHeight="1" x14ac:dyDescent="0.15">
      <c r="A265" s="6">
        <v>259</v>
      </c>
      <c r="B265" s="18" t="s">
        <v>75</v>
      </c>
      <c r="C265" s="43" t="s">
        <v>4267</v>
      </c>
      <c r="D265" s="43" t="s">
        <v>7639</v>
      </c>
      <c r="E265" s="36" t="s">
        <v>219</v>
      </c>
      <c r="F265" s="19">
        <v>4</v>
      </c>
      <c r="G265" s="6">
        <v>2</v>
      </c>
      <c r="H265" s="34" t="s">
        <v>7640</v>
      </c>
      <c r="I265" s="38" t="s">
        <v>171</v>
      </c>
      <c r="J265" s="38" t="s">
        <v>177</v>
      </c>
      <c r="K265" s="38" t="s">
        <v>173</v>
      </c>
      <c r="L265" s="6"/>
      <c r="M265" s="113"/>
      <c r="N265" s="45" t="s">
        <v>62</v>
      </c>
      <c r="O265" s="2" t="s">
        <v>62</v>
      </c>
      <c r="P265" s="38" t="str">
        <f>IFERROR(Table3335678[[#This Row],[Min Count]]/Table3335678[[#This Row],[Scalar]],"")</f>
        <v/>
      </c>
      <c r="Q265" s="36" t="str">
        <f>IFERROR(Table3335678[[#This Row],[Max Count]]/Table3335678[[#This Row],[Scalar]],"")</f>
        <v/>
      </c>
      <c r="R265" s="34"/>
      <c r="S265" s="34"/>
      <c r="T265" s="34" t="s">
        <v>3723</v>
      </c>
      <c r="U265" s="33" t="s">
        <v>4343</v>
      </c>
      <c r="V265" s="33" t="s">
        <v>8623</v>
      </c>
      <c r="W265" s="33"/>
      <c r="X265" s="33"/>
    </row>
    <row r="266" spans="1:24" ht="16.149999999999999" customHeight="1" x14ac:dyDescent="0.15">
      <c r="A266" s="6">
        <v>260</v>
      </c>
      <c r="B266" s="18" t="s">
        <v>75</v>
      </c>
      <c r="C266" s="43" t="s">
        <v>4267</v>
      </c>
      <c r="D266" s="43" t="s">
        <v>7641</v>
      </c>
      <c r="E266" s="36" t="s">
        <v>219</v>
      </c>
      <c r="F266" s="19">
        <v>4</v>
      </c>
      <c r="G266" s="6">
        <v>3</v>
      </c>
      <c r="H266" s="34" t="s">
        <v>7642</v>
      </c>
      <c r="I266" s="38" t="s">
        <v>171</v>
      </c>
      <c r="J266" s="38" t="s">
        <v>177</v>
      </c>
      <c r="K266" s="38" t="s">
        <v>173</v>
      </c>
      <c r="L266" s="6"/>
      <c r="M266" s="113"/>
      <c r="N266" s="45" t="s">
        <v>62</v>
      </c>
      <c r="O266" s="2" t="s">
        <v>62</v>
      </c>
      <c r="P266" s="38" t="str">
        <f>IFERROR(Table3335678[[#This Row],[Min Count]]/Table3335678[[#This Row],[Scalar]],"")</f>
        <v/>
      </c>
      <c r="Q266" s="36" t="str">
        <f>IFERROR(Table3335678[[#This Row],[Max Count]]/Table3335678[[#This Row],[Scalar]],"")</f>
        <v/>
      </c>
      <c r="R266" s="34"/>
      <c r="S266" s="34"/>
      <c r="T266" s="34" t="s">
        <v>3723</v>
      </c>
      <c r="U266" s="33" t="s">
        <v>4343</v>
      </c>
      <c r="V266" s="33" t="s">
        <v>8624</v>
      </c>
      <c r="W266" s="33"/>
      <c r="X266" s="33"/>
    </row>
    <row r="267" spans="1:24" ht="16.149999999999999" customHeight="1" x14ac:dyDescent="0.15">
      <c r="A267" s="6">
        <v>261</v>
      </c>
      <c r="B267" s="18" t="s">
        <v>75</v>
      </c>
      <c r="C267" s="43" t="s">
        <v>4267</v>
      </c>
      <c r="D267" s="43" t="s">
        <v>7643</v>
      </c>
      <c r="E267" s="36" t="s">
        <v>219</v>
      </c>
      <c r="F267" s="19">
        <v>4</v>
      </c>
      <c r="G267" s="6">
        <v>4</v>
      </c>
      <c r="H267" s="34" t="s">
        <v>7644</v>
      </c>
      <c r="I267" s="38" t="s">
        <v>171</v>
      </c>
      <c r="J267" s="38" t="s">
        <v>177</v>
      </c>
      <c r="K267" s="38" t="s">
        <v>173</v>
      </c>
      <c r="L267" s="6"/>
      <c r="M267" s="113"/>
      <c r="N267" s="45" t="s">
        <v>62</v>
      </c>
      <c r="O267" s="2" t="s">
        <v>62</v>
      </c>
      <c r="P267" s="38" t="str">
        <f>IFERROR(Table3335678[[#This Row],[Min Count]]/Table3335678[[#This Row],[Scalar]],"")</f>
        <v/>
      </c>
      <c r="Q267" s="36" t="str">
        <f>IFERROR(Table3335678[[#This Row],[Max Count]]/Table3335678[[#This Row],[Scalar]],"")</f>
        <v/>
      </c>
      <c r="R267" s="34"/>
      <c r="S267" s="34"/>
      <c r="T267" s="34" t="s">
        <v>3723</v>
      </c>
      <c r="U267" s="33" t="s">
        <v>4343</v>
      </c>
      <c r="V267" s="33" t="s">
        <v>8625</v>
      </c>
      <c r="W267" s="33"/>
      <c r="X267" s="33"/>
    </row>
    <row r="268" spans="1:24" ht="16.149999999999999" customHeight="1" x14ac:dyDescent="0.15">
      <c r="A268" s="6">
        <v>262</v>
      </c>
      <c r="B268" s="18" t="s">
        <v>75</v>
      </c>
      <c r="C268" s="43" t="s">
        <v>4267</v>
      </c>
      <c r="D268" s="43" t="s">
        <v>7645</v>
      </c>
      <c r="E268" s="36" t="s">
        <v>219</v>
      </c>
      <c r="F268" s="19">
        <v>4</v>
      </c>
      <c r="G268" s="6">
        <v>5</v>
      </c>
      <c r="H268" s="34" t="s">
        <v>7646</v>
      </c>
      <c r="I268" s="38" t="s">
        <v>171</v>
      </c>
      <c r="J268" s="38" t="s">
        <v>177</v>
      </c>
      <c r="K268" s="38" t="s">
        <v>173</v>
      </c>
      <c r="L268" s="6"/>
      <c r="M268" s="113"/>
      <c r="N268" s="45" t="s">
        <v>62</v>
      </c>
      <c r="O268" s="2" t="s">
        <v>62</v>
      </c>
      <c r="P268" s="38" t="str">
        <f>IFERROR(Table3335678[[#This Row],[Min Count]]/Table3335678[[#This Row],[Scalar]],"")</f>
        <v/>
      </c>
      <c r="Q268" s="36" t="str">
        <f>IFERROR(Table3335678[[#This Row],[Max Count]]/Table3335678[[#This Row],[Scalar]],"")</f>
        <v/>
      </c>
      <c r="R268" s="34"/>
      <c r="S268" s="34"/>
      <c r="T268" s="34" t="s">
        <v>3723</v>
      </c>
      <c r="U268" s="33" t="s">
        <v>4343</v>
      </c>
      <c r="V268" s="33" t="s">
        <v>8626</v>
      </c>
      <c r="W268" s="33"/>
      <c r="X268" s="33"/>
    </row>
    <row r="269" spans="1:24" ht="16.149999999999999" customHeight="1" x14ac:dyDescent="0.15">
      <c r="A269" s="6">
        <v>263</v>
      </c>
      <c r="B269" s="18" t="s">
        <v>75</v>
      </c>
      <c r="C269" s="43" t="s">
        <v>4267</v>
      </c>
      <c r="D269" s="43" t="s">
        <v>7647</v>
      </c>
      <c r="E269" s="36" t="s">
        <v>219</v>
      </c>
      <c r="F269" s="19">
        <v>4</v>
      </c>
      <c r="G269" s="6">
        <v>6</v>
      </c>
      <c r="H269" s="34" t="s">
        <v>7648</v>
      </c>
      <c r="I269" s="38" t="s">
        <v>171</v>
      </c>
      <c r="J269" s="38" t="s">
        <v>177</v>
      </c>
      <c r="K269" s="38" t="s">
        <v>173</v>
      </c>
      <c r="L269" s="6"/>
      <c r="M269" s="113"/>
      <c r="N269" s="45" t="s">
        <v>62</v>
      </c>
      <c r="O269" s="2" t="s">
        <v>62</v>
      </c>
      <c r="P269" s="38" t="str">
        <f>IFERROR(Table3335678[[#This Row],[Min Count]]/Table3335678[[#This Row],[Scalar]],"")</f>
        <v/>
      </c>
      <c r="Q269" s="36" t="str">
        <f>IFERROR(Table3335678[[#This Row],[Max Count]]/Table3335678[[#This Row],[Scalar]],"")</f>
        <v/>
      </c>
      <c r="R269" s="34"/>
      <c r="S269" s="34"/>
      <c r="T269" s="34" t="s">
        <v>3723</v>
      </c>
      <c r="U269" s="33" t="s">
        <v>4343</v>
      </c>
      <c r="V269" s="33" t="s">
        <v>8627</v>
      </c>
      <c r="W269" s="33"/>
      <c r="X269" s="33"/>
    </row>
    <row r="270" spans="1:24" ht="16.149999999999999" customHeight="1" x14ac:dyDescent="0.15">
      <c r="A270" s="6">
        <v>264</v>
      </c>
      <c r="B270" s="18" t="s">
        <v>75</v>
      </c>
      <c r="C270" s="43" t="s">
        <v>4267</v>
      </c>
      <c r="D270" s="43" t="s">
        <v>7649</v>
      </c>
      <c r="E270" s="36" t="s">
        <v>219</v>
      </c>
      <c r="F270" s="19">
        <v>4</v>
      </c>
      <c r="G270" s="6">
        <v>7</v>
      </c>
      <c r="H270" s="34" t="s">
        <v>7650</v>
      </c>
      <c r="I270" s="38" t="s">
        <v>171</v>
      </c>
      <c r="J270" s="38" t="s">
        <v>177</v>
      </c>
      <c r="K270" s="38" t="s">
        <v>173</v>
      </c>
      <c r="L270" s="6"/>
      <c r="M270" s="113"/>
      <c r="N270" s="45" t="s">
        <v>62</v>
      </c>
      <c r="O270" s="2" t="s">
        <v>62</v>
      </c>
      <c r="P270" s="38" t="str">
        <f>IFERROR(Table3335678[[#This Row],[Min Count]]/Table3335678[[#This Row],[Scalar]],"")</f>
        <v/>
      </c>
      <c r="Q270" s="36" t="str">
        <f>IFERROR(Table3335678[[#This Row],[Max Count]]/Table3335678[[#This Row],[Scalar]],"")</f>
        <v/>
      </c>
      <c r="R270" s="34"/>
      <c r="S270" s="34"/>
      <c r="T270" s="34" t="s">
        <v>3723</v>
      </c>
      <c r="U270" s="33" t="s">
        <v>4343</v>
      </c>
      <c r="V270" s="33" t="s">
        <v>8628</v>
      </c>
      <c r="W270" s="33"/>
      <c r="X270" s="33"/>
    </row>
    <row r="271" spans="1:24" ht="16.149999999999999" customHeight="1" x14ac:dyDescent="0.15">
      <c r="A271" s="6">
        <v>265</v>
      </c>
      <c r="B271" s="18" t="s">
        <v>75</v>
      </c>
      <c r="C271" s="43" t="s">
        <v>4267</v>
      </c>
      <c r="D271" s="43" t="s">
        <v>7651</v>
      </c>
      <c r="E271" s="36" t="s">
        <v>219</v>
      </c>
      <c r="F271" s="19">
        <v>4</v>
      </c>
      <c r="G271" s="6">
        <v>8</v>
      </c>
      <c r="H271" s="34" t="s">
        <v>7652</v>
      </c>
      <c r="I271" s="38" t="s">
        <v>171</v>
      </c>
      <c r="J271" s="38" t="s">
        <v>177</v>
      </c>
      <c r="K271" s="38" t="s">
        <v>173</v>
      </c>
      <c r="L271" s="6"/>
      <c r="M271" s="113"/>
      <c r="N271" s="45" t="s">
        <v>62</v>
      </c>
      <c r="O271" s="2" t="s">
        <v>62</v>
      </c>
      <c r="P271" s="38" t="str">
        <f>IFERROR(Table3335678[[#This Row],[Min Count]]/Table3335678[[#This Row],[Scalar]],"")</f>
        <v/>
      </c>
      <c r="Q271" s="36" t="str">
        <f>IFERROR(Table3335678[[#This Row],[Max Count]]/Table3335678[[#This Row],[Scalar]],"")</f>
        <v/>
      </c>
      <c r="R271" s="34"/>
      <c r="S271" s="34"/>
      <c r="T271" s="34" t="s">
        <v>3723</v>
      </c>
      <c r="U271" s="33" t="s">
        <v>4343</v>
      </c>
      <c r="V271" s="33" t="s">
        <v>8629</v>
      </c>
      <c r="W271" s="33"/>
      <c r="X271" s="33"/>
    </row>
    <row r="272" spans="1:24" ht="16.149999999999999" customHeight="1" x14ac:dyDescent="0.15">
      <c r="A272" s="6">
        <v>266</v>
      </c>
      <c r="B272" s="18" t="s">
        <v>75</v>
      </c>
      <c r="C272" s="43" t="s">
        <v>4267</v>
      </c>
      <c r="D272" s="43" t="s">
        <v>7653</v>
      </c>
      <c r="E272" s="36" t="s">
        <v>219</v>
      </c>
      <c r="F272" s="19">
        <v>4</v>
      </c>
      <c r="G272" s="6">
        <v>9</v>
      </c>
      <c r="H272" s="34" t="s">
        <v>7654</v>
      </c>
      <c r="I272" s="38" t="s">
        <v>171</v>
      </c>
      <c r="J272" s="38" t="s">
        <v>177</v>
      </c>
      <c r="K272" s="38" t="s">
        <v>173</v>
      </c>
      <c r="L272" s="6"/>
      <c r="M272" s="113"/>
      <c r="N272" s="45" t="s">
        <v>62</v>
      </c>
      <c r="O272" s="2" t="s">
        <v>62</v>
      </c>
      <c r="P272" s="38" t="str">
        <f>IFERROR(Table3335678[[#This Row],[Min Count]]/Table3335678[[#This Row],[Scalar]],"")</f>
        <v/>
      </c>
      <c r="Q272" s="36" t="str">
        <f>IFERROR(Table3335678[[#This Row],[Max Count]]/Table3335678[[#This Row],[Scalar]],"")</f>
        <v/>
      </c>
      <c r="R272" s="34"/>
      <c r="S272" s="34"/>
      <c r="T272" s="34" t="s">
        <v>3723</v>
      </c>
      <c r="U272" s="33" t="s">
        <v>4343</v>
      </c>
      <c r="V272" s="33" t="s">
        <v>8630</v>
      </c>
      <c r="W272" s="33"/>
      <c r="X272" s="33"/>
    </row>
    <row r="273" spans="1:24" ht="16.149999999999999" customHeight="1" x14ac:dyDescent="0.15">
      <c r="A273" s="6">
        <v>267</v>
      </c>
      <c r="B273" s="18" t="s">
        <v>75</v>
      </c>
      <c r="C273" s="43" t="s">
        <v>4267</v>
      </c>
      <c r="D273" s="43" t="s">
        <v>7655</v>
      </c>
      <c r="E273" s="36" t="s">
        <v>219</v>
      </c>
      <c r="F273" s="19">
        <v>4</v>
      </c>
      <c r="G273" s="6">
        <v>10</v>
      </c>
      <c r="H273" s="34" t="s">
        <v>7656</v>
      </c>
      <c r="I273" s="38" t="s">
        <v>171</v>
      </c>
      <c r="J273" s="38" t="s">
        <v>177</v>
      </c>
      <c r="K273" s="38" t="s">
        <v>173</v>
      </c>
      <c r="L273" s="6"/>
      <c r="M273" s="113"/>
      <c r="N273" s="45" t="s">
        <v>62</v>
      </c>
      <c r="O273" s="2" t="s">
        <v>62</v>
      </c>
      <c r="P273" s="38" t="str">
        <f>IFERROR(Table3335678[[#This Row],[Min Count]]/Table3335678[[#This Row],[Scalar]],"")</f>
        <v/>
      </c>
      <c r="Q273" s="36" t="str">
        <f>IFERROR(Table3335678[[#This Row],[Max Count]]/Table3335678[[#This Row],[Scalar]],"")</f>
        <v/>
      </c>
      <c r="R273" s="34"/>
      <c r="S273" s="34"/>
      <c r="T273" s="34" t="s">
        <v>3723</v>
      </c>
      <c r="U273" s="33" t="s">
        <v>4343</v>
      </c>
      <c r="V273" s="33" t="s">
        <v>8631</v>
      </c>
      <c r="W273" s="33"/>
      <c r="X273" s="33"/>
    </row>
    <row r="274" spans="1:24" ht="16.149999999999999" customHeight="1" x14ac:dyDescent="0.15">
      <c r="A274" s="6">
        <v>268</v>
      </c>
      <c r="B274" s="18" t="s">
        <v>75</v>
      </c>
      <c r="C274" s="43" t="s">
        <v>4267</v>
      </c>
      <c r="D274" s="43" t="s">
        <v>7657</v>
      </c>
      <c r="E274" s="36" t="s">
        <v>219</v>
      </c>
      <c r="F274" s="19">
        <v>4</v>
      </c>
      <c r="G274" s="6">
        <v>11</v>
      </c>
      <c r="H274" s="34" t="s">
        <v>7658</v>
      </c>
      <c r="I274" s="38" t="s">
        <v>171</v>
      </c>
      <c r="J274" s="38" t="s">
        <v>177</v>
      </c>
      <c r="K274" s="38" t="s">
        <v>173</v>
      </c>
      <c r="L274" s="6"/>
      <c r="M274" s="113"/>
      <c r="N274" s="45" t="s">
        <v>62</v>
      </c>
      <c r="O274" s="2" t="s">
        <v>62</v>
      </c>
      <c r="P274" s="38" t="str">
        <f>IFERROR(Table3335678[[#This Row],[Min Count]]/Table3335678[[#This Row],[Scalar]],"")</f>
        <v/>
      </c>
      <c r="Q274" s="36" t="str">
        <f>IFERROR(Table3335678[[#This Row],[Max Count]]/Table3335678[[#This Row],[Scalar]],"")</f>
        <v/>
      </c>
      <c r="R274" s="34"/>
      <c r="S274" s="34"/>
      <c r="T274" s="34" t="s">
        <v>3723</v>
      </c>
      <c r="U274" s="33" t="s">
        <v>4343</v>
      </c>
      <c r="V274" s="33" t="s">
        <v>8632</v>
      </c>
      <c r="W274" s="33"/>
      <c r="X274" s="33"/>
    </row>
    <row r="275" spans="1:24" ht="16.149999999999999" customHeight="1" x14ac:dyDescent="0.15">
      <c r="A275" s="6">
        <v>269</v>
      </c>
      <c r="B275" s="18" t="s">
        <v>75</v>
      </c>
      <c r="C275" s="43" t="s">
        <v>4267</v>
      </c>
      <c r="D275" s="43" t="s">
        <v>7659</v>
      </c>
      <c r="E275" s="36" t="s">
        <v>219</v>
      </c>
      <c r="F275" s="19">
        <v>4</v>
      </c>
      <c r="G275" s="6">
        <v>12</v>
      </c>
      <c r="H275" s="34" t="s">
        <v>7660</v>
      </c>
      <c r="I275" s="38" t="s">
        <v>171</v>
      </c>
      <c r="J275" s="38" t="s">
        <v>177</v>
      </c>
      <c r="K275" s="38" t="s">
        <v>173</v>
      </c>
      <c r="L275" s="6"/>
      <c r="M275" s="113"/>
      <c r="N275" s="45" t="s">
        <v>62</v>
      </c>
      <c r="O275" s="2" t="s">
        <v>62</v>
      </c>
      <c r="P275" s="38" t="str">
        <f>IFERROR(Table3335678[[#This Row],[Min Count]]/Table3335678[[#This Row],[Scalar]],"")</f>
        <v/>
      </c>
      <c r="Q275" s="36" t="str">
        <f>IFERROR(Table3335678[[#This Row],[Max Count]]/Table3335678[[#This Row],[Scalar]],"")</f>
        <v/>
      </c>
      <c r="R275" s="34"/>
      <c r="S275" s="34"/>
      <c r="T275" s="34" t="s">
        <v>3723</v>
      </c>
      <c r="U275" s="33" t="s">
        <v>4343</v>
      </c>
      <c r="V275" s="33" t="s">
        <v>8633</v>
      </c>
      <c r="W275" s="33"/>
      <c r="X275" s="33"/>
    </row>
    <row r="276" spans="1:24" ht="16.149999999999999" customHeight="1" x14ac:dyDescent="0.15">
      <c r="A276" s="6">
        <v>270</v>
      </c>
      <c r="B276" s="18" t="s">
        <v>75</v>
      </c>
      <c r="C276" s="43" t="s">
        <v>4267</v>
      </c>
      <c r="D276" s="43" t="s">
        <v>7661</v>
      </c>
      <c r="E276" s="36" t="s">
        <v>219</v>
      </c>
      <c r="F276" s="19">
        <v>5</v>
      </c>
      <c r="G276" s="6"/>
      <c r="H276" s="34" t="s">
        <v>3721</v>
      </c>
      <c r="I276" s="38" t="s">
        <v>196</v>
      </c>
      <c r="J276" s="38"/>
      <c r="K276" s="38"/>
      <c r="L276" s="6" t="s">
        <v>61</v>
      </c>
      <c r="M276" s="113">
        <v>1</v>
      </c>
      <c r="N276" s="45" t="s">
        <v>62</v>
      </c>
      <c r="O276" s="2" t="s">
        <v>62</v>
      </c>
      <c r="P276" s="38" t="str">
        <f>IFERROR(Table3335678[[#This Row],[Min Count]]/Table3335678[[#This Row],[Scalar]],"")</f>
        <v/>
      </c>
      <c r="Q276" s="36" t="str">
        <f>IFERROR(Table3335678[[#This Row],[Max Count]]/Table3335678[[#This Row],[Scalar]],"")</f>
        <v/>
      </c>
      <c r="R276" s="34"/>
      <c r="S276" s="34"/>
      <c r="T276" s="34" t="s">
        <v>3723</v>
      </c>
      <c r="U276" s="33" t="s">
        <v>3853</v>
      </c>
      <c r="V276" s="33" t="s">
        <v>8634</v>
      </c>
      <c r="W276" s="33"/>
      <c r="X276" s="33"/>
    </row>
    <row r="277" spans="1:24" ht="16.149999999999999" customHeight="1" x14ac:dyDescent="0.15">
      <c r="A277" s="6">
        <v>271</v>
      </c>
      <c r="B277" s="18" t="s">
        <v>75</v>
      </c>
      <c r="C277" s="43" t="s">
        <v>4267</v>
      </c>
      <c r="D277" s="43" t="s">
        <v>4730</v>
      </c>
      <c r="E277" s="36" t="s">
        <v>219</v>
      </c>
      <c r="F277" s="19">
        <v>5</v>
      </c>
      <c r="G277" s="6">
        <v>0</v>
      </c>
      <c r="H277" s="34" t="s">
        <v>4731</v>
      </c>
      <c r="I277" s="38" t="s">
        <v>171</v>
      </c>
      <c r="J277" s="38" t="s">
        <v>177</v>
      </c>
      <c r="K277" s="38" t="s">
        <v>173</v>
      </c>
      <c r="L277" s="6"/>
      <c r="M277" s="113"/>
      <c r="N277" s="45" t="s">
        <v>62</v>
      </c>
      <c r="O277" s="2" t="s">
        <v>62</v>
      </c>
      <c r="P277" s="38" t="str">
        <f>IFERROR(Table3335678[[#This Row],[Min Count]]/Table3335678[[#This Row],[Scalar]],"")</f>
        <v/>
      </c>
      <c r="Q277" s="36" t="str">
        <f>IFERROR(Table3335678[[#This Row],[Max Count]]/Table3335678[[#This Row],[Scalar]],"")</f>
        <v/>
      </c>
      <c r="R277" s="34"/>
      <c r="S277" s="34"/>
      <c r="T277" s="34" t="s">
        <v>3723</v>
      </c>
      <c r="U277" s="33" t="s">
        <v>4343</v>
      </c>
      <c r="V277" s="33" t="s">
        <v>8635</v>
      </c>
      <c r="W277" s="33"/>
      <c r="X277" s="33"/>
    </row>
    <row r="278" spans="1:24" ht="16.149999999999999" customHeight="1" x14ac:dyDescent="0.15">
      <c r="A278" s="6">
        <v>272</v>
      </c>
      <c r="B278" s="18" t="s">
        <v>75</v>
      </c>
      <c r="C278" s="43" t="s">
        <v>4267</v>
      </c>
      <c r="D278" s="43" t="s">
        <v>7662</v>
      </c>
      <c r="E278" s="36" t="s">
        <v>219</v>
      </c>
      <c r="F278" s="19">
        <v>5</v>
      </c>
      <c r="G278" s="6">
        <v>1</v>
      </c>
      <c r="H278" s="34" t="s">
        <v>7663</v>
      </c>
      <c r="I278" s="38" t="s">
        <v>171</v>
      </c>
      <c r="J278" s="38" t="s">
        <v>177</v>
      </c>
      <c r="K278" s="38" t="s">
        <v>173</v>
      </c>
      <c r="L278" s="6"/>
      <c r="M278" s="113"/>
      <c r="N278" s="45" t="s">
        <v>62</v>
      </c>
      <c r="O278" s="2" t="s">
        <v>62</v>
      </c>
      <c r="P278" s="38" t="str">
        <f>IFERROR(Table3335678[[#This Row],[Min Count]]/Table3335678[[#This Row],[Scalar]],"")</f>
        <v/>
      </c>
      <c r="Q278" s="36" t="str">
        <f>IFERROR(Table3335678[[#This Row],[Max Count]]/Table3335678[[#This Row],[Scalar]],"")</f>
        <v/>
      </c>
      <c r="R278" s="34"/>
      <c r="S278" s="34"/>
      <c r="T278" s="34" t="s">
        <v>3723</v>
      </c>
      <c r="U278" s="33" t="s">
        <v>4343</v>
      </c>
      <c r="V278" s="33" t="s">
        <v>8636</v>
      </c>
      <c r="W278" s="33"/>
      <c r="X278" s="33"/>
    </row>
    <row r="279" spans="1:24" ht="16.149999999999999" customHeight="1" x14ac:dyDescent="0.15">
      <c r="A279" s="6">
        <v>273</v>
      </c>
      <c r="B279" s="18" t="s">
        <v>75</v>
      </c>
      <c r="C279" s="43" t="s">
        <v>4267</v>
      </c>
      <c r="D279" s="43" t="s">
        <v>7664</v>
      </c>
      <c r="E279" s="36" t="s">
        <v>219</v>
      </c>
      <c r="F279" s="19">
        <v>5</v>
      </c>
      <c r="G279" s="6">
        <v>2</v>
      </c>
      <c r="H279" s="34" t="s">
        <v>4680</v>
      </c>
      <c r="I279" s="38" t="s">
        <v>171</v>
      </c>
      <c r="J279" s="38" t="s">
        <v>177</v>
      </c>
      <c r="K279" s="38" t="s">
        <v>173</v>
      </c>
      <c r="L279" s="6"/>
      <c r="M279" s="113"/>
      <c r="N279" s="45" t="s">
        <v>62</v>
      </c>
      <c r="O279" s="2" t="s">
        <v>62</v>
      </c>
      <c r="P279" s="38" t="str">
        <f>IFERROR(Table3335678[[#This Row],[Min Count]]/Table3335678[[#This Row],[Scalar]],"")</f>
        <v/>
      </c>
      <c r="Q279" s="36" t="str">
        <f>IFERROR(Table3335678[[#This Row],[Max Count]]/Table3335678[[#This Row],[Scalar]],"")</f>
        <v/>
      </c>
      <c r="R279" s="34"/>
      <c r="S279" s="34"/>
      <c r="T279" s="34" t="s">
        <v>3723</v>
      </c>
      <c r="U279" s="33" t="s">
        <v>4343</v>
      </c>
      <c r="V279" s="33" t="s">
        <v>8637</v>
      </c>
      <c r="W279" s="33"/>
      <c r="X279" s="33"/>
    </row>
    <row r="280" spans="1:24" ht="16.149999999999999" customHeight="1" x14ac:dyDescent="0.15">
      <c r="A280" s="6">
        <v>274</v>
      </c>
      <c r="B280" s="18" t="s">
        <v>75</v>
      </c>
      <c r="C280" s="43" t="s">
        <v>4267</v>
      </c>
      <c r="D280" s="43" t="s">
        <v>4691</v>
      </c>
      <c r="E280" s="36" t="s">
        <v>219</v>
      </c>
      <c r="F280" s="19">
        <v>5</v>
      </c>
      <c r="G280" s="6">
        <v>3</v>
      </c>
      <c r="H280" s="34" t="s">
        <v>4692</v>
      </c>
      <c r="I280" s="38" t="s">
        <v>171</v>
      </c>
      <c r="J280" s="38" t="s">
        <v>177</v>
      </c>
      <c r="K280" s="38" t="s">
        <v>173</v>
      </c>
      <c r="L280" s="6"/>
      <c r="M280" s="113"/>
      <c r="N280" s="45" t="s">
        <v>62</v>
      </c>
      <c r="O280" s="2" t="s">
        <v>62</v>
      </c>
      <c r="P280" s="38" t="str">
        <f>IFERROR(Table3335678[[#This Row],[Min Count]]/Table3335678[[#This Row],[Scalar]],"")</f>
        <v/>
      </c>
      <c r="Q280" s="36" t="str">
        <f>IFERROR(Table3335678[[#This Row],[Max Count]]/Table3335678[[#This Row],[Scalar]],"")</f>
        <v/>
      </c>
      <c r="R280" s="34"/>
      <c r="S280" s="34"/>
      <c r="T280" s="34" t="s">
        <v>3723</v>
      </c>
      <c r="U280" s="33" t="s">
        <v>4343</v>
      </c>
      <c r="V280" s="33" t="s">
        <v>8638</v>
      </c>
      <c r="W280" s="33"/>
      <c r="X280" s="33"/>
    </row>
    <row r="281" spans="1:24" ht="16.149999999999999" customHeight="1" x14ac:dyDescent="0.15">
      <c r="A281" s="6">
        <v>275</v>
      </c>
      <c r="B281" s="18" t="s">
        <v>75</v>
      </c>
      <c r="C281" s="43" t="s">
        <v>4267</v>
      </c>
      <c r="D281" s="43" t="s">
        <v>7665</v>
      </c>
      <c r="E281" s="36" t="s">
        <v>219</v>
      </c>
      <c r="F281" s="19">
        <v>5</v>
      </c>
      <c r="G281" s="6">
        <v>4</v>
      </c>
      <c r="H281" s="34" t="s">
        <v>4665</v>
      </c>
      <c r="I281" s="38" t="s">
        <v>171</v>
      </c>
      <c r="J281" s="38" t="s">
        <v>177</v>
      </c>
      <c r="K281" s="38" t="s">
        <v>173</v>
      </c>
      <c r="L281" s="6"/>
      <c r="M281" s="113"/>
      <c r="N281" s="45" t="s">
        <v>62</v>
      </c>
      <c r="O281" s="2" t="s">
        <v>62</v>
      </c>
      <c r="P281" s="38" t="str">
        <f>IFERROR(Table3335678[[#This Row],[Min Count]]/Table3335678[[#This Row],[Scalar]],"")</f>
        <v/>
      </c>
      <c r="Q281" s="36" t="str">
        <f>IFERROR(Table3335678[[#This Row],[Max Count]]/Table3335678[[#This Row],[Scalar]],"")</f>
        <v/>
      </c>
      <c r="R281" s="34"/>
      <c r="S281" s="34"/>
      <c r="T281" s="34" t="s">
        <v>3723</v>
      </c>
      <c r="U281" s="33" t="s">
        <v>4343</v>
      </c>
      <c r="V281" s="33" t="s">
        <v>8639</v>
      </c>
      <c r="W281" s="33"/>
      <c r="X281" s="33"/>
    </row>
    <row r="282" spans="1:24" ht="16.149999999999999" customHeight="1" x14ac:dyDescent="0.15">
      <c r="A282" s="6">
        <v>276</v>
      </c>
      <c r="B282" s="18" t="s">
        <v>75</v>
      </c>
      <c r="C282" s="43" t="s">
        <v>4267</v>
      </c>
      <c r="D282" s="43" t="s">
        <v>4718</v>
      </c>
      <c r="E282" s="36" t="s">
        <v>219</v>
      </c>
      <c r="F282" s="19">
        <v>5</v>
      </c>
      <c r="G282" s="6">
        <v>5</v>
      </c>
      <c r="H282" s="34" t="s">
        <v>4719</v>
      </c>
      <c r="I282" s="38" t="s">
        <v>171</v>
      </c>
      <c r="J282" s="38" t="s">
        <v>177</v>
      </c>
      <c r="K282" s="38" t="s">
        <v>173</v>
      </c>
      <c r="L282" s="6"/>
      <c r="M282" s="113"/>
      <c r="N282" s="45" t="s">
        <v>62</v>
      </c>
      <c r="O282" s="2" t="s">
        <v>62</v>
      </c>
      <c r="P282" s="38" t="str">
        <f>IFERROR(Table3335678[[#This Row],[Min Count]]/Table3335678[[#This Row],[Scalar]],"")</f>
        <v/>
      </c>
      <c r="Q282" s="36" t="str">
        <f>IFERROR(Table3335678[[#This Row],[Max Count]]/Table3335678[[#This Row],[Scalar]],"")</f>
        <v/>
      </c>
      <c r="R282" s="34"/>
      <c r="S282" s="34"/>
      <c r="T282" s="34" t="s">
        <v>3723</v>
      </c>
      <c r="U282" s="33" t="s">
        <v>4343</v>
      </c>
      <c r="V282" s="33" t="s">
        <v>8640</v>
      </c>
      <c r="W282" s="33"/>
      <c r="X282" s="33"/>
    </row>
    <row r="283" spans="1:24" ht="16.149999999999999" customHeight="1" x14ac:dyDescent="0.15">
      <c r="A283" s="6">
        <v>277</v>
      </c>
      <c r="B283" s="18" t="s">
        <v>75</v>
      </c>
      <c r="C283" s="43" t="s">
        <v>4267</v>
      </c>
      <c r="D283" s="43" t="s">
        <v>4718</v>
      </c>
      <c r="E283" s="36" t="s">
        <v>219</v>
      </c>
      <c r="F283" s="19">
        <v>5</v>
      </c>
      <c r="G283" s="6">
        <v>6</v>
      </c>
      <c r="H283" s="34" t="s">
        <v>4828</v>
      </c>
      <c r="I283" s="38" t="s">
        <v>171</v>
      </c>
      <c r="J283" s="38" t="s">
        <v>177</v>
      </c>
      <c r="K283" s="38" t="s">
        <v>173</v>
      </c>
      <c r="L283" s="6"/>
      <c r="M283" s="113"/>
      <c r="N283" s="45" t="s">
        <v>62</v>
      </c>
      <c r="O283" s="2" t="s">
        <v>62</v>
      </c>
      <c r="P283" s="38" t="str">
        <f>IFERROR(Table3335678[[#This Row],[Min Count]]/Table3335678[[#This Row],[Scalar]],"")</f>
        <v/>
      </c>
      <c r="Q283" s="36" t="str">
        <f>IFERROR(Table3335678[[#This Row],[Max Count]]/Table3335678[[#This Row],[Scalar]],"")</f>
        <v/>
      </c>
      <c r="R283" s="34"/>
      <c r="S283" s="34"/>
      <c r="T283" s="34" t="s">
        <v>3723</v>
      </c>
      <c r="U283" s="33" t="s">
        <v>4343</v>
      </c>
      <c r="V283" s="33" t="s">
        <v>8640</v>
      </c>
      <c r="W283" s="33"/>
      <c r="X283" s="33"/>
    </row>
    <row r="284" spans="1:24" ht="16.149999999999999" customHeight="1" x14ac:dyDescent="0.15">
      <c r="A284" s="6">
        <v>278</v>
      </c>
      <c r="B284" s="18" t="s">
        <v>75</v>
      </c>
      <c r="C284" s="43" t="s">
        <v>4267</v>
      </c>
      <c r="D284" s="43" t="s">
        <v>7666</v>
      </c>
      <c r="E284" s="36" t="s">
        <v>219</v>
      </c>
      <c r="F284" s="19">
        <v>5</v>
      </c>
      <c r="G284" s="6">
        <v>7</v>
      </c>
      <c r="H284" s="34" t="s">
        <v>4662</v>
      </c>
      <c r="I284" s="38" t="s">
        <v>171</v>
      </c>
      <c r="J284" s="38" t="s">
        <v>177</v>
      </c>
      <c r="K284" s="38" t="s">
        <v>173</v>
      </c>
      <c r="L284" s="6"/>
      <c r="M284" s="113"/>
      <c r="N284" s="45" t="s">
        <v>62</v>
      </c>
      <c r="O284" s="2" t="s">
        <v>62</v>
      </c>
      <c r="P284" s="38" t="str">
        <f>IFERROR(Table3335678[[#This Row],[Min Count]]/Table3335678[[#This Row],[Scalar]],"")</f>
        <v/>
      </c>
      <c r="Q284" s="36" t="str">
        <f>IFERROR(Table3335678[[#This Row],[Max Count]]/Table3335678[[#This Row],[Scalar]],"")</f>
        <v/>
      </c>
      <c r="R284" s="34"/>
      <c r="S284" s="34"/>
      <c r="T284" s="34" t="s">
        <v>3723</v>
      </c>
      <c r="U284" s="33" t="s">
        <v>4343</v>
      </c>
      <c r="V284" s="33" t="s">
        <v>8641</v>
      </c>
      <c r="W284" s="33"/>
      <c r="X284" s="33"/>
    </row>
    <row r="285" spans="1:24" ht="16.149999999999999" customHeight="1" x14ac:dyDescent="0.15">
      <c r="A285" s="6">
        <v>279</v>
      </c>
      <c r="B285" s="18" t="s">
        <v>75</v>
      </c>
      <c r="C285" s="43" t="s">
        <v>4267</v>
      </c>
      <c r="D285" s="43" t="s">
        <v>4667</v>
      </c>
      <c r="E285" s="36" t="s">
        <v>219</v>
      </c>
      <c r="F285" s="19">
        <v>5</v>
      </c>
      <c r="G285" s="6">
        <v>8</v>
      </c>
      <c r="H285" s="34" t="s">
        <v>4668</v>
      </c>
      <c r="I285" s="38" t="s">
        <v>171</v>
      </c>
      <c r="J285" s="38" t="s">
        <v>177</v>
      </c>
      <c r="K285" s="38" t="s">
        <v>173</v>
      </c>
      <c r="L285" s="6"/>
      <c r="M285" s="113"/>
      <c r="N285" s="45" t="s">
        <v>62</v>
      </c>
      <c r="O285" s="2" t="s">
        <v>62</v>
      </c>
      <c r="P285" s="38" t="str">
        <f>IFERROR(Table3335678[[#This Row],[Min Count]]/Table3335678[[#This Row],[Scalar]],"")</f>
        <v/>
      </c>
      <c r="Q285" s="36" t="str">
        <f>IFERROR(Table3335678[[#This Row],[Max Count]]/Table3335678[[#This Row],[Scalar]],"")</f>
        <v/>
      </c>
      <c r="R285" s="34"/>
      <c r="S285" s="34"/>
      <c r="T285" s="34" t="s">
        <v>3723</v>
      </c>
      <c r="U285" s="33" t="s">
        <v>4343</v>
      </c>
      <c r="V285" s="33" t="s">
        <v>8642</v>
      </c>
      <c r="W285" s="33"/>
      <c r="X285" s="33"/>
    </row>
    <row r="286" spans="1:24" ht="16.149999999999999" customHeight="1" x14ac:dyDescent="0.15">
      <c r="A286" s="6">
        <v>280</v>
      </c>
      <c r="B286" s="18" t="s">
        <v>75</v>
      </c>
      <c r="C286" s="43" t="s">
        <v>4267</v>
      </c>
      <c r="D286" s="43" t="s">
        <v>4706</v>
      </c>
      <c r="E286" s="36" t="s">
        <v>219</v>
      </c>
      <c r="F286" s="19">
        <v>5</v>
      </c>
      <c r="G286" s="6">
        <v>9</v>
      </c>
      <c r="H286" s="34" t="s">
        <v>4707</v>
      </c>
      <c r="I286" s="38" t="s">
        <v>171</v>
      </c>
      <c r="J286" s="38" t="s">
        <v>177</v>
      </c>
      <c r="K286" s="38" t="s">
        <v>173</v>
      </c>
      <c r="L286" s="6"/>
      <c r="M286" s="113"/>
      <c r="N286" s="45" t="s">
        <v>62</v>
      </c>
      <c r="O286" s="2" t="s">
        <v>62</v>
      </c>
      <c r="P286" s="38" t="str">
        <f>IFERROR(Table3335678[[#This Row],[Min Count]]/Table3335678[[#This Row],[Scalar]],"")</f>
        <v/>
      </c>
      <c r="Q286" s="36" t="str">
        <f>IFERROR(Table3335678[[#This Row],[Max Count]]/Table3335678[[#This Row],[Scalar]],"")</f>
        <v/>
      </c>
      <c r="R286" s="34"/>
      <c r="S286" s="34"/>
      <c r="T286" s="34" t="s">
        <v>3723</v>
      </c>
      <c r="U286" s="33" t="s">
        <v>4343</v>
      </c>
      <c r="V286" s="33" t="s">
        <v>8643</v>
      </c>
      <c r="W286" s="33"/>
      <c r="X286" s="33"/>
    </row>
    <row r="287" spans="1:24" ht="16.149999999999999" customHeight="1" x14ac:dyDescent="0.15">
      <c r="A287" s="6">
        <v>281</v>
      </c>
      <c r="B287" s="18" t="s">
        <v>75</v>
      </c>
      <c r="C287" s="43" t="s">
        <v>4267</v>
      </c>
      <c r="D287" s="43" t="s">
        <v>4709</v>
      </c>
      <c r="E287" s="36" t="s">
        <v>219</v>
      </c>
      <c r="F287" s="19">
        <v>5</v>
      </c>
      <c r="G287" s="6">
        <v>10</v>
      </c>
      <c r="H287" s="34" t="s">
        <v>4710</v>
      </c>
      <c r="I287" s="38" t="s">
        <v>171</v>
      </c>
      <c r="J287" s="38" t="s">
        <v>177</v>
      </c>
      <c r="K287" s="38" t="s">
        <v>173</v>
      </c>
      <c r="L287" s="6"/>
      <c r="M287" s="113"/>
      <c r="N287" s="45" t="s">
        <v>62</v>
      </c>
      <c r="O287" s="2" t="s">
        <v>62</v>
      </c>
      <c r="P287" s="38" t="str">
        <f>IFERROR(Table3335678[[#This Row],[Min Count]]/Table3335678[[#This Row],[Scalar]],"")</f>
        <v/>
      </c>
      <c r="Q287" s="36" t="str">
        <f>IFERROR(Table3335678[[#This Row],[Max Count]]/Table3335678[[#This Row],[Scalar]],"")</f>
        <v/>
      </c>
      <c r="R287" s="34"/>
      <c r="S287" s="34"/>
      <c r="T287" s="34" t="s">
        <v>3723</v>
      </c>
      <c r="U287" s="33" t="s">
        <v>4343</v>
      </c>
      <c r="V287" s="33" t="s">
        <v>8644</v>
      </c>
      <c r="W287" s="33"/>
      <c r="X287" s="33"/>
    </row>
    <row r="288" spans="1:24" ht="16.149999999999999" customHeight="1" x14ac:dyDescent="0.15">
      <c r="A288" s="6">
        <v>282</v>
      </c>
      <c r="B288" s="18" t="s">
        <v>75</v>
      </c>
      <c r="C288" s="43" t="s">
        <v>4267</v>
      </c>
      <c r="D288" s="43" t="s">
        <v>7667</v>
      </c>
      <c r="E288" s="36" t="s">
        <v>219</v>
      </c>
      <c r="F288" s="19">
        <v>5</v>
      </c>
      <c r="G288" s="6">
        <v>11</v>
      </c>
      <c r="H288" s="34" t="s">
        <v>4819</v>
      </c>
      <c r="I288" s="38" t="s">
        <v>171</v>
      </c>
      <c r="J288" s="38" t="s">
        <v>177</v>
      </c>
      <c r="K288" s="38" t="s">
        <v>173</v>
      </c>
      <c r="L288" s="6"/>
      <c r="M288" s="113"/>
      <c r="N288" s="45" t="s">
        <v>62</v>
      </c>
      <c r="O288" s="2" t="s">
        <v>62</v>
      </c>
      <c r="P288" s="38" t="str">
        <f>IFERROR(Table3335678[[#This Row],[Min Count]]/Table3335678[[#This Row],[Scalar]],"")</f>
        <v/>
      </c>
      <c r="Q288" s="36" t="str">
        <f>IFERROR(Table3335678[[#This Row],[Max Count]]/Table3335678[[#This Row],[Scalar]],"")</f>
        <v/>
      </c>
      <c r="R288" s="34"/>
      <c r="S288" s="34"/>
      <c r="T288" s="34" t="s">
        <v>3723</v>
      </c>
      <c r="U288" s="33" t="s">
        <v>4343</v>
      </c>
      <c r="V288" s="33" t="s">
        <v>8645</v>
      </c>
      <c r="W288" s="33"/>
      <c r="X288" s="33"/>
    </row>
    <row r="289" spans="1:24" ht="16.149999999999999" customHeight="1" x14ac:dyDescent="0.15">
      <c r="A289" s="6">
        <v>283</v>
      </c>
      <c r="B289" s="18" t="s">
        <v>75</v>
      </c>
      <c r="C289" s="43" t="s">
        <v>4267</v>
      </c>
      <c r="D289" s="43" t="s">
        <v>4694</v>
      </c>
      <c r="E289" s="36" t="s">
        <v>219</v>
      </c>
      <c r="F289" s="19">
        <v>5</v>
      </c>
      <c r="G289" s="6">
        <v>12</v>
      </c>
      <c r="H289" s="34" t="s">
        <v>4695</v>
      </c>
      <c r="I289" s="38" t="s">
        <v>171</v>
      </c>
      <c r="J289" s="38" t="s">
        <v>177</v>
      </c>
      <c r="K289" s="38" t="s">
        <v>173</v>
      </c>
      <c r="L289" s="6"/>
      <c r="M289" s="113"/>
      <c r="N289" s="45" t="s">
        <v>62</v>
      </c>
      <c r="O289" s="2" t="s">
        <v>62</v>
      </c>
      <c r="P289" s="38" t="str">
        <f>IFERROR(Table3335678[[#This Row],[Min Count]]/Table3335678[[#This Row],[Scalar]],"")</f>
        <v/>
      </c>
      <c r="Q289" s="36" t="str">
        <f>IFERROR(Table3335678[[#This Row],[Max Count]]/Table3335678[[#This Row],[Scalar]],"")</f>
        <v/>
      </c>
      <c r="R289" s="34"/>
      <c r="S289" s="34"/>
      <c r="T289" s="34" t="s">
        <v>3723</v>
      </c>
      <c r="U289" s="33" t="s">
        <v>4343</v>
      </c>
      <c r="V289" s="33" t="s">
        <v>8646</v>
      </c>
      <c r="W289" s="33"/>
      <c r="X289" s="33"/>
    </row>
    <row r="290" spans="1:24" ht="16.149999999999999" customHeight="1" x14ac:dyDescent="0.15">
      <c r="A290" s="6">
        <v>284</v>
      </c>
      <c r="B290" s="18" t="s">
        <v>75</v>
      </c>
      <c r="C290" s="43" t="s">
        <v>4267</v>
      </c>
      <c r="D290" s="43" t="s">
        <v>4694</v>
      </c>
      <c r="E290" s="36" t="s">
        <v>219</v>
      </c>
      <c r="F290" s="19">
        <v>5</v>
      </c>
      <c r="G290" s="6">
        <v>13</v>
      </c>
      <c r="H290" s="34" t="s">
        <v>4869</v>
      </c>
      <c r="I290" s="38" t="s">
        <v>171</v>
      </c>
      <c r="J290" s="38" t="s">
        <v>177</v>
      </c>
      <c r="K290" s="38" t="s">
        <v>173</v>
      </c>
      <c r="L290" s="6"/>
      <c r="M290" s="113"/>
      <c r="N290" s="45" t="s">
        <v>62</v>
      </c>
      <c r="O290" s="2" t="s">
        <v>62</v>
      </c>
      <c r="P290" s="38" t="str">
        <f>IFERROR(Table3335678[[#This Row],[Min Count]]/Table3335678[[#This Row],[Scalar]],"")</f>
        <v/>
      </c>
      <c r="Q290" s="36" t="str">
        <f>IFERROR(Table3335678[[#This Row],[Max Count]]/Table3335678[[#This Row],[Scalar]],"")</f>
        <v/>
      </c>
      <c r="R290" s="34"/>
      <c r="S290" s="34"/>
      <c r="T290" s="34" t="s">
        <v>3723</v>
      </c>
      <c r="U290" s="33" t="s">
        <v>4343</v>
      </c>
      <c r="V290" s="33" t="s">
        <v>8646</v>
      </c>
      <c r="W290" s="33"/>
      <c r="X290" s="33"/>
    </row>
    <row r="291" spans="1:24" ht="16.149999999999999" customHeight="1" x14ac:dyDescent="0.15">
      <c r="A291" s="6">
        <v>285</v>
      </c>
      <c r="B291" s="18" t="s">
        <v>75</v>
      </c>
      <c r="C291" s="43" t="s">
        <v>4267</v>
      </c>
      <c r="D291" s="43" t="s">
        <v>4857</v>
      </c>
      <c r="E291" s="36" t="s">
        <v>219</v>
      </c>
      <c r="F291" s="19">
        <v>5</v>
      </c>
      <c r="G291" s="6">
        <v>14</v>
      </c>
      <c r="H291" s="34" t="s">
        <v>4858</v>
      </c>
      <c r="I291" s="38" t="s">
        <v>171</v>
      </c>
      <c r="J291" s="38" t="s">
        <v>177</v>
      </c>
      <c r="K291" s="38" t="s">
        <v>173</v>
      </c>
      <c r="L291" s="6"/>
      <c r="M291" s="113"/>
      <c r="N291" s="45" t="s">
        <v>62</v>
      </c>
      <c r="O291" s="2" t="s">
        <v>62</v>
      </c>
      <c r="P291" s="38" t="str">
        <f>IFERROR(Table3335678[[#This Row],[Min Count]]/Table3335678[[#This Row],[Scalar]],"")</f>
        <v/>
      </c>
      <c r="Q291" s="36" t="str">
        <f>IFERROR(Table3335678[[#This Row],[Max Count]]/Table3335678[[#This Row],[Scalar]],"")</f>
        <v/>
      </c>
      <c r="R291" s="34"/>
      <c r="S291" s="34"/>
      <c r="T291" s="34" t="s">
        <v>3723</v>
      </c>
      <c r="U291" s="33" t="s">
        <v>4343</v>
      </c>
      <c r="V291" s="33" t="s">
        <v>8647</v>
      </c>
      <c r="W291" s="33"/>
      <c r="X291" s="33"/>
    </row>
    <row r="292" spans="1:24" ht="16.149999999999999" customHeight="1" x14ac:dyDescent="0.15">
      <c r="A292" s="6">
        <v>286</v>
      </c>
      <c r="B292" s="18" t="s">
        <v>75</v>
      </c>
      <c r="C292" s="43" t="s">
        <v>4267</v>
      </c>
      <c r="D292" s="43" t="s">
        <v>7668</v>
      </c>
      <c r="E292" s="36" t="s">
        <v>219</v>
      </c>
      <c r="F292" s="19">
        <v>5</v>
      </c>
      <c r="G292" s="6">
        <v>15</v>
      </c>
      <c r="H292" s="34" t="s">
        <v>4760</v>
      </c>
      <c r="I292" s="38" t="s">
        <v>171</v>
      </c>
      <c r="J292" s="38" t="s">
        <v>177</v>
      </c>
      <c r="K292" s="38" t="s">
        <v>173</v>
      </c>
      <c r="L292" s="6"/>
      <c r="M292" s="113"/>
      <c r="N292" s="45" t="s">
        <v>62</v>
      </c>
      <c r="O292" s="2" t="s">
        <v>62</v>
      </c>
      <c r="P292" s="38" t="str">
        <f>IFERROR(Table3335678[[#This Row],[Min Count]]/Table3335678[[#This Row],[Scalar]],"")</f>
        <v/>
      </c>
      <c r="Q292" s="36" t="str">
        <f>IFERROR(Table3335678[[#This Row],[Max Count]]/Table3335678[[#This Row],[Scalar]],"")</f>
        <v/>
      </c>
      <c r="R292" s="34"/>
      <c r="S292" s="34"/>
      <c r="T292" s="34" t="s">
        <v>3723</v>
      </c>
      <c r="U292" s="33" t="s">
        <v>4343</v>
      </c>
      <c r="V292" s="33" t="s">
        <v>8648</v>
      </c>
      <c r="W292" s="33"/>
      <c r="X292" s="33"/>
    </row>
    <row r="293" spans="1:24" ht="16.149999999999999" customHeight="1" x14ac:dyDescent="0.15">
      <c r="A293" s="6">
        <v>287</v>
      </c>
      <c r="B293" s="18" t="s">
        <v>75</v>
      </c>
      <c r="C293" s="43" t="s">
        <v>4267</v>
      </c>
      <c r="D293" s="43" t="s">
        <v>7669</v>
      </c>
      <c r="E293" s="36" t="s">
        <v>219</v>
      </c>
      <c r="F293" s="19">
        <v>5</v>
      </c>
      <c r="G293" s="6">
        <v>16</v>
      </c>
      <c r="H293" s="34" t="s">
        <v>7670</v>
      </c>
      <c r="I293" s="38" t="s">
        <v>171</v>
      </c>
      <c r="J293" s="38" t="s">
        <v>177</v>
      </c>
      <c r="K293" s="38" t="s">
        <v>173</v>
      </c>
      <c r="L293" s="6"/>
      <c r="M293" s="113"/>
      <c r="N293" s="45" t="s">
        <v>62</v>
      </c>
      <c r="O293" s="2" t="s">
        <v>62</v>
      </c>
      <c r="P293" s="38" t="str">
        <f>IFERROR(Table3335678[[#This Row],[Min Count]]/Table3335678[[#This Row],[Scalar]],"")</f>
        <v/>
      </c>
      <c r="Q293" s="36" t="str">
        <f>IFERROR(Table3335678[[#This Row],[Max Count]]/Table3335678[[#This Row],[Scalar]],"")</f>
        <v/>
      </c>
      <c r="R293" s="34"/>
      <c r="S293" s="34"/>
      <c r="T293" s="34" t="s">
        <v>3723</v>
      </c>
      <c r="U293" s="33" t="s">
        <v>4343</v>
      </c>
      <c r="V293" s="33" t="s">
        <v>8649</v>
      </c>
      <c r="W293" s="33"/>
      <c r="X293" s="33"/>
    </row>
    <row r="294" spans="1:24" ht="16.149999999999999" customHeight="1" x14ac:dyDescent="0.15">
      <c r="A294" s="6">
        <v>288</v>
      </c>
      <c r="B294" s="18" t="s">
        <v>75</v>
      </c>
      <c r="C294" s="43" t="s">
        <v>4267</v>
      </c>
      <c r="D294" s="43" t="s">
        <v>7671</v>
      </c>
      <c r="E294" s="36" t="s">
        <v>219</v>
      </c>
      <c r="F294" s="19">
        <v>5</v>
      </c>
      <c r="G294" s="6">
        <v>17</v>
      </c>
      <c r="H294" s="34" t="s">
        <v>7672</v>
      </c>
      <c r="I294" s="38" t="s">
        <v>171</v>
      </c>
      <c r="J294" s="38" t="s">
        <v>177</v>
      </c>
      <c r="K294" s="38" t="s">
        <v>173</v>
      </c>
      <c r="L294" s="6"/>
      <c r="M294" s="113"/>
      <c r="N294" s="45" t="s">
        <v>62</v>
      </c>
      <c r="O294" s="2" t="s">
        <v>62</v>
      </c>
      <c r="P294" s="38" t="str">
        <f>IFERROR(Table3335678[[#This Row],[Min Count]]/Table3335678[[#This Row],[Scalar]],"")</f>
        <v/>
      </c>
      <c r="Q294" s="36" t="str">
        <f>IFERROR(Table3335678[[#This Row],[Max Count]]/Table3335678[[#This Row],[Scalar]],"")</f>
        <v/>
      </c>
      <c r="R294" s="34"/>
      <c r="S294" s="34"/>
      <c r="T294" s="34" t="s">
        <v>3723</v>
      </c>
      <c r="U294" s="33" t="s">
        <v>4343</v>
      </c>
      <c r="V294" s="33" t="s">
        <v>8650</v>
      </c>
      <c r="W294" s="33"/>
      <c r="X294" s="33"/>
    </row>
    <row r="295" spans="1:24" ht="16.149999999999999" customHeight="1" x14ac:dyDescent="0.15">
      <c r="A295" s="6">
        <v>289</v>
      </c>
      <c r="B295" s="18" t="s">
        <v>75</v>
      </c>
      <c r="C295" s="43" t="s">
        <v>4267</v>
      </c>
      <c r="D295" s="43" t="s">
        <v>4721</v>
      </c>
      <c r="E295" s="36" t="s">
        <v>219</v>
      </c>
      <c r="F295" s="19">
        <v>5</v>
      </c>
      <c r="G295" s="6">
        <v>18</v>
      </c>
      <c r="H295" s="34" t="s">
        <v>4722</v>
      </c>
      <c r="I295" s="38" t="s">
        <v>171</v>
      </c>
      <c r="J295" s="38" t="s">
        <v>177</v>
      </c>
      <c r="K295" s="38" t="s">
        <v>173</v>
      </c>
      <c r="L295" s="6"/>
      <c r="M295" s="113"/>
      <c r="N295" s="45" t="s">
        <v>62</v>
      </c>
      <c r="O295" s="2" t="s">
        <v>62</v>
      </c>
      <c r="P295" s="38" t="str">
        <f>IFERROR(Table3335678[[#This Row],[Min Count]]/Table3335678[[#This Row],[Scalar]],"")</f>
        <v/>
      </c>
      <c r="Q295" s="36" t="str">
        <f>IFERROR(Table3335678[[#This Row],[Max Count]]/Table3335678[[#This Row],[Scalar]],"")</f>
        <v/>
      </c>
      <c r="R295" s="34"/>
      <c r="S295" s="34"/>
      <c r="T295" s="34" t="s">
        <v>3723</v>
      </c>
      <c r="U295" s="33" t="s">
        <v>4343</v>
      </c>
      <c r="V295" s="33" t="s">
        <v>8651</v>
      </c>
      <c r="W295" s="33"/>
      <c r="X295" s="33"/>
    </row>
    <row r="296" spans="1:24" ht="16.149999999999999" customHeight="1" x14ac:dyDescent="0.15">
      <c r="A296" s="6">
        <v>290</v>
      </c>
      <c r="B296" s="18" t="s">
        <v>75</v>
      </c>
      <c r="C296" s="43" t="s">
        <v>4267</v>
      </c>
      <c r="D296" s="43" t="s">
        <v>4860</v>
      </c>
      <c r="E296" s="36" t="s">
        <v>219</v>
      </c>
      <c r="F296" s="19">
        <v>5</v>
      </c>
      <c r="G296" s="6">
        <v>19</v>
      </c>
      <c r="H296" s="34" t="s">
        <v>4861</v>
      </c>
      <c r="I296" s="38" t="s">
        <v>171</v>
      </c>
      <c r="J296" s="38" t="s">
        <v>177</v>
      </c>
      <c r="K296" s="38" t="s">
        <v>173</v>
      </c>
      <c r="L296" s="6"/>
      <c r="M296" s="113"/>
      <c r="N296" s="45" t="s">
        <v>62</v>
      </c>
      <c r="O296" s="2" t="s">
        <v>62</v>
      </c>
      <c r="P296" s="38" t="str">
        <f>IFERROR(Table3335678[[#This Row],[Min Count]]/Table3335678[[#This Row],[Scalar]],"")</f>
        <v/>
      </c>
      <c r="Q296" s="36" t="str">
        <f>IFERROR(Table3335678[[#This Row],[Max Count]]/Table3335678[[#This Row],[Scalar]],"")</f>
        <v/>
      </c>
      <c r="R296" s="34"/>
      <c r="S296" s="34"/>
      <c r="T296" s="34" t="s">
        <v>3723</v>
      </c>
      <c r="U296" s="33" t="s">
        <v>4343</v>
      </c>
      <c r="V296" s="33" t="s">
        <v>8652</v>
      </c>
      <c r="W296" s="33"/>
      <c r="X296" s="33"/>
    </row>
    <row r="297" spans="1:24" ht="16.149999999999999" customHeight="1" x14ac:dyDescent="0.15">
      <c r="A297" s="6">
        <v>291</v>
      </c>
      <c r="B297" s="18" t="s">
        <v>75</v>
      </c>
      <c r="C297" s="43" t="s">
        <v>4267</v>
      </c>
      <c r="D297" s="43" t="s">
        <v>4783</v>
      </c>
      <c r="E297" s="36" t="s">
        <v>219</v>
      </c>
      <c r="F297" s="19">
        <v>5</v>
      </c>
      <c r="G297" s="6">
        <v>20</v>
      </c>
      <c r="H297" s="34" t="s">
        <v>4784</v>
      </c>
      <c r="I297" s="38" t="s">
        <v>171</v>
      </c>
      <c r="J297" s="38" t="s">
        <v>177</v>
      </c>
      <c r="K297" s="38" t="s">
        <v>173</v>
      </c>
      <c r="L297" s="6"/>
      <c r="M297" s="113"/>
      <c r="N297" s="45" t="s">
        <v>62</v>
      </c>
      <c r="O297" s="2" t="s">
        <v>62</v>
      </c>
      <c r="P297" s="38" t="str">
        <f>IFERROR(Table3335678[[#This Row],[Min Count]]/Table3335678[[#This Row],[Scalar]],"")</f>
        <v/>
      </c>
      <c r="Q297" s="36" t="str">
        <f>IFERROR(Table3335678[[#This Row],[Max Count]]/Table3335678[[#This Row],[Scalar]],"")</f>
        <v/>
      </c>
      <c r="R297" s="34"/>
      <c r="S297" s="34"/>
      <c r="T297" s="34" t="s">
        <v>3723</v>
      </c>
      <c r="U297" s="33" t="s">
        <v>4343</v>
      </c>
      <c r="V297" s="33" t="s">
        <v>8653</v>
      </c>
      <c r="W297" s="33"/>
      <c r="X297" s="33"/>
    </row>
    <row r="298" spans="1:24" ht="16.149999999999999" customHeight="1" x14ac:dyDescent="0.15">
      <c r="A298" s="6">
        <v>292</v>
      </c>
      <c r="B298" s="18" t="s">
        <v>75</v>
      </c>
      <c r="C298" s="43" t="s">
        <v>4267</v>
      </c>
      <c r="D298" s="43" t="s">
        <v>4786</v>
      </c>
      <c r="E298" s="36" t="s">
        <v>219</v>
      </c>
      <c r="F298" s="19">
        <v>5</v>
      </c>
      <c r="G298" s="6">
        <v>21</v>
      </c>
      <c r="H298" s="34" t="s">
        <v>4787</v>
      </c>
      <c r="I298" s="38" t="s">
        <v>171</v>
      </c>
      <c r="J298" s="38" t="s">
        <v>177</v>
      </c>
      <c r="K298" s="38" t="s">
        <v>173</v>
      </c>
      <c r="L298" s="6"/>
      <c r="M298" s="113"/>
      <c r="N298" s="45" t="s">
        <v>62</v>
      </c>
      <c r="O298" s="2" t="s">
        <v>62</v>
      </c>
      <c r="P298" s="38" t="str">
        <f>IFERROR(Table3335678[[#This Row],[Min Count]]/Table3335678[[#This Row],[Scalar]],"")</f>
        <v/>
      </c>
      <c r="Q298" s="36" t="str">
        <f>IFERROR(Table3335678[[#This Row],[Max Count]]/Table3335678[[#This Row],[Scalar]],"")</f>
        <v/>
      </c>
      <c r="R298" s="34"/>
      <c r="S298" s="34"/>
      <c r="T298" s="34" t="s">
        <v>3723</v>
      </c>
      <c r="U298" s="33" t="s">
        <v>4343</v>
      </c>
      <c r="V298" s="33" t="s">
        <v>8654</v>
      </c>
      <c r="W298" s="33"/>
      <c r="X298" s="33"/>
    </row>
    <row r="299" spans="1:24" ht="16.149999999999999" customHeight="1" x14ac:dyDescent="0.15">
      <c r="A299" s="6">
        <v>293</v>
      </c>
      <c r="B299" s="18" t="s">
        <v>75</v>
      </c>
      <c r="C299" s="43" t="s">
        <v>4267</v>
      </c>
      <c r="D299" s="43" t="s">
        <v>7673</v>
      </c>
      <c r="E299" s="36" t="s">
        <v>219</v>
      </c>
      <c r="F299" s="19">
        <v>5</v>
      </c>
      <c r="G299" s="6">
        <v>22</v>
      </c>
      <c r="H299" s="34" t="s">
        <v>4840</v>
      </c>
      <c r="I299" s="38" t="s">
        <v>171</v>
      </c>
      <c r="J299" s="38" t="s">
        <v>177</v>
      </c>
      <c r="K299" s="38" t="s">
        <v>173</v>
      </c>
      <c r="L299" s="6"/>
      <c r="M299" s="113"/>
      <c r="N299" s="45" t="s">
        <v>62</v>
      </c>
      <c r="O299" s="2" t="s">
        <v>62</v>
      </c>
      <c r="P299" s="38" t="str">
        <f>IFERROR(Table3335678[[#This Row],[Min Count]]/Table3335678[[#This Row],[Scalar]],"")</f>
        <v/>
      </c>
      <c r="Q299" s="36" t="str">
        <f>IFERROR(Table3335678[[#This Row],[Max Count]]/Table3335678[[#This Row],[Scalar]],"")</f>
        <v/>
      </c>
      <c r="R299" s="34"/>
      <c r="S299" s="34"/>
      <c r="T299" s="34" t="s">
        <v>3723</v>
      </c>
      <c r="U299" s="33" t="s">
        <v>4343</v>
      </c>
      <c r="V299" s="33" t="s">
        <v>8655</v>
      </c>
      <c r="W299" s="33"/>
      <c r="X299" s="33"/>
    </row>
    <row r="300" spans="1:24" ht="16.149999999999999" customHeight="1" x14ac:dyDescent="0.15">
      <c r="A300" s="6">
        <v>294</v>
      </c>
      <c r="B300" s="18" t="s">
        <v>75</v>
      </c>
      <c r="C300" s="43" t="s">
        <v>4267</v>
      </c>
      <c r="D300" s="43" t="s">
        <v>7674</v>
      </c>
      <c r="E300" s="36" t="s">
        <v>219</v>
      </c>
      <c r="F300" s="19">
        <v>5</v>
      </c>
      <c r="G300" s="6">
        <v>23</v>
      </c>
      <c r="H300" s="34" t="s">
        <v>4843</v>
      </c>
      <c r="I300" s="38" t="s">
        <v>171</v>
      </c>
      <c r="J300" s="38" t="s">
        <v>177</v>
      </c>
      <c r="K300" s="38" t="s">
        <v>173</v>
      </c>
      <c r="L300" s="6"/>
      <c r="M300" s="113"/>
      <c r="N300" s="45" t="s">
        <v>62</v>
      </c>
      <c r="O300" s="2" t="s">
        <v>62</v>
      </c>
      <c r="P300" s="38" t="str">
        <f>IFERROR(Table3335678[[#This Row],[Min Count]]/Table3335678[[#This Row],[Scalar]],"")</f>
        <v/>
      </c>
      <c r="Q300" s="36" t="str">
        <f>IFERROR(Table3335678[[#This Row],[Max Count]]/Table3335678[[#This Row],[Scalar]],"")</f>
        <v/>
      </c>
      <c r="R300" s="34"/>
      <c r="S300" s="34"/>
      <c r="T300" s="34" t="s">
        <v>3723</v>
      </c>
      <c r="U300" s="33" t="s">
        <v>4343</v>
      </c>
      <c r="V300" s="33" t="s">
        <v>8656</v>
      </c>
      <c r="W300" s="33"/>
      <c r="X300" s="33"/>
    </row>
    <row r="301" spans="1:24" ht="16.149999999999999" customHeight="1" x14ac:dyDescent="0.15">
      <c r="A301" s="6">
        <v>295</v>
      </c>
      <c r="B301" s="18" t="s">
        <v>75</v>
      </c>
      <c r="C301" s="43" t="s">
        <v>4267</v>
      </c>
      <c r="D301" s="43" t="s">
        <v>7675</v>
      </c>
      <c r="E301" s="36" t="s">
        <v>219</v>
      </c>
      <c r="F301" s="19">
        <v>5</v>
      </c>
      <c r="G301" s="6">
        <v>24</v>
      </c>
      <c r="H301" s="34" t="s">
        <v>7676</v>
      </c>
      <c r="I301" s="38" t="s">
        <v>171</v>
      </c>
      <c r="J301" s="38" t="s">
        <v>177</v>
      </c>
      <c r="K301" s="38" t="s">
        <v>173</v>
      </c>
      <c r="L301" s="6"/>
      <c r="M301" s="113"/>
      <c r="N301" s="45" t="s">
        <v>62</v>
      </c>
      <c r="O301" s="2" t="s">
        <v>62</v>
      </c>
      <c r="P301" s="38" t="str">
        <f>IFERROR(Table3335678[[#This Row],[Min Count]]/Table3335678[[#This Row],[Scalar]],"")</f>
        <v/>
      </c>
      <c r="Q301" s="36" t="str">
        <f>IFERROR(Table3335678[[#This Row],[Max Count]]/Table3335678[[#This Row],[Scalar]],"")</f>
        <v/>
      </c>
      <c r="R301" s="34"/>
      <c r="S301" s="34"/>
      <c r="T301" s="34" t="s">
        <v>3723</v>
      </c>
      <c r="U301" s="33" t="s">
        <v>4343</v>
      </c>
      <c r="V301" s="33" t="s">
        <v>8657</v>
      </c>
      <c r="W301" s="33"/>
      <c r="X301" s="33"/>
    </row>
    <row r="302" spans="1:24" ht="16.149999999999999" customHeight="1" x14ac:dyDescent="0.15">
      <c r="A302" s="6">
        <v>296</v>
      </c>
      <c r="B302" s="18" t="s">
        <v>75</v>
      </c>
      <c r="C302" s="43" t="s">
        <v>4267</v>
      </c>
      <c r="D302" s="43" t="s">
        <v>7675</v>
      </c>
      <c r="E302" s="36" t="s">
        <v>219</v>
      </c>
      <c r="F302" s="19">
        <v>5</v>
      </c>
      <c r="G302" s="6">
        <v>25</v>
      </c>
      <c r="H302" s="34" t="s">
        <v>7677</v>
      </c>
      <c r="I302" s="38" t="s">
        <v>171</v>
      </c>
      <c r="J302" s="38" t="s">
        <v>177</v>
      </c>
      <c r="K302" s="38" t="s">
        <v>173</v>
      </c>
      <c r="L302" s="6"/>
      <c r="M302" s="113"/>
      <c r="N302" s="45" t="s">
        <v>62</v>
      </c>
      <c r="O302" s="2" t="s">
        <v>62</v>
      </c>
      <c r="P302" s="38" t="str">
        <f>IFERROR(Table3335678[[#This Row],[Min Count]]/Table3335678[[#This Row],[Scalar]],"")</f>
        <v/>
      </c>
      <c r="Q302" s="36" t="str">
        <f>IFERROR(Table3335678[[#This Row],[Max Count]]/Table3335678[[#This Row],[Scalar]],"")</f>
        <v/>
      </c>
      <c r="R302" s="34"/>
      <c r="S302" s="34"/>
      <c r="T302" s="34" t="s">
        <v>3723</v>
      </c>
      <c r="U302" s="33" t="s">
        <v>4343</v>
      </c>
      <c r="V302" s="33" t="s">
        <v>8657</v>
      </c>
      <c r="W302" s="33"/>
      <c r="X302" s="33"/>
    </row>
    <row r="303" spans="1:24" ht="16.149999999999999" customHeight="1" x14ac:dyDescent="0.15">
      <c r="A303" s="6">
        <v>297</v>
      </c>
      <c r="B303" s="18" t="s">
        <v>75</v>
      </c>
      <c r="C303" s="43" t="s">
        <v>4267</v>
      </c>
      <c r="D303" s="43" t="s">
        <v>7678</v>
      </c>
      <c r="E303" s="36" t="s">
        <v>219</v>
      </c>
      <c r="F303" s="19">
        <v>5</v>
      </c>
      <c r="G303" s="6">
        <v>26</v>
      </c>
      <c r="H303" s="34" t="s">
        <v>4754</v>
      </c>
      <c r="I303" s="38" t="s">
        <v>171</v>
      </c>
      <c r="J303" s="38" t="s">
        <v>177</v>
      </c>
      <c r="K303" s="38" t="s">
        <v>173</v>
      </c>
      <c r="L303" s="6"/>
      <c r="M303" s="113"/>
      <c r="N303" s="45" t="s">
        <v>62</v>
      </c>
      <c r="O303" s="2" t="s">
        <v>62</v>
      </c>
      <c r="P303" s="38" t="str">
        <f>IFERROR(Table3335678[[#This Row],[Min Count]]/Table3335678[[#This Row],[Scalar]],"")</f>
        <v/>
      </c>
      <c r="Q303" s="36" t="str">
        <f>IFERROR(Table3335678[[#This Row],[Max Count]]/Table3335678[[#This Row],[Scalar]],"")</f>
        <v/>
      </c>
      <c r="R303" s="34"/>
      <c r="S303" s="34"/>
      <c r="T303" s="34" t="s">
        <v>3723</v>
      </c>
      <c r="U303" s="33" t="s">
        <v>4343</v>
      </c>
      <c r="V303" s="33" t="s">
        <v>8658</v>
      </c>
      <c r="W303" s="33"/>
      <c r="X303" s="33"/>
    </row>
    <row r="304" spans="1:24" ht="16.149999999999999" customHeight="1" x14ac:dyDescent="0.15">
      <c r="A304" s="6">
        <v>298</v>
      </c>
      <c r="B304" s="18" t="s">
        <v>75</v>
      </c>
      <c r="C304" s="43" t="s">
        <v>4267</v>
      </c>
      <c r="D304" s="43" t="s">
        <v>7679</v>
      </c>
      <c r="E304" s="36" t="s">
        <v>219</v>
      </c>
      <c r="F304" s="19">
        <v>5</v>
      </c>
      <c r="G304" s="6">
        <v>27</v>
      </c>
      <c r="H304" s="34" t="s">
        <v>4737</v>
      </c>
      <c r="I304" s="38" t="s">
        <v>171</v>
      </c>
      <c r="J304" s="38" t="s">
        <v>177</v>
      </c>
      <c r="K304" s="38" t="s">
        <v>173</v>
      </c>
      <c r="L304" s="6"/>
      <c r="M304" s="113"/>
      <c r="N304" s="45" t="s">
        <v>62</v>
      </c>
      <c r="O304" s="2" t="s">
        <v>62</v>
      </c>
      <c r="P304" s="38" t="str">
        <f>IFERROR(Table3335678[[#This Row],[Min Count]]/Table3335678[[#This Row],[Scalar]],"")</f>
        <v/>
      </c>
      <c r="Q304" s="36" t="str">
        <f>IFERROR(Table3335678[[#This Row],[Max Count]]/Table3335678[[#This Row],[Scalar]],"")</f>
        <v/>
      </c>
      <c r="R304" s="34"/>
      <c r="S304" s="34"/>
      <c r="T304" s="34" t="s">
        <v>3723</v>
      </c>
      <c r="U304" s="33" t="s">
        <v>4343</v>
      </c>
      <c r="V304" s="33" t="s">
        <v>8659</v>
      </c>
      <c r="W304" s="33"/>
      <c r="X304" s="33"/>
    </row>
    <row r="305" spans="1:24" ht="16.149999999999999" customHeight="1" x14ac:dyDescent="0.15">
      <c r="A305" s="6">
        <v>299</v>
      </c>
      <c r="B305" s="18" t="s">
        <v>75</v>
      </c>
      <c r="C305" s="43" t="s">
        <v>4267</v>
      </c>
      <c r="D305" s="43" t="s">
        <v>7680</v>
      </c>
      <c r="E305" s="36" t="s">
        <v>219</v>
      </c>
      <c r="F305" s="19">
        <v>5</v>
      </c>
      <c r="G305" s="6">
        <v>28</v>
      </c>
      <c r="H305" s="34" t="s">
        <v>7681</v>
      </c>
      <c r="I305" s="38" t="s">
        <v>171</v>
      </c>
      <c r="J305" s="38" t="s">
        <v>177</v>
      </c>
      <c r="K305" s="38" t="s">
        <v>173</v>
      </c>
      <c r="L305" s="6"/>
      <c r="M305" s="113"/>
      <c r="N305" s="45" t="s">
        <v>62</v>
      </c>
      <c r="O305" s="2" t="s">
        <v>62</v>
      </c>
      <c r="P305" s="38" t="str">
        <f>IFERROR(Table3335678[[#This Row],[Min Count]]/Table3335678[[#This Row],[Scalar]],"")</f>
        <v/>
      </c>
      <c r="Q305" s="36" t="str">
        <f>IFERROR(Table3335678[[#This Row],[Max Count]]/Table3335678[[#This Row],[Scalar]],"")</f>
        <v/>
      </c>
      <c r="R305" s="34"/>
      <c r="S305" s="34"/>
      <c r="T305" s="34" t="s">
        <v>3723</v>
      </c>
      <c r="U305" s="33" t="s">
        <v>4343</v>
      </c>
      <c r="V305" s="33" t="s">
        <v>8660</v>
      </c>
      <c r="W305" s="33"/>
      <c r="X305" s="33"/>
    </row>
    <row r="306" spans="1:24" ht="16.149999999999999" customHeight="1" x14ac:dyDescent="0.15">
      <c r="A306" s="6">
        <v>300</v>
      </c>
      <c r="B306" s="18" t="s">
        <v>75</v>
      </c>
      <c r="C306" s="43" t="s">
        <v>4267</v>
      </c>
      <c r="D306" s="43" t="s">
        <v>4688</v>
      </c>
      <c r="E306" s="36" t="s">
        <v>219</v>
      </c>
      <c r="F306" s="19">
        <v>5</v>
      </c>
      <c r="G306" s="6">
        <v>29</v>
      </c>
      <c r="H306" s="34" t="s">
        <v>4689</v>
      </c>
      <c r="I306" s="38" t="s">
        <v>171</v>
      </c>
      <c r="J306" s="38" t="s">
        <v>177</v>
      </c>
      <c r="K306" s="38" t="s">
        <v>173</v>
      </c>
      <c r="L306" s="6"/>
      <c r="M306" s="113"/>
      <c r="N306" s="45" t="s">
        <v>62</v>
      </c>
      <c r="O306" s="2" t="s">
        <v>62</v>
      </c>
      <c r="P306" s="38" t="str">
        <f>IFERROR(Table3335678[[#This Row],[Min Count]]/Table3335678[[#This Row],[Scalar]],"")</f>
        <v/>
      </c>
      <c r="Q306" s="36" t="str">
        <f>IFERROR(Table3335678[[#This Row],[Max Count]]/Table3335678[[#This Row],[Scalar]],"")</f>
        <v/>
      </c>
      <c r="R306" s="34"/>
      <c r="S306" s="34"/>
      <c r="T306" s="34" t="s">
        <v>3723</v>
      </c>
      <c r="U306" s="33" t="s">
        <v>4343</v>
      </c>
      <c r="V306" s="33" t="s">
        <v>8661</v>
      </c>
      <c r="W306" s="33"/>
      <c r="X306" s="33"/>
    </row>
    <row r="307" spans="1:24" ht="16.149999999999999" customHeight="1" x14ac:dyDescent="0.15">
      <c r="A307" s="6">
        <v>301</v>
      </c>
      <c r="B307" s="18" t="s">
        <v>75</v>
      </c>
      <c r="C307" s="43" t="s">
        <v>4267</v>
      </c>
      <c r="D307" s="43" t="s">
        <v>7682</v>
      </c>
      <c r="E307" s="36" t="s">
        <v>219</v>
      </c>
      <c r="F307" s="19">
        <v>5</v>
      </c>
      <c r="G307" s="6">
        <v>30</v>
      </c>
      <c r="H307" s="34" t="s">
        <v>4659</v>
      </c>
      <c r="I307" s="38" t="s">
        <v>171</v>
      </c>
      <c r="J307" s="38" t="s">
        <v>177</v>
      </c>
      <c r="K307" s="38" t="s">
        <v>173</v>
      </c>
      <c r="L307" s="6"/>
      <c r="M307" s="113"/>
      <c r="N307" s="45" t="s">
        <v>62</v>
      </c>
      <c r="O307" s="2" t="s">
        <v>62</v>
      </c>
      <c r="P307" s="38" t="str">
        <f>IFERROR(Table3335678[[#This Row],[Min Count]]/Table3335678[[#This Row],[Scalar]],"")</f>
        <v/>
      </c>
      <c r="Q307" s="36" t="str">
        <f>IFERROR(Table3335678[[#This Row],[Max Count]]/Table3335678[[#This Row],[Scalar]],"")</f>
        <v/>
      </c>
      <c r="R307" s="34"/>
      <c r="S307" s="34"/>
      <c r="T307" s="34" t="s">
        <v>3723</v>
      </c>
      <c r="U307" s="33" t="s">
        <v>4343</v>
      </c>
      <c r="V307" s="33" t="s">
        <v>8662</v>
      </c>
      <c r="W307" s="33"/>
      <c r="X307" s="33"/>
    </row>
    <row r="308" spans="1:24" ht="16.149999999999999" customHeight="1" x14ac:dyDescent="0.15">
      <c r="A308" s="6">
        <v>302</v>
      </c>
      <c r="B308" s="18" t="s">
        <v>75</v>
      </c>
      <c r="C308" s="43" t="s">
        <v>4267</v>
      </c>
      <c r="D308" s="43" t="s">
        <v>7683</v>
      </c>
      <c r="E308" s="36" t="s">
        <v>219</v>
      </c>
      <c r="F308" s="19">
        <v>5</v>
      </c>
      <c r="G308" s="6">
        <v>31</v>
      </c>
      <c r="H308" s="34" t="s">
        <v>4725</v>
      </c>
      <c r="I308" s="38" t="s">
        <v>171</v>
      </c>
      <c r="J308" s="38" t="s">
        <v>177</v>
      </c>
      <c r="K308" s="38" t="s">
        <v>173</v>
      </c>
      <c r="L308" s="6"/>
      <c r="M308" s="113"/>
      <c r="N308" s="45" t="s">
        <v>62</v>
      </c>
      <c r="O308" s="2" t="s">
        <v>62</v>
      </c>
      <c r="P308" s="38" t="str">
        <f>IFERROR(Table3335678[[#This Row],[Min Count]]/Table3335678[[#This Row],[Scalar]],"")</f>
        <v/>
      </c>
      <c r="Q308" s="36" t="str">
        <f>IFERROR(Table3335678[[#This Row],[Max Count]]/Table3335678[[#This Row],[Scalar]],"")</f>
        <v/>
      </c>
      <c r="R308" s="34"/>
      <c r="S308" s="34"/>
      <c r="T308" s="34" t="s">
        <v>3723</v>
      </c>
      <c r="U308" s="33" t="s">
        <v>4343</v>
      </c>
      <c r="V308" s="33" t="s">
        <v>8663</v>
      </c>
      <c r="W308" s="33"/>
      <c r="X308" s="33"/>
    </row>
    <row r="309" spans="1:24" ht="16.149999999999999" customHeight="1" x14ac:dyDescent="0.15">
      <c r="A309" s="6">
        <v>303</v>
      </c>
      <c r="B309" s="18" t="s">
        <v>75</v>
      </c>
      <c r="C309" s="43" t="s">
        <v>4267</v>
      </c>
      <c r="D309" s="43" t="s">
        <v>7684</v>
      </c>
      <c r="E309" s="36" t="s">
        <v>219</v>
      </c>
      <c r="F309" s="19">
        <v>6</v>
      </c>
      <c r="G309" s="6"/>
      <c r="H309" s="34" t="s">
        <v>3721</v>
      </c>
      <c r="I309" s="38" t="s">
        <v>196</v>
      </c>
      <c r="J309" s="38"/>
      <c r="K309" s="38"/>
      <c r="L309" s="6" t="s">
        <v>61</v>
      </c>
      <c r="M309" s="113">
        <v>1</v>
      </c>
      <c r="N309" s="45" t="s">
        <v>62</v>
      </c>
      <c r="O309" s="2" t="s">
        <v>62</v>
      </c>
      <c r="P309" s="38" t="str">
        <f>IFERROR(Table3335678[[#This Row],[Min Count]]/Table3335678[[#This Row],[Scalar]],"")</f>
        <v/>
      </c>
      <c r="Q309" s="36" t="str">
        <f>IFERROR(Table3335678[[#This Row],[Max Count]]/Table3335678[[#This Row],[Scalar]],"")</f>
        <v/>
      </c>
      <c r="R309" s="34"/>
      <c r="S309" s="34"/>
      <c r="T309" s="34" t="s">
        <v>3723</v>
      </c>
      <c r="U309" s="33" t="s">
        <v>3853</v>
      </c>
      <c r="V309" s="33" t="s">
        <v>8664</v>
      </c>
      <c r="W309" s="33"/>
      <c r="X309" s="33"/>
    </row>
    <row r="310" spans="1:24" ht="16.149999999999999" customHeight="1" x14ac:dyDescent="0.15">
      <c r="A310" s="6">
        <v>304</v>
      </c>
      <c r="B310" s="18" t="s">
        <v>75</v>
      </c>
      <c r="C310" s="43" t="s">
        <v>4267</v>
      </c>
      <c r="D310" s="43" t="s">
        <v>7685</v>
      </c>
      <c r="E310" s="36" t="s">
        <v>219</v>
      </c>
      <c r="F310" s="19">
        <v>6</v>
      </c>
      <c r="G310" s="6">
        <v>0</v>
      </c>
      <c r="H310" s="34" t="s">
        <v>4822</v>
      </c>
      <c r="I310" s="38" t="s">
        <v>171</v>
      </c>
      <c r="J310" s="38" t="s">
        <v>177</v>
      </c>
      <c r="K310" s="38" t="s">
        <v>173</v>
      </c>
      <c r="L310" s="6"/>
      <c r="M310" s="113"/>
      <c r="N310" s="45" t="s">
        <v>62</v>
      </c>
      <c r="O310" s="2" t="s">
        <v>62</v>
      </c>
      <c r="P310" s="38" t="str">
        <f>IFERROR(Table3335678[[#This Row],[Min Count]]/Table3335678[[#This Row],[Scalar]],"")</f>
        <v/>
      </c>
      <c r="Q310" s="36" t="str">
        <f>IFERROR(Table3335678[[#This Row],[Max Count]]/Table3335678[[#This Row],[Scalar]],"")</f>
        <v/>
      </c>
      <c r="R310" s="34"/>
      <c r="S310" s="34"/>
      <c r="T310" s="34" t="s">
        <v>3723</v>
      </c>
      <c r="U310" s="33" t="s">
        <v>4343</v>
      </c>
      <c r="V310" s="33" t="s">
        <v>8665</v>
      </c>
      <c r="W310" s="33"/>
      <c r="X310" s="33"/>
    </row>
    <row r="311" spans="1:24" ht="16.149999999999999" customHeight="1" x14ac:dyDescent="0.15">
      <c r="A311" s="6">
        <v>305</v>
      </c>
      <c r="B311" s="18" t="s">
        <v>75</v>
      </c>
      <c r="C311" s="43" t="s">
        <v>4267</v>
      </c>
      <c r="D311" s="43" t="s">
        <v>4733</v>
      </c>
      <c r="E311" s="36" t="s">
        <v>219</v>
      </c>
      <c r="F311" s="19">
        <v>6</v>
      </c>
      <c r="G311" s="6">
        <v>1</v>
      </c>
      <c r="H311" s="34" t="s">
        <v>4734</v>
      </c>
      <c r="I311" s="38" t="s">
        <v>171</v>
      </c>
      <c r="J311" s="38" t="s">
        <v>177</v>
      </c>
      <c r="K311" s="38" t="s">
        <v>173</v>
      </c>
      <c r="L311" s="6"/>
      <c r="M311" s="113"/>
      <c r="N311" s="45" t="s">
        <v>62</v>
      </c>
      <c r="O311" s="2" t="s">
        <v>62</v>
      </c>
      <c r="P311" s="38" t="str">
        <f>IFERROR(Table3335678[[#This Row],[Min Count]]/Table3335678[[#This Row],[Scalar]],"")</f>
        <v/>
      </c>
      <c r="Q311" s="36" t="str">
        <f>IFERROR(Table3335678[[#This Row],[Max Count]]/Table3335678[[#This Row],[Scalar]],"")</f>
        <v/>
      </c>
      <c r="R311" s="34"/>
      <c r="S311" s="34"/>
      <c r="T311" s="34" t="s">
        <v>3723</v>
      </c>
      <c r="U311" s="33" t="s">
        <v>4343</v>
      </c>
      <c r="V311" s="33" t="s">
        <v>8666</v>
      </c>
      <c r="W311" s="33"/>
      <c r="X311" s="33"/>
    </row>
    <row r="312" spans="1:24" ht="16.149999999999999" customHeight="1" x14ac:dyDescent="0.15">
      <c r="A312" s="6">
        <v>306</v>
      </c>
      <c r="B312" s="18" t="s">
        <v>75</v>
      </c>
      <c r="C312" s="43" t="s">
        <v>4267</v>
      </c>
      <c r="D312" s="43" t="s">
        <v>4733</v>
      </c>
      <c r="E312" s="36" t="s">
        <v>219</v>
      </c>
      <c r="F312" s="19">
        <v>6</v>
      </c>
      <c r="G312" s="6">
        <v>2</v>
      </c>
      <c r="H312" s="34" t="s">
        <v>4825</v>
      </c>
      <c r="I312" s="38" t="s">
        <v>171</v>
      </c>
      <c r="J312" s="38" t="s">
        <v>177</v>
      </c>
      <c r="K312" s="38" t="s">
        <v>173</v>
      </c>
      <c r="L312" s="6"/>
      <c r="M312" s="113"/>
      <c r="N312" s="45" t="s">
        <v>62</v>
      </c>
      <c r="O312" s="2" t="s">
        <v>62</v>
      </c>
      <c r="P312" s="38" t="str">
        <f>IFERROR(Table3335678[[#This Row],[Min Count]]/Table3335678[[#This Row],[Scalar]],"")</f>
        <v/>
      </c>
      <c r="Q312" s="36" t="str">
        <f>IFERROR(Table3335678[[#This Row],[Max Count]]/Table3335678[[#This Row],[Scalar]],"")</f>
        <v/>
      </c>
      <c r="R312" s="34"/>
      <c r="S312" s="34"/>
      <c r="T312" s="34" t="s">
        <v>3723</v>
      </c>
      <c r="U312" s="33" t="s">
        <v>4343</v>
      </c>
      <c r="V312" s="33" t="s">
        <v>8666</v>
      </c>
      <c r="W312" s="33"/>
      <c r="X312" s="33"/>
    </row>
    <row r="313" spans="1:24" ht="16.149999999999999" customHeight="1" x14ac:dyDescent="0.15">
      <c r="A313" s="6">
        <v>307</v>
      </c>
      <c r="B313" s="18" t="s">
        <v>75</v>
      </c>
      <c r="C313" s="43" t="s">
        <v>4267</v>
      </c>
      <c r="D313" s="43" t="s">
        <v>4739</v>
      </c>
      <c r="E313" s="36" t="s">
        <v>219</v>
      </c>
      <c r="F313" s="19">
        <v>6</v>
      </c>
      <c r="G313" s="6">
        <v>3</v>
      </c>
      <c r="H313" s="34" t="s">
        <v>4740</v>
      </c>
      <c r="I313" s="38" t="s">
        <v>171</v>
      </c>
      <c r="J313" s="38" t="s">
        <v>177</v>
      </c>
      <c r="K313" s="38" t="s">
        <v>173</v>
      </c>
      <c r="L313" s="6"/>
      <c r="M313" s="113"/>
      <c r="N313" s="45" t="s">
        <v>62</v>
      </c>
      <c r="O313" s="2" t="s">
        <v>62</v>
      </c>
      <c r="P313" s="38" t="str">
        <f>IFERROR(Table3335678[[#This Row],[Min Count]]/Table3335678[[#This Row],[Scalar]],"")</f>
        <v/>
      </c>
      <c r="Q313" s="36" t="str">
        <f>IFERROR(Table3335678[[#This Row],[Max Count]]/Table3335678[[#This Row],[Scalar]],"")</f>
        <v/>
      </c>
      <c r="R313" s="34"/>
      <c r="S313" s="34"/>
      <c r="T313" s="34" t="s">
        <v>3723</v>
      </c>
      <c r="U313" s="33" t="s">
        <v>4343</v>
      </c>
      <c r="V313" s="33" t="s">
        <v>8667</v>
      </c>
      <c r="W313" s="33"/>
      <c r="X313" s="33"/>
    </row>
    <row r="314" spans="1:24" ht="16.149999999999999" customHeight="1" x14ac:dyDescent="0.15">
      <c r="A314" s="6">
        <v>308</v>
      </c>
      <c r="B314" s="18" t="s">
        <v>75</v>
      </c>
      <c r="C314" s="43" t="s">
        <v>4267</v>
      </c>
      <c r="D314" s="43" t="s">
        <v>7686</v>
      </c>
      <c r="E314" s="36" t="s">
        <v>219</v>
      </c>
      <c r="F314" s="19">
        <v>6</v>
      </c>
      <c r="G314" s="6">
        <v>4</v>
      </c>
      <c r="H314" s="34" t="s">
        <v>4656</v>
      </c>
      <c r="I314" s="38" t="s">
        <v>171</v>
      </c>
      <c r="J314" s="38" t="s">
        <v>177</v>
      </c>
      <c r="K314" s="38" t="s">
        <v>173</v>
      </c>
      <c r="L314" s="6"/>
      <c r="M314" s="113"/>
      <c r="N314" s="45" t="s">
        <v>62</v>
      </c>
      <c r="O314" s="2" t="s">
        <v>62</v>
      </c>
      <c r="P314" s="38" t="str">
        <f>IFERROR(Table3335678[[#This Row],[Min Count]]/Table3335678[[#This Row],[Scalar]],"")</f>
        <v/>
      </c>
      <c r="Q314" s="36" t="str">
        <f>IFERROR(Table3335678[[#This Row],[Max Count]]/Table3335678[[#This Row],[Scalar]],"")</f>
        <v/>
      </c>
      <c r="R314" s="34"/>
      <c r="S314" s="34"/>
      <c r="T314" s="34" t="s">
        <v>3723</v>
      </c>
      <c r="U314" s="33" t="s">
        <v>4343</v>
      </c>
      <c r="V314" s="33" t="s">
        <v>8668</v>
      </c>
      <c r="W314" s="33"/>
      <c r="X314" s="33"/>
    </row>
    <row r="315" spans="1:24" ht="16.149999999999999" customHeight="1" x14ac:dyDescent="0.15">
      <c r="A315" s="6">
        <v>309</v>
      </c>
      <c r="B315" s="18" t="s">
        <v>75</v>
      </c>
      <c r="C315" s="43" t="s">
        <v>4267</v>
      </c>
      <c r="D315" s="43" t="s">
        <v>7687</v>
      </c>
      <c r="E315" s="36" t="s">
        <v>219</v>
      </c>
      <c r="F315" s="19">
        <v>6</v>
      </c>
      <c r="G315" s="6">
        <v>5</v>
      </c>
      <c r="H315" s="34" t="s">
        <v>7688</v>
      </c>
      <c r="I315" s="38" t="s">
        <v>171</v>
      </c>
      <c r="J315" s="38" t="s">
        <v>177</v>
      </c>
      <c r="K315" s="38" t="s">
        <v>173</v>
      </c>
      <c r="L315" s="6"/>
      <c r="M315" s="113"/>
      <c r="N315" s="45" t="s">
        <v>62</v>
      </c>
      <c r="O315" s="2" t="s">
        <v>62</v>
      </c>
      <c r="P315" s="38" t="str">
        <f>IFERROR(Table3335678[[#This Row],[Min Count]]/Table3335678[[#This Row],[Scalar]],"")</f>
        <v/>
      </c>
      <c r="Q315" s="36" t="str">
        <f>IFERROR(Table3335678[[#This Row],[Max Count]]/Table3335678[[#This Row],[Scalar]],"")</f>
        <v/>
      </c>
      <c r="R315" s="34"/>
      <c r="S315" s="34"/>
      <c r="T315" s="34" t="s">
        <v>3723</v>
      </c>
      <c r="U315" s="33" t="s">
        <v>4343</v>
      </c>
      <c r="V315" s="33" t="s">
        <v>8669</v>
      </c>
      <c r="W315" s="33"/>
      <c r="X315" s="33"/>
    </row>
    <row r="316" spans="1:24" ht="16.149999999999999" customHeight="1" x14ac:dyDescent="0.15">
      <c r="A316" s="6">
        <v>310</v>
      </c>
      <c r="B316" s="18" t="s">
        <v>75</v>
      </c>
      <c r="C316" s="43" t="s">
        <v>4267</v>
      </c>
      <c r="D316" s="43" t="s">
        <v>7689</v>
      </c>
      <c r="E316" s="36" t="s">
        <v>219</v>
      </c>
      <c r="F316" s="19">
        <v>6</v>
      </c>
      <c r="G316" s="6">
        <v>6</v>
      </c>
      <c r="H316" s="34" t="s">
        <v>4716</v>
      </c>
      <c r="I316" s="38" t="s">
        <v>171</v>
      </c>
      <c r="J316" s="38" t="s">
        <v>177</v>
      </c>
      <c r="K316" s="38" t="s">
        <v>173</v>
      </c>
      <c r="L316" s="6"/>
      <c r="M316" s="113"/>
      <c r="N316" s="45" t="s">
        <v>62</v>
      </c>
      <c r="O316" s="2" t="s">
        <v>62</v>
      </c>
      <c r="P316" s="38" t="str">
        <f>IFERROR(Table3335678[[#This Row],[Min Count]]/Table3335678[[#This Row],[Scalar]],"")</f>
        <v/>
      </c>
      <c r="Q316" s="36" t="str">
        <f>IFERROR(Table3335678[[#This Row],[Max Count]]/Table3335678[[#This Row],[Scalar]],"")</f>
        <v/>
      </c>
      <c r="R316" s="34"/>
      <c r="S316" s="34"/>
      <c r="T316" s="34" t="s">
        <v>3723</v>
      </c>
      <c r="U316" s="33" t="s">
        <v>4343</v>
      </c>
      <c r="V316" s="33" t="s">
        <v>8670</v>
      </c>
      <c r="W316" s="33"/>
      <c r="X316" s="33"/>
    </row>
    <row r="317" spans="1:24" ht="16.149999999999999" customHeight="1" x14ac:dyDescent="0.15">
      <c r="A317" s="6">
        <v>311</v>
      </c>
      <c r="B317" s="18" t="s">
        <v>75</v>
      </c>
      <c r="C317" s="43" t="s">
        <v>4267</v>
      </c>
      <c r="D317" s="43" t="s">
        <v>4712</v>
      </c>
      <c r="E317" s="36" t="s">
        <v>219</v>
      </c>
      <c r="F317" s="19">
        <v>6</v>
      </c>
      <c r="G317" s="6">
        <v>7</v>
      </c>
      <c r="H317" s="34" t="s">
        <v>4713</v>
      </c>
      <c r="I317" s="38" t="s">
        <v>171</v>
      </c>
      <c r="J317" s="38" t="s">
        <v>177</v>
      </c>
      <c r="K317" s="38" t="s">
        <v>173</v>
      </c>
      <c r="L317" s="6"/>
      <c r="M317" s="113"/>
      <c r="N317" s="45" t="s">
        <v>62</v>
      </c>
      <c r="O317" s="2" t="s">
        <v>62</v>
      </c>
      <c r="P317" s="38" t="str">
        <f>IFERROR(Table3335678[[#This Row],[Min Count]]/Table3335678[[#This Row],[Scalar]],"")</f>
        <v/>
      </c>
      <c r="Q317" s="36" t="str">
        <f>IFERROR(Table3335678[[#This Row],[Max Count]]/Table3335678[[#This Row],[Scalar]],"")</f>
        <v/>
      </c>
      <c r="R317" s="34"/>
      <c r="S317" s="34"/>
      <c r="T317" s="34" t="s">
        <v>3723</v>
      </c>
      <c r="U317" s="33" t="s">
        <v>4343</v>
      </c>
      <c r="V317" s="33" t="s">
        <v>8671</v>
      </c>
      <c r="W317" s="33"/>
      <c r="X317" s="33"/>
    </row>
    <row r="318" spans="1:24" ht="16.149999999999999" customHeight="1" x14ac:dyDescent="0.15">
      <c r="A318" s="6">
        <v>312</v>
      </c>
      <c r="B318" s="18" t="s">
        <v>75</v>
      </c>
      <c r="C318" s="43" t="s">
        <v>4267</v>
      </c>
      <c r="D318" s="43" t="s">
        <v>4812</v>
      </c>
      <c r="E318" s="36" t="s">
        <v>219</v>
      </c>
      <c r="F318" s="19">
        <v>6</v>
      </c>
      <c r="G318" s="6">
        <v>8</v>
      </c>
      <c r="H318" s="34" t="s">
        <v>4813</v>
      </c>
      <c r="I318" s="38" t="s">
        <v>171</v>
      </c>
      <c r="J318" s="38" t="s">
        <v>177</v>
      </c>
      <c r="K318" s="38" t="s">
        <v>173</v>
      </c>
      <c r="L318" s="6"/>
      <c r="M318" s="113"/>
      <c r="N318" s="45" t="s">
        <v>62</v>
      </c>
      <c r="O318" s="2" t="s">
        <v>62</v>
      </c>
      <c r="P318" s="38" t="str">
        <f>IFERROR(Table3335678[[#This Row],[Min Count]]/Table3335678[[#This Row],[Scalar]],"")</f>
        <v/>
      </c>
      <c r="Q318" s="36" t="str">
        <f>IFERROR(Table3335678[[#This Row],[Max Count]]/Table3335678[[#This Row],[Scalar]],"")</f>
        <v/>
      </c>
      <c r="R318" s="34"/>
      <c r="S318" s="34"/>
      <c r="T318" s="34" t="s">
        <v>3723</v>
      </c>
      <c r="U318" s="33" t="s">
        <v>4343</v>
      </c>
      <c r="V318" s="33" t="s">
        <v>8672</v>
      </c>
      <c r="W318" s="33"/>
      <c r="X318" s="33"/>
    </row>
    <row r="319" spans="1:24" ht="16.149999999999999" customHeight="1" x14ac:dyDescent="0.15">
      <c r="A319" s="6">
        <v>313</v>
      </c>
      <c r="B319" s="18" t="s">
        <v>75</v>
      </c>
      <c r="C319" s="43" t="s">
        <v>4267</v>
      </c>
      <c r="D319" s="43" t="s">
        <v>4792</v>
      </c>
      <c r="E319" s="36" t="s">
        <v>219</v>
      </c>
      <c r="F319" s="19">
        <v>6</v>
      </c>
      <c r="G319" s="6">
        <v>9</v>
      </c>
      <c r="H319" s="34" t="s">
        <v>4793</v>
      </c>
      <c r="I319" s="38" t="s">
        <v>171</v>
      </c>
      <c r="J319" s="38" t="s">
        <v>177</v>
      </c>
      <c r="K319" s="38" t="s">
        <v>173</v>
      </c>
      <c r="L319" s="6"/>
      <c r="M319" s="113"/>
      <c r="N319" s="45" t="s">
        <v>62</v>
      </c>
      <c r="O319" s="2" t="s">
        <v>62</v>
      </c>
      <c r="P319" s="38" t="str">
        <f>IFERROR(Table3335678[[#This Row],[Min Count]]/Table3335678[[#This Row],[Scalar]],"")</f>
        <v/>
      </c>
      <c r="Q319" s="36" t="str">
        <f>IFERROR(Table3335678[[#This Row],[Max Count]]/Table3335678[[#This Row],[Scalar]],"")</f>
        <v/>
      </c>
      <c r="R319" s="34"/>
      <c r="S319" s="34"/>
      <c r="T319" s="34" t="s">
        <v>3723</v>
      </c>
      <c r="U319" s="33" t="s">
        <v>4343</v>
      </c>
      <c r="V319" s="33" t="s">
        <v>8673</v>
      </c>
      <c r="W319" s="33"/>
      <c r="X319" s="33"/>
    </row>
    <row r="320" spans="1:24" ht="16.149999999999999" customHeight="1" x14ac:dyDescent="0.15">
      <c r="A320" s="6">
        <v>314</v>
      </c>
      <c r="B320" s="18" t="s">
        <v>75</v>
      </c>
      <c r="C320" s="43" t="s">
        <v>4267</v>
      </c>
      <c r="D320" s="43" t="s">
        <v>4697</v>
      </c>
      <c r="E320" s="36" t="s">
        <v>219</v>
      </c>
      <c r="F320" s="19">
        <v>6</v>
      </c>
      <c r="G320" s="6">
        <v>10</v>
      </c>
      <c r="H320" s="34" t="s">
        <v>4698</v>
      </c>
      <c r="I320" s="38" t="s">
        <v>171</v>
      </c>
      <c r="J320" s="38" t="s">
        <v>177</v>
      </c>
      <c r="K320" s="38" t="s">
        <v>173</v>
      </c>
      <c r="L320" s="6"/>
      <c r="M320" s="113"/>
      <c r="N320" s="45" t="s">
        <v>62</v>
      </c>
      <c r="O320" s="2" t="s">
        <v>62</v>
      </c>
      <c r="P320" s="38" t="str">
        <f>IFERROR(Table3335678[[#This Row],[Min Count]]/Table3335678[[#This Row],[Scalar]],"")</f>
        <v/>
      </c>
      <c r="Q320" s="36" t="str">
        <f>IFERROR(Table3335678[[#This Row],[Max Count]]/Table3335678[[#This Row],[Scalar]],"")</f>
        <v/>
      </c>
      <c r="R320" s="34"/>
      <c r="S320" s="34"/>
      <c r="T320" s="34" t="s">
        <v>3723</v>
      </c>
      <c r="U320" s="33" t="s">
        <v>4343</v>
      </c>
      <c r="V320" s="33" t="s">
        <v>8674</v>
      </c>
      <c r="W320" s="33"/>
      <c r="X320" s="33"/>
    </row>
    <row r="321" spans="1:24" ht="16.149999999999999" customHeight="1" x14ac:dyDescent="0.15">
      <c r="A321" s="6">
        <v>315</v>
      </c>
      <c r="B321" s="18" t="s">
        <v>75</v>
      </c>
      <c r="C321" s="43" t="s">
        <v>4267</v>
      </c>
      <c r="D321" s="43" t="s">
        <v>7690</v>
      </c>
      <c r="E321" s="36" t="s">
        <v>219</v>
      </c>
      <c r="F321" s="19">
        <v>6</v>
      </c>
      <c r="G321" s="6">
        <v>11</v>
      </c>
      <c r="H321" s="34" t="s">
        <v>4810</v>
      </c>
      <c r="I321" s="38" t="s">
        <v>171</v>
      </c>
      <c r="J321" s="38" t="s">
        <v>177</v>
      </c>
      <c r="K321" s="38" t="s">
        <v>173</v>
      </c>
      <c r="L321" s="6"/>
      <c r="M321" s="113"/>
      <c r="N321" s="45" t="s">
        <v>62</v>
      </c>
      <c r="O321" s="2" t="s">
        <v>62</v>
      </c>
      <c r="P321" s="38" t="str">
        <f>IFERROR(Table3335678[[#This Row],[Min Count]]/Table3335678[[#This Row],[Scalar]],"")</f>
        <v/>
      </c>
      <c r="Q321" s="36" t="str">
        <f>IFERROR(Table3335678[[#This Row],[Max Count]]/Table3335678[[#This Row],[Scalar]],"")</f>
        <v/>
      </c>
      <c r="R321" s="34"/>
      <c r="S321" s="34"/>
      <c r="T321" s="34" t="s">
        <v>3723</v>
      </c>
      <c r="U321" s="33" t="s">
        <v>4343</v>
      </c>
      <c r="V321" s="33" t="s">
        <v>8675</v>
      </c>
      <c r="W321" s="33"/>
      <c r="X321" s="33"/>
    </row>
    <row r="322" spans="1:24" ht="16.149999999999999" customHeight="1" x14ac:dyDescent="0.15">
      <c r="A322" s="6">
        <v>316</v>
      </c>
      <c r="B322" s="18" t="s">
        <v>75</v>
      </c>
      <c r="C322" s="43" t="s">
        <v>4267</v>
      </c>
      <c r="D322" s="43" t="s">
        <v>7691</v>
      </c>
      <c r="E322" s="36" t="s">
        <v>219</v>
      </c>
      <c r="F322" s="19">
        <v>6</v>
      </c>
      <c r="G322" s="6">
        <v>12</v>
      </c>
      <c r="H322" s="34" t="s">
        <v>4766</v>
      </c>
      <c r="I322" s="38" t="s">
        <v>171</v>
      </c>
      <c r="J322" s="38" t="s">
        <v>177</v>
      </c>
      <c r="K322" s="38" t="s">
        <v>173</v>
      </c>
      <c r="L322" s="6"/>
      <c r="M322" s="113"/>
      <c r="N322" s="45" t="s">
        <v>62</v>
      </c>
      <c r="O322" s="2" t="s">
        <v>62</v>
      </c>
      <c r="P322" s="38" t="str">
        <f>IFERROR(Table3335678[[#This Row],[Min Count]]/Table3335678[[#This Row],[Scalar]],"")</f>
        <v/>
      </c>
      <c r="Q322" s="36" t="str">
        <f>IFERROR(Table3335678[[#This Row],[Max Count]]/Table3335678[[#This Row],[Scalar]],"")</f>
        <v/>
      </c>
      <c r="R322" s="34"/>
      <c r="S322" s="34"/>
      <c r="T322" s="34" t="s">
        <v>3723</v>
      </c>
      <c r="U322" s="33" t="s">
        <v>4343</v>
      </c>
      <c r="V322" s="33" t="s">
        <v>8676</v>
      </c>
      <c r="W322" s="33"/>
      <c r="X322" s="33"/>
    </row>
    <row r="323" spans="1:24" ht="16.149999999999999" customHeight="1" x14ac:dyDescent="0.15">
      <c r="A323" s="6">
        <v>317</v>
      </c>
      <c r="B323" s="18" t="s">
        <v>75</v>
      </c>
      <c r="C323" s="43" t="s">
        <v>4267</v>
      </c>
      <c r="D323" s="43" t="s">
        <v>4789</v>
      </c>
      <c r="E323" s="36" t="s">
        <v>219</v>
      </c>
      <c r="F323" s="19">
        <v>6</v>
      </c>
      <c r="G323" s="6">
        <v>13</v>
      </c>
      <c r="H323" s="34" t="s">
        <v>4790</v>
      </c>
      <c r="I323" s="38" t="s">
        <v>171</v>
      </c>
      <c r="J323" s="38" t="s">
        <v>177</v>
      </c>
      <c r="K323" s="38" t="s">
        <v>173</v>
      </c>
      <c r="L323" s="6"/>
      <c r="M323" s="113"/>
      <c r="N323" s="45" t="s">
        <v>62</v>
      </c>
      <c r="O323" s="2" t="s">
        <v>62</v>
      </c>
      <c r="P323" s="38" t="str">
        <f>IFERROR(Table3335678[[#This Row],[Min Count]]/Table3335678[[#This Row],[Scalar]],"")</f>
        <v/>
      </c>
      <c r="Q323" s="36" t="str">
        <f>IFERROR(Table3335678[[#This Row],[Max Count]]/Table3335678[[#This Row],[Scalar]],"")</f>
        <v/>
      </c>
      <c r="R323" s="34"/>
      <c r="S323" s="34"/>
      <c r="T323" s="34" t="s">
        <v>3723</v>
      </c>
      <c r="U323" s="33" t="s">
        <v>4343</v>
      </c>
      <c r="V323" s="33" t="s">
        <v>8677</v>
      </c>
      <c r="W323" s="33"/>
      <c r="X323" s="33"/>
    </row>
    <row r="324" spans="1:24" ht="16.149999999999999" customHeight="1" x14ac:dyDescent="0.15">
      <c r="A324" s="6">
        <v>318</v>
      </c>
      <c r="B324" s="18" t="s">
        <v>75</v>
      </c>
      <c r="C324" s="43" t="s">
        <v>4267</v>
      </c>
      <c r="D324" s="43" t="s">
        <v>7692</v>
      </c>
      <c r="E324" s="36" t="s">
        <v>219</v>
      </c>
      <c r="F324" s="19">
        <v>6</v>
      </c>
      <c r="G324" s="6">
        <v>14</v>
      </c>
      <c r="H324" s="34" t="s">
        <v>4751</v>
      </c>
      <c r="I324" s="38" t="s">
        <v>171</v>
      </c>
      <c r="J324" s="38" t="s">
        <v>177</v>
      </c>
      <c r="K324" s="38" t="s">
        <v>173</v>
      </c>
      <c r="L324" s="6"/>
      <c r="M324" s="113"/>
      <c r="N324" s="45" t="s">
        <v>62</v>
      </c>
      <c r="O324" s="2" t="s">
        <v>62</v>
      </c>
      <c r="P324" s="38" t="str">
        <f>IFERROR(Table3335678[[#This Row],[Min Count]]/Table3335678[[#This Row],[Scalar]],"")</f>
        <v/>
      </c>
      <c r="Q324" s="36" t="str">
        <f>IFERROR(Table3335678[[#This Row],[Max Count]]/Table3335678[[#This Row],[Scalar]],"")</f>
        <v/>
      </c>
      <c r="R324" s="34"/>
      <c r="S324" s="34"/>
      <c r="T324" s="34" t="s">
        <v>3723</v>
      </c>
      <c r="U324" s="33" t="s">
        <v>4343</v>
      </c>
      <c r="V324" s="33" t="s">
        <v>8678</v>
      </c>
      <c r="W324" s="33"/>
      <c r="X324" s="33"/>
    </row>
    <row r="325" spans="1:24" ht="16.149999999999999" customHeight="1" x14ac:dyDescent="0.15">
      <c r="A325" s="6">
        <v>319</v>
      </c>
      <c r="B325" s="18" t="s">
        <v>75</v>
      </c>
      <c r="C325" s="43" t="s">
        <v>4267</v>
      </c>
      <c r="D325" s="43" t="s">
        <v>4863</v>
      </c>
      <c r="E325" s="36" t="s">
        <v>219</v>
      </c>
      <c r="F325" s="19">
        <v>6</v>
      </c>
      <c r="G325" s="6">
        <v>15</v>
      </c>
      <c r="H325" s="34" t="s">
        <v>4864</v>
      </c>
      <c r="I325" s="38" t="s">
        <v>171</v>
      </c>
      <c r="J325" s="38" t="s">
        <v>177</v>
      </c>
      <c r="K325" s="38" t="s">
        <v>173</v>
      </c>
      <c r="L325" s="6"/>
      <c r="M325" s="113"/>
      <c r="N325" s="45" t="s">
        <v>62</v>
      </c>
      <c r="O325" s="2" t="s">
        <v>62</v>
      </c>
      <c r="P325" s="38" t="str">
        <f>IFERROR(Table3335678[[#This Row],[Min Count]]/Table3335678[[#This Row],[Scalar]],"")</f>
        <v/>
      </c>
      <c r="Q325" s="36" t="str">
        <f>IFERROR(Table3335678[[#This Row],[Max Count]]/Table3335678[[#This Row],[Scalar]],"")</f>
        <v/>
      </c>
      <c r="R325" s="34"/>
      <c r="S325" s="34"/>
      <c r="T325" s="34" t="s">
        <v>3723</v>
      </c>
      <c r="U325" s="33" t="s">
        <v>4343</v>
      </c>
      <c r="V325" s="33" t="s">
        <v>8679</v>
      </c>
      <c r="W325" s="33"/>
      <c r="X325" s="33"/>
    </row>
    <row r="326" spans="1:24" ht="16.149999999999999" customHeight="1" x14ac:dyDescent="0.15">
      <c r="A326" s="6">
        <v>320</v>
      </c>
      <c r="B326" s="18" t="s">
        <v>75</v>
      </c>
      <c r="C326" s="43" t="s">
        <v>4267</v>
      </c>
      <c r="D326" s="43" t="s">
        <v>7693</v>
      </c>
      <c r="E326" s="36" t="s">
        <v>219</v>
      </c>
      <c r="F326" s="19">
        <v>6</v>
      </c>
      <c r="G326" s="6">
        <v>16</v>
      </c>
      <c r="H326" s="34" t="s">
        <v>4674</v>
      </c>
      <c r="I326" s="38" t="s">
        <v>171</v>
      </c>
      <c r="J326" s="38" t="s">
        <v>177</v>
      </c>
      <c r="K326" s="38" t="s">
        <v>173</v>
      </c>
      <c r="L326" s="6"/>
      <c r="M326" s="113"/>
      <c r="N326" s="45" t="s">
        <v>62</v>
      </c>
      <c r="O326" s="2" t="s">
        <v>62</v>
      </c>
      <c r="P326" s="38" t="str">
        <f>IFERROR(Table3335678[[#This Row],[Min Count]]/Table3335678[[#This Row],[Scalar]],"")</f>
        <v/>
      </c>
      <c r="Q326" s="36" t="str">
        <f>IFERROR(Table3335678[[#This Row],[Max Count]]/Table3335678[[#This Row],[Scalar]],"")</f>
        <v/>
      </c>
      <c r="R326" s="34"/>
      <c r="S326" s="34"/>
      <c r="T326" s="34" t="s">
        <v>3723</v>
      </c>
      <c r="U326" s="33" t="s">
        <v>4343</v>
      </c>
      <c r="V326" s="33" t="s">
        <v>8680</v>
      </c>
      <c r="W326" s="33"/>
      <c r="X326" s="33"/>
    </row>
    <row r="327" spans="1:24" ht="16.149999999999999" customHeight="1" x14ac:dyDescent="0.15">
      <c r="A327" s="6">
        <v>321</v>
      </c>
      <c r="B327" s="18" t="s">
        <v>75</v>
      </c>
      <c r="C327" s="43" t="s">
        <v>4267</v>
      </c>
      <c r="D327" s="43" t="s">
        <v>7694</v>
      </c>
      <c r="E327" s="36" t="s">
        <v>219</v>
      </c>
      <c r="F327" s="19">
        <v>6</v>
      </c>
      <c r="G327" s="6">
        <v>17</v>
      </c>
      <c r="H327" s="34" t="s">
        <v>4677</v>
      </c>
      <c r="I327" s="38" t="s">
        <v>171</v>
      </c>
      <c r="J327" s="38" t="s">
        <v>177</v>
      </c>
      <c r="K327" s="38" t="s">
        <v>173</v>
      </c>
      <c r="L327" s="6"/>
      <c r="M327" s="113"/>
      <c r="N327" s="45" t="s">
        <v>62</v>
      </c>
      <c r="O327" s="2" t="s">
        <v>62</v>
      </c>
      <c r="P327" s="38" t="str">
        <f>IFERROR(Table3335678[[#This Row],[Min Count]]/Table3335678[[#This Row],[Scalar]],"")</f>
        <v/>
      </c>
      <c r="Q327" s="36" t="str">
        <f>IFERROR(Table3335678[[#This Row],[Max Count]]/Table3335678[[#This Row],[Scalar]],"")</f>
        <v/>
      </c>
      <c r="R327" s="34"/>
      <c r="S327" s="34"/>
      <c r="T327" s="34" t="s">
        <v>3723</v>
      </c>
      <c r="U327" s="33" t="s">
        <v>4343</v>
      </c>
      <c r="V327" s="33" t="s">
        <v>8681</v>
      </c>
      <c r="W327" s="33"/>
      <c r="X327" s="33"/>
    </row>
    <row r="328" spans="1:24" ht="16.149999999999999" customHeight="1" x14ac:dyDescent="0.15">
      <c r="A328" s="6">
        <v>322</v>
      </c>
      <c r="B328" s="18" t="s">
        <v>75</v>
      </c>
      <c r="C328" s="43" t="s">
        <v>4267</v>
      </c>
      <c r="D328" s="43" t="s">
        <v>7695</v>
      </c>
      <c r="E328" s="36" t="s">
        <v>219</v>
      </c>
      <c r="F328" s="19">
        <v>6</v>
      </c>
      <c r="G328" s="6">
        <v>18</v>
      </c>
      <c r="H328" s="34" t="s">
        <v>4846</v>
      </c>
      <c r="I328" s="38" t="s">
        <v>171</v>
      </c>
      <c r="J328" s="38" t="s">
        <v>177</v>
      </c>
      <c r="K328" s="38" t="s">
        <v>173</v>
      </c>
      <c r="L328" s="6"/>
      <c r="M328" s="113"/>
      <c r="N328" s="45" t="s">
        <v>62</v>
      </c>
      <c r="O328" s="2" t="s">
        <v>62</v>
      </c>
      <c r="P328" s="38" t="str">
        <f>IFERROR(Table3335678[[#This Row],[Min Count]]/Table3335678[[#This Row],[Scalar]],"")</f>
        <v/>
      </c>
      <c r="Q328" s="36" t="str">
        <f>IFERROR(Table3335678[[#This Row],[Max Count]]/Table3335678[[#This Row],[Scalar]],"")</f>
        <v/>
      </c>
      <c r="R328" s="34"/>
      <c r="S328" s="34"/>
      <c r="T328" s="34" t="s">
        <v>3723</v>
      </c>
      <c r="U328" s="33" t="s">
        <v>4343</v>
      </c>
      <c r="V328" s="33" t="s">
        <v>8682</v>
      </c>
      <c r="W328" s="33"/>
      <c r="X328" s="33"/>
    </row>
    <row r="329" spans="1:24" ht="16.149999999999999" customHeight="1" x14ac:dyDescent="0.15">
      <c r="A329" s="6">
        <v>323</v>
      </c>
      <c r="B329" s="18" t="s">
        <v>75</v>
      </c>
      <c r="C329" s="43" t="s">
        <v>4267</v>
      </c>
      <c r="D329" s="43" t="s">
        <v>7696</v>
      </c>
      <c r="E329" s="36" t="s">
        <v>219</v>
      </c>
      <c r="F329" s="19">
        <v>6</v>
      </c>
      <c r="G329" s="6">
        <v>19</v>
      </c>
      <c r="H329" s="34" t="s">
        <v>7697</v>
      </c>
      <c r="I329" s="38" t="s">
        <v>171</v>
      </c>
      <c r="J329" s="38" t="s">
        <v>177</v>
      </c>
      <c r="K329" s="38" t="s">
        <v>173</v>
      </c>
      <c r="L329" s="6"/>
      <c r="M329" s="113"/>
      <c r="N329" s="45" t="s">
        <v>62</v>
      </c>
      <c r="O329" s="2" t="s">
        <v>62</v>
      </c>
      <c r="P329" s="38" t="str">
        <f>IFERROR(Table3335678[[#This Row],[Min Count]]/Table3335678[[#This Row],[Scalar]],"")</f>
        <v/>
      </c>
      <c r="Q329" s="36" t="str">
        <f>IFERROR(Table3335678[[#This Row],[Max Count]]/Table3335678[[#This Row],[Scalar]],"")</f>
        <v/>
      </c>
      <c r="R329" s="34"/>
      <c r="S329" s="34"/>
      <c r="T329" s="34" t="s">
        <v>3723</v>
      </c>
      <c r="U329" s="33" t="s">
        <v>4343</v>
      </c>
      <c r="V329" s="33" t="s">
        <v>8683</v>
      </c>
      <c r="W329" s="33"/>
      <c r="X329" s="33"/>
    </row>
    <row r="330" spans="1:24" ht="16.149999999999999" customHeight="1" x14ac:dyDescent="0.15">
      <c r="A330" s="6">
        <v>324</v>
      </c>
      <c r="B330" s="18" t="s">
        <v>75</v>
      </c>
      <c r="C330" s="43" t="s">
        <v>4267</v>
      </c>
      <c r="D330" s="43" t="s">
        <v>4771</v>
      </c>
      <c r="E330" s="36" t="s">
        <v>219</v>
      </c>
      <c r="F330" s="19">
        <v>6</v>
      </c>
      <c r="G330" s="6">
        <v>20</v>
      </c>
      <c r="H330" s="34" t="s">
        <v>4772</v>
      </c>
      <c r="I330" s="38" t="s">
        <v>171</v>
      </c>
      <c r="J330" s="38" t="s">
        <v>177</v>
      </c>
      <c r="K330" s="38" t="s">
        <v>173</v>
      </c>
      <c r="L330" s="6"/>
      <c r="M330" s="113"/>
      <c r="N330" s="45" t="s">
        <v>62</v>
      </c>
      <c r="O330" s="2" t="s">
        <v>62</v>
      </c>
      <c r="P330" s="38" t="str">
        <f>IFERROR(Table3335678[[#This Row],[Min Count]]/Table3335678[[#This Row],[Scalar]],"")</f>
        <v/>
      </c>
      <c r="Q330" s="36" t="str">
        <f>IFERROR(Table3335678[[#This Row],[Max Count]]/Table3335678[[#This Row],[Scalar]],"")</f>
        <v/>
      </c>
      <c r="R330" s="34"/>
      <c r="S330" s="34"/>
      <c r="T330" s="34" t="s">
        <v>3723</v>
      </c>
      <c r="U330" s="33" t="s">
        <v>4343</v>
      </c>
      <c r="V330" s="33" t="s">
        <v>8684</v>
      </c>
      <c r="W330" s="33"/>
      <c r="X330" s="33"/>
    </row>
    <row r="331" spans="1:24" ht="16.149999999999999" customHeight="1" x14ac:dyDescent="0.15">
      <c r="A331" s="6">
        <v>325</v>
      </c>
      <c r="B331" s="18" t="s">
        <v>75</v>
      </c>
      <c r="C331" s="43" t="s">
        <v>4267</v>
      </c>
      <c r="D331" s="43" t="s">
        <v>7698</v>
      </c>
      <c r="E331" s="36" t="s">
        <v>219</v>
      </c>
      <c r="F331" s="19">
        <v>6</v>
      </c>
      <c r="G331" s="6">
        <v>21</v>
      </c>
      <c r="H331" s="34" t="s">
        <v>4769</v>
      </c>
      <c r="I331" s="38" t="s">
        <v>171</v>
      </c>
      <c r="J331" s="38" t="s">
        <v>177</v>
      </c>
      <c r="K331" s="38" t="s">
        <v>173</v>
      </c>
      <c r="L331" s="6"/>
      <c r="M331" s="113"/>
      <c r="N331" s="45" t="s">
        <v>62</v>
      </c>
      <c r="O331" s="2" t="s">
        <v>62</v>
      </c>
      <c r="P331" s="38" t="str">
        <f>IFERROR(Table3335678[[#This Row],[Min Count]]/Table3335678[[#This Row],[Scalar]],"")</f>
        <v/>
      </c>
      <c r="Q331" s="36" t="str">
        <f>IFERROR(Table3335678[[#This Row],[Max Count]]/Table3335678[[#This Row],[Scalar]],"")</f>
        <v/>
      </c>
      <c r="R331" s="34"/>
      <c r="S331" s="34"/>
      <c r="T331" s="34" t="s">
        <v>3723</v>
      </c>
      <c r="U331" s="33" t="s">
        <v>4343</v>
      </c>
      <c r="V331" s="33" t="s">
        <v>8685</v>
      </c>
      <c r="W331" s="33"/>
      <c r="X331" s="33"/>
    </row>
    <row r="332" spans="1:24" ht="16.149999999999999" customHeight="1" x14ac:dyDescent="0.15">
      <c r="A332" s="6">
        <v>326</v>
      </c>
      <c r="B332" s="18" t="s">
        <v>75</v>
      </c>
      <c r="C332" s="43" t="s">
        <v>4267</v>
      </c>
      <c r="D332" s="43" t="s">
        <v>4739</v>
      </c>
      <c r="E332" s="36" t="s">
        <v>219</v>
      </c>
      <c r="F332" s="19">
        <v>6</v>
      </c>
      <c r="G332" s="6">
        <v>22</v>
      </c>
      <c r="H332" s="34" t="s">
        <v>4831</v>
      </c>
      <c r="I332" s="38" t="s">
        <v>171</v>
      </c>
      <c r="J332" s="38" t="s">
        <v>177</v>
      </c>
      <c r="K332" s="38" t="s">
        <v>173</v>
      </c>
      <c r="L332" s="6"/>
      <c r="M332" s="113"/>
      <c r="N332" s="45" t="s">
        <v>62</v>
      </c>
      <c r="O332" s="2" t="s">
        <v>62</v>
      </c>
      <c r="P332" s="38" t="str">
        <f>IFERROR(Table3335678[[#This Row],[Min Count]]/Table3335678[[#This Row],[Scalar]],"")</f>
        <v/>
      </c>
      <c r="Q332" s="36" t="str">
        <f>IFERROR(Table3335678[[#This Row],[Max Count]]/Table3335678[[#This Row],[Scalar]],"")</f>
        <v/>
      </c>
      <c r="R332" s="34"/>
      <c r="S332" s="34"/>
      <c r="T332" s="34" t="s">
        <v>3723</v>
      </c>
      <c r="U332" s="33" t="s">
        <v>4343</v>
      </c>
      <c r="V332" s="33" t="s">
        <v>8667</v>
      </c>
      <c r="W332" s="33"/>
      <c r="X332" s="33"/>
    </row>
    <row r="333" spans="1:24" ht="16.149999999999999" customHeight="1" x14ac:dyDescent="0.15">
      <c r="A333" s="6">
        <v>327</v>
      </c>
      <c r="B333" s="18" t="s">
        <v>75</v>
      </c>
      <c r="C333" s="43" t="s">
        <v>4267</v>
      </c>
      <c r="D333" s="43" t="s">
        <v>7699</v>
      </c>
      <c r="E333" s="36" t="s">
        <v>219</v>
      </c>
      <c r="F333" s="19">
        <v>6</v>
      </c>
      <c r="G333" s="6">
        <v>23</v>
      </c>
      <c r="H333" s="34" t="s">
        <v>7700</v>
      </c>
      <c r="I333" s="38" t="s">
        <v>171</v>
      </c>
      <c r="J333" s="38" t="s">
        <v>177</v>
      </c>
      <c r="K333" s="38" t="s">
        <v>173</v>
      </c>
      <c r="L333" s="6"/>
      <c r="M333" s="113"/>
      <c r="N333" s="45" t="s">
        <v>62</v>
      </c>
      <c r="O333" s="2" t="s">
        <v>62</v>
      </c>
      <c r="P333" s="38" t="str">
        <f>IFERROR(Table3335678[[#This Row],[Min Count]]/Table3335678[[#This Row],[Scalar]],"")</f>
        <v/>
      </c>
      <c r="Q333" s="36" t="str">
        <f>IFERROR(Table3335678[[#This Row],[Max Count]]/Table3335678[[#This Row],[Scalar]],"")</f>
        <v/>
      </c>
      <c r="R333" s="34"/>
      <c r="S333" s="34"/>
      <c r="T333" s="34" t="s">
        <v>3723</v>
      </c>
      <c r="U333" s="33" t="s">
        <v>4343</v>
      </c>
      <c r="V333" s="33" t="s">
        <v>8686</v>
      </c>
      <c r="W333" s="33"/>
      <c r="X333" s="33"/>
    </row>
    <row r="334" spans="1:24" ht="16.149999999999999" customHeight="1" x14ac:dyDescent="0.15">
      <c r="A334" s="6">
        <v>328</v>
      </c>
      <c r="B334" s="18" t="s">
        <v>75</v>
      </c>
      <c r="C334" s="43" t="s">
        <v>4267</v>
      </c>
      <c r="D334" s="43" t="s">
        <v>7701</v>
      </c>
      <c r="E334" s="36" t="s">
        <v>219</v>
      </c>
      <c r="F334" s="19">
        <v>6</v>
      </c>
      <c r="G334" s="6">
        <v>24</v>
      </c>
      <c r="H334" s="34" t="s">
        <v>7702</v>
      </c>
      <c r="I334" s="38" t="s">
        <v>171</v>
      </c>
      <c r="J334" s="38" t="s">
        <v>177</v>
      </c>
      <c r="K334" s="38" t="s">
        <v>173</v>
      </c>
      <c r="L334" s="6"/>
      <c r="M334" s="113"/>
      <c r="N334" s="45" t="s">
        <v>62</v>
      </c>
      <c r="O334" s="2" t="s">
        <v>62</v>
      </c>
      <c r="P334" s="38" t="str">
        <f>IFERROR(Table3335678[[#This Row],[Min Count]]/Table3335678[[#This Row],[Scalar]],"")</f>
        <v/>
      </c>
      <c r="Q334" s="36" t="str">
        <f>IFERROR(Table3335678[[#This Row],[Max Count]]/Table3335678[[#This Row],[Scalar]],"")</f>
        <v/>
      </c>
      <c r="R334" s="34"/>
      <c r="S334" s="34"/>
      <c r="T334" s="34" t="s">
        <v>3723</v>
      </c>
      <c r="U334" s="33" t="s">
        <v>4343</v>
      </c>
      <c r="V334" s="33" t="s">
        <v>8687</v>
      </c>
      <c r="W334" s="33"/>
      <c r="X334" s="33"/>
    </row>
    <row r="335" spans="1:24" ht="16.149999999999999" customHeight="1" x14ac:dyDescent="0.15">
      <c r="A335" s="6">
        <v>329</v>
      </c>
      <c r="B335" s="18" t="s">
        <v>75</v>
      </c>
      <c r="C335" s="43" t="s">
        <v>4267</v>
      </c>
      <c r="D335" s="43" t="s">
        <v>7703</v>
      </c>
      <c r="E335" s="36" t="s">
        <v>219</v>
      </c>
      <c r="F335" s="19">
        <v>6</v>
      </c>
      <c r="G335" s="6">
        <v>25</v>
      </c>
      <c r="H335" s="34" t="s">
        <v>7704</v>
      </c>
      <c r="I335" s="38" t="s">
        <v>171</v>
      </c>
      <c r="J335" s="38" t="s">
        <v>177</v>
      </c>
      <c r="K335" s="38" t="s">
        <v>173</v>
      </c>
      <c r="L335" s="6"/>
      <c r="M335" s="113"/>
      <c r="N335" s="45" t="s">
        <v>62</v>
      </c>
      <c r="O335" s="2" t="s">
        <v>62</v>
      </c>
      <c r="P335" s="38" t="str">
        <f>IFERROR(Table3335678[[#This Row],[Min Count]]/Table3335678[[#This Row],[Scalar]],"")</f>
        <v/>
      </c>
      <c r="Q335" s="36" t="str">
        <f>IFERROR(Table3335678[[#This Row],[Max Count]]/Table3335678[[#This Row],[Scalar]],"")</f>
        <v/>
      </c>
      <c r="R335" s="34"/>
      <c r="S335" s="34"/>
      <c r="T335" s="34" t="s">
        <v>3723</v>
      </c>
      <c r="U335" s="33" t="s">
        <v>4343</v>
      </c>
      <c r="V335" s="33" t="s">
        <v>8688</v>
      </c>
      <c r="W335" s="33"/>
      <c r="X335" s="33"/>
    </row>
    <row r="336" spans="1:24" ht="16.149999999999999" customHeight="1" x14ac:dyDescent="0.15">
      <c r="A336" s="6">
        <v>330</v>
      </c>
      <c r="B336" s="18" t="s">
        <v>75</v>
      </c>
      <c r="C336" s="43" t="s">
        <v>4267</v>
      </c>
      <c r="D336" s="43" t="s">
        <v>7705</v>
      </c>
      <c r="E336" s="36" t="s">
        <v>219</v>
      </c>
      <c r="F336" s="19">
        <v>6</v>
      </c>
      <c r="G336" s="6">
        <v>26</v>
      </c>
      <c r="H336" s="34" t="s">
        <v>4834</v>
      </c>
      <c r="I336" s="38" t="s">
        <v>171</v>
      </c>
      <c r="J336" s="38" t="s">
        <v>177</v>
      </c>
      <c r="K336" s="38" t="s">
        <v>173</v>
      </c>
      <c r="L336" s="6"/>
      <c r="M336" s="113"/>
      <c r="N336" s="45" t="s">
        <v>62</v>
      </c>
      <c r="O336" s="2" t="s">
        <v>62</v>
      </c>
      <c r="P336" s="38" t="str">
        <f>IFERROR(Table3335678[[#This Row],[Min Count]]/Table3335678[[#This Row],[Scalar]],"")</f>
        <v/>
      </c>
      <c r="Q336" s="36" t="str">
        <f>IFERROR(Table3335678[[#This Row],[Max Count]]/Table3335678[[#This Row],[Scalar]],"")</f>
        <v/>
      </c>
      <c r="R336" s="34"/>
      <c r="S336" s="34"/>
      <c r="T336" s="34" t="s">
        <v>3723</v>
      </c>
      <c r="U336" s="33" t="s">
        <v>4343</v>
      </c>
      <c r="V336" s="33" t="s">
        <v>8689</v>
      </c>
      <c r="W336" s="33"/>
      <c r="X336" s="33"/>
    </row>
    <row r="337" spans="1:24" ht="16.149999999999999" customHeight="1" x14ac:dyDescent="0.15">
      <c r="A337" s="6">
        <v>331</v>
      </c>
      <c r="B337" s="18" t="s">
        <v>75</v>
      </c>
      <c r="C337" s="43" t="s">
        <v>4267</v>
      </c>
      <c r="D337" s="43" t="s">
        <v>7706</v>
      </c>
      <c r="E337" s="36" t="s">
        <v>219</v>
      </c>
      <c r="F337" s="19">
        <v>6</v>
      </c>
      <c r="G337" s="6">
        <v>27</v>
      </c>
      <c r="H337" s="34" t="s">
        <v>7707</v>
      </c>
      <c r="I337" s="38" t="s">
        <v>171</v>
      </c>
      <c r="J337" s="38" t="s">
        <v>177</v>
      </c>
      <c r="K337" s="38" t="s">
        <v>173</v>
      </c>
      <c r="L337" s="6"/>
      <c r="M337" s="113"/>
      <c r="N337" s="45" t="s">
        <v>62</v>
      </c>
      <c r="O337" s="2" t="s">
        <v>62</v>
      </c>
      <c r="P337" s="38" t="str">
        <f>IFERROR(Table3335678[[#This Row],[Min Count]]/Table3335678[[#This Row],[Scalar]],"")</f>
        <v/>
      </c>
      <c r="Q337" s="36" t="str">
        <f>IFERROR(Table3335678[[#This Row],[Max Count]]/Table3335678[[#This Row],[Scalar]],"")</f>
        <v/>
      </c>
      <c r="R337" s="34"/>
      <c r="S337" s="34"/>
      <c r="T337" s="34" t="s">
        <v>3723</v>
      </c>
      <c r="U337" s="33" t="s">
        <v>4343</v>
      </c>
      <c r="V337" s="33" t="s">
        <v>8690</v>
      </c>
      <c r="W337" s="33"/>
      <c r="X337" s="33"/>
    </row>
    <row r="338" spans="1:24" ht="16.149999999999999" customHeight="1" x14ac:dyDescent="0.15">
      <c r="A338" s="6">
        <v>332</v>
      </c>
      <c r="B338" s="18" t="s">
        <v>75</v>
      </c>
      <c r="C338" s="43" t="s">
        <v>4267</v>
      </c>
      <c r="D338" s="43" t="s">
        <v>4727</v>
      </c>
      <c r="E338" s="36" t="s">
        <v>219</v>
      </c>
      <c r="F338" s="19">
        <v>6</v>
      </c>
      <c r="G338" s="6">
        <v>28</v>
      </c>
      <c r="H338" s="34" t="s">
        <v>4728</v>
      </c>
      <c r="I338" s="38" t="s">
        <v>171</v>
      </c>
      <c r="J338" s="38" t="s">
        <v>177</v>
      </c>
      <c r="K338" s="38" t="s">
        <v>173</v>
      </c>
      <c r="L338" s="6"/>
      <c r="M338" s="113"/>
      <c r="N338" s="45" t="s">
        <v>62</v>
      </c>
      <c r="O338" s="2" t="s">
        <v>62</v>
      </c>
      <c r="P338" s="38" t="str">
        <f>IFERROR(Table3335678[[#This Row],[Min Count]]/Table3335678[[#This Row],[Scalar]],"")</f>
        <v/>
      </c>
      <c r="Q338" s="36" t="str">
        <f>IFERROR(Table3335678[[#This Row],[Max Count]]/Table3335678[[#This Row],[Scalar]],"")</f>
        <v/>
      </c>
      <c r="R338" s="34"/>
      <c r="S338" s="34"/>
      <c r="T338" s="34" t="s">
        <v>3723</v>
      </c>
      <c r="U338" s="33" t="s">
        <v>4343</v>
      </c>
      <c r="V338" s="33" t="s">
        <v>8691</v>
      </c>
      <c r="W338" s="33"/>
      <c r="X338" s="33"/>
    </row>
    <row r="339" spans="1:24" ht="16.149999999999999" customHeight="1" x14ac:dyDescent="0.15">
      <c r="A339" s="6">
        <v>333</v>
      </c>
      <c r="B339" s="18" t="s">
        <v>75</v>
      </c>
      <c r="C339" s="43" t="s">
        <v>4267</v>
      </c>
      <c r="D339" s="43" t="s">
        <v>7708</v>
      </c>
      <c r="E339" s="36" t="s">
        <v>219</v>
      </c>
      <c r="F339" s="19">
        <v>6</v>
      </c>
      <c r="G339" s="6">
        <v>29</v>
      </c>
      <c r="H339" s="34" t="s">
        <v>7709</v>
      </c>
      <c r="I339" s="38" t="s">
        <v>171</v>
      </c>
      <c r="J339" s="38" t="s">
        <v>177</v>
      </c>
      <c r="K339" s="38" t="s">
        <v>173</v>
      </c>
      <c r="L339" s="6"/>
      <c r="M339" s="113"/>
      <c r="N339" s="45" t="s">
        <v>62</v>
      </c>
      <c r="O339" s="2" t="s">
        <v>62</v>
      </c>
      <c r="P339" s="38" t="str">
        <f>IFERROR(Table3335678[[#This Row],[Min Count]]/Table3335678[[#This Row],[Scalar]],"")</f>
        <v/>
      </c>
      <c r="Q339" s="36" t="str">
        <f>IFERROR(Table3335678[[#This Row],[Max Count]]/Table3335678[[#This Row],[Scalar]],"")</f>
        <v/>
      </c>
      <c r="R339" s="34"/>
      <c r="S339" s="34"/>
      <c r="T339" s="34" t="s">
        <v>3723</v>
      </c>
      <c r="U339" s="33" t="s">
        <v>4343</v>
      </c>
      <c r="V339" s="33" t="s">
        <v>8692</v>
      </c>
      <c r="W339" s="33"/>
      <c r="X339" s="33"/>
    </row>
    <row r="340" spans="1:24" ht="16.149999999999999" customHeight="1" x14ac:dyDescent="0.15">
      <c r="A340" s="6">
        <v>334</v>
      </c>
      <c r="B340" s="18" t="s">
        <v>75</v>
      </c>
      <c r="C340" s="43" t="s">
        <v>4267</v>
      </c>
      <c r="D340" s="43" t="s">
        <v>7710</v>
      </c>
      <c r="E340" s="36" t="s">
        <v>219</v>
      </c>
      <c r="F340" s="19">
        <v>6</v>
      </c>
      <c r="G340" s="6">
        <v>30</v>
      </c>
      <c r="H340" s="34" t="s">
        <v>7711</v>
      </c>
      <c r="I340" s="38" t="s">
        <v>171</v>
      </c>
      <c r="J340" s="38" t="s">
        <v>177</v>
      </c>
      <c r="K340" s="38" t="s">
        <v>173</v>
      </c>
      <c r="L340" s="6"/>
      <c r="M340" s="113"/>
      <c r="N340" s="45" t="s">
        <v>62</v>
      </c>
      <c r="O340" s="2" t="s">
        <v>62</v>
      </c>
      <c r="P340" s="38" t="str">
        <f>IFERROR(Table3335678[[#This Row],[Min Count]]/Table3335678[[#This Row],[Scalar]],"")</f>
        <v/>
      </c>
      <c r="Q340" s="36" t="str">
        <f>IFERROR(Table3335678[[#This Row],[Max Count]]/Table3335678[[#This Row],[Scalar]],"")</f>
        <v/>
      </c>
      <c r="R340" s="34"/>
      <c r="S340" s="34"/>
      <c r="T340" s="34" t="s">
        <v>3723</v>
      </c>
      <c r="U340" s="33" t="s">
        <v>4343</v>
      </c>
      <c r="V340" s="33" t="s">
        <v>8693</v>
      </c>
      <c r="W340" s="33"/>
      <c r="X340" s="33"/>
    </row>
    <row r="341" spans="1:24" ht="16.149999999999999" customHeight="1" x14ac:dyDescent="0.15">
      <c r="A341" s="6">
        <v>335</v>
      </c>
      <c r="B341" s="18" t="s">
        <v>75</v>
      </c>
      <c r="C341" s="43" t="s">
        <v>4267</v>
      </c>
      <c r="D341" s="43" t="s">
        <v>7712</v>
      </c>
      <c r="E341" s="36" t="s">
        <v>219</v>
      </c>
      <c r="F341" s="19">
        <v>6</v>
      </c>
      <c r="G341" s="6">
        <v>31</v>
      </c>
      <c r="H341" s="34" t="s">
        <v>7713</v>
      </c>
      <c r="I341" s="38" t="s">
        <v>171</v>
      </c>
      <c r="J341" s="38" t="s">
        <v>177</v>
      </c>
      <c r="K341" s="38" t="s">
        <v>173</v>
      </c>
      <c r="L341" s="6"/>
      <c r="M341" s="113"/>
      <c r="N341" s="45" t="s">
        <v>62</v>
      </c>
      <c r="O341" s="2" t="s">
        <v>62</v>
      </c>
      <c r="P341" s="38" t="str">
        <f>IFERROR(Table3335678[[#This Row],[Min Count]]/Table3335678[[#This Row],[Scalar]],"")</f>
        <v/>
      </c>
      <c r="Q341" s="36" t="str">
        <f>IFERROR(Table3335678[[#This Row],[Max Count]]/Table3335678[[#This Row],[Scalar]],"")</f>
        <v/>
      </c>
      <c r="R341" s="34"/>
      <c r="S341" s="34"/>
      <c r="T341" s="34" t="s">
        <v>3723</v>
      </c>
      <c r="U341" s="33" t="s">
        <v>4343</v>
      </c>
      <c r="V341" s="33" t="s">
        <v>8694</v>
      </c>
      <c r="W341" s="33"/>
      <c r="X341" s="33"/>
    </row>
    <row r="342" spans="1:24" ht="16.149999999999999" customHeight="1" x14ac:dyDescent="0.15">
      <c r="A342" s="6">
        <v>336</v>
      </c>
      <c r="B342" s="18" t="s">
        <v>75</v>
      </c>
      <c r="C342" s="43" t="s">
        <v>4267</v>
      </c>
      <c r="D342" s="43" t="s">
        <v>7714</v>
      </c>
      <c r="E342" s="36" t="s">
        <v>219</v>
      </c>
      <c r="F342" s="19">
        <v>7</v>
      </c>
      <c r="G342" s="6"/>
      <c r="H342" s="34" t="s">
        <v>3721</v>
      </c>
      <c r="I342" s="38" t="s">
        <v>196</v>
      </c>
      <c r="J342" s="38"/>
      <c r="K342" s="38"/>
      <c r="L342" s="6" t="s">
        <v>61</v>
      </c>
      <c r="M342" s="113">
        <v>1</v>
      </c>
      <c r="N342" s="45" t="s">
        <v>62</v>
      </c>
      <c r="O342" s="2" t="s">
        <v>62</v>
      </c>
      <c r="P342" s="38" t="str">
        <f>IFERROR(Table3335678[[#This Row],[Min Count]]/Table3335678[[#This Row],[Scalar]],"")</f>
        <v/>
      </c>
      <c r="Q342" s="36" t="str">
        <f>IFERROR(Table3335678[[#This Row],[Max Count]]/Table3335678[[#This Row],[Scalar]],"")</f>
        <v/>
      </c>
      <c r="R342" s="34"/>
      <c r="S342" s="34"/>
      <c r="T342" s="34" t="s">
        <v>3723</v>
      </c>
      <c r="U342" s="33" t="s">
        <v>3853</v>
      </c>
      <c r="V342" s="33" t="s">
        <v>8695</v>
      </c>
      <c r="W342" s="33"/>
      <c r="X342" s="33"/>
    </row>
    <row r="343" spans="1:24" ht="16.149999999999999" customHeight="1" x14ac:dyDescent="0.15">
      <c r="A343" s="6">
        <v>337</v>
      </c>
      <c r="B343" s="18" t="s">
        <v>75</v>
      </c>
      <c r="C343" s="43" t="s">
        <v>4267</v>
      </c>
      <c r="D343" s="43" t="s">
        <v>7715</v>
      </c>
      <c r="E343" s="36" t="s">
        <v>219</v>
      </c>
      <c r="F343" s="19">
        <v>7</v>
      </c>
      <c r="G343" s="6">
        <v>0</v>
      </c>
      <c r="H343" s="34" t="s">
        <v>4686</v>
      </c>
      <c r="I343" s="38" t="s">
        <v>171</v>
      </c>
      <c r="J343" s="38" t="s">
        <v>177</v>
      </c>
      <c r="K343" s="38" t="s">
        <v>173</v>
      </c>
      <c r="L343" s="6"/>
      <c r="M343" s="113"/>
      <c r="N343" s="45" t="s">
        <v>62</v>
      </c>
      <c r="O343" s="2" t="s">
        <v>62</v>
      </c>
      <c r="P343" s="38" t="str">
        <f>IFERROR(Table3335678[[#This Row],[Min Count]]/Table3335678[[#This Row],[Scalar]],"")</f>
        <v/>
      </c>
      <c r="Q343" s="36" t="str">
        <f>IFERROR(Table3335678[[#This Row],[Max Count]]/Table3335678[[#This Row],[Scalar]],"")</f>
        <v/>
      </c>
      <c r="R343" s="34"/>
      <c r="S343" s="34"/>
      <c r="T343" s="34" t="s">
        <v>3723</v>
      </c>
      <c r="U343" s="33" t="s">
        <v>4343</v>
      </c>
      <c r="V343" s="33" t="s">
        <v>8696</v>
      </c>
      <c r="W343" s="33"/>
      <c r="X343" s="33"/>
    </row>
    <row r="344" spans="1:24" ht="16.149999999999999" customHeight="1" x14ac:dyDescent="0.15">
      <c r="A344" s="6">
        <v>338</v>
      </c>
      <c r="B344" s="18" t="s">
        <v>75</v>
      </c>
      <c r="C344" s="43" t="s">
        <v>4267</v>
      </c>
      <c r="D344" s="43" t="s">
        <v>7715</v>
      </c>
      <c r="E344" s="36" t="s">
        <v>219</v>
      </c>
      <c r="F344" s="19">
        <v>7</v>
      </c>
      <c r="G344" s="6">
        <v>1</v>
      </c>
      <c r="H344" s="34" t="s">
        <v>4837</v>
      </c>
      <c r="I344" s="38" t="s">
        <v>171</v>
      </c>
      <c r="J344" s="38" t="s">
        <v>177</v>
      </c>
      <c r="K344" s="38" t="s">
        <v>173</v>
      </c>
      <c r="L344" s="6"/>
      <c r="M344" s="113"/>
      <c r="N344" s="45" t="s">
        <v>62</v>
      </c>
      <c r="O344" s="2" t="s">
        <v>62</v>
      </c>
      <c r="P344" s="38" t="str">
        <f>IFERROR(Table3335678[[#This Row],[Min Count]]/Table3335678[[#This Row],[Scalar]],"")</f>
        <v/>
      </c>
      <c r="Q344" s="36" t="str">
        <f>IFERROR(Table3335678[[#This Row],[Max Count]]/Table3335678[[#This Row],[Scalar]],"")</f>
        <v/>
      </c>
      <c r="R344" s="34"/>
      <c r="S344" s="34"/>
      <c r="T344" s="34" t="s">
        <v>3723</v>
      </c>
      <c r="U344" s="33" t="s">
        <v>4343</v>
      </c>
      <c r="V344" s="33" t="s">
        <v>8696</v>
      </c>
      <c r="W344" s="33"/>
      <c r="X344" s="33"/>
    </row>
    <row r="345" spans="1:24" ht="16.149999999999999" customHeight="1" x14ac:dyDescent="0.15">
      <c r="A345" s="6">
        <v>339</v>
      </c>
      <c r="B345" s="18" t="s">
        <v>75</v>
      </c>
      <c r="C345" s="43" t="s">
        <v>4267</v>
      </c>
      <c r="D345" s="43" t="s">
        <v>4780</v>
      </c>
      <c r="E345" s="36" t="s">
        <v>219</v>
      </c>
      <c r="F345" s="19">
        <v>7</v>
      </c>
      <c r="G345" s="6">
        <v>2</v>
      </c>
      <c r="H345" s="34" t="s">
        <v>4781</v>
      </c>
      <c r="I345" s="38" t="s">
        <v>171</v>
      </c>
      <c r="J345" s="38" t="s">
        <v>177</v>
      </c>
      <c r="K345" s="38" t="s">
        <v>173</v>
      </c>
      <c r="L345" s="6"/>
      <c r="M345" s="113"/>
      <c r="N345" s="45" t="s">
        <v>62</v>
      </c>
      <c r="O345" s="2" t="s">
        <v>62</v>
      </c>
      <c r="P345" s="38" t="str">
        <f>IFERROR(Table3335678[[#This Row],[Min Count]]/Table3335678[[#This Row],[Scalar]],"")</f>
        <v/>
      </c>
      <c r="Q345" s="36" t="str">
        <f>IFERROR(Table3335678[[#This Row],[Max Count]]/Table3335678[[#This Row],[Scalar]],"")</f>
        <v/>
      </c>
      <c r="R345" s="34"/>
      <c r="S345" s="34"/>
      <c r="T345" s="34" t="s">
        <v>3723</v>
      </c>
      <c r="U345" s="33" t="s">
        <v>4343</v>
      </c>
      <c r="V345" s="33" t="s">
        <v>8697</v>
      </c>
      <c r="W345" s="33"/>
      <c r="X345" s="33"/>
    </row>
    <row r="346" spans="1:24" ht="16.149999999999999" customHeight="1" x14ac:dyDescent="0.15">
      <c r="A346" s="6">
        <v>340</v>
      </c>
      <c r="B346" s="18" t="s">
        <v>75</v>
      </c>
      <c r="C346" s="43" t="s">
        <v>4267</v>
      </c>
      <c r="D346" s="43" t="s">
        <v>4780</v>
      </c>
      <c r="E346" s="36" t="s">
        <v>219</v>
      </c>
      <c r="F346" s="19">
        <v>7</v>
      </c>
      <c r="G346" s="6">
        <v>3</v>
      </c>
      <c r="H346" s="34" t="s">
        <v>4852</v>
      </c>
      <c r="I346" s="38" t="s">
        <v>171</v>
      </c>
      <c r="J346" s="38" t="s">
        <v>177</v>
      </c>
      <c r="K346" s="38" t="s">
        <v>173</v>
      </c>
      <c r="L346" s="6"/>
      <c r="M346" s="113"/>
      <c r="N346" s="45" t="s">
        <v>62</v>
      </c>
      <c r="O346" s="2" t="s">
        <v>62</v>
      </c>
      <c r="P346" s="38" t="str">
        <f>IFERROR(Table3335678[[#This Row],[Min Count]]/Table3335678[[#This Row],[Scalar]],"")</f>
        <v/>
      </c>
      <c r="Q346" s="36" t="str">
        <f>IFERROR(Table3335678[[#This Row],[Max Count]]/Table3335678[[#This Row],[Scalar]],"")</f>
        <v/>
      </c>
      <c r="R346" s="34"/>
      <c r="S346" s="34"/>
      <c r="T346" s="34" t="s">
        <v>3723</v>
      </c>
      <c r="U346" s="33" t="s">
        <v>4343</v>
      </c>
      <c r="V346" s="33" t="s">
        <v>8697</v>
      </c>
      <c r="W346" s="33"/>
      <c r="X346" s="33"/>
    </row>
    <row r="347" spans="1:24" ht="16.149999999999999" customHeight="1" x14ac:dyDescent="0.15">
      <c r="A347" s="6">
        <v>341</v>
      </c>
      <c r="B347" s="18" t="s">
        <v>75</v>
      </c>
      <c r="C347" s="43" t="s">
        <v>4267</v>
      </c>
      <c r="D347" s="43" t="s">
        <v>4703</v>
      </c>
      <c r="E347" s="36" t="s">
        <v>219</v>
      </c>
      <c r="F347" s="19">
        <v>7</v>
      </c>
      <c r="G347" s="6">
        <v>4</v>
      </c>
      <c r="H347" s="34" t="s">
        <v>4704</v>
      </c>
      <c r="I347" s="38" t="s">
        <v>171</v>
      </c>
      <c r="J347" s="38" t="s">
        <v>177</v>
      </c>
      <c r="K347" s="38" t="s">
        <v>173</v>
      </c>
      <c r="L347" s="6"/>
      <c r="M347" s="113"/>
      <c r="N347" s="45" t="s">
        <v>62</v>
      </c>
      <c r="O347" s="2" t="s">
        <v>62</v>
      </c>
      <c r="P347" s="38" t="str">
        <f>IFERROR(Table3335678[[#This Row],[Min Count]]/Table3335678[[#This Row],[Scalar]],"")</f>
        <v/>
      </c>
      <c r="Q347" s="36" t="str">
        <f>IFERROR(Table3335678[[#This Row],[Max Count]]/Table3335678[[#This Row],[Scalar]],"")</f>
        <v/>
      </c>
      <c r="R347" s="34"/>
      <c r="S347" s="34"/>
      <c r="T347" s="34" t="s">
        <v>3723</v>
      </c>
      <c r="U347" s="33" t="s">
        <v>4343</v>
      </c>
      <c r="V347" s="33" t="s">
        <v>8698</v>
      </c>
      <c r="W347" s="33"/>
      <c r="X347" s="33"/>
    </row>
    <row r="348" spans="1:24" ht="16.149999999999999" customHeight="1" x14ac:dyDescent="0.15">
      <c r="A348" s="6">
        <v>342</v>
      </c>
      <c r="B348" s="18" t="s">
        <v>75</v>
      </c>
      <c r="C348" s="43" t="s">
        <v>4267</v>
      </c>
      <c r="D348" s="43" t="s">
        <v>7716</v>
      </c>
      <c r="E348" s="36" t="s">
        <v>219</v>
      </c>
      <c r="F348" s="19">
        <v>7</v>
      </c>
      <c r="G348" s="6">
        <v>5</v>
      </c>
      <c r="H348" s="34" t="s">
        <v>7717</v>
      </c>
      <c r="I348" s="38" t="s">
        <v>171</v>
      </c>
      <c r="J348" s="38" t="s">
        <v>177</v>
      </c>
      <c r="K348" s="38" t="s">
        <v>173</v>
      </c>
      <c r="L348" s="6"/>
      <c r="M348" s="113"/>
      <c r="N348" s="45" t="s">
        <v>62</v>
      </c>
      <c r="O348" s="2" t="s">
        <v>62</v>
      </c>
      <c r="P348" s="38" t="str">
        <f>IFERROR(Table3335678[[#This Row],[Min Count]]/Table3335678[[#This Row],[Scalar]],"")</f>
        <v/>
      </c>
      <c r="Q348" s="36" t="str">
        <f>IFERROR(Table3335678[[#This Row],[Max Count]]/Table3335678[[#This Row],[Scalar]],"")</f>
        <v/>
      </c>
      <c r="R348" s="34"/>
      <c r="S348" s="34"/>
      <c r="T348" s="34" t="s">
        <v>3723</v>
      </c>
      <c r="U348" s="33" t="s">
        <v>4343</v>
      </c>
      <c r="V348" s="33" t="s">
        <v>8699</v>
      </c>
      <c r="W348" s="33"/>
      <c r="X348" s="33"/>
    </row>
    <row r="349" spans="1:24" ht="16.149999999999999" customHeight="1" x14ac:dyDescent="0.15">
      <c r="A349" s="6">
        <v>343</v>
      </c>
      <c r="B349" s="18" t="s">
        <v>75</v>
      </c>
      <c r="C349" s="43" t="s">
        <v>4267</v>
      </c>
      <c r="D349" s="43" t="s">
        <v>4700</v>
      </c>
      <c r="E349" s="36" t="s">
        <v>219</v>
      </c>
      <c r="F349" s="19">
        <v>7</v>
      </c>
      <c r="G349" s="6">
        <v>6</v>
      </c>
      <c r="H349" s="34" t="s">
        <v>4701</v>
      </c>
      <c r="I349" s="38" t="s">
        <v>171</v>
      </c>
      <c r="J349" s="38" t="s">
        <v>177</v>
      </c>
      <c r="K349" s="38" t="s">
        <v>173</v>
      </c>
      <c r="L349" s="6"/>
      <c r="M349" s="113"/>
      <c r="N349" s="45" t="s">
        <v>62</v>
      </c>
      <c r="O349" s="2" t="s">
        <v>62</v>
      </c>
      <c r="P349" s="38" t="str">
        <f>IFERROR(Table3335678[[#This Row],[Min Count]]/Table3335678[[#This Row],[Scalar]],"")</f>
        <v/>
      </c>
      <c r="Q349" s="36" t="str">
        <f>IFERROR(Table3335678[[#This Row],[Max Count]]/Table3335678[[#This Row],[Scalar]],"")</f>
        <v/>
      </c>
      <c r="R349" s="34"/>
      <c r="S349" s="34"/>
      <c r="T349" s="34" t="s">
        <v>3723</v>
      </c>
      <c r="U349" s="33" t="s">
        <v>4343</v>
      </c>
      <c r="V349" s="33" t="s">
        <v>8700</v>
      </c>
      <c r="W349" s="33"/>
      <c r="X349" s="33"/>
    </row>
    <row r="350" spans="1:24" ht="16.149999999999999" customHeight="1" x14ac:dyDescent="0.15">
      <c r="A350" s="6">
        <v>344</v>
      </c>
      <c r="B350" s="18" t="s">
        <v>75</v>
      </c>
      <c r="C350" s="43" t="s">
        <v>4267</v>
      </c>
      <c r="D350" s="43" t="s">
        <v>7718</v>
      </c>
      <c r="E350" s="36" t="s">
        <v>219</v>
      </c>
      <c r="F350" s="19">
        <v>7</v>
      </c>
      <c r="G350" s="6">
        <v>7</v>
      </c>
      <c r="H350" s="34" t="s">
        <v>7719</v>
      </c>
      <c r="I350" s="38" t="s">
        <v>171</v>
      </c>
      <c r="J350" s="38" t="s">
        <v>177</v>
      </c>
      <c r="K350" s="38" t="s">
        <v>173</v>
      </c>
      <c r="L350" s="6"/>
      <c r="M350" s="113"/>
      <c r="N350" s="45" t="s">
        <v>62</v>
      </c>
      <c r="O350" s="2" t="s">
        <v>62</v>
      </c>
      <c r="P350" s="38" t="str">
        <f>IFERROR(Table3335678[[#This Row],[Min Count]]/Table3335678[[#This Row],[Scalar]],"")</f>
        <v/>
      </c>
      <c r="Q350" s="36" t="str">
        <f>IFERROR(Table3335678[[#This Row],[Max Count]]/Table3335678[[#This Row],[Scalar]],"")</f>
        <v/>
      </c>
      <c r="R350" s="34"/>
      <c r="S350" s="34"/>
      <c r="T350" s="34" t="s">
        <v>3723</v>
      </c>
      <c r="U350" s="33" t="s">
        <v>4343</v>
      </c>
      <c r="V350" s="33" t="s">
        <v>8701</v>
      </c>
      <c r="W350" s="33"/>
      <c r="X350" s="33"/>
    </row>
    <row r="351" spans="1:24" ht="16.149999999999999" customHeight="1" x14ac:dyDescent="0.15">
      <c r="A351" s="6">
        <v>345</v>
      </c>
      <c r="B351" s="18" t="s">
        <v>75</v>
      </c>
      <c r="C351" s="43" t="s">
        <v>4267</v>
      </c>
      <c r="D351" s="43" t="s">
        <v>7720</v>
      </c>
      <c r="E351" s="36" t="s">
        <v>219</v>
      </c>
      <c r="F351" s="19">
        <v>7</v>
      </c>
      <c r="G351" s="6">
        <v>8</v>
      </c>
      <c r="H351" s="34" t="s">
        <v>7721</v>
      </c>
      <c r="I351" s="38" t="s">
        <v>171</v>
      </c>
      <c r="J351" s="38" t="s">
        <v>177</v>
      </c>
      <c r="K351" s="38" t="s">
        <v>173</v>
      </c>
      <c r="L351" s="6"/>
      <c r="M351" s="113"/>
      <c r="N351" s="45" t="s">
        <v>62</v>
      </c>
      <c r="O351" s="2" t="s">
        <v>62</v>
      </c>
      <c r="P351" s="38" t="str">
        <f>IFERROR(Table3335678[[#This Row],[Min Count]]/Table3335678[[#This Row],[Scalar]],"")</f>
        <v/>
      </c>
      <c r="Q351" s="36" t="str">
        <f>IFERROR(Table3335678[[#This Row],[Max Count]]/Table3335678[[#This Row],[Scalar]],"")</f>
        <v/>
      </c>
      <c r="R351" s="34"/>
      <c r="S351" s="34"/>
      <c r="T351" s="34" t="s">
        <v>3723</v>
      </c>
      <c r="U351" s="33" t="s">
        <v>4343</v>
      </c>
      <c r="V351" s="33" t="s">
        <v>8702</v>
      </c>
      <c r="W351" s="33"/>
      <c r="X351" s="33"/>
    </row>
    <row r="352" spans="1:24" ht="16.149999999999999" customHeight="1" x14ac:dyDescent="0.15">
      <c r="A352" s="6">
        <v>346</v>
      </c>
      <c r="B352" s="18" t="s">
        <v>75</v>
      </c>
      <c r="C352" s="43" t="s">
        <v>4267</v>
      </c>
      <c r="D352" s="43" t="s">
        <v>7722</v>
      </c>
      <c r="E352" s="36" t="s">
        <v>219</v>
      </c>
      <c r="F352" s="19">
        <v>7</v>
      </c>
      <c r="G352" s="6">
        <v>9</v>
      </c>
      <c r="H352" s="34" t="s">
        <v>4855</v>
      </c>
      <c r="I352" s="38" t="s">
        <v>171</v>
      </c>
      <c r="J352" s="38" t="s">
        <v>177</v>
      </c>
      <c r="K352" s="38" t="s">
        <v>173</v>
      </c>
      <c r="L352" s="6"/>
      <c r="M352" s="113"/>
      <c r="N352" s="45" t="s">
        <v>62</v>
      </c>
      <c r="O352" s="2" t="s">
        <v>62</v>
      </c>
      <c r="P352" s="38" t="str">
        <f>IFERROR(Table3335678[[#This Row],[Min Count]]/Table3335678[[#This Row],[Scalar]],"")</f>
        <v/>
      </c>
      <c r="Q352" s="36" t="str">
        <f>IFERROR(Table3335678[[#This Row],[Max Count]]/Table3335678[[#This Row],[Scalar]],"")</f>
        <v/>
      </c>
      <c r="R352" s="34"/>
      <c r="S352" s="34"/>
      <c r="T352" s="34" t="s">
        <v>3723</v>
      </c>
      <c r="U352" s="33" t="s">
        <v>4343</v>
      </c>
      <c r="V352" s="33" t="s">
        <v>8703</v>
      </c>
      <c r="W352" s="33"/>
      <c r="X352" s="33"/>
    </row>
    <row r="353" spans="1:24" ht="16.149999999999999" customHeight="1" x14ac:dyDescent="0.15">
      <c r="A353" s="6">
        <v>347</v>
      </c>
      <c r="B353" s="18" t="s">
        <v>75</v>
      </c>
      <c r="C353" s="43" t="s">
        <v>4267</v>
      </c>
      <c r="D353" s="43" t="s">
        <v>4777</v>
      </c>
      <c r="E353" s="36" t="s">
        <v>219</v>
      </c>
      <c r="F353" s="19">
        <v>7</v>
      </c>
      <c r="G353" s="6">
        <v>10</v>
      </c>
      <c r="H353" s="34" t="s">
        <v>4778</v>
      </c>
      <c r="I353" s="38" t="s">
        <v>171</v>
      </c>
      <c r="J353" s="38" t="s">
        <v>177</v>
      </c>
      <c r="K353" s="38" t="s">
        <v>173</v>
      </c>
      <c r="L353" s="6"/>
      <c r="M353" s="113"/>
      <c r="N353" s="45" t="s">
        <v>62</v>
      </c>
      <c r="O353" s="2" t="s">
        <v>62</v>
      </c>
      <c r="P353" s="38" t="str">
        <f>IFERROR(Table3335678[[#This Row],[Min Count]]/Table3335678[[#This Row],[Scalar]],"")</f>
        <v/>
      </c>
      <c r="Q353" s="36" t="str">
        <f>IFERROR(Table3335678[[#This Row],[Max Count]]/Table3335678[[#This Row],[Scalar]],"")</f>
        <v/>
      </c>
      <c r="R353" s="34"/>
      <c r="S353" s="34"/>
      <c r="T353" s="34" t="s">
        <v>3723</v>
      </c>
      <c r="U353" s="33" t="s">
        <v>4343</v>
      </c>
      <c r="V353" s="33" t="s">
        <v>8704</v>
      </c>
      <c r="W353" s="33"/>
      <c r="X353" s="33"/>
    </row>
    <row r="354" spans="1:24" ht="16.149999999999999" customHeight="1" x14ac:dyDescent="0.15">
      <c r="A354" s="6">
        <v>348</v>
      </c>
      <c r="B354" s="18" t="s">
        <v>75</v>
      </c>
      <c r="C354" s="43" t="s">
        <v>4267</v>
      </c>
      <c r="D354" s="43" t="s">
        <v>4774</v>
      </c>
      <c r="E354" s="36" t="s">
        <v>219</v>
      </c>
      <c r="F354" s="19">
        <v>7</v>
      </c>
      <c r="G354" s="6">
        <v>11</v>
      </c>
      <c r="H354" s="34" t="s">
        <v>4775</v>
      </c>
      <c r="I354" s="38" t="s">
        <v>171</v>
      </c>
      <c r="J354" s="38" t="s">
        <v>177</v>
      </c>
      <c r="K354" s="38" t="s">
        <v>173</v>
      </c>
      <c r="L354" s="6"/>
      <c r="M354" s="113"/>
      <c r="N354" s="45" t="s">
        <v>62</v>
      </c>
      <c r="O354" s="2" t="s">
        <v>62</v>
      </c>
      <c r="P354" s="38" t="str">
        <f>IFERROR(Table3335678[[#This Row],[Min Count]]/Table3335678[[#This Row],[Scalar]],"")</f>
        <v/>
      </c>
      <c r="Q354" s="36" t="str">
        <f>IFERROR(Table3335678[[#This Row],[Max Count]]/Table3335678[[#This Row],[Scalar]],"")</f>
        <v/>
      </c>
      <c r="R354" s="34"/>
      <c r="S354" s="34"/>
      <c r="T354" s="34" t="s">
        <v>3723</v>
      </c>
      <c r="U354" s="33" t="s">
        <v>4343</v>
      </c>
      <c r="V354" s="33" t="s">
        <v>8705</v>
      </c>
      <c r="W354" s="33"/>
      <c r="X354" s="33"/>
    </row>
    <row r="355" spans="1:24" ht="16.149999999999999" customHeight="1" x14ac:dyDescent="0.15">
      <c r="A355" s="6">
        <v>349</v>
      </c>
      <c r="B355" s="18" t="s">
        <v>75</v>
      </c>
      <c r="C355" s="43" t="s">
        <v>4267</v>
      </c>
      <c r="D355" s="43" t="s">
        <v>7723</v>
      </c>
      <c r="E355" s="36" t="s">
        <v>219</v>
      </c>
      <c r="F355" s="19">
        <v>7</v>
      </c>
      <c r="G355" s="6">
        <v>12</v>
      </c>
      <c r="H355" s="34" t="s">
        <v>7724</v>
      </c>
      <c r="I355" s="38" t="s">
        <v>171</v>
      </c>
      <c r="J355" s="38" t="s">
        <v>177</v>
      </c>
      <c r="K355" s="38" t="s">
        <v>173</v>
      </c>
      <c r="L355" s="6"/>
      <c r="M355" s="113"/>
      <c r="N355" s="45" t="s">
        <v>62</v>
      </c>
      <c r="O355" s="2" t="s">
        <v>62</v>
      </c>
      <c r="P355" s="38" t="str">
        <f>IFERROR(Table3335678[[#This Row],[Min Count]]/Table3335678[[#This Row],[Scalar]],"")</f>
        <v/>
      </c>
      <c r="Q355" s="36" t="str">
        <f>IFERROR(Table3335678[[#This Row],[Max Count]]/Table3335678[[#This Row],[Scalar]],"")</f>
        <v/>
      </c>
      <c r="R355" s="34"/>
      <c r="S355" s="34"/>
      <c r="T355" s="34" t="s">
        <v>3723</v>
      </c>
      <c r="U355" s="33" t="s">
        <v>4343</v>
      </c>
      <c r="V355" s="33" t="s">
        <v>8706</v>
      </c>
      <c r="W355" s="33"/>
      <c r="X355" s="33"/>
    </row>
    <row r="356" spans="1:24" ht="16.149999999999999" customHeight="1" x14ac:dyDescent="0.15">
      <c r="A356" s="6">
        <v>350</v>
      </c>
      <c r="B356" s="18" t="s">
        <v>75</v>
      </c>
      <c r="C356" s="43" t="s">
        <v>4267</v>
      </c>
      <c r="D356" s="43" t="s">
        <v>7725</v>
      </c>
      <c r="E356" s="36" t="s">
        <v>219</v>
      </c>
      <c r="F356" s="19">
        <v>7</v>
      </c>
      <c r="G356" s="6">
        <v>13</v>
      </c>
      <c r="H356" s="34" t="s">
        <v>4633</v>
      </c>
      <c r="I356" s="38" t="s">
        <v>171</v>
      </c>
      <c r="J356" s="38" t="s">
        <v>177</v>
      </c>
      <c r="K356" s="38" t="s">
        <v>173</v>
      </c>
      <c r="L356" s="6"/>
      <c r="M356" s="113"/>
      <c r="N356" s="45" t="s">
        <v>62</v>
      </c>
      <c r="O356" s="2" t="s">
        <v>62</v>
      </c>
      <c r="P356" s="38" t="str">
        <f>IFERROR(Table3335678[[#This Row],[Min Count]]/Table3335678[[#This Row],[Scalar]],"")</f>
        <v/>
      </c>
      <c r="Q356" s="36" t="str">
        <f>IFERROR(Table3335678[[#This Row],[Max Count]]/Table3335678[[#This Row],[Scalar]],"")</f>
        <v/>
      </c>
      <c r="R356" s="34"/>
      <c r="S356" s="34"/>
      <c r="T356" s="34" t="s">
        <v>3723</v>
      </c>
      <c r="U356" s="33" t="s">
        <v>4343</v>
      </c>
      <c r="V356" s="33" t="s">
        <v>8707</v>
      </c>
      <c r="W356" s="33"/>
      <c r="X356" s="33"/>
    </row>
    <row r="357" spans="1:24" ht="16.149999999999999" customHeight="1" x14ac:dyDescent="0.15">
      <c r="A357" s="6">
        <v>351</v>
      </c>
      <c r="B357" s="18" t="s">
        <v>75</v>
      </c>
      <c r="C357" s="43" t="s">
        <v>4267</v>
      </c>
      <c r="D357" s="43" t="s">
        <v>7726</v>
      </c>
      <c r="E357" s="36" t="s">
        <v>219</v>
      </c>
      <c r="F357" s="19">
        <v>7</v>
      </c>
      <c r="G357" s="6">
        <v>14</v>
      </c>
      <c r="H357" s="34" t="s">
        <v>7727</v>
      </c>
      <c r="I357" s="38" t="s">
        <v>171</v>
      </c>
      <c r="J357" s="38" t="s">
        <v>177</v>
      </c>
      <c r="K357" s="38" t="s">
        <v>173</v>
      </c>
      <c r="L357" s="6"/>
      <c r="M357" s="113"/>
      <c r="N357" s="45" t="s">
        <v>62</v>
      </c>
      <c r="O357" s="2" t="s">
        <v>62</v>
      </c>
      <c r="P357" s="38" t="str">
        <f>IFERROR(Table3335678[[#This Row],[Min Count]]/Table3335678[[#This Row],[Scalar]],"")</f>
        <v/>
      </c>
      <c r="Q357" s="36" t="str">
        <f>IFERROR(Table3335678[[#This Row],[Max Count]]/Table3335678[[#This Row],[Scalar]],"")</f>
        <v/>
      </c>
      <c r="R357" s="34"/>
      <c r="S357" s="34"/>
      <c r="T357" s="34" t="s">
        <v>3723</v>
      </c>
      <c r="U357" s="33" t="s">
        <v>4343</v>
      </c>
      <c r="V357" s="33" t="s">
        <v>8708</v>
      </c>
      <c r="W357" s="33"/>
      <c r="X357" s="33"/>
    </row>
    <row r="358" spans="1:24" ht="16.149999999999999" customHeight="1" x14ac:dyDescent="0.15">
      <c r="A358" s="6">
        <v>352</v>
      </c>
      <c r="B358" s="18" t="s">
        <v>75</v>
      </c>
      <c r="C358" s="43" t="s">
        <v>4267</v>
      </c>
      <c r="D358" s="43" t="s">
        <v>7728</v>
      </c>
      <c r="E358" s="36" t="s">
        <v>219</v>
      </c>
      <c r="F358" s="19">
        <v>7</v>
      </c>
      <c r="G358" s="6">
        <v>15</v>
      </c>
      <c r="H358" s="34" t="s">
        <v>4849</v>
      </c>
      <c r="I358" s="38" t="s">
        <v>171</v>
      </c>
      <c r="J358" s="38" t="s">
        <v>177</v>
      </c>
      <c r="K358" s="38" t="s">
        <v>173</v>
      </c>
      <c r="L358" s="6"/>
      <c r="M358" s="113"/>
      <c r="N358" s="45" t="s">
        <v>62</v>
      </c>
      <c r="O358" s="2" t="s">
        <v>62</v>
      </c>
      <c r="P358" s="38" t="str">
        <f>IFERROR(Table3335678[[#This Row],[Min Count]]/Table3335678[[#This Row],[Scalar]],"")</f>
        <v/>
      </c>
      <c r="Q358" s="36" t="str">
        <f>IFERROR(Table3335678[[#This Row],[Max Count]]/Table3335678[[#This Row],[Scalar]],"")</f>
        <v/>
      </c>
      <c r="R358" s="34"/>
      <c r="S358" s="34"/>
      <c r="T358" s="34" t="s">
        <v>3723</v>
      </c>
      <c r="U358" s="33" t="s">
        <v>4343</v>
      </c>
      <c r="V358" s="33" t="s">
        <v>8709</v>
      </c>
      <c r="W358" s="33"/>
      <c r="X358" s="33"/>
    </row>
    <row r="359" spans="1:24" ht="16.149999999999999" customHeight="1" x14ac:dyDescent="0.15">
      <c r="A359" s="6">
        <v>353</v>
      </c>
      <c r="B359" s="18" t="s">
        <v>75</v>
      </c>
      <c r="C359" s="43" t="s">
        <v>4267</v>
      </c>
      <c r="D359" s="43" t="s">
        <v>4747</v>
      </c>
      <c r="E359" s="36" t="s">
        <v>219</v>
      </c>
      <c r="F359" s="19">
        <v>7</v>
      </c>
      <c r="G359" s="6">
        <v>16</v>
      </c>
      <c r="H359" s="34" t="s">
        <v>4748</v>
      </c>
      <c r="I359" s="38" t="s">
        <v>171</v>
      </c>
      <c r="J359" s="38" t="s">
        <v>177</v>
      </c>
      <c r="K359" s="38" t="s">
        <v>173</v>
      </c>
      <c r="L359" s="6"/>
      <c r="M359" s="113"/>
      <c r="N359" s="45" t="s">
        <v>62</v>
      </c>
      <c r="O359" s="2" t="s">
        <v>62</v>
      </c>
      <c r="P359" s="38" t="str">
        <f>IFERROR(Table3335678[[#This Row],[Min Count]]/Table3335678[[#This Row],[Scalar]],"")</f>
        <v/>
      </c>
      <c r="Q359" s="36" t="str">
        <f>IFERROR(Table3335678[[#This Row],[Max Count]]/Table3335678[[#This Row],[Scalar]],"")</f>
        <v/>
      </c>
      <c r="R359" s="34"/>
      <c r="S359" s="34"/>
      <c r="T359" s="34" t="s">
        <v>3723</v>
      </c>
      <c r="U359" s="33" t="s">
        <v>4343</v>
      </c>
      <c r="V359" s="33" t="s">
        <v>8710</v>
      </c>
      <c r="W359" s="33"/>
      <c r="X359" s="33"/>
    </row>
    <row r="360" spans="1:24" ht="16.149999999999999" customHeight="1" x14ac:dyDescent="0.15">
      <c r="A360" s="6">
        <v>354</v>
      </c>
      <c r="B360" s="18" t="s">
        <v>75</v>
      </c>
      <c r="C360" s="43" t="s">
        <v>4267</v>
      </c>
      <c r="D360" s="43" t="s">
        <v>7729</v>
      </c>
      <c r="E360" s="36" t="s">
        <v>219</v>
      </c>
      <c r="F360" s="19">
        <v>7</v>
      </c>
      <c r="G360" s="6">
        <v>17</v>
      </c>
      <c r="H360" s="34" t="s">
        <v>7730</v>
      </c>
      <c r="I360" s="38" t="s">
        <v>171</v>
      </c>
      <c r="J360" s="38" t="s">
        <v>177</v>
      </c>
      <c r="K360" s="38" t="s">
        <v>173</v>
      </c>
      <c r="L360" s="6"/>
      <c r="M360" s="113"/>
      <c r="N360" s="45" t="s">
        <v>62</v>
      </c>
      <c r="O360" s="2" t="s">
        <v>62</v>
      </c>
      <c r="P360" s="38" t="str">
        <f>IFERROR(Table3335678[[#This Row],[Min Count]]/Table3335678[[#This Row],[Scalar]],"")</f>
        <v/>
      </c>
      <c r="Q360" s="36" t="str">
        <f>IFERROR(Table3335678[[#This Row],[Max Count]]/Table3335678[[#This Row],[Scalar]],"")</f>
        <v/>
      </c>
      <c r="R360" s="34"/>
      <c r="S360" s="34"/>
      <c r="T360" s="34" t="s">
        <v>3723</v>
      </c>
      <c r="U360" s="33" t="s">
        <v>4343</v>
      </c>
      <c r="V360" s="33" t="s">
        <v>8711</v>
      </c>
      <c r="W360" s="33"/>
      <c r="X360" s="33"/>
    </row>
    <row r="361" spans="1:24" ht="16.149999999999999" customHeight="1" x14ac:dyDescent="0.15">
      <c r="A361" s="6">
        <v>355</v>
      </c>
      <c r="B361" s="18" t="s">
        <v>75</v>
      </c>
      <c r="C361" s="43" t="s">
        <v>4267</v>
      </c>
      <c r="D361" s="43" t="s">
        <v>7731</v>
      </c>
      <c r="E361" s="36" t="s">
        <v>219</v>
      </c>
      <c r="F361" s="19">
        <v>7</v>
      </c>
      <c r="G361" s="6">
        <v>18</v>
      </c>
      <c r="H361" s="34" t="s">
        <v>7732</v>
      </c>
      <c r="I361" s="38" t="s">
        <v>171</v>
      </c>
      <c r="J361" s="38" t="s">
        <v>177</v>
      </c>
      <c r="K361" s="38" t="s">
        <v>173</v>
      </c>
      <c r="L361" s="6"/>
      <c r="M361" s="113"/>
      <c r="N361" s="45" t="s">
        <v>62</v>
      </c>
      <c r="O361" s="2" t="s">
        <v>62</v>
      </c>
      <c r="P361" s="38" t="str">
        <f>IFERROR(Table3335678[[#This Row],[Min Count]]/Table3335678[[#This Row],[Scalar]],"")</f>
        <v/>
      </c>
      <c r="Q361" s="36" t="str">
        <f>IFERROR(Table3335678[[#This Row],[Max Count]]/Table3335678[[#This Row],[Scalar]],"")</f>
        <v/>
      </c>
      <c r="R361" s="34"/>
      <c r="S361" s="34"/>
      <c r="T361" s="34" t="s">
        <v>3723</v>
      </c>
      <c r="U361" s="33" t="s">
        <v>4343</v>
      </c>
      <c r="V361" s="33" t="s">
        <v>8712</v>
      </c>
      <c r="W361" s="33"/>
      <c r="X361" s="33"/>
    </row>
    <row r="362" spans="1:24" ht="16.149999999999999" customHeight="1" x14ac:dyDescent="0.15">
      <c r="A362" s="6">
        <v>356</v>
      </c>
      <c r="B362" s="18" t="s">
        <v>75</v>
      </c>
      <c r="C362" s="43" t="s">
        <v>4267</v>
      </c>
      <c r="D362" s="43" t="s">
        <v>4795</v>
      </c>
      <c r="E362" s="36" t="s">
        <v>219</v>
      </c>
      <c r="F362" s="19">
        <v>7</v>
      </c>
      <c r="G362" s="6">
        <v>19</v>
      </c>
      <c r="H362" s="34" t="s">
        <v>4796</v>
      </c>
      <c r="I362" s="38" t="s">
        <v>171</v>
      </c>
      <c r="J362" s="38" t="s">
        <v>177</v>
      </c>
      <c r="K362" s="38" t="s">
        <v>173</v>
      </c>
      <c r="L362" s="6"/>
      <c r="M362" s="113"/>
      <c r="N362" s="45" t="s">
        <v>62</v>
      </c>
      <c r="O362" s="2" t="s">
        <v>62</v>
      </c>
      <c r="P362" s="38" t="str">
        <f>IFERROR(Table3335678[[#This Row],[Min Count]]/Table3335678[[#This Row],[Scalar]],"")</f>
        <v/>
      </c>
      <c r="Q362" s="36" t="str">
        <f>IFERROR(Table3335678[[#This Row],[Max Count]]/Table3335678[[#This Row],[Scalar]],"")</f>
        <v/>
      </c>
      <c r="R362" s="34"/>
      <c r="S362" s="34"/>
      <c r="T362" s="34" t="s">
        <v>3723</v>
      </c>
      <c r="U362" s="33" t="s">
        <v>4343</v>
      </c>
      <c r="V362" s="33" t="s">
        <v>8713</v>
      </c>
      <c r="W362" s="33"/>
      <c r="X362" s="33"/>
    </row>
    <row r="363" spans="1:24" ht="16.149999999999999" customHeight="1" x14ac:dyDescent="0.15">
      <c r="A363" s="6">
        <v>357</v>
      </c>
      <c r="B363" s="18" t="s">
        <v>75</v>
      </c>
      <c r="C363" s="43" t="s">
        <v>4267</v>
      </c>
      <c r="D363" s="43" t="s">
        <v>7733</v>
      </c>
      <c r="E363" s="36" t="s">
        <v>219</v>
      </c>
      <c r="F363" s="19">
        <v>7</v>
      </c>
      <c r="G363" s="6">
        <v>20</v>
      </c>
      <c r="H363" s="34" t="s">
        <v>4743</v>
      </c>
      <c r="I363" s="38" t="s">
        <v>171</v>
      </c>
      <c r="J363" s="38" t="s">
        <v>177</v>
      </c>
      <c r="K363" s="38" t="s">
        <v>173</v>
      </c>
      <c r="L363" s="6"/>
      <c r="M363" s="113"/>
      <c r="N363" s="45" t="s">
        <v>62</v>
      </c>
      <c r="O363" s="2" t="s">
        <v>62</v>
      </c>
      <c r="P363" s="38" t="str">
        <f>IFERROR(Table3335678[[#This Row],[Min Count]]/Table3335678[[#This Row],[Scalar]],"")</f>
        <v/>
      </c>
      <c r="Q363" s="36" t="str">
        <f>IFERROR(Table3335678[[#This Row],[Max Count]]/Table3335678[[#This Row],[Scalar]],"")</f>
        <v/>
      </c>
      <c r="R363" s="34"/>
      <c r="S363" s="34"/>
      <c r="T363" s="34" t="s">
        <v>3723</v>
      </c>
      <c r="U363" s="33" t="s">
        <v>4343</v>
      </c>
      <c r="V363" s="33" t="s">
        <v>8714</v>
      </c>
      <c r="W363" s="33"/>
      <c r="X363" s="33"/>
    </row>
    <row r="364" spans="1:24" ht="16.149999999999999" customHeight="1" x14ac:dyDescent="0.15">
      <c r="A364" s="6">
        <v>358</v>
      </c>
      <c r="B364" s="18" t="s">
        <v>75</v>
      </c>
      <c r="C364" s="43" t="s">
        <v>4267</v>
      </c>
      <c r="D364" s="43" t="s">
        <v>7734</v>
      </c>
      <c r="E364" s="36" t="s">
        <v>219</v>
      </c>
      <c r="F364" s="19">
        <v>7</v>
      </c>
      <c r="G364" s="6">
        <v>21</v>
      </c>
      <c r="H364" s="34" t="s">
        <v>7735</v>
      </c>
      <c r="I364" s="38" t="s">
        <v>171</v>
      </c>
      <c r="J364" s="38" t="s">
        <v>177</v>
      </c>
      <c r="K364" s="38" t="s">
        <v>173</v>
      </c>
      <c r="L364" s="6"/>
      <c r="M364" s="113"/>
      <c r="N364" s="45" t="s">
        <v>62</v>
      </c>
      <c r="O364" s="2" t="s">
        <v>62</v>
      </c>
      <c r="P364" s="38" t="str">
        <f>IFERROR(Table3335678[[#This Row],[Min Count]]/Table3335678[[#This Row],[Scalar]],"")</f>
        <v/>
      </c>
      <c r="Q364" s="36" t="str">
        <f>IFERROR(Table3335678[[#This Row],[Max Count]]/Table3335678[[#This Row],[Scalar]],"")</f>
        <v/>
      </c>
      <c r="R364" s="34"/>
      <c r="S364" s="34"/>
      <c r="T364" s="34" t="s">
        <v>3723</v>
      </c>
      <c r="U364" s="33" t="s">
        <v>4343</v>
      </c>
      <c r="V364" s="33" t="s">
        <v>8715</v>
      </c>
      <c r="W364" s="33"/>
      <c r="X364" s="33"/>
    </row>
    <row r="365" spans="1:24" ht="16.149999999999999" customHeight="1" x14ac:dyDescent="0.15">
      <c r="A365" s="6">
        <v>359</v>
      </c>
      <c r="B365" s="18" t="s">
        <v>75</v>
      </c>
      <c r="C365" s="43" t="s">
        <v>4267</v>
      </c>
      <c r="D365" s="43" t="s">
        <v>4682</v>
      </c>
      <c r="E365" s="36" t="s">
        <v>219</v>
      </c>
      <c r="F365" s="19">
        <v>7</v>
      </c>
      <c r="G365" s="6">
        <v>22</v>
      </c>
      <c r="H365" s="34" t="s">
        <v>4683</v>
      </c>
      <c r="I365" s="38" t="s">
        <v>171</v>
      </c>
      <c r="J365" s="38" t="s">
        <v>177</v>
      </c>
      <c r="K365" s="38" t="s">
        <v>173</v>
      </c>
      <c r="L365" s="6"/>
      <c r="M365" s="113"/>
      <c r="N365" s="45" t="s">
        <v>62</v>
      </c>
      <c r="O365" s="2" t="s">
        <v>62</v>
      </c>
      <c r="P365" s="38" t="str">
        <f>IFERROR(Table3335678[[#This Row],[Min Count]]/Table3335678[[#This Row],[Scalar]],"")</f>
        <v/>
      </c>
      <c r="Q365" s="36" t="str">
        <f>IFERROR(Table3335678[[#This Row],[Max Count]]/Table3335678[[#This Row],[Scalar]],"")</f>
        <v/>
      </c>
      <c r="R365" s="34"/>
      <c r="S365" s="34"/>
      <c r="T365" s="34" t="s">
        <v>3723</v>
      </c>
      <c r="U365" s="33" t="s">
        <v>4343</v>
      </c>
      <c r="V365" s="33" t="s">
        <v>8716</v>
      </c>
      <c r="W365" s="33"/>
      <c r="X365" s="33"/>
    </row>
    <row r="366" spans="1:24" ht="16.149999999999999" customHeight="1" x14ac:dyDescent="0.15">
      <c r="A366" s="6">
        <v>360</v>
      </c>
      <c r="B366" s="18" t="s">
        <v>75</v>
      </c>
      <c r="C366" s="43" t="s">
        <v>4267</v>
      </c>
      <c r="D366" s="43" t="s">
        <v>4815</v>
      </c>
      <c r="E366" s="36" t="s">
        <v>219</v>
      </c>
      <c r="F366" s="19">
        <v>7</v>
      </c>
      <c r="G366" s="6">
        <v>23</v>
      </c>
      <c r="H366" s="34" t="s">
        <v>4816</v>
      </c>
      <c r="I366" s="38" t="s">
        <v>171</v>
      </c>
      <c r="J366" s="38" t="s">
        <v>177</v>
      </c>
      <c r="K366" s="38" t="s">
        <v>173</v>
      </c>
      <c r="L366" s="6"/>
      <c r="M366" s="113"/>
      <c r="N366" s="45" t="s">
        <v>62</v>
      </c>
      <c r="O366" s="2" t="s">
        <v>62</v>
      </c>
      <c r="P366" s="38" t="str">
        <f>IFERROR(Table3335678[[#This Row],[Min Count]]/Table3335678[[#This Row],[Scalar]],"")</f>
        <v/>
      </c>
      <c r="Q366" s="36" t="str">
        <f>IFERROR(Table3335678[[#This Row],[Max Count]]/Table3335678[[#This Row],[Scalar]],"")</f>
        <v/>
      </c>
      <c r="R366" s="34"/>
      <c r="S366" s="34"/>
      <c r="T366" s="34" t="s">
        <v>3723</v>
      </c>
      <c r="U366" s="33" t="s">
        <v>4343</v>
      </c>
      <c r="V366" s="33" t="s">
        <v>8717</v>
      </c>
      <c r="W366" s="33"/>
      <c r="X366" s="33"/>
    </row>
    <row r="367" spans="1:24" ht="16.149999999999999" customHeight="1" x14ac:dyDescent="0.15">
      <c r="A367" s="6">
        <v>361</v>
      </c>
      <c r="B367" s="18" t="s">
        <v>75</v>
      </c>
      <c r="C367" s="43" t="s">
        <v>4267</v>
      </c>
      <c r="D367" s="43" t="s">
        <v>7736</v>
      </c>
      <c r="E367" s="36" t="s">
        <v>219</v>
      </c>
      <c r="F367" s="19">
        <v>7</v>
      </c>
      <c r="G367" s="6">
        <v>24</v>
      </c>
      <c r="H367" s="34" t="s">
        <v>7737</v>
      </c>
      <c r="I367" s="38" t="s">
        <v>171</v>
      </c>
      <c r="J367" s="38" t="s">
        <v>177</v>
      </c>
      <c r="K367" s="38" t="s">
        <v>173</v>
      </c>
      <c r="L367" s="6"/>
      <c r="M367" s="113"/>
      <c r="N367" s="45" t="s">
        <v>62</v>
      </c>
      <c r="O367" s="2" t="s">
        <v>62</v>
      </c>
      <c r="P367" s="38" t="str">
        <f>IFERROR(Table3335678[[#This Row],[Min Count]]/Table3335678[[#This Row],[Scalar]],"")</f>
        <v/>
      </c>
      <c r="Q367" s="36" t="str">
        <f>IFERROR(Table3335678[[#This Row],[Max Count]]/Table3335678[[#This Row],[Scalar]],"")</f>
        <v/>
      </c>
      <c r="R367" s="34"/>
      <c r="S367" s="34"/>
      <c r="T367" s="34" t="s">
        <v>3723</v>
      </c>
      <c r="U367" s="33" t="s">
        <v>4343</v>
      </c>
      <c r="V367" s="33" t="s">
        <v>8718</v>
      </c>
      <c r="W367" s="33"/>
      <c r="X367" s="33"/>
    </row>
    <row r="368" spans="1:24" ht="16.149999999999999" customHeight="1" x14ac:dyDescent="0.15">
      <c r="A368" s="6">
        <v>362</v>
      </c>
      <c r="B368" s="18" t="s">
        <v>75</v>
      </c>
      <c r="C368" s="43" t="s">
        <v>4267</v>
      </c>
      <c r="D368" s="43" t="s">
        <v>4670</v>
      </c>
      <c r="E368" s="36" t="s">
        <v>219</v>
      </c>
      <c r="F368" s="19">
        <v>7</v>
      </c>
      <c r="G368" s="6">
        <v>25</v>
      </c>
      <c r="H368" s="34" t="s">
        <v>4671</v>
      </c>
      <c r="I368" s="38" t="s">
        <v>171</v>
      </c>
      <c r="J368" s="38" t="s">
        <v>177</v>
      </c>
      <c r="K368" s="38" t="s">
        <v>173</v>
      </c>
      <c r="L368" s="6"/>
      <c r="M368" s="113"/>
      <c r="N368" s="45" t="s">
        <v>62</v>
      </c>
      <c r="O368" s="2" t="s">
        <v>62</v>
      </c>
      <c r="P368" s="38" t="str">
        <f>IFERROR(Table3335678[[#This Row],[Min Count]]/Table3335678[[#This Row],[Scalar]],"")</f>
        <v/>
      </c>
      <c r="Q368" s="36" t="str">
        <f>IFERROR(Table3335678[[#This Row],[Max Count]]/Table3335678[[#This Row],[Scalar]],"")</f>
        <v/>
      </c>
      <c r="R368" s="34"/>
      <c r="S368" s="34"/>
      <c r="T368" s="34" t="s">
        <v>3723</v>
      </c>
      <c r="U368" s="33" t="s">
        <v>4343</v>
      </c>
      <c r="V368" s="33" t="s">
        <v>8719</v>
      </c>
      <c r="W368" s="33"/>
      <c r="X368" s="33"/>
    </row>
    <row r="369" spans="1:24" ht="16.149999999999999" customHeight="1" x14ac:dyDescent="0.15">
      <c r="A369" s="6">
        <v>363</v>
      </c>
      <c r="B369" s="18" t="s">
        <v>75</v>
      </c>
      <c r="C369" s="43" t="s">
        <v>4267</v>
      </c>
      <c r="D369" s="43" t="s">
        <v>7738</v>
      </c>
      <c r="E369" s="36" t="s">
        <v>219</v>
      </c>
      <c r="F369" s="19">
        <v>7</v>
      </c>
      <c r="G369" s="6">
        <v>26</v>
      </c>
      <c r="H369" s="34" t="s">
        <v>4757</v>
      </c>
      <c r="I369" s="38" t="s">
        <v>171</v>
      </c>
      <c r="J369" s="38" t="s">
        <v>177</v>
      </c>
      <c r="K369" s="38" t="s">
        <v>173</v>
      </c>
      <c r="L369" s="6"/>
      <c r="M369" s="113"/>
      <c r="N369" s="45" t="s">
        <v>62</v>
      </c>
      <c r="O369" s="2" t="s">
        <v>62</v>
      </c>
      <c r="P369" s="38" t="str">
        <f>IFERROR(Table3335678[[#This Row],[Min Count]]/Table3335678[[#This Row],[Scalar]],"")</f>
        <v/>
      </c>
      <c r="Q369" s="36" t="str">
        <f>IFERROR(Table3335678[[#This Row],[Max Count]]/Table3335678[[#This Row],[Scalar]],"")</f>
        <v/>
      </c>
      <c r="R369" s="34"/>
      <c r="S369" s="34"/>
      <c r="T369" s="34" t="s">
        <v>3723</v>
      </c>
      <c r="U369" s="33" t="s">
        <v>4343</v>
      </c>
      <c r="V369" s="33" t="s">
        <v>8720</v>
      </c>
      <c r="W369" s="33"/>
      <c r="X369" s="33"/>
    </row>
    <row r="370" spans="1:24" ht="16.149999999999999" customHeight="1" x14ac:dyDescent="0.15">
      <c r="A370" s="6">
        <v>364</v>
      </c>
      <c r="B370" s="18" t="s">
        <v>75</v>
      </c>
      <c r="C370" s="43" t="s">
        <v>4267</v>
      </c>
      <c r="D370" s="43" t="s">
        <v>7739</v>
      </c>
      <c r="E370" s="36" t="s">
        <v>219</v>
      </c>
      <c r="F370" s="19">
        <v>8</v>
      </c>
      <c r="G370" s="6"/>
      <c r="H370" s="34" t="s">
        <v>3721</v>
      </c>
      <c r="I370" s="38" t="s">
        <v>196</v>
      </c>
      <c r="J370" s="38"/>
      <c r="K370" s="38"/>
      <c r="L370" s="6" t="s">
        <v>61</v>
      </c>
      <c r="M370" s="113">
        <v>1</v>
      </c>
      <c r="N370" s="45" t="s">
        <v>62</v>
      </c>
      <c r="O370" s="2" t="s">
        <v>62</v>
      </c>
      <c r="P370" s="38" t="str">
        <f>IFERROR(Table3335678[[#This Row],[Min Count]]/Table3335678[[#This Row],[Scalar]],"")</f>
        <v/>
      </c>
      <c r="Q370" s="36" t="str">
        <f>IFERROR(Table3335678[[#This Row],[Max Count]]/Table3335678[[#This Row],[Scalar]],"")</f>
        <v/>
      </c>
      <c r="R370" s="34"/>
      <c r="S370" s="34"/>
      <c r="T370" s="34" t="s">
        <v>3723</v>
      </c>
      <c r="U370" s="33" t="s">
        <v>3853</v>
      </c>
      <c r="V370" s="33" t="s">
        <v>8721</v>
      </c>
      <c r="W370" s="33"/>
      <c r="X370" s="33"/>
    </row>
    <row r="371" spans="1:24" ht="16.149999999999999" customHeight="1" x14ac:dyDescent="0.15">
      <c r="A371" s="6">
        <v>365</v>
      </c>
      <c r="B371" s="18" t="s">
        <v>75</v>
      </c>
      <c r="C371" s="43" t="s">
        <v>4267</v>
      </c>
      <c r="D371" s="43" t="s">
        <v>5060</v>
      </c>
      <c r="E371" s="36" t="s">
        <v>219</v>
      </c>
      <c r="F371" s="19">
        <v>8</v>
      </c>
      <c r="G371" s="6">
        <v>0</v>
      </c>
      <c r="H371" s="34" t="s">
        <v>4731</v>
      </c>
      <c r="I371" s="38" t="s">
        <v>171</v>
      </c>
      <c r="J371" s="38" t="s">
        <v>177</v>
      </c>
      <c r="K371" s="38" t="s">
        <v>173</v>
      </c>
      <c r="L371" s="6"/>
      <c r="M371" s="113"/>
      <c r="N371" s="45" t="s">
        <v>62</v>
      </c>
      <c r="O371" s="2" t="s">
        <v>62</v>
      </c>
      <c r="P371" s="38" t="str">
        <f>IFERROR(Table3335678[[#This Row],[Min Count]]/Table3335678[[#This Row],[Scalar]],"")</f>
        <v/>
      </c>
      <c r="Q371" s="36" t="str">
        <f>IFERROR(Table3335678[[#This Row],[Max Count]]/Table3335678[[#This Row],[Scalar]],"")</f>
        <v/>
      </c>
      <c r="R371" s="34"/>
      <c r="S371" s="34"/>
      <c r="T371" s="34" t="s">
        <v>3723</v>
      </c>
      <c r="U371" s="33" t="s">
        <v>4343</v>
      </c>
      <c r="V371" s="33" t="s">
        <v>8722</v>
      </c>
      <c r="W371" s="33"/>
      <c r="X371" s="33"/>
    </row>
    <row r="372" spans="1:24" ht="16.149999999999999" customHeight="1" x14ac:dyDescent="0.15">
      <c r="A372" s="6">
        <v>366</v>
      </c>
      <c r="B372" s="18" t="s">
        <v>75</v>
      </c>
      <c r="C372" s="43" t="s">
        <v>4267</v>
      </c>
      <c r="D372" s="43" t="s">
        <v>7740</v>
      </c>
      <c r="E372" s="36" t="s">
        <v>219</v>
      </c>
      <c r="F372" s="19">
        <v>8</v>
      </c>
      <c r="G372" s="6">
        <v>1</v>
      </c>
      <c r="H372" s="34" t="s">
        <v>7663</v>
      </c>
      <c r="I372" s="38" t="s">
        <v>171</v>
      </c>
      <c r="J372" s="38" t="s">
        <v>177</v>
      </c>
      <c r="K372" s="38" t="s">
        <v>173</v>
      </c>
      <c r="L372" s="6"/>
      <c r="M372" s="113"/>
      <c r="N372" s="45" t="s">
        <v>62</v>
      </c>
      <c r="O372" s="2" t="s">
        <v>62</v>
      </c>
      <c r="P372" s="38" t="str">
        <f>IFERROR(Table3335678[[#This Row],[Min Count]]/Table3335678[[#This Row],[Scalar]],"")</f>
        <v/>
      </c>
      <c r="Q372" s="36" t="str">
        <f>IFERROR(Table3335678[[#This Row],[Max Count]]/Table3335678[[#This Row],[Scalar]],"")</f>
        <v/>
      </c>
      <c r="R372" s="34"/>
      <c r="S372" s="34"/>
      <c r="T372" s="34" t="s">
        <v>3723</v>
      </c>
      <c r="U372" s="33" t="s">
        <v>4343</v>
      </c>
      <c r="V372" s="33" t="s">
        <v>8723</v>
      </c>
      <c r="W372" s="33"/>
      <c r="X372" s="33"/>
    </row>
    <row r="373" spans="1:24" ht="16.149999999999999" customHeight="1" x14ac:dyDescent="0.15">
      <c r="A373" s="6">
        <v>367</v>
      </c>
      <c r="B373" s="18" t="s">
        <v>75</v>
      </c>
      <c r="C373" s="43" t="s">
        <v>4267</v>
      </c>
      <c r="D373" s="43" t="s">
        <v>7741</v>
      </c>
      <c r="E373" s="36" t="s">
        <v>219</v>
      </c>
      <c r="F373" s="19">
        <v>8</v>
      </c>
      <c r="G373" s="6">
        <v>2</v>
      </c>
      <c r="H373" s="34" t="s">
        <v>4680</v>
      </c>
      <c r="I373" s="38" t="s">
        <v>171</v>
      </c>
      <c r="J373" s="38" t="s">
        <v>177</v>
      </c>
      <c r="K373" s="38" t="s">
        <v>173</v>
      </c>
      <c r="L373" s="6"/>
      <c r="M373" s="113"/>
      <c r="N373" s="45" t="s">
        <v>62</v>
      </c>
      <c r="O373" s="2" t="s">
        <v>62</v>
      </c>
      <c r="P373" s="38" t="str">
        <f>IFERROR(Table3335678[[#This Row],[Min Count]]/Table3335678[[#This Row],[Scalar]],"")</f>
        <v/>
      </c>
      <c r="Q373" s="36" t="str">
        <f>IFERROR(Table3335678[[#This Row],[Max Count]]/Table3335678[[#This Row],[Scalar]],"")</f>
        <v/>
      </c>
      <c r="R373" s="34"/>
      <c r="S373" s="34"/>
      <c r="T373" s="34" t="s">
        <v>3723</v>
      </c>
      <c r="U373" s="33" t="s">
        <v>4343</v>
      </c>
      <c r="V373" s="33" t="s">
        <v>8724</v>
      </c>
      <c r="W373" s="33"/>
      <c r="X373" s="33"/>
    </row>
    <row r="374" spans="1:24" ht="16.149999999999999" customHeight="1" x14ac:dyDescent="0.15">
      <c r="A374" s="6">
        <v>368</v>
      </c>
      <c r="B374" s="18" t="s">
        <v>75</v>
      </c>
      <c r="C374" s="43" t="s">
        <v>4267</v>
      </c>
      <c r="D374" s="43" t="s">
        <v>5021</v>
      </c>
      <c r="E374" s="36" t="s">
        <v>219</v>
      </c>
      <c r="F374" s="19">
        <v>8</v>
      </c>
      <c r="G374" s="6">
        <v>3</v>
      </c>
      <c r="H374" s="34" t="s">
        <v>4692</v>
      </c>
      <c r="I374" s="38" t="s">
        <v>171</v>
      </c>
      <c r="J374" s="38" t="s">
        <v>177</v>
      </c>
      <c r="K374" s="38" t="s">
        <v>173</v>
      </c>
      <c r="L374" s="6"/>
      <c r="M374" s="113"/>
      <c r="N374" s="45" t="s">
        <v>62</v>
      </c>
      <c r="O374" s="2" t="s">
        <v>62</v>
      </c>
      <c r="P374" s="38" t="str">
        <f>IFERROR(Table3335678[[#This Row],[Min Count]]/Table3335678[[#This Row],[Scalar]],"")</f>
        <v/>
      </c>
      <c r="Q374" s="36" t="str">
        <f>IFERROR(Table3335678[[#This Row],[Max Count]]/Table3335678[[#This Row],[Scalar]],"")</f>
        <v/>
      </c>
      <c r="R374" s="34"/>
      <c r="S374" s="34"/>
      <c r="T374" s="34" t="s">
        <v>3723</v>
      </c>
      <c r="U374" s="33" t="s">
        <v>4343</v>
      </c>
      <c r="V374" s="33" t="s">
        <v>8725</v>
      </c>
      <c r="W374" s="33"/>
      <c r="X374" s="33"/>
    </row>
    <row r="375" spans="1:24" ht="16.149999999999999" customHeight="1" x14ac:dyDescent="0.15">
      <c r="A375" s="6">
        <v>369</v>
      </c>
      <c r="B375" s="18" t="s">
        <v>75</v>
      </c>
      <c r="C375" s="43" t="s">
        <v>4267</v>
      </c>
      <c r="D375" s="43" t="s">
        <v>7742</v>
      </c>
      <c r="E375" s="36" t="s">
        <v>219</v>
      </c>
      <c r="F375" s="19">
        <v>8</v>
      </c>
      <c r="G375" s="6">
        <v>4</v>
      </c>
      <c r="H375" s="34" t="s">
        <v>4665</v>
      </c>
      <c r="I375" s="38" t="s">
        <v>171</v>
      </c>
      <c r="J375" s="38" t="s">
        <v>177</v>
      </c>
      <c r="K375" s="38" t="s">
        <v>173</v>
      </c>
      <c r="L375" s="6"/>
      <c r="M375" s="113"/>
      <c r="N375" s="45" t="s">
        <v>62</v>
      </c>
      <c r="O375" s="2" t="s">
        <v>62</v>
      </c>
      <c r="P375" s="38" t="str">
        <f>IFERROR(Table3335678[[#This Row],[Min Count]]/Table3335678[[#This Row],[Scalar]],"")</f>
        <v/>
      </c>
      <c r="Q375" s="36" t="str">
        <f>IFERROR(Table3335678[[#This Row],[Max Count]]/Table3335678[[#This Row],[Scalar]],"")</f>
        <v/>
      </c>
      <c r="R375" s="34"/>
      <c r="S375" s="34"/>
      <c r="T375" s="34" t="s">
        <v>3723</v>
      </c>
      <c r="U375" s="33" t="s">
        <v>4343</v>
      </c>
      <c r="V375" s="33" t="s">
        <v>8726</v>
      </c>
      <c r="W375" s="33"/>
      <c r="X375" s="33"/>
    </row>
    <row r="376" spans="1:24" ht="16.149999999999999" customHeight="1" x14ac:dyDescent="0.15">
      <c r="A376" s="6">
        <v>370</v>
      </c>
      <c r="B376" s="18" t="s">
        <v>75</v>
      </c>
      <c r="C376" s="43" t="s">
        <v>4267</v>
      </c>
      <c r="D376" s="43" t="s">
        <v>5048</v>
      </c>
      <c r="E376" s="36" t="s">
        <v>219</v>
      </c>
      <c r="F376" s="19">
        <v>8</v>
      </c>
      <c r="G376" s="6">
        <v>5</v>
      </c>
      <c r="H376" s="34" t="s">
        <v>4719</v>
      </c>
      <c r="I376" s="38" t="s">
        <v>171</v>
      </c>
      <c r="J376" s="38" t="s">
        <v>177</v>
      </c>
      <c r="K376" s="38" t="s">
        <v>173</v>
      </c>
      <c r="L376" s="6"/>
      <c r="M376" s="113"/>
      <c r="N376" s="45" t="s">
        <v>62</v>
      </c>
      <c r="O376" s="2" t="s">
        <v>62</v>
      </c>
      <c r="P376" s="38" t="str">
        <f>IFERROR(Table3335678[[#This Row],[Min Count]]/Table3335678[[#This Row],[Scalar]],"")</f>
        <v/>
      </c>
      <c r="Q376" s="36" t="str">
        <f>IFERROR(Table3335678[[#This Row],[Max Count]]/Table3335678[[#This Row],[Scalar]],"")</f>
        <v/>
      </c>
      <c r="R376" s="34"/>
      <c r="S376" s="34"/>
      <c r="T376" s="34" t="s">
        <v>3723</v>
      </c>
      <c r="U376" s="33" t="s">
        <v>4343</v>
      </c>
      <c r="V376" s="33" t="s">
        <v>8727</v>
      </c>
      <c r="W376" s="33"/>
      <c r="X376" s="33"/>
    </row>
    <row r="377" spans="1:24" ht="16.149999999999999" customHeight="1" x14ac:dyDescent="0.15">
      <c r="A377" s="6">
        <v>371</v>
      </c>
      <c r="B377" s="18" t="s">
        <v>75</v>
      </c>
      <c r="C377" s="43" t="s">
        <v>4267</v>
      </c>
      <c r="D377" s="43" t="s">
        <v>5048</v>
      </c>
      <c r="E377" s="36" t="s">
        <v>219</v>
      </c>
      <c r="F377" s="19">
        <v>8</v>
      </c>
      <c r="G377" s="6">
        <v>6</v>
      </c>
      <c r="H377" s="34" t="s">
        <v>4828</v>
      </c>
      <c r="I377" s="38" t="s">
        <v>171</v>
      </c>
      <c r="J377" s="38" t="s">
        <v>177</v>
      </c>
      <c r="K377" s="38" t="s">
        <v>173</v>
      </c>
      <c r="L377" s="6"/>
      <c r="M377" s="113"/>
      <c r="N377" s="45" t="s">
        <v>62</v>
      </c>
      <c r="O377" s="2" t="s">
        <v>62</v>
      </c>
      <c r="P377" s="38" t="str">
        <f>IFERROR(Table3335678[[#This Row],[Min Count]]/Table3335678[[#This Row],[Scalar]],"")</f>
        <v/>
      </c>
      <c r="Q377" s="36" t="str">
        <f>IFERROR(Table3335678[[#This Row],[Max Count]]/Table3335678[[#This Row],[Scalar]],"")</f>
        <v/>
      </c>
      <c r="R377" s="34"/>
      <c r="S377" s="34"/>
      <c r="T377" s="34" t="s">
        <v>3723</v>
      </c>
      <c r="U377" s="33" t="s">
        <v>4343</v>
      </c>
      <c r="V377" s="33" t="s">
        <v>8727</v>
      </c>
      <c r="W377" s="33"/>
      <c r="X377" s="33"/>
    </row>
    <row r="378" spans="1:24" ht="16.149999999999999" customHeight="1" x14ac:dyDescent="0.15">
      <c r="A378" s="6">
        <v>372</v>
      </c>
      <c r="B378" s="18" t="s">
        <v>75</v>
      </c>
      <c r="C378" s="43" t="s">
        <v>4267</v>
      </c>
      <c r="D378" s="43" t="s">
        <v>7743</v>
      </c>
      <c r="E378" s="36" t="s">
        <v>219</v>
      </c>
      <c r="F378" s="19">
        <v>8</v>
      </c>
      <c r="G378" s="6">
        <v>7</v>
      </c>
      <c r="H378" s="34" t="s">
        <v>4662</v>
      </c>
      <c r="I378" s="38" t="s">
        <v>171</v>
      </c>
      <c r="J378" s="38" t="s">
        <v>177</v>
      </c>
      <c r="K378" s="38" t="s">
        <v>173</v>
      </c>
      <c r="L378" s="6"/>
      <c r="M378" s="113"/>
      <c r="N378" s="45" t="s">
        <v>62</v>
      </c>
      <c r="O378" s="2" t="s">
        <v>62</v>
      </c>
      <c r="P378" s="38" t="str">
        <f>IFERROR(Table3335678[[#This Row],[Min Count]]/Table3335678[[#This Row],[Scalar]],"")</f>
        <v/>
      </c>
      <c r="Q378" s="36" t="str">
        <f>IFERROR(Table3335678[[#This Row],[Max Count]]/Table3335678[[#This Row],[Scalar]],"")</f>
        <v/>
      </c>
      <c r="R378" s="34"/>
      <c r="S378" s="34"/>
      <c r="T378" s="34" t="s">
        <v>3723</v>
      </c>
      <c r="U378" s="33" t="s">
        <v>4343</v>
      </c>
      <c r="V378" s="33" t="s">
        <v>8728</v>
      </c>
      <c r="W378" s="33"/>
      <c r="X378" s="33"/>
    </row>
    <row r="379" spans="1:24" ht="16.149999999999999" customHeight="1" x14ac:dyDescent="0.15">
      <c r="A379" s="6">
        <v>373</v>
      </c>
      <c r="B379" s="18" t="s">
        <v>75</v>
      </c>
      <c r="C379" s="43" t="s">
        <v>4267</v>
      </c>
      <c r="D379" s="43" t="s">
        <v>4997</v>
      </c>
      <c r="E379" s="36" t="s">
        <v>219</v>
      </c>
      <c r="F379" s="19">
        <v>8</v>
      </c>
      <c r="G379" s="6">
        <v>8</v>
      </c>
      <c r="H379" s="34" t="s">
        <v>4668</v>
      </c>
      <c r="I379" s="38" t="s">
        <v>171</v>
      </c>
      <c r="J379" s="38" t="s">
        <v>177</v>
      </c>
      <c r="K379" s="38" t="s">
        <v>173</v>
      </c>
      <c r="L379" s="6"/>
      <c r="M379" s="113"/>
      <c r="N379" s="45" t="s">
        <v>62</v>
      </c>
      <c r="O379" s="2" t="s">
        <v>62</v>
      </c>
      <c r="P379" s="38" t="str">
        <f>IFERROR(Table3335678[[#This Row],[Min Count]]/Table3335678[[#This Row],[Scalar]],"")</f>
        <v/>
      </c>
      <c r="Q379" s="36" t="str">
        <f>IFERROR(Table3335678[[#This Row],[Max Count]]/Table3335678[[#This Row],[Scalar]],"")</f>
        <v/>
      </c>
      <c r="R379" s="34"/>
      <c r="S379" s="34"/>
      <c r="T379" s="34" t="s">
        <v>3723</v>
      </c>
      <c r="U379" s="33" t="s">
        <v>4343</v>
      </c>
      <c r="V379" s="33" t="s">
        <v>8729</v>
      </c>
      <c r="W379" s="33"/>
      <c r="X379" s="33"/>
    </row>
    <row r="380" spans="1:24" ht="16.149999999999999" customHeight="1" x14ac:dyDescent="0.15">
      <c r="A380" s="6">
        <v>374</v>
      </c>
      <c r="B380" s="18" t="s">
        <v>75</v>
      </c>
      <c r="C380" s="43" t="s">
        <v>4267</v>
      </c>
      <c r="D380" s="43" t="s">
        <v>5036</v>
      </c>
      <c r="E380" s="36" t="s">
        <v>219</v>
      </c>
      <c r="F380" s="19">
        <v>8</v>
      </c>
      <c r="G380" s="6">
        <v>9</v>
      </c>
      <c r="H380" s="34" t="s">
        <v>4707</v>
      </c>
      <c r="I380" s="38" t="s">
        <v>171</v>
      </c>
      <c r="J380" s="38" t="s">
        <v>177</v>
      </c>
      <c r="K380" s="38" t="s">
        <v>173</v>
      </c>
      <c r="L380" s="6"/>
      <c r="M380" s="113"/>
      <c r="N380" s="45" t="s">
        <v>62</v>
      </c>
      <c r="O380" s="2" t="s">
        <v>62</v>
      </c>
      <c r="P380" s="38" t="str">
        <f>IFERROR(Table3335678[[#This Row],[Min Count]]/Table3335678[[#This Row],[Scalar]],"")</f>
        <v/>
      </c>
      <c r="Q380" s="36" t="str">
        <f>IFERROR(Table3335678[[#This Row],[Max Count]]/Table3335678[[#This Row],[Scalar]],"")</f>
        <v/>
      </c>
      <c r="R380" s="34"/>
      <c r="S380" s="34"/>
      <c r="T380" s="34" t="s">
        <v>3723</v>
      </c>
      <c r="U380" s="33" t="s">
        <v>4343</v>
      </c>
      <c r="V380" s="33" t="s">
        <v>8730</v>
      </c>
      <c r="W380" s="33"/>
      <c r="X380" s="33"/>
    </row>
    <row r="381" spans="1:24" ht="16.149999999999999" customHeight="1" x14ac:dyDescent="0.15">
      <c r="A381" s="6">
        <v>375</v>
      </c>
      <c r="B381" s="18" t="s">
        <v>75</v>
      </c>
      <c r="C381" s="43" t="s">
        <v>4267</v>
      </c>
      <c r="D381" s="43" t="s">
        <v>5039</v>
      </c>
      <c r="E381" s="36" t="s">
        <v>219</v>
      </c>
      <c r="F381" s="19">
        <v>8</v>
      </c>
      <c r="G381" s="6">
        <v>10</v>
      </c>
      <c r="H381" s="34" t="s">
        <v>4710</v>
      </c>
      <c r="I381" s="38" t="s">
        <v>171</v>
      </c>
      <c r="J381" s="38" t="s">
        <v>177</v>
      </c>
      <c r="K381" s="38" t="s">
        <v>173</v>
      </c>
      <c r="L381" s="6"/>
      <c r="M381" s="113"/>
      <c r="N381" s="45" t="s">
        <v>62</v>
      </c>
      <c r="O381" s="2" t="s">
        <v>62</v>
      </c>
      <c r="P381" s="38" t="str">
        <f>IFERROR(Table3335678[[#This Row],[Min Count]]/Table3335678[[#This Row],[Scalar]],"")</f>
        <v/>
      </c>
      <c r="Q381" s="36" t="str">
        <f>IFERROR(Table3335678[[#This Row],[Max Count]]/Table3335678[[#This Row],[Scalar]],"")</f>
        <v/>
      </c>
      <c r="R381" s="34"/>
      <c r="S381" s="34"/>
      <c r="T381" s="34" t="s">
        <v>3723</v>
      </c>
      <c r="U381" s="33" t="s">
        <v>4343</v>
      </c>
      <c r="V381" s="33" t="s">
        <v>8731</v>
      </c>
      <c r="W381" s="33"/>
      <c r="X381" s="33"/>
    </row>
    <row r="382" spans="1:24" ht="16.149999999999999" customHeight="1" x14ac:dyDescent="0.15">
      <c r="A382" s="6">
        <v>376</v>
      </c>
      <c r="B382" s="18" t="s">
        <v>75</v>
      </c>
      <c r="C382" s="43" t="s">
        <v>4267</v>
      </c>
      <c r="D382" s="43" t="s">
        <v>7744</v>
      </c>
      <c r="E382" s="36" t="s">
        <v>219</v>
      </c>
      <c r="F382" s="19">
        <v>8</v>
      </c>
      <c r="G382" s="6">
        <v>11</v>
      </c>
      <c r="H382" s="34" t="s">
        <v>4819</v>
      </c>
      <c r="I382" s="38" t="s">
        <v>171</v>
      </c>
      <c r="J382" s="38" t="s">
        <v>177</v>
      </c>
      <c r="K382" s="38" t="s">
        <v>173</v>
      </c>
      <c r="L382" s="6"/>
      <c r="M382" s="113"/>
      <c r="N382" s="45" t="s">
        <v>62</v>
      </c>
      <c r="O382" s="2" t="s">
        <v>62</v>
      </c>
      <c r="P382" s="38" t="str">
        <f>IFERROR(Table3335678[[#This Row],[Min Count]]/Table3335678[[#This Row],[Scalar]],"")</f>
        <v/>
      </c>
      <c r="Q382" s="36" t="str">
        <f>IFERROR(Table3335678[[#This Row],[Max Count]]/Table3335678[[#This Row],[Scalar]],"")</f>
        <v/>
      </c>
      <c r="R382" s="34"/>
      <c r="S382" s="34"/>
      <c r="T382" s="34" t="s">
        <v>3723</v>
      </c>
      <c r="U382" s="33" t="s">
        <v>4343</v>
      </c>
      <c r="V382" s="33" t="s">
        <v>8732</v>
      </c>
      <c r="W382" s="33"/>
      <c r="X382" s="33"/>
    </row>
    <row r="383" spans="1:24" ht="16.149999999999999" customHeight="1" x14ac:dyDescent="0.15">
      <c r="A383" s="6">
        <v>377</v>
      </c>
      <c r="B383" s="18" t="s">
        <v>75</v>
      </c>
      <c r="C383" s="43" t="s">
        <v>4267</v>
      </c>
      <c r="D383" s="43" t="s">
        <v>5024</v>
      </c>
      <c r="E383" s="36" t="s">
        <v>219</v>
      </c>
      <c r="F383" s="19">
        <v>8</v>
      </c>
      <c r="G383" s="6">
        <v>12</v>
      </c>
      <c r="H383" s="34" t="s">
        <v>4695</v>
      </c>
      <c r="I383" s="38" t="s">
        <v>171</v>
      </c>
      <c r="J383" s="38" t="s">
        <v>177</v>
      </c>
      <c r="K383" s="38" t="s">
        <v>173</v>
      </c>
      <c r="L383" s="6"/>
      <c r="M383" s="113"/>
      <c r="N383" s="45" t="s">
        <v>62</v>
      </c>
      <c r="O383" s="2" t="s">
        <v>62</v>
      </c>
      <c r="P383" s="38" t="str">
        <f>IFERROR(Table3335678[[#This Row],[Min Count]]/Table3335678[[#This Row],[Scalar]],"")</f>
        <v/>
      </c>
      <c r="Q383" s="36" t="str">
        <f>IFERROR(Table3335678[[#This Row],[Max Count]]/Table3335678[[#This Row],[Scalar]],"")</f>
        <v/>
      </c>
      <c r="R383" s="34"/>
      <c r="S383" s="34"/>
      <c r="T383" s="34" t="s">
        <v>3723</v>
      </c>
      <c r="U383" s="33" t="s">
        <v>4343</v>
      </c>
      <c r="V383" s="33" t="s">
        <v>8733</v>
      </c>
      <c r="W383" s="33"/>
      <c r="X383" s="33"/>
    </row>
    <row r="384" spans="1:24" ht="16.149999999999999" customHeight="1" x14ac:dyDescent="0.15">
      <c r="A384" s="6">
        <v>378</v>
      </c>
      <c r="B384" s="18" t="s">
        <v>75</v>
      </c>
      <c r="C384" s="43" t="s">
        <v>4267</v>
      </c>
      <c r="D384" s="43" t="s">
        <v>5024</v>
      </c>
      <c r="E384" s="36" t="s">
        <v>219</v>
      </c>
      <c r="F384" s="19">
        <v>8</v>
      </c>
      <c r="G384" s="6">
        <v>13</v>
      </c>
      <c r="H384" s="34" t="s">
        <v>4869</v>
      </c>
      <c r="I384" s="38" t="s">
        <v>171</v>
      </c>
      <c r="J384" s="38" t="s">
        <v>177</v>
      </c>
      <c r="K384" s="38" t="s">
        <v>173</v>
      </c>
      <c r="L384" s="6"/>
      <c r="M384" s="113"/>
      <c r="N384" s="45" t="s">
        <v>62</v>
      </c>
      <c r="O384" s="2" t="s">
        <v>62</v>
      </c>
      <c r="P384" s="38" t="str">
        <f>IFERROR(Table3335678[[#This Row],[Min Count]]/Table3335678[[#This Row],[Scalar]],"")</f>
        <v/>
      </c>
      <c r="Q384" s="36" t="str">
        <f>IFERROR(Table3335678[[#This Row],[Max Count]]/Table3335678[[#This Row],[Scalar]],"")</f>
        <v/>
      </c>
      <c r="R384" s="34"/>
      <c r="S384" s="34"/>
      <c r="T384" s="34" t="s">
        <v>3723</v>
      </c>
      <c r="U384" s="33" t="s">
        <v>4343</v>
      </c>
      <c r="V384" s="33" t="s">
        <v>8733</v>
      </c>
      <c r="W384" s="33"/>
      <c r="X384" s="33"/>
    </row>
    <row r="385" spans="1:24" ht="16.149999999999999" customHeight="1" x14ac:dyDescent="0.15">
      <c r="A385" s="6">
        <v>379</v>
      </c>
      <c r="B385" s="18" t="s">
        <v>75</v>
      </c>
      <c r="C385" s="43" t="s">
        <v>4267</v>
      </c>
      <c r="D385" s="43" t="s">
        <v>5187</v>
      </c>
      <c r="E385" s="36" t="s">
        <v>219</v>
      </c>
      <c r="F385" s="19">
        <v>8</v>
      </c>
      <c r="G385" s="6">
        <v>14</v>
      </c>
      <c r="H385" s="34" t="s">
        <v>4858</v>
      </c>
      <c r="I385" s="38" t="s">
        <v>171</v>
      </c>
      <c r="J385" s="38" t="s">
        <v>177</v>
      </c>
      <c r="K385" s="38" t="s">
        <v>173</v>
      </c>
      <c r="L385" s="6"/>
      <c r="M385" s="113"/>
      <c r="N385" s="45" t="s">
        <v>62</v>
      </c>
      <c r="O385" s="2" t="s">
        <v>62</v>
      </c>
      <c r="P385" s="38" t="str">
        <f>IFERROR(Table3335678[[#This Row],[Min Count]]/Table3335678[[#This Row],[Scalar]],"")</f>
        <v/>
      </c>
      <c r="Q385" s="36" t="str">
        <f>IFERROR(Table3335678[[#This Row],[Max Count]]/Table3335678[[#This Row],[Scalar]],"")</f>
        <v/>
      </c>
      <c r="R385" s="34"/>
      <c r="S385" s="34"/>
      <c r="T385" s="34" t="s">
        <v>3723</v>
      </c>
      <c r="U385" s="33" t="s">
        <v>4343</v>
      </c>
      <c r="V385" s="33" t="s">
        <v>8734</v>
      </c>
      <c r="W385" s="33"/>
      <c r="X385" s="33"/>
    </row>
    <row r="386" spans="1:24" ht="16.149999999999999" customHeight="1" x14ac:dyDescent="0.15">
      <c r="A386" s="6">
        <v>380</v>
      </c>
      <c r="B386" s="18" t="s">
        <v>75</v>
      </c>
      <c r="C386" s="43" t="s">
        <v>4267</v>
      </c>
      <c r="D386" s="43" t="s">
        <v>7745</v>
      </c>
      <c r="E386" s="36" t="s">
        <v>219</v>
      </c>
      <c r="F386" s="19">
        <v>8</v>
      </c>
      <c r="G386" s="6">
        <v>15</v>
      </c>
      <c r="H386" s="34" t="s">
        <v>4760</v>
      </c>
      <c r="I386" s="38" t="s">
        <v>171</v>
      </c>
      <c r="J386" s="38" t="s">
        <v>177</v>
      </c>
      <c r="K386" s="38" t="s">
        <v>173</v>
      </c>
      <c r="L386" s="6"/>
      <c r="M386" s="113"/>
      <c r="N386" s="45" t="s">
        <v>62</v>
      </c>
      <c r="O386" s="2" t="s">
        <v>62</v>
      </c>
      <c r="P386" s="38" t="str">
        <f>IFERROR(Table3335678[[#This Row],[Min Count]]/Table3335678[[#This Row],[Scalar]],"")</f>
        <v/>
      </c>
      <c r="Q386" s="36" t="str">
        <f>IFERROR(Table3335678[[#This Row],[Max Count]]/Table3335678[[#This Row],[Scalar]],"")</f>
        <v/>
      </c>
      <c r="R386" s="34"/>
      <c r="S386" s="34"/>
      <c r="T386" s="34" t="s">
        <v>3723</v>
      </c>
      <c r="U386" s="33" t="s">
        <v>4343</v>
      </c>
      <c r="V386" s="33" t="s">
        <v>8735</v>
      </c>
      <c r="W386" s="33"/>
      <c r="X386" s="33"/>
    </row>
    <row r="387" spans="1:24" ht="16.149999999999999" customHeight="1" x14ac:dyDescent="0.15">
      <c r="A387" s="6">
        <v>381</v>
      </c>
      <c r="B387" s="18" t="s">
        <v>75</v>
      </c>
      <c r="C387" s="43" t="s">
        <v>4267</v>
      </c>
      <c r="D387" s="43" t="s">
        <v>7746</v>
      </c>
      <c r="E387" s="36" t="s">
        <v>219</v>
      </c>
      <c r="F387" s="19">
        <v>8</v>
      </c>
      <c r="G387" s="6">
        <v>16</v>
      </c>
      <c r="H387" s="34" t="s">
        <v>7670</v>
      </c>
      <c r="I387" s="38" t="s">
        <v>171</v>
      </c>
      <c r="J387" s="38" t="s">
        <v>177</v>
      </c>
      <c r="K387" s="38" t="s">
        <v>173</v>
      </c>
      <c r="L387" s="6"/>
      <c r="M387" s="113"/>
      <c r="N387" s="45" t="s">
        <v>62</v>
      </c>
      <c r="O387" s="2" t="s">
        <v>62</v>
      </c>
      <c r="P387" s="38" t="str">
        <f>IFERROR(Table3335678[[#This Row],[Min Count]]/Table3335678[[#This Row],[Scalar]],"")</f>
        <v/>
      </c>
      <c r="Q387" s="36" t="str">
        <f>IFERROR(Table3335678[[#This Row],[Max Count]]/Table3335678[[#This Row],[Scalar]],"")</f>
        <v/>
      </c>
      <c r="R387" s="34"/>
      <c r="S387" s="34"/>
      <c r="T387" s="34" t="s">
        <v>3723</v>
      </c>
      <c r="U387" s="33" t="s">
        <v>4343</v>
      </c>
      <c r="V387" s="33" t="s">
        <v>8736</v>
      </c>
      <c r="W387" s="33"/>
      <c r="X387" s="33"/>
    </row>
    <row r="388" spans="1:24" ht="16.149999999999999" customHeight="1" x14ac:dyDescent="0.15">
      <c r="A388" s="6">
        <v>382</v>
      </c>
      <c r="B388" s="18" t="s">
        <v>75</v>
      </c>
      <c r="C388" s="43" t="s">
        <v>4267</v>
      </c>
      <c r="D388" s="43" t="s">
        <v>7747</v>
      </c>
      <c r="E388" s="36" t="s">
        <v>219</v>
      </c>
      <c r="F388" s="19">
        <v>8</v>
      </c>
      <c r="G388" s="6">
        <v>17</v>
      </c>
      <c r="H388" s="34" t="s">
        <v>7672</v>
      </c>
      <c r="I388" s="38" t="s">
        <v>171</v>
      </c>
      <c r="J388" s="38" t="s">
        <v>177</v>
      </c>
      <c r="K388" s="38" t="s">
        <v>173</v>
      </c>
      <c r="L388" s="6"/>
      <c r="M388" s="113"/>
      <c r="N388" s="45" t="s">
        <v>62</v>
      </c>
      <c r="O388" s="2" t="s">
        <v>62</v>
      </c>
      <c r="P388" s="38" t="str">
        <f>IFERROR(Table3335678[[#This Row],[Min Count]]/Table3335678[[#This Row],[Scalar]],"")</f>
        <v/>
      </c>
      <c r="Q388" s="36" t="str">
        <f>IFERROR(Table3335678[[#This Row],[Max Count]]/Table3335678[[#This Row],[Scalar]],"")</f>
        <v/>
      </c>
      <c r="R388" s="34"/>
      <c r="S388" s="34"/>
      <c r="T388" s="34" t="s">
        <v>3723</v>
      </c>
      <c r="U388" s="33" t="s">
        <v>4343</v>
      </c>
      <c r="V388" s="33" t="s">
        <v>8737</v>
      </c>
      <c r="W388" s="33"/>
      <c r="X388" s="33"/>
    </row>
    <row r="389" spans="1:24" ht="16.149999999999999" customHeight="1" x14ac:dyDescent="0.15">
      <c r="A389" s="6">
        <v>383</v>
      </c>
      <c r="B389" s="18" t="s">
        <v>75</v>
      </c>
      <c r="C389" s="43" t="s">
        <v>4267</v>
      </c>
      <c r="D389" s="43" t="s">
        <v>5051</v>
      </c>
      <c r="E389" s="36" t="s">
        <v>219</v>
      </c>
      <c r="F389" s="19">
        <v>8</v>
      </c>
      <c r="G389" s="6">
        <v>18</v>
      </c>
      <c r="H389" s="34" t="s">
        <v>4722</v>
      </c>
      <c r="I389" s="38" t="s">
        <v>171</v>
      </c>
      <c r="J389" s="38" t="s">
        <v>177</v>
      </c>
      <c r="K389" s="38" t="s">
        <v>173</v>
      </c>
      <c r="L389" s="6"/>
      <c r="M389" s="113"/>
      <c r="N389" s="45" t="s">
        <v>62</v>
      </c>
      <c r="O389" s="2" t="s">
        <v>62</v>
      </c>
      <c r="P389" s="38" t="str">
        <f>IFERROR(Table3335678[[#This Row],[Min Count]]/Table3335678[[#This Row],[Scalar]],"")</f>
        <v/>
      </c>
      <c r="Q389" s="36" t="str">
        <f>IFERROR(Table3335678[[#This Row],[Max Count]]/Table3335678[[#This Row],[Scalar]],"")</f>
        <v/>
      </c>
      <c r="R389" s="34"/>
      <c r="S389" s="34"/>
      <c r="T389" s="34" t="s">
        <v>3723</v>
      </c>
      <c r="U389" s="33" t="s">
        <v>4343</v>
      </c>
      <c r="V389" s="33" t="s">
        <v>8738</v>
      </c>
      <c r="W389" s="33"/>
      <c r="X389" s="33"/>
    </row>
    <row r="390" spans="1:24" ht="16.149999999999999" customHeight="1" x14ac:dyDescent="0.15">
      <c r="A390" s="6">
        <v>384</v>
      </c>
      <c r="B390" s="18" t="s">
        <v>75</v>
      </c>
      <c r="C390" s="43" t="s">
        <v>4267</v>
      </c>
      <c r="D390" s="43" t="s">
        <v>5190</v>
      </c>
      <c r="E390" s="36" t="s">
        <v>219</v>
      </c>
      <c r="F390" s="19">
        <v>8</v>
      </c>
      <c r="G390" s="6">
        <v>19</v>
      </c>
      <c r="H390" s="34" t="s">
        <v>4861</v>
      </c>
      <c r="I390" s="38" t="s">
        <v>171</v>
      </c>
      <c r="J390" s="38" t="s">
        <v>177</v>
      </c>
      <c r="K390" s="38" t="s">
        <v>173</v>
      </c>
      <c r="L390" s="6"/>
      <c r="M390" s="113"/>
      <c r="N390" s="45" t="s">
        <v>62</v>
      </c>
      <c r="O390" s="2" t="s">
        <v>62</v>
      </c>
      <c r="P390" s="38" t="str">
        <f>IFERROR(Table3335678[[#This Row],[Min Count]]/Table3335678[[#This Row],[Scalar]],"")</f>
        <v/>
      </c>
      <c r="Q390" s="36" t="str">
        <f>IFERROR(Table3335678[[#This Row],[Max Count]]/Table3335678[[#This Row],[Scalar]],"")</f>
        <v/>
      </c>
      <c r="R390" s="34"/>
      <c r="S390" s="34"/>
      <c r="T390" s="34" t="s">
        <v>3723</v>
      </c>
      <c r="U390" s="33" t="s">
        <v>4343</v>
      </c>
      <c r="V390" s="33" t="s">
        <v>8739</v>
      </c>
      <c r="W390" s="33"/>
      <c r="X390" s="33"/>
    </row>
    <row r="391" spans="1:24" ht="16.149999999999999" customHeight="1" x14ac:dyDescent="0.15">
      <c r="A391" s="6">
        <v>385</v>
      </c>
      <c r="B391" s="18" t="s">
        <v>75</v>
      </c>
      <c r="C391" s="43" t="s">
        <v>4267</v>
      </c>
      <c r="D391" s="43" t="s">
        <v>5113</v>
      </c>
      <c r="E391" s="36" t="s">
        <v>219</v>
      </c>
      <c r="F391" s="19">
        <v>8</v>
      </c>
      <c r="G391" s="6">
        <v>20</v>
      </c>
      <c r="H391" s="34" t="s">
        <v>4784</v>
      </c>
      <c r="I391" s="38" t="s">
        <v>171</v>
      </c>
      <c r="J391" s="38" t="s">
        <v>177</v>
      </c>
      <c r="K391" s="38" t="s">
        <v>173</v>
      </c>
      <c r="L391" s="6"/>
      <c r="M391" s="113"/>
      <c r="N391" s="45" t="s">
        <v>62</v>
      </c>
      <c r="O391" s="2" t="s">
        <v>62</v>
      </c>
      <c r="P391" s="38" t="str">
        <f>IFERROR(Table3335678[[#This Row],[Min Count]]/Table3335678[[#This Row],[Scalar]],"")</f>
        <v/>
      </c>
      <c r="Q391" s="36" t="str">
        <f>IFERROR(Table3335678[[#This Row],[Max Count]]/Table3335678[[#This Row],[Scalar]],"")</f>
        <v/>
      </c>
      <c r="R391" s="34"/>
      <c r="S391" s="34"/>
      <c r="T391" s="34" t="s">
        <v>3723</v>
      </c>
      <c r="U391" s="33" t="s">
        <v>4343</v>
      </c>
      <c r="V391" s="33" t="s">
        <v>8740</v>
      </c>
      <c r="W391" s="33"/>
      <c r="X391" s="33"/>
    </row>
    <row r="392" spans="1:24" ht="16.149999999999999" customHeight="1" x14ac:dyDescent="0.15">
      <c r="A392" s="6">
        <v>386</v>
      </c>
      <c r="B392" s="18" t="s">
        <v>75</v>
      </c>
      <c r="C392" s="43" t="s">
        <v>4267</v>
      </c>
      <c r="D392" s="43" t="s">
        <v>5116</v>
      </c>
      <c r="E392" s="36" t="s">
        <v>219</v>
      </c>
      <c r="F392" s="19">
        <v>8</v>
      </c>
      <c r="G392" s="6">
        <v>21</v>
      </c>
      <c r="H392" s="34" t="s">
        <v>4787</v>
      </c>
      <c r="I392" s="38" t="s">
        <v>171</v>
      </c>
      <c r="J392" s="38" t="s">
        <v>177</v>
      </c>
      <c r="K392" s="38" t="s">
        <v>173</v>
      </c>
      <c r="L392" s="6"/>
      <c r="M392" s="113"/>
      <c r="N392" s="45" t="s">
        <v>62</v>
      </c>
      <c r="O392" s="2" t="s">
        <v>62</v>
      </c>
      <c r="P392" s="38" t="str">
        <f>IFERROR(Table3335678[[#This Row],[Min Count]]/Table3335678[[#This Row],[Scalar]],"")</f>
        <v/>
      </c>
      <c r="Q392" s="36" t="str">
        <f>IFERROR(Table3335678[[#This Row],[Max Count]]/Table3335678[[#This Row],[Scalar]],"")</f>
        <v/>
      </c>
      <c r="R392" s="34"/>
      <c r="S392" s="34"/>
      <c r="T392" s="34" t="s">
        <v>3723</v>
      </c>
      <c r="U392" s="33" t="s">
        <v>4343</v>
      </c>
      <c r="V392" s="33" t="s">
        <v>8741</v>
      </c>
      <c r="W392" s="33"/>
      <c r="X392" s="33"/>
    </row>
    <row r="393" spans="1:24" ht="16.149999999999999" customHeight="1" x14ac:dyDescent="0.15">
      <c r="A393" s="6">
        <v>387</v>
      </c>
      <c r="B393" s="18" t="s">
        <v>75</v>
      </c>
      <c r="C393" s="43" t="s">
        <v>4267</v>
      </c>
      <c r="D393" s="43" t="s">
        <v>7748</v>
      </c>
      <c r="E393" s="36" t="s">
        <v>219</v>
      </c>
      <c r="F393" s="19">
        <v>8</v>
      </c>
      <c r="G393" s="6">
        <v>22</v>
      </c>
      <c r="H393" s="34" t="s">
        <v>4840</v>
      </c>
      <c r="I393" s="38" t="s">
        <v>171</v>
      </c>
      <c r="J393" s="38" t="s">
        <v>177</v>
      </c>
      <c r="K393" s="38" t="s">
        <v>173</v>
      </c>
      <c r="L393" s="6"/>
      <c r="M393" s="113"/>
      <c r="N393" s="45" t="s">
        <v>62</v>
      </c>
      <c r="O393" s="2" t="s">
        <v>62</v>
      </c>
      <c r="P393" s="38" t="str">
        <f>IFERROR(Table3335678[[#This Row],[Min Count]]/Table3335678[[#This Row],[Scalar]],"")</f>
        <v/>
      </c>
      <c r="Q393" s="36" t="str">
        <f>IFERROR(Table3335678[[#This Row],[Max Count]]/Table3335678[[#This Row],[Scalar]],"")</f>
        <v/>
      </c>
      <c r="R393" s="34"/>
      <c r="S393" s="34"/>
      <c r="T393" s="34" t="s">
        <v>3723</v>
      </c>
      <c r="U393" s="33" t="s">
        <v>4343</v>
      </c>
      <c r="V393" s="33" t="s">
        <v>8742</v>
      </c>
      <c r="W393" s="33"/>
      <c r="X393" s="33"/>
    </row>
    <row r="394" spans="1:24" ht="16.149999999999999" customHeight="1" x14ac:dyDescent="0.15">
      <c r="A394" s="6">
        <v>388</v>
      </c>
      <c r="B394" s="18" t="s">
        <v>75</v>
      </c>
      <c r="C394" s="43" t="s">
        <v>4267</v>
      </c>
      <c r="D394" s="43" t="s">
        <v>7749</v>
      </c>
      <c r="E394" s="36" t="s">
        <v>219</v>
      </c>
      <c r="F394" s="19">
        <v>8</v>
      </c>
      <c r="G394" s="6">
        <v>23</v>
      </c>
      <c r="H394" s="34" t="s">
        <v>4843</v>
      </c>
      <c r="I394" s="38" t="s">
        <v>171</v>
      </c>
      <c r="J394" s="38" t="s">
        <v>177</v>
      </c>
      <c r="K394" s="38" t="s">
        <v>173</v>
      </c>
      <c r="L394" s="6"/>
      <c r="M394" s="113"/>
      <c r="N394" s="45" t="s">
        <v>62</v>
      </c>
      <c r="O394" s="2" t="s">
        <v>62</v>
      </c>
      <c r="P394" s="38" t="str">
        <f>IFERROR(Table3335678[[#This Row],[Min Count]]/Table3335678[[#This Row],[Scalar]],"")</f>
        <v/>
      </c>
      <c r="Q394" s="36" t="str">
        <f>IFERROR(Table3335678[[#This Row],[Max Count]]/Table3335678[[#This Row],[Scalar]],"")</f>
        <v/>
      </c>
      <c r="R394" s="34"/>
      <c r="S394" s="34"/>
      <c r="T394" s="34" t="s">
        <v>3723</v>
      </c>
      <c r="U394" s="33" t="s">
        <v>4343</v>
      </c>
      <c r="V394" s="33" t="s">
        <v>8743</v>
      </c>
      <c r="W394" s="33"/>
      <c r="X394" s="33"/>
    </row>
    <row r="395" spans="1:24" ht="16.149999999999999" customHeight="1" x14ac:dyDescent="0.15">
      <c r="A395" s="6">
        <v>389</v>
      </c>
      <c r="B395" s="18" t="s">
        <v>75</v>
      </c>
      <c r="C395" s="43" t="s">
        <v>4267</v>
      </c>
      <c r="D395" s="43" t="s">
        <v>7750</v>
      </c>
      <c r="E395" s="36" t="s">
        <v>219</v>
      </c>
      <c r="F395" s="19">
        <v>8</v>
      </c>
      <c r="G395" s="6">
        <v>24</v>
      </c>
      <c r="H395" s="34" t="s">
        <v>7676</v>
      </c>
      <c r="I395" s="38" t="s">
        <v>171</v>
      </c>
      <c r="J395" s="38" t="s">
        <v>177</v>
      </c>
      <c r="K395" s="38" t="s">
        <v>173</v>
      </c>
      <c r="L395" s="6"/>
      <c r="M395" s="113"/>
      <c r="N395" s="45" t="s">
        <v>62</v>
      </c>
      <c r="O395" s="2" t="s">
        <v>62</v>
      </c>
      <c r="P395" s="38" t="str">
        <f>IFERROR(Table3335678[[#This Row],[Min Count]]/Table3335678[[#This Row],[Scalar]],"")</f>
        <v/>
      </c>
      <c r="Q395" s="36" t="str">
        <f>IFERROR(Table3335678[[#This Row],[Max Count]]/Table3335678[[#This Row],[Scalar]],"")</f>
        <v/>
      </c>
      <c r="R395" s="34"/>
      <c r="S395" s="34"/>
      <c r="T395" s="34" t="s">
        <v>3723</v>
      </c>
      <c r="U395" s="33" t="s">
        <v>4343</v>
      </c>
      <c r="V395" s="33" t="s">
        <v>8744</v>
      </c>
      <c r="W395" s="33"/>
      <c r="X395" s="33"/>
    </row>
    <row r="396" spans="1:24" ht="16.149999999999999" customHeight="1" x14ac:dyDescent="0.15">
      <c r="A396" s="6">
        <v>390</v>
      </c>
      <c r="B396" s="18" t="s">
        <v>75</v>
      </c>
      <c r="C396" s="43" t="s">
        <v>4267</v>
      </c>
      <c r="D396" s="43" t="s">
        <v>7750</v>
      </c>
      <c r="E396" s="36" t="s">
        <v>219</v>
      </c>
      <c r="F396" s="19">
        <v>8</v>
      </c>
      <c r="G396" s="6">
        <v>25</v>
      </c>
      <c r="H396" s="34" t="s">
        <v>7677</v>
      </c>
      <c r="I396" s="38" t="s">
        <v>171</v>
      </c>
      <c r="J396" s="38" t="s">
        <v>177</v>
      </c>
      <c r="K396" s="38" t="s">
        <v>173</v>
      </c>
      <c r="L396" s="6"/>
      <c r="M396" s="113"/>
      <c r="N396" s="45" t="s">
        <v>62</v>
      </c>
      <c r="O396" s="2" t="s">
        <v>62</v>
      </c>
      <c r="P396" s="38" t="str">
        <f>IFERROR(Table3335678[[#This Row],[Min Count]]/Table3335678[[#This Row],[Scalar]],"")</f>
        <v/>
      </c>
      <c r="Q396" s="36" t="str">
        <f>IFERROR(Table3335678[[#This Row],[Max Count]]/Table3335678[[#This Row],[Scalar]],"")</f>
        <v/>
      </c>
      <c r="R396" s="34"/>
      <c r="S396" s="34"/>
      <c r="T396" s="34" t="s">
        <v>3723</v>
      </c>
      <c r="U396" s="33" t="s">
        <v>4343</v>
      </c>
      <c r="V396" s="33" t="s">
        <v>8744</v>
      </c>
      <c r="W396" s="33"/>
      <c r="X396" s="33"/>
    </row>
    <row r="397" spans="1:24" ht="16.149999999999999" customHeight="1" x14ac:dyDescent="0.15">
      <c r="A397" s="6">
        <v>391</v>
      </c>
      <c r="B397" s="18" t="s">
        <v>75</v>
      </c>
      <c r="C397" s="43" t="s">
        <v>4267</v>
      </c>
      <c r="D397" s="43" t="s">
        <v>7751</v>
      </c>
      <c r="E397" s="36" t="s">
        <v>219</v>
      </c>
      <c r="F397" s="19">
        <v>8</v>
      </c>
      <c r="G397" s="6">
        <v>26</v>
      </c>
      <c r="H397" s="34" t="s">
        <v>4754</v>
      </c>
      <c r="I397" s="38" t="s">
        <v>171</v>
      </c>
      <c r="J397" s="38" t="s">
        <v>177</v>
      </c>
      <c r="K397" s="38" t="s">
        <v>173</v>
      </c>
      <c r="L397" s="6"/>
      <c r="M397" s="113"/>
      <c r="N397" s="45" t="s">
        <v>62</v>
      </c>
      <c r="O397" s="2" t="s">
        <v>62</v>
      </c>
      <c r="P397" s="38" t="str">
        <f>IFERROR(Table3335678[[#This Row],[Min Count]]/Table3335678[[#This Row],[Scalar]],"")</f>
        <v/>
      </c>
      <c r="Q397" s="36" t="str">
        <f>IFERROR(Table3335678[[#This Row],[Max Count]]/Table3335678[[#This Row],[Scalar]],"")</f>
        <v/>
      </c>
      <c r="R397" s="34"/>
      <c r="S397" s="34"/>
      <c r="T397" s="34" t="s">
        <v>3723</v>
      </c>
      <c r="U397" s="33" t="s">
        <v>4343</v>
      </c>
      <c r="V397" s="33" t="s">
        <v>8745</v>
      </c>
      <c r="W397" s="33"/>
      <c r="X397" s="33"/>
    </row>
    <row r="398" spans="1:24" ht="16.149999999999999" customHeight="1" x14ac:dyDescent="0.15">
      <c r="A398" s="6">
        <v>392</v>
      </c>
      <c r="B398" s="18" t="s">
        <v>75</v>
      </c>
      <c r="C398" s="43" t="s">
        <v>4267</v>
      </c>
      <c r="D398" s="43" t="s">
        <v>7752</v>
      </c>
      <c r="E398" s="36" t="s">
        <v>219</v>
      </c>
      <c r="F398" s="19">
        <v>8</v>
      </c>
      <c r="G398" s="6">
        <v>27</v>
      </c>
      <c r="H398" s="34" t="s">
        <v>4737</v>
      </c>
      <c r="I398" s="38" t="s">
        <v>171</v>
      </c>
      <c r="J398" s="38" t="s">
        <v>177</v>
      </c>
      <c r="K398" s="38" t="s">
        <v>173</v>
      </c>
      <c r="L398" s="6"/>
      <c r="M398" s="113"/>
      <c r="N398" s="45" t="s">
        <v>62</v>
      </c>
      <c r="O398" s="2" t="s">
        <v>62</v>
      </c>
      <c r="P398" s="38" t="str">
        <f>IFERROR(Table3335678[[#This Row],[Min Count]]/Table3335678[[#This Row],[Scalar]],"")</f>
        <v/>
      </c>
      <c r="Q398" s="36" t="str">
        <f>IFERROR(Table3335678[[#This Row],[Max Count]]/Table3335678[[#This Row],[Scalar]],"")</f>
        <v/>
      </c>
      <c r="R398" s="34"/>
      <c r="S398" s="34"/>
      <c r="T398" s="34" t="s">
        <v>3723</v>
      </c>
      <c r="U398" s="33" t="s">
        <v>4343</v>
      </c>
      <c r="V398" s="33" t="s">
        <v>8746</v>
      </c>
      <c r="W398" s="33"/>
      <c r="X398" s="33"/>
    </row>
    <row r="399" spans="1:24" ht="16.149999999999999" customHeight="1" x14ac:dyDescent="0.15">
      <c r="A399" s="6">
        <v>393</v>
      </c>
      <c r="B399" s="18" t="s">
        <v>75</v>
      </c>
      <c r="C399" s="43" t="s">
        <v>4267</v>
      </c>
      <c r="D399" s="43" t="s">
        <v>7753</v>
      </c>
      <c r="E399" s="36" t="s">
        <v>219</v>
      </c>
      <c r="F399" s="19">
        <v>8</v>
      </c>
      <c r="G399" s="6">
        <v>28</v>
      </c>
      <c r="H399" s="34" t="s">
        <v>7681</v>
      </c>
      <c r="I399" s="38" t="s">
        <v>171</v>
      </c>
      <c r="J399" s="38" t="s">
        <v>177</v>
      </c>
      <c r="K399" s="38" t="s">
        <v>173</v>
      </c>
      <c r="L399" s="6"/>
      <c r="M399" s="113"/>
      <c r="N399" s="45" t="s">
        <v>62</v>
      </c>
      <c r="O399" s="2" t="s">
        <v>62</v>
      </c>
      <c r="P399" s="38" t="str">
        <f>IFERROR(Table3335678[[#This Row],[Min Count]]/Table3335678[[#This Row],[Scalar]],"")</f>
        <v/>
      </c>
      <c r="Q399" s="36" t="str">
        <f>IFERROR(Table3335678[[#This Row],[Max Count]]/Table3335678[[#This Row],[Scalar]],"")</f>
        <v/>
      </c>
      <c r="R399" s="34"/>
      <c r="S399" s="34"/>
      <c r="T399" s="34" t="s">
        <v>3723</v>
      </c>
      <c r="U399" s="33" t="s">
        <v>4343</v>
      </c>
      <c r="V399" s="33" t="s">
        <v>8747</v>
      </c>
      <c r="W399" s="33"/>
      <c r="X399" s="33"/>
    </row>
    <row r="400" spans="1:24" ht="16.149999999999999" customHeight="1" x14ac:dyDescent="0.15">
      <c r="A400" s="6">
        <v>394</v>
      </c>
      <c r="B400" s="18" t="s">
        <v>75</v>
      </c>
      <c r="C400" s="43" t="s">
        <v>4267</v>
      </c>
      <c r="D400" s="43" t="s">
        <v>5018</v>
      </c>
      <c r="E400" s="36" t="s">
        <v>219</v>
      </c>
      <c r="F400" s="19">
        <v>8</v>
      </c>
      <c r="G400" s="6">
        <v>29</v>
      </c>
      <c r="H400" s="34" t="s">
        <v>4689</v>
      </c>
      <c r="I400" s="38" t="s">
        <v>171</v>
      </c>
      <c r="J400" s="38" t="s">
        <v>177</v>
      </c>
      <c r="K400" s="38" t="s">
        <v>173</v>
      </c>
      <c r="L400" s="6"/>
      <c r="M400" s="113"/>
      <c r="N400" s="45" t="s">
        <v>62</v>
      </c>
      <c r="O400" s="2" t="s">
        <v>62</v>
      </c>
      <c r="P400" s="38" t="str">
        <f>IFERROR(Table3335678[[#This Row],[Min Count]]/Table3335678[[#This Row],[Scalar]],"")</f>
        <v/>
      </c>
      <c r="Q400" s="36" t="str">
        <f>IFERROR(Table3335678[[#This Row],[Max Count]]/Table3335678[[#This Row],[Scalar]],"")</f>
        <v/>
      </c>
      <c r="R400" s="34"/>
      <c r="S400" s="34"/>
      <c r="T400" s="34" t="s">
        <v>3723</v>
      </c>
      <c r="U400" s="33" t="s">
        <v>4343</v>
      </c>
      <c r="V400" s="33" t="s">
        <v>8748</v>
      </c>
      <c r="W400" s="33"/>
      <c r="X400" s="33"/>
    </row>
    <row r="401" spans="1:24" ht="16.149999999999999" customHeight="1" x14ac:dyDescent="0.15">
      <c r="A401" s="6">
        <v>395</v>
      </c>
      <c r="B401" s="18" t="s">
        <v>75</v>
      </c>
      <c r="C401" s="43" t="s">
        <v>4267</v>
      </c>
      <c r="D401" s="43" t="s">
        <v>7754</v>
      </c>
      <c r="E401" s="36" t="s">
        <v>219</v>
      </c>
      <c r="F401" s="19">
        <v>8</v>
      </c>
      <c r="G401" s="6">
        <v>30</v>
      </c>
      <c r="H401" s="34" t="s">
        <v>4659</v>
      </c>
      <c r="I401" s="38" t="s">
        <v>171</v>
      </c>
      <c r="J401" s="38" t="s">
        <v>177</v>
      </c>
      <c r="K401" s="38" t="s">
        <v>173</v>
      </c>
      <c r="L401" s="6"/>
      <c r="M401" s="113"/>
      <c r="N401" s="45" t="s">
        <v>62</v>
      </c>
      <c r="O401" s="2" t="s">
        <v>62</v>
      </c>
      <c r="P401" s="38" t="str">
        <f>IFERROR(Table3335678[[#This Row],[Min Count]]/Table3335678[[#This Row],[Scalar]],"")</f>
        <v/>
      </c>
      <c r="Q401" s="36" t="str">
        <f>IFERROR(Table3335678[[#This Row],[Max Count]]/Table3335678[[#This Row],[Scalar]],"")</f>
        <v/>
      </c>
      <c r="R401" s="34"/>
      <c r="S401" s="34"/>
      <c r="T401" s="34" t="s">
        <v>3723</v>
      </c>
      <c r="U401" s="33" t="s">
        <v>4343</v>
      </c>
      <c r="V401" s="33" t="s">
        <v>8749</v>
      </c>
      <c r="W401" s="33"/>
      <c r="X401" s="33"/>
    </row>
    <row r="402" spans="1:24" ht="16.149999999999999" customHeight="1" x14ac:dyDescent="0.15">
      <c r="A402" s="6">
        <v>396</v>
      </c>
      <c r="B402" s="18" t="s">
        <v>75</v>
      </c>
      <c r="C402" s="43" t="s">
        <v>4267</v>
      </c>
      <c r="D402" s="43" t="s">
        <v>7755</v>
      </c>
      <c r="E402" s="36" t="s">
        <v>219</v>
      </c>
      <c r="F402" s="19">
        <v>8</v>
      </c>
      <c r="G402" s="6">
        <v>31</v>
      </c>
      <c r="H402" s="34" t="s">
        <v>4725</v>
      </c>
      <c r="I402" s="38" t="s">
        <v>171</v>
      </c>
      <c r="J402" s="38" t="s">
        <v>177</v>
      </c>
      <c r="K402" s="38" t="s">
        <v>173</v>
      </c>
      <c r="L402" s="6"/>
      <c r="M402" s="113"/>
      <c r="N402" s="45" t="s">
        <v>62</v>
      </c>
      <c r="O402" s="2" t="s">
        <v>62</v>
      </c>
      <c r="P402" s="38" t="str">
        <f>IFERROR(Table3335678[[#This Row],[Min Count]]/Table3335678[[#This Row],[Scalar]],"")</f>
        <v/>
      </c>
      <c r="Q402" s="36" t="str">
        <f>IFERROR(Table3335678[[#This Row],[Max Count]]/Table3335678[[#This Row],[Scalar]],"")</f>
        <v/>
      </c>
      <c r="R402" s="34"/>
      <c r="S402" s="34"/>
      <c r="T402" s="34" t="s">
        <v>3723</v>
      </c>
      <c r="U402" s="33" t="s">
        <v>4343</v>
      </c>
      <c r="V402" s="33" t="s">
        <v>8750</v>
      </c>
      <c r="W402" s="33"/>
      <c r="X402" s="33"/>
    </row>
    <row r="403" spans="1:24" ht="16.149999999999999" customHeight="1" x14ac:dyDescent="0.15">
      <c r="A403" s="6">
        <v>397</v>
      </c>
      <c r="B403" s="18" t="s">
        <v>75</v>
      </c>
      <c r="C403" s="43" t="s">
        <v>4267</v>
      </c>
      <c r="D403" s="43" t="s">
        <v>7756</v>
      </c>
      <c r="E403" s="36" t="s">
        <v>219</v>
      </c>
      <c r="F403" s="19">
        <v>9</v>
      </c>
      <c r="G403" s="6"/>
      <c r="H403" s="34" t="s">
        <v>3721</v>
      </c>
      <c r="I403" s="38" t="s">
        <v>196</v>
      </c>
      <c r="J403" s="38"/>
      <c r="K403" s="38"/>
      <c r="L403" s="6" t="s">
        <v>61</v>
      </c>
      <c r="M403" s="113">
        <v>1</v>
      </c>
      <c r="N403" s="45" t="s">
        <v>62</v>
      </c>
      <c r="O403" s="2" t="s">
        <v>62</v>
      </c>
      <c r="P403" s="38" t="str">
        <f>IFERROR(Table3335678[[#This Row],[Min Count]]/Table3335678[[#This Row],[Scalar]],"")</f>
        <v/>
      </c>
      <c r="Q403" s="36" t="str">
        <f>IFERROR(Table3335678[[#This Row],[Max Count]]/Table3335678[[#This Row],[Scalar]],"")</f>
        <v/>
      </c>
      <c r="R403" s="34"/>
      <c r="S403" s="34"/>
      <c r="T403" s="34" t="s">
        <v>3723</v>
      </c>
      <c r="U403" s="33" t="s">
        <v>3853</v>
      </c>
      <c r="V403" s="33" t="s">
        <v>8751</v>
      </c>
      <c r="W403" s="33"/>
      <c r="X403" s="33"/>
    </row>
    <row r="404" spans="1:24" ht="16.149999999999999" customHeight="1" x14ac:dyDescent="0.15">
      <c r="A404" s="6">
        <v>398</v>
      </c>
      <c r="B404" s="18" t="s">
        <v>75</v>
      </c>
      <c r="C404" s="43" t="s">
        <v>4267</v>
      </c>
      <c r="D404" s="43" t="s">
        <v>7757</v>
      </c>
      <c r="E404" s="36" t="s">
        <v>219</v>
      </c>
      <c r="F404" s="19">
        <v>9</v>
      </c>
      <c r="G404" s="6">
        <v>0</v>
      </c>
      <c r="H404" s="34" t="s">
        <v>7758</v>
      </c>
      <c r="I404" s="38" t="s">
        <v>171</v>
      </c>
      <c r="J404" s="38" t="s">
        <v>177</v>
      </c>
      <c r="K404" s="38" t="s">
        <v>173</v>
      </c>
      <c r="L404" s="6"/>
      <c r="M404" s="113"/>
      <c r="N404" s="45" t="s">
        <v>62</v>
      </c>
      <c r="O404" s="2" t="s">
        <v>62</v>
      </c>
      <c r="P404" s="38" t="str">
        <f>IFERROR(Table3335678[[#This Row],[Min Count]]/Table3335678[[#This Row],[Scalar]],"")</f>
        <v/>
      </c>
      <c r="Q404" s="36" t="str">
        <f>IFERROR(Table3335678[[#This Row],[Max Count]]/Table3335678[[#This Row],[Scalar]],"")</f>
        <v/>
      </c>
      <c r="R404" s="34"/>
      <c r="S404" s="34"/>
      <c r="T404" s="34" t="s">
        <v>3723</v>
      </c>
      <c r="U404" s="33" t="s">
        <v>4343</v>
      </c>
      <c r="V404" s="33" t="s">
        <v>8752</v>
      </c>
      <c r="W404" s="33"/>
      <c r="X404" s="33"/>
    </row>
    <row r="405" spans="1:24" ht="16.149999999999999" customHeight="1" x14ac:dyDescent="0.15">
      <c r="A405" s="6">
        <v>399</v>
      </c>
      <c r="B405" s="18" t="s">
        <v>75</v>
      </c>
      <c r="C405" s="43" t="s">
        <v>4267</v>
      </c>
      <c r="D405" s="43" t="s">
        <v>5063</v>
      </c>
      <c r="E405" s="36" t="s">
        <v>219</v>
      </c>
      <c r="F405" s="19">
        <v>9</v>
      </c>
      <c r="G405" s="6">
        <v>1</v>
      </c>
      <c r="H405" s="34" t="s">
        <v>7759</v>
      </c>
      <c r="I405" s="38" t="s">
        <v>171</v>
      </c>
      <c r="J405" s="38" t="s">
        <v>177</v>
      </c>
      <c r="K405" s="38" t="s">
        <v>173</v>
      </c>
      <c r="L405" s="6"/>
      <c r="M405" s="113"/>
      <c r="N405" s="45" t="s">
        <v>62</v>
      </c>
      <c r="O405" s="2" t="s">
        <v>62</v>
      </c>
      <c r="P405" s="38" t="str">
        <f>IFERROR(Table3335678[[#This Row],[Min Count]]/Table3335678[[#This Row],[Scalar]],"")</f>
        <v/>
      </c>
      <c r="Q405" s="36" t="str">
        <f>IFERROR(Table3335678[[#This Row],[Max Count]]/Table3335678[[#This Row],[Scalar]],"")</f>
        <v/>
      </c>
      <c r="R405" s="34"/>
      <c r="S405" s="34"/>
      <c r="T405" s="34" t="s">
        <v>3723</v>
      </c>
      <c r="U405" s="33" t="s">
        <v>4343</v>
      </c>
      <c r="V405" s="33" t="s">
        <v>8753</v>
      </c>
      <c r="W405" s="33"/>
      <c r="X405" s="33"/>
    </row>
    <row r="406" spans="1:24" ht="16.149999999999999" customHeight="1" x14ac:dyDescent="0.15">
      <c r="A406" s="6">
        <v>400</v>
      </c>
      <c r="B406" s="18" t="s">
        <v>75</v>
      </c>
      <c r="C406" s="43" t="s">
        <v>4267</v>
      </c>
      <c r="D406" s="43" t="s">
        <v>5063</v>
      </c>
      <c r="E406" s="36" t="s">
        <v>219</v>
      </c>
      <c r="F406" s="19">
        <v>9</v>
      </c>
      <c r="G406" s="6">
        <v>2</v>
      </c>
      <c r="H406" s="34" t="s">
        <v>7760</v>
      </c>
      <c r="I406" s="38" t="s">
        <v>171</v>
      </c>
      <c r="J406" s="38" t="s">
        <v>177</v>
      </c>
      <c r="K406" s="38" t="s">
        <v>173</v>
      </c>
      <c r="L406" s="6"/>
      <c r="M406" s="113"/>
      <c r="N406" s="45" t="s">
        <v>62</v>
      </c>
      <c r="O406" s="2" t="s">
        <v>62</v>
      </c>
      <c r="P406" s="38" t="str">
        <f>IFERROR(Table3335678[[#This Row],[Min Count]]/Table3335678[[#This Row],[Scalar]],"")</f>
        <v/>
      </c>
      <c r="Q406" s="36" t="str">
        <f>IFERROR(Table3335678[[#This Row],[Max Count]]/Table3335678[[#This Row],[Scalar]],"")</f>
        <v/>
      </c>
      <c r="R406" s="34"/>
      <c r="S406" s="34"/>
      <c r="T406" s="34" t="s">
        <v>3723</v>
      </c>
      <c r="U406" s="33" t="s">
        <v>4343</v>
      </c>
      <c r="V406" s="33" t="s">
        <v>8753</v>
      </c>
      <c r="W406" s="33"/>
      <c r="X406" s="33"/>
    </row>
    <row r="407" spans="1:24" ht="16.149999999999999" customHeight="1" x14ac:dyDescent="0.15">
      <c r="A407" s="6">
        <v>401</v>
      </c>
      <c r="B407" s="18" t="s">
        <v>75</v>
      </c>
      <c r="C407" s="43" t="s">
        <v>4267</v>
      </c>
      <c r="D407" s="43" t="s">
        <v>5069</v>
      </c>
      <c r="E407" s="36" t="s">
        <v>219</v>
      </c>
      <c r="F407" s="19">
        <v>9</v>
      </c>
      <c r="G407" s="6">
        <v>3</v>
      </c>
      <c r="H407" s="34" t="s">
        <v>7761</v>
      </c>
      <c r="I407" s="38" t="s">
        <v>171</v>
      </c>
      <c r="J407" s="38" t="s">
        <v>177</v>
      </c>
      <c r="K407" s="38" t="s">
        <v>173</v>
      </c>
      <c r="L407" s="6"/>
      <c r="M407" s="113"/>
      <c r="N407" s="45" t="s">
        <v>62</v>
      </c>
      <c r="O407" s="2" t="s">
        <v>62</v>
      </c>
      <c r="P407" s="38" t="str">
        <f>IFERROR(Table3335678[[#This Row],[Min Count]]/Table3335678[[#This Row],[Scalar]],"")</f>
        <v/>
      </c>
      <c r="Q407" s="36" t="str">
        <f>IFERROR(Table3335678[[#This Row],[Max Count]]/Table3335678[[#This Row],[Scalar]],"")</f>
        <v/>
      </c>
      <c r="R407" s="34"/>
      <c r="S407" s="34"/>
      <c r="T407" s="34" t="s">
        <v>3723</v>
      </c>
      <c r="U407" s="33" t="s">
        <v>4343</v>
      </c>
      <c r="V407" s="33" t="s">
        <v>8754</v>
      </c>
      <c r="W407" s="33"/>
      <c r="X407" s="33"/>
    </row>
    <row r="408" spans="1:24" ht="16.149999999999999" customHeight="1" x14ac:dyDescent="0.15">
      <c r="A408" s="6">
        <v>402</v>
      </c>
      <c r="B408" s="18" t="s">
        <v>75</v>
      </c>
      <c r="C408" s="43" t="s">
        <v>4267</v>
      </c>
      <c r="D408" s="43" t="s">
        <v>7762</v>
      </c>
      <c r="E408" s="36" t="s">
        <v>219</v>
      </c>
      <c r="F408" s="19">
        <v>9</v>
      </c>
      <c r="G408" s="6">
        <v>4</v>
      </c>
      <c r="H408" s="34" t="s">
        <v>7763</v>
      </c>
      <c r="I408" s="38" t="s">
        <v>171</v>
      </c>
      <c r="J408" s="38" t="s">
        <v>177</v>
      </c>
      <c r="K408" s="38" t="s">
        <v>173</v>
      </c>
      <c r="L408" s="6"/>
      <c r="M408" s="113"/>
      <c r="N408" s="45" t="s">
        <v>62</v>
      </c>
      <c r="O408" s="2" t="s">
        <v>62</v>
      </c>
      <c r="P408" s="38" t="str">
        <f>IFERROR(Table3335678[[#This Row],[Min Count]]/Table3335678[[#This Row],[Scalar]],"")</f>
        <v/>
      </c>
      <c r="Q408" s="36" t="str">
        <f>IFERROR(Table3335678[[#This Row],[Max Count]]/Table3335678[[#This Row],[Scalar]],"")</f>
        <v/>
      </c>
      <c r="R408" s="34"/>
      <c r="S408" s="34"/>
      <c r="T408" s="34" t="s">
        <v>3723</v>
      </c>
      <c r="U408" s="33" t="s">
        <v>4343</v>
      </c>
      <c r="V408" s="33" t="s">
        <v>8755</v>
      </c>
      <c r="W408" s="33"/>
      <c r="X408" s="33"/>
    </row>
    <row r="409" spans="1:24" ht="16.149999999999999" customHeight="1" x14ac:dyDescent="0.15">
      <c r="A409" s="6">
        <v>403</v>
      </c>
      <c r="B409" s="18" t="s">
        <v>75</v>
      </c>
      <c r="C409" s="43" t="s">
        <v>4267</v>
      </c>
      <c r="D409" s="43" t="s">
        <v>7764</v>
      </c>
      <c r="E409" s="36" t="s">
        <v>219</v>
      </c>
      <c r="F409" s="19">
        <v>9</v>
      </c>
      <c r="G409" s="6">
        <v>5</v>
      </c>
      <c r="H409" s="34" t="s">
        <v>7765</v>
      </c>
      <c r="I409" s="38" t="s">
        <v>171</v>
      </c>
      <c r="J409" s="38" t="s">
        <v>177</v>
      </c>
      <c r="K409" s="38" t="s">
        <v>173</v>
      </c>
      <c r="L409" s="6"/>
      <c r="M409" s="113"/>
      <c r="N409" s="45" t="s">
        <v>62</v>
      </c>
      <c r="O409" s="2" t="s">
        <v>62</v>
      </c>
      <c r="P409" s="38" t="str">
        <f>IFERROR(Table3335678[[#This Row],[Min Count]]/Table3335678[[#This Row],[Scalar]],"")</f>
        <v/>
      </c>
      <c r="Q409" s="36" t="str">
        <f>IFERROR(Table3335678[[#This Row],[Max Count]]/Table3335678[[#This Row],[Scalar]],"")</f>
        <v/>
      </c>
      <c r="R409" s="34"/>
      <c r="S409" s="34"/>
      <c r="T409" s="34" t="s">
        <v>3723</v>
      </c>
      <c r="U409" s="33" t="s">
        <v>4343</v>
      </c>
      <c r="V409" s="33" t="s">
        <v>8756</v>
      </c>
      <c r="W409" s="33"/>
      <c r="X409" s="33"/>
    </row>
    <row r="410" spans="1:24" ht="16.149999999999999" customHeight="1" x14ac:dyDescent="0.15">
      <c r="A410" s="6">
        <v>404</v>
      </c>
      <c r="B410" s="18" t="s">
        <v>75</v>
      </c>
      <c r="C410" s="43" t="s">
        <v>4267</v>
      </c>
      <c r="D410" s="43" t="s">
        <v>7766</v>
      </c>
      <c r="E410" s="36" t="s">
        <v>219</v>
      </c>
      <c r="F410" s="19">
        <v>9</v>
      </c>
      <c r="G410" s="6">
        <v>6</v>
      </c>
      <c r="H410" s="34" t="s">
        <v>7767</v>
      </c>
      <c r="I410" s="38" t="s">
        <v>171</v>
      </c>
      <c r="J410" s="38" t="s">
        <v>177</v>
      </c>
      <c r="K410" s="38" t="s">
        <v>173</v>
      </c>
      <c r="L410" s="6"/>
      <c r="M410" s="113"/>
      <c r="N410" s="45" t="s">
        <v>62</v>
      </c>
      <c r="O410" s="2" t="s">
        <v>62</v>
      </c>
      <c r="P410" s="38" t="str">
        <f>IFERROR(Table3335678[[#This Row],[Min Count]]/Table3335678[[#This Row],[Scalar]],"")</f>
        <v/>
      </c>
      <c r="Q410" s="36" t="str">
        <f>IFERROR(Table3335678[[#This Row],[Max Count]]/Table3335678[[#This Row],[Scalar]],"")</f>
        <v/>
      </c>
      <c r="R410" s="34"/>
      <c r="S410" s="34"/>
      <c r="T410" s="34" t="s">
        <v>3723</v>
      </c>
      <c r="U410" s="33" t="s">
        <v>4343</v>
      </c>
      <c r="V410" s="33" t="s">
        <v>8757</v>
      </c>
      <c r="W410" s="33"/>
      <c r="X410" s="33"/>
    </row>
    <row r="411" spans="1:24" ht="16.149999999999999" customHeight="1" x14ac:dyDescent="0.15">
      <c r="A411" s="6">
        <v>405</v>
      </c>
      <c r="B411" s="18" t="s">
        <v>75</v>
      </c>
      <c r="C411" s="43" t="s">
        <v>4267</v>
      </c>
      <c r="D411" s="43" t="s">
        <v>5042</v>
      </c>
      <c r="E411" s="36" t="s">
        <v>219</v>
      </c>
      <c r="F411" s="19">
        <v>9</v>
      </c>
      <c r="G411" s="6">
        <v>7</v>
      </c>
      <c r="H411" s="34" t="s">
        <v>7768</v>
      </c>
      <c r="I411" s="38" t="s">
        <v>171</v>
      </c>
      <c r="J411" s="38" t="s">
        <v>177</v>
      </c>
      <c r="K411" s="38" t="s">
        <v>173</v>
      </c>
      <c r="L411" s="6"/>
      <c r="M411" s="113"/>
      <c r="N411" s="45" t="s">
        <v>62</v>
      </c>
      <c r="O411" s="2" t="s">
        <v>62</v>
      </c>
      <c r="P411" s="38" t="str">
        <f>IFERROR(Table3335678[[#This Row],[Min Count]]/Table3335678[[#This Row],[Scalar]],"")</f>
        <v/>
      </c>
      <c r="Q411" s="36" t="str">
        <f>IFERROR(Table3335678[[#This Row],[Max Count]]/Table3335678[[#This Row],[Scalar]],"")</f>
        <v/>
      </c>
      <c r="R411" s="34"/>
      <c r="S411" s="34"/>
      <c r="T411" s="34" t="s">
        <v>3723</v>
      </c>
      <c r="U411" s="33" t="s">
        <v>4343</v>
      </c>
      <c r="V411" s="33" t="s">
        <v>8758</v>
      </c>
      <c r="W411" s="33"/>
      <c r="X411" s="33"/>
    </row>
    <row r="412" spans="1:24" ht="16.149999999999999" customHeight="1" x14ac:dyDescent="0.15">
      <c r="A412" s="6">
        <v>406</v>
      </c>
      <c r="B412" s="18" t="s">
        <v>75</v>
      </c>
      <c r="C412" s="43" t="s">
        <v>4267</v>
      </c>
      <c r="D412" s="43" t="s">
        <v>5142</v>
      </c>
      <c r="E412" s="36" t="s">
        <v>219</v>
      </c>
      <c r="F412" s="19">
        <v>9</v>
      </c>
      <c r="G412" s="6">
        <v>8</v>
      </c>
      <c r="H412" s="34" t="s">
        <v>7769</v>
      </c>
      <c r="I412" s="38" t="s">
        <v>171</v>
      </c>
      <c r="J412" s="38" t="s">
        <v>177</v>
      </c>
      <c r="K412" s="38" t="s">
        <v>173</v>
      </c>
      <c r="L412" s="6"/>
      <c r="M412" s="113"/>
      <c r="N412" s="45" t="s">
        <v>62</v>
      </c>
      <c r="O412" s="2" t="s">
        <v>62</v>
      </c>
      <c r="P412" s="38" t="str">
        <f>IFERROR(Table3335678[[#This Row],[Min Count]]/Table3335678[[#This Row],[Scalar]],"")</f>
        <v/>
      </c>
      <c r="Q412" s="36" t="str">
        <f>IFERROR(Table3335678[[#This Row],[Max Count]]/Table3335678[[#This Row],[Scalar]],"")</f>
        <v/>
      </c>
      <c r="R412" s="34"/>
      <c r="S412" s="34"/>
      <c r="T412" s="34" t="s">
        <v>3723</v>
      </c>
      <c r="U412" s="33" t="s">
        <v>4343</v>
      </c>
      <c r="V412" s="33" t="s">
        <v>8759</v>
      </c>
      <c r="W412" s="33"/>
      <c r="X412" s="33"/>
    </row>
    <row r="413" spans="1:24" ht="16.149999999999999" customHeight="1" x14ac:dyDescent="0.15">
      <c r="A413" s="6">
        <v>407</v>
      </c>
      <c r="B413" s="18" t="s">
        <v>75</v>
      </c>
      <c r="C413" s="43" t="s">
        <v>4267</v>
      </c>
      <c r="D413" s="43" t="s">
        <v>5122</v>
      </c>
      <c r="E413" s="36" t="s">
        <v>219</v>
      </c>
      <c r="F413" s="19">
        <v>9</v>
      </c>
      <c r="G413" s="6">
        <v>9</v>
      </c>
      <c r="H413" s="34" t="s">
        <v>7770</v>
      </c>
      <c r="I413" s="38" t="s">
        <v>171</v>
      </c>
      <c r="J413" s="38" t="s">
        <v>177</v>
      </c>
      <c r="K413" s="38" t="s">
        <v>173</v>
      </c>
      <c r="L413" s="6"/>
      <c r="M413" s="113"/>
      <c r="N413" s="45" t="s">
        <v>62</v>
      </c>
      <c r="O413" s="2" t="s">
        <v>62</v>
      </c>
      <c r="P413" s="38" t="str">
        <f>IFERROR(Table3335678[[#This Row],[Min Count]]/Table3335678[[#This Row],[Scalar]],"")</f>
        <v/>
      </c>
      <c r="Q413" s="36" t="str">
        <f>IFERROR(Table3335678[[#This Row],[Max Count]]/Table3335678[[#This Row],[Scalar]],"")</f>
        <v/>
      </c>
      <c r="R413" s="34"/>
      <c r="S413" s="34"/>
      <c r="T413" s="34" t="s">
        <v>3723</v>
      </c>
      <c r="U413" s="33" t="s">
        <v>4343</v>
      </c>
      <c r="V413" s="33" t="s">
        <v>8760</v>
      </c>
      <c r="W413" s="33"/>
      <c r="X413" s="33"/>
    </row>
    <row r="414" spans="1:24" ht="16.149999999999999" customHeight="1" x14ac:dyDescent="0.15">
      <c r="A414" s="6">
        <v>408</v>
      </c>
      <c r="B414" s="18" t="s">
        <v>75</v>
      </c>
      <c r="C414" s="43" t="s">
        <v>4267</v>
      </c>
      <c r="D414" s="43" t="s">
        <v>5027</v>
      </c>
      <c r="E414" s="36" t="s">
        <v>219</v>
      </c>
      <c r="F414" s="19">
        <v>9</v>
      </c>
      <c r="G414" s="6">
        <v>10</v>
      </c>
      <c r="H414" s="34" t="s">
        <v>7771</v>
      </c>
      <c r="I414" s="38" t="s">
        <v>171</v>
      </c>
      <c r="J414" s="38" t="s">
        <v>177</v>
      </c>
      <c r="K414" s="38" t="s">
        <v>173</v>
      </c>
      <c r="L414" s="6"/>
      <c r="M414" s="113"/>
      <c r="N414" s="45" t="s">
        <v>62</v>
      </c>
      <c r="O414" s="2" t="s">
        <v>62</v>
      </c>
      <c r="P414" s="38" t="str">
        <f>IFERROR(Table3335678[[#This Row],[Min Count]]/Table3335678[[#This Row],[Scalar]],"")</f>
        <v/>
      </c>
      <c r="Q414" s="36" t="str">
        <f>IFERROR(Table3335678[[#This Row],[Max Count]]/Table3335678[[#This Row],[Scalar]],"")</f>
        <v/>
      </c>
      <c r="R414" s="34"/>
      <c r="S414" s="34"/>
      <c r="T414" s="34" t="s">
        <v>3723</v>
      </c>
      <c r="U414" s="33" t="s">
        <v>4343</v>
      </c>
      <c r="V414" s="33" t="s">
        <v>8761</v>
      </c>
      <c r="W414" s="33"/>
      <c r="X414" s="33"/>
    </row>
    <row r="415" spans="1:24" ht="16.149999999999999" customHeight="1" x14ac:dyDescent="0.15">
      <c r="A415" s="6">
        <v>409</v>
      </c>
      <c r="B415" s="18" t="s">
        <v>75</v>
      </c>
      <c r="C415" s="43" t="s">
        <v>4267</v>
      </c>
      <c r="D415" s="43" t="s">
        <v>7772</v>
      </c>
      <c r="E415" s="36" t="s">
        <v>219</v>
      </c>
      <c r="F415" s="19">
        <v>9</v>
      </c>
      <c r="G415" s="6">
        <v>11</v>
      </c>
      <c r="H415" s="34" t="s">
        <v>7773</v>
      </c>
      <c r="I415" s="38" t="s">
        <v>171</v>
      </c>
      <c r="J415" s="38" t="s">
        <v>177</v>
      </c>
      <c r="K415" s="38" t="s">
        <v>173</v>
      </c>
      <c r="L415" s="6"/>
      <c r="M415" s="113"/>
      <c r="N415" s="45" t="s">
        <v>62</v>
      </c>
      <c r="O415" s="2" t="s">
        <v>62</v>
      </c>
      <c r="P415" s="38" t="str">
        <f>IFERROR(Table3335678[[#This Row],[Min Count]]/Table3335678[[#This Row],[Scalar]],"")</f>
        <v/>
      </c>
      <c r="Q415" s="36" t="str">
        <f>IFERROR(Table3335678[[#This Row],[Max Count]]/Table3335678[[#This Row],[Scalar]],"")</f>
        <v/>
      </c>
      <c r="R415" s="34"/>
      <c r="S415" s="34"/>
      <c r="T415" s="34" t="s">
        <v>3723</v>
      </c>
      <c r="U415" s="33" t="s">
        <v>4343</v>
      </c>
      <c r="V415" s="33" t="s">
        <v>8762</v>
      </c>
      <c r="W415" s="33"/>
      <c r="X415" s="33"/>
    </row>
    <row r="416" spans="1:24" ht="16.149999999999999" customHeight="1" x14ac:dyDescent="0.15">
      <c r="A416" s="6">
        <v>410</v>
      </c>
      <c r="B416" s="18" t="s">
        <v>75</v>
      </c>
      <c r="C416" s="43" t="s">
        <v>4267</v>
      </c>
      <c r="D416" s="43" t="s">
        <v>7774</v>
      </c>
      <c r="E416" s="36" t="s">
        <v>219</v>
      </c>
      <c r="F416" s="19">
        <v>9</v>
      </c>
      <c r="G416" s="6">
        <v>12</v>
      </c>
      <c r="H416" s="34" t="s">
        <v>7775</v>
      </c>
      <c r="I416" s="38" t="s">
        <v>171</v>
      </c>
      <c r="J416" s="38" t="s">
        <v>177</v>
      </c>
      <c r="K416" s="38" t="s">
        <v>173</v>
      </c>
      <c r="L416" s="6"/>
      <c r="M416" s="113"/>
      <c r="N416" s="45" t="s">
        <v>62</v>
      </c>
      <c r="O416" s="2" t="s">
        <v>62</v>
      </c>
      <c r="P416" s="38" t="str">
        <f>IFERROR(Table3335678[[#This Row],[Min Count]]/Table3335678[[#This Row],[Scalar]],"")</f>
        <v/>
      </c>
      <c r="Q416" s="36" t="str">
        <f>IFERROR(Table3335678[[#This Row],[Max Count]]/Table3335678[[#This Row],[Scalar]],"")</f>
        <v/>
      </c>
      <c r="R416" s="34"/>
      <c r="S416" s="34"/>
      <c r="T416" s="34" t="s">
        <v>3723</v>
      </c>
      <c r="U416" s="33" t="s">
        <v>4343</v>
      </c>
      <c r="V416" s="33" t="s">
        <v>8763</v>
      </c>
      <c r="W416" s="33"/>
      <c r="X416" s="33"/>
    </row>
    <row r="417" spans="1:24" ht="16.149999999999999" customHeight="1" x14ac:dyDescent="0.15">
      <c r="A417" s="6">
        <v>411</v>
      </c>
      <c r="B417" s="18" t="s">
        <v>75</v>
      </c>
      <c r="C417" s="43" t="s">
        <v>4267</v>
      </c>
      <c r="D417" s="43" t="s">
        <v>5119</v>
      </c>
      <c r="E417" s="36" t="s">
        <v>219</v>
      </c>
      <c r="F417" s="19">
        <v>9</v>
      </c>
      <c r="G417" s="6">
        <v>13</v>
      </c>
      <c r="H417" s="34" t="s">
        <v>7776</v>
      </c>
      <c r="I417" s="38" t="s">
        <v>171</v>
      </c>
      <c r="J417" s="38" t="s">
        <v>177</v>
      </c>
      <c r="K417" s="38" t="s">
        <v>173</v>
      </c>
      <c r="L417" s="6"/>
      <c r="M417" s="113"/>
      <c r="N417" s="45" t="s">
        <v>62</v>
      </c>
      <c r="O417" s="2" t="s">
        <v>62</v>
      </c>
      <c r="P417" s="38" t="str">
        <f>IFERROR(Table3335678[[#This Row],[Min Count]]/Table3335678[[#This Row],[Scalar]],"")</f>
        <v/>
      </c>
      <c r="Q417" s="36" t="str">
        <f>IFERROR(Table3335678[[#This Row],[Max Count]]/Table3335678[[#This Row],[Scalar]],"")</f>
        <v/>
      </c>
      <c r="R417" s="34"/>
      <c r="S417" s="34"/>
      <c r="T417" s="34" t="s">
        <v>3723</v>
      </c>
      <c r="U417" s="33" t="s">
        <v>4343</v>
      </c>
      <c r="V417" s="33" t="s">
        <v>8764</v>
      </c>
      <c r="W417" s="33"/>
      <c r="X417" s="33"/>
    </row>
    <row r="418" spans="1:24" ht="16.149999999999999" customHeight="1" x14ac:dyDescent="0.15">
      <c r="A418" s="6">
        <v>412</v>
      </c>
      <c r="B418" s="18" t="s">
        <v>75</v>
      </c>
      <c r="C418" s="43" t="s">
        <v>4267</v>
      </c>
      <c r="D418" s="43" t="s">
        <v>7777</v>
      </c>
      <c r="E418" s="36" t="s">
        <v>219</v>
      </c>
      <c r="F418" s="19">
        <v>9</v>
      </c>
      <c r="G418" s="6">
        <v>14</v>
      </c>
      <c r="H418" s="34" t="s">
        <v>7778</v>
      </c>
      <c r="I418" s="38" t="s">
        <v>171</v>
      </c>
      <c r="J418" s="38" t="s">
        <v>177</v>
      </c>
      <c r="K418" s="38" t="s">
        <v>173</v>
      </c>
      <c r="L418" s="6"/>
      <c r="M418" s="113"/>
      <c r="N418" s="45" t="s">
        <v>62</v>
      </c>
      <c r="O418" s="2" t="s">
        <v>62</v>
      </c>
      <c r="P418" s="38" t="str">
        <f>IFERROR(Table3335678[[#This Row],[Min Count]]/Table3335678[[#This Row],[Scalar]],"")</f>
        <v/>
      </c>
      <c r="Q418" s="36" t="str">
        <f>IFERROR(Table3335678[[#This Row],[Max Count]]/Table3335678[[#This Row],[Scalar]],"")</f>
        <v/>
      </c>
      <c r="R418" s="34"/>
      <c r="S418" s="34"/>
      <c r="T418" s="34" t="s">
        <v>3723</v>
      </c>
      <c r="U418" s="33" t="s">
        <v>4343</v>
      </c>
      <c r="V418" s="33" t="s">
        <v>8765</v>
      </c>
      <c r="W418" s="33"/>
      <c r="X418" s="33"/>
    </row>
    <row r="419" spans="1:24" ht="16.149999999999999" customHeight="1" x14ac:dyDescent="0.15">
      <c r="A419" s="6">
        <v>413</v>
      </c>
      <c r="B419" s="18" t="s">
        <v>75</v>
      </c>
      <c r="C419" s="43" t="s">
        <v>4267</v>
      </c>
      <c r="D419" s="43" t="s">
        <v>5193</v>
      </c>
      <c r="E419" s="36" t="s">
        <v>219</v>
      </c>
      <c r="F419" s="19">
        <v>9</v>
      </c>
      <c r="G419" s="6">
        <v>15</v>
      </c>
      <c r="H419" s="34" t="s">
        <v>7779</v>
      </c>
      <c r="I419" s="38" t="s">
        <v>171</v>
      </c>
      <c r="J419" s="38" t="s">
        <v>177</v>
      </c>
      <c r="K419" s="38" t="s">
        <v>173</v>
      </c>
      <c r="L419" s="6"/>
      <c r="M419" s="113"/>
      <c r="N419" s="45" t="s">
        <v>62</v>
      </c>
      <c r="O419" s="2" t="s">
        <v>62</v>
      </c>
      <c r="P419" s="38" t="str">
        <f>IFERROR(Table3335678[[#This Row],[Min Count]]/Table3335678[[#This Row],[Scalar]],"")</f>
        <v/>
      </c>
      <c r="Q419" s="36" t="str">
        <f>IFERROR(Table3335678[[#This Row],[Max Count]]/Table3335678[[#This Row],[Scalar]],"")</f>
        <v/>
      </c>
      <c r="R419" s="34"/>
      <c r="S419" s="34"/>
      <c r="T419" s="34" t="s">
        <v>3723</v>
      </c>
      <c r="U419" s="33" t="s">
        <v>4343</v>
      </c>
      <c r="V419" s="33" t="s">
        <v>8766</v>
      </c>
      <c r="W419" s="33"/>
      <c r="X419" s="33"/>
    </row>
    <row r="420" spans="1:24" ht="16.149999999999999" customHeight="1" x14ac:dyDescent="0.15">
      <c r="A420" s="6">
        <v>414</v>
      </c>
      <c r="B420" s="18" t="s">
        <v>75</v>
      </c>
      <c r="C420" s="43" t="s">
        <v>4267</v>
      </c>
      <c r="D420" s="43" t="s">
        <v>7780</v>
      </c>
      <c r="E420" s="36" t="s">
        <v>219</v>
      </c>
      <c r="F420" s="19">
        <v>9</v>
      </c>
      <c r="G420" s="6">
        <v>16</v>
      </c>
      <c r="H420" s="34" t="s">
        <v>7781</v>
      </c>
      <c r="I420" s="38" t="s">
        <v>171</v>
      </c>
      <c r="J420" s="38" t="s">
        <v>177</v>
      </c>
      <c r="K420" s="38" t="s">
        <v>173</v>
      </c>
      <c r="L420" s="6"/>
      <c r="M420" s="113"/>
      <c r="N420" s="45" t="s">
        <v>62</v>
      </c>
      <c r="O420" s="2" t="s">
        <v>62</v>
      </c>
      <c r="P420" s="38" t="str">
        <f>IFERROR(Table3335678[[#This Row],[Min Count]]/Table3335678[[#This Row],[Scalar]],"")</f>
        <v/>
      </c>
      <c r="Q420" s="36" t="str">
        <f>IFERROR(Table3335678[[#This Row],[Max Count]]/Table3335678[[#This Row],[Scalar]],"")</f>
        <v/>
      </c>
      <c r="R420" s="34"/>
      <c r="S420" s="34"/>
      <c r="T420" s="34" t="s">
        <v>3723</v>
      </c>
      <c r="U420" s="33" t="s">
        <v>4343</v>
      </c>
      <c r="V420" s="33" t="s">
        <v>8767</v>
      </c>
      <c r="W420" s="33"/>
      <c r="X420" s="33"/>
    </row>
    <row r="421" spans="1:24" ht="16.149999999999999" customHeight="1" x14ac:dyDescent="0.15">
      <c r="A421" s="6">
        <v>415</v>
      </c>
      <c r="B421" s="18" t="s">
        <v>75</v>
      </c>
      <c r="C421" s="43" t="s">
        <v>4267</v>
      </c>
      <c r="D421" s="43" t="s">
        <v>7782</v>
      </c>
      <c r="E421" s="36" t="s">
        <v>219</v>
      </c>
      <c r="F421" s="19">
        <v>9</v>
      </c>
      <c r="G421" s="6">
        <v>17</v>
      </c>
      <c r="H421" s="34" t="s">
        <v>7783</v>
      </c>
      <c r="I421" s="38" t="s">
        <v>171</v>
      </c>
      <c r="J421" s="38" t="s">
        <v>177</v>
      </c>
      <c r="K421" s="38" t="s">
        <v>173</v>
      </c>
      <c r="L421" s="6"/>
      <c r="M421" s="113"/>
      <c r="N421" s="45" t="s">
        <v>62</v>
      </c>
      <c r="O421" s="2" t="s">
        <v>62</v>
      </c>
      <c r="P421" s="38" t="str">
        <f>IFERROR(Table3335678[[#This Row],[Min Count]]/Table3335678[[#This Row],[Scalar]],"")</f>
        <v/>
      </c>
      <c r="Q421" s="36" t="str">
        <f>IFERROR(Table3335678[[#This Row],[Max Count]]/Table3335678[[#This Row],[Scalar]],"")</f>
        <v/>
      </c>
      <c r="R421" s="34"/>
      <c r="S421" s="34"/>
      <c r="T421" s="34" t="s">
        <v>3723</v>
      </c>
      <c r="U421" s="33" t="s">
        <v>4343</v>
      </c>
      <c r="V421" s="33" t="s">
        <v>8768</v>
      </c>
      <c r="W421" s="33"/>
      <c r="X421" s="33"/>
    </row>
    <row r="422" spans="1:24" ht="16.149999999999999" customHeight="1" x14ac:dyDescent="0.15">
      <c r="A422" s="6">
        <v>416</v>
      </c>
      <c r="B422" s="18" t="s">
        <v>75</v>
      </c>
      <c r="C422" s="43" t="s">
        <v>4267</v>
      </c>
      <c r="D422" s="43" t="s">
        <v>7784</v>
      </c>
      <c r="E422" s="36" t="s">
        <v>219</v>
      </c>
      <c r="F422" s="19">
        <v>9</v>
      </c>
      <c r="G422" s="6">
        <v>18</v>
      </c>
      <c r="H422" s="34" t="s">
        <v>7785</v>
      </c>
      <c r="I422" s="38" t="s">
        <v>171</v>
      </c>
      <c r="J422" s="38" t="s">
        <v>177</v>
      </c>
      <c r="K422" s="38" t="s">
        <v>173</v>
      </c>
      <c r="L422" s="6"/>
      <c r="M422" s="113"/>
      <c r="N422" s="45" t="s">
        <v>62</v>
      </c>
      <c r="O422" s="2" t="s">
        <v>62</v>
      </c>
      <c r="P422" s="38" t="str">
        <f>IFERROR(Table3335678[[#This Row],[Min Count]]/Table3335678[[#This Row],[Scalar]],"")</f>
        <v/>
      </c>
      <c r="Q422" s="36" t="str">
        <f>IFERROR(Table3335678[[#This Row],[Max Count]]/Table3335678[[#This Row],[Scalar]],"")</f>
        <v/>
      </c>
      <c r="R422" s="34"/>
      <c r="S422" s="34"/>
      <c r="T422" s="34" t="s">
        <v>3723</v>
      </c>
      <c r="U422" s="33" t="s">
        <v>4343</v>
      </c>
      <c r="V422" s="33" t="s">
        <v>8769</v>
      </c>
      <c r="W422" s="33"/>
      <c r="X422" s="33"/>
    </row>
    <row r="423" spans="1:24" ht="16.149999999999999" customHeight="1" x14ac:dyDescent="0.15">
      <c r="A423" s="6">
        <v>417</v>
      </c>
      <c r="B423" s="18" t="s">
        <v>75</v>
      </c>
      <c r="C423" s="43" t="s">
        <v>4267</v>
      </c>
      <c r="D423" s="43" t="s">
        <v>7786</v>
      </c>
      <c r="E423" s="36" t="s">
        <v>219</v>
      </c>
      <c r="F423" s="19">
        <v>9</v>
      </c>
      <c r="G423" s="6">
        <v>19</v>
      </c>
      <c r="H423" s="34" t="s">
        <v>7787</v>
      </c>
      <c r="I423" s="38" t="s">
        <v>171</v>
      </c>
      <c r="J423" s="38" t="s">
        <v>177</v>
      </c>
      <c r="K423" s="38" t="s">
        <v>173</v>
      </c>
      <c r="L423" s="6"/>
      <c r="M423" s="113"/>
      <c r="N423" s="45" t="s">
        <v>62</v>
      </c>
      <c r="O423" s="2" t="s">
        <v>62</v>
      </c>
      <c r="P423" s="38" t="str">
        <f>IFERROR(Table3335678[[#This Row],[Min Count]]/Table3335678[[#This Row],[Scalar]],"")</f>
        <v/>
      </c>
      <c r="Q423" s="36" t="str">
        <f>IFERROR(Table3335678[[#This Row],[Max Count]]/Table3335678[[#This Row],[Scalar]],"")</f>
        <v/>
      </c>
      <c r="R423" s="34"/>
      <c r="S423" s="34"/>
      <c r="T423" s="34" t="s">
        <v>3723</v>
      </c>
      <c r="U423" s="33" t="s">
        <v>4343</v>
      </c>
      <c r="V423" s="33" t="s">
        <v>8770</v>
      </c>
      <c r="W423" s="33"/>
      <c r="X423" s="33"/>
    </row>
    <row r="424" spans="1:24" ht="16.149999999999999" customHeight="1" x14ac:dyDescent="0.15">
      <c r="A424" s="6">
        <v>418</v>
      </c>
      <c r="B424" s="18" t="s">
        <v>75</v>
      </c>
      <c r="C424" s="43" t="s">
        <v>4267</v>
      </c>
      <c r="D424" s="43" t="s">
        <v>5101</v>
      </c>
      <c r="E424" s="36" t="s">
        <v>219</v>
      </c>
      <c r="F424" s="19">
        <v>9</v>
      </c>
      <c r="G424" s="6">
        <v>20</v>
      </c>
      <c r="H424" s="34" t="s">
        <v>7788</v>
      </c>
      <c r="I424" s="38" t="s">
        <v>171</v>
      </c>
      <c r="J424" s="38" t="s">
        <v>177</v>
      </c>
      <c r="K424" s="38" t="s">
        <v>173</v>
      </c>
      <c r="L424" s="6"/>
      <c r="M424" s="113"/>
      <c r="N424" s="45" t="s">
        <v>62</v>
      </c>
      <c r="O424" s="2" t="s">
        <v>62</v>
      </c>
      <c r="P424" s="38" t="str">
        <f>IFERROR(Table3335678[[#This Row],[Min Count]]/Table3335678[[#This Row],[Scalar]],"")</f>
        <v/>
      </c>
      <c r="Q424" s="36" t="str">
        <f>IFERROR(Table3335678[[#This Row],[Max Count]]/Table3335678[[#This Row],[Scalar]],"")</f>
        <v/>
      </c>
      <c r="R424" s="34"/>
      <c r="S424" s="34"/>
      <c r="T424" s="34" t="s">
        <v>3723</v>
      </c>
      <c r="U424" s="33" t="s">
        <v>4343</v>
      </c>
      <c r="V424" s="33" t="s">
        <v>8771</v>
      </c>
      <c r="W424" s="33"/>
      <c r="X424" s="33"/>
    </row>
    <row r="425" spans="1:24" ht="16.149999999999999" customHeight="1" x14ac:dyDescent="0.15">
      <c r="A425" s="6">
        <v>419</v>
      </c>
      <c r="B425" s="18" t="s">
        <v>75</v>
      </c>
      <c r="C425" s="43" t="s">
        <v>4267</v>
      </c>
      <c r="D425" s="43" t="s">
        <v>7789</v>
      </c>
      <c r="E425" s="36" t="s">
        <v>219</v>
      </c>
      <c r="F425" s="19">
        <v>9</v>
      </c>
      <c r="G425" s="6">
        <v>21</v>
      </c>
      <c r="H425" s="34" t="s">
        <v>7790</v>
      </c>
      <c r="I425" s="38" t="s">
        <v>171</v>
      </c>
      <c r="J425" s="38" t="s">
        <v>177</v>
      </c>
      <c r="K425" s="38" t="s">
        <v>173</v>
      </c>
      <c r="L425" s="6"/>
      <c r="M425" s="113"/>
      <c r="N425" s="45" t="s">
        <v>62</v>
      </c>
      <c r="O425" s="2" t="s">
        <v>62</v>
      </c>
      <c r="P425" s="38" t="str">
        <f>IFERROR(Table3335678[[#This Row],[Min Count]]/Table3335678[[#This Row],[Scalar]],"")</f>
        <v/>
      </c>
      <c r="Q425" s="36" t="str">
        <f>IFERROR(Table3335678[[#This Row],[Max Count]]/Table3335678[[#This Row],[Scalar]],"")</f>
        <v/>
      </c>
      <c r="R425" s="34"/>
      <c r="S425" s="34"/>
      <c r="T425" s="34" t="s">
        <v>3723</v>
      </c>
      <c r="U425" s="33" t="s">
        <v>4343</v>
      </c>
      <c r="V425" s="33" t="s">
        <v>8772</v>
      </c>
      <c r="W425" s="33"/>
      <c r="X425" s="33"/>
    </row>
    <row r="426" spans="1:24" ht="16.149999999999999" customHeight="1" x14ac:dyDescent="0.15">
      <c r="A426" s="6">
        <v>420</v>
      </c>
      <c r="B426" s="18" t="s">
        <v>75</v>
      </c>
      <c r="C426" s="43" t="s">
        <v>4267</v>
      </c>
      <c r="D426" s="43" t="s">
        <v>5069</v>
      </c>
      <c r="E426" s="36" t="s">
        <v>219</v>
      </c>
      <c r="F426" s="19">
        <v>9</v>
      </c>
      <c r="G426" s="6">
        <v>22</v>
      </c>
      <c r="H426" s="34" t="s">
        <v>7791</v>
      </c>
      <c r="I426" s="38" t="s">
        <v>171</v>
      </c>
      <c r="J426" s="38" t="s">
        <v>177</v>
      </c>
      <c r="K426" s="38" t="s">
        <v>173</v>
      </c>
      <c r="L426" s="6"/>
      <c r="M426" s="113"/>
      <c r="N426" s="45" t="s">
        <v>62</v>
      </c>
      <c r="O426" s="2" t="s">
        <v>62</v>
      </c>
      <c r="P426" s="38" t="str">
        <f>IFERROR(Table3335678[[#This Row],[Min Count]]/Table3335678[[#This Row],[Scalar]],"")</f>
        <v/>
      </c>
      <c r="Q426" s="36" t="str">
        <f>IFERROR(Table3335678[[#This Row],[Max Count]]/Table3335678[[#This Row],[Scalar]],"")</f>
        <v/>
      </c>
      <c r="R426" s="34"/>
      <c r="S426" s="34"/>
      <c r="T426" s="34" t="s">
        <v>3723</v>
      </c>
      <c r="U426" s="33" t="s">
        <v>4343</v>
      </c>
      <c r="V426" s="33" t="s">
        <v>8754</v>
      </c>
      <c r="W426" s="33"/>
      <c r="X426" s="33"/>
    </row>
    <row r="427" spans="1:24" ht="16.149999999999999" customHeight="1" x14ac:dyDescent="0.15">
      <c r="A427" s="6">
        <v>421</v>
      </c>
      <c r="B427" s="18" t="s">
        <v>75</v>
      </c>
      <c r="C427" s="43" t="s">
        <v>4267</v>
      </c>
      <c r="D427" s="43" t="s">
        <v>7792</v>
      </c>
      <c r="E427" s="36" t="s">
        <v>219</v>
      </c>
      <c r="F427" s="19">
        <v>9</v>
      </c>
      <c r="G427" s="6">
        <v>23</v>
      </c>
      <c r="H427" s="34" t="s">
        <v>7793</v>
      </c>
      <c r="I427" s="38" t="s">
        <v>171</v>
      </c>
      <c r="J427" s="38" t="s">
        <v>177</v>
      </c>
      <c r="K427" s="38" t="s">
        <v>173</v>
      </c>
      <c r="L427" s="6"/>
      <c r="M427" s="113"/>
      <c r="N427" s="45" t="s">
        <v>62</v>
      </c>
      <c r="O427" s="2" t="s">
        <v>62</v>
      </c>
      <c r="P427" s="38" t="str">
        <f>IFERROR(Table3335678[[#This Row],[Min Count]]/Table3335678[[#This Row],[Scalar]],"")</f>
        <v/>
      </c>
      <c r="Q427" s="36" t="str">
        <f>IFERROR(Table3335678[[#This Row],[Max Count]]/Table3335678[[#This Row],[Scalar]],"")</f>
        <v/>
      </c>
      <c r="R427" s="34"/>
      <c r="S427" s="34"/>
      <c r="T427" s="34" t="s">
        <v>3723</v>
      </c>
      <c r="U427" s="33" t="s">
        <v>4343</v>
      </c>
      <c r="V427" s="33" t="s">
        <v>8773</v>
      </c>
      <c r="W427" s="33"/>
      <c r="X427" s="33"/>
    </row>
    <row r="428" spans="1:24" ht="16.149999999999999" customHeight="1" x14ac:dyDescent="0.15">
      <c r="A428" s="6">
        <v>422</v>
      </c>
      <c r="B428" s="18" t="s">
        <v>75</v>
      </c>
      <c r="C428" s="43" t="s">
        <v>4267</v>
      </c>
      <c r="D428" s="43" t="s">
        <v>7794</v>
      </c>
      <c r="E428" s="36" t="s">
        <v>219</v>
      </c>
      <c r="F428" s="19">
        <v>9</v>
      </c>
      <c r="G428" s="6">
        <v>24</v>
      </c>
      <c r="H428" s="34" t="s">
        <v>7795</v>
      </c>
      <c r="I428" s="38" t="s">
        <v>171</v>
      </c>
      <c r="J428" s="38" t="s">
        <v>177</v>
      </c>
      <c r="K428" s="38" t="s">
        <v>173</v>
      </c>
      <c r="L428" s="6"/>
      <c r="M428" s="113"/>
      <c r="N428" s="45" t="s">
        <v>62</v>
      </c>
      <c r="O428" s="2" t="s">
        <v>62</v>
      </c>
      <c r="P428" s="38" t="str">
        <f>IFERROR(Table3335678[[#This Row],[Min Count]]/Table3335678[[#This Row],[Scalar]],"")</f>
        <v/>
      </c>
      <c r="Q428" s="36" t="str">
        <f>IFERROR(Table3335678[[#This Row],[Max Count]]/Table3335678[[#This Row],[Scalar]],"")</f>
        <v/>
      </c>
      <c r="R428" s="34"/>
      <c r="S428" s="34"/>
      <c r="T428" s="34" t="s">
        <v>3723</v>
      </c>
      <c r="U428" s="33" t="s">
        <v>4343</v>
      </c>
      <c r="V428" s="33" t="s">
        <v>8774</v>
      </c>
      <c r="W428" s="33"/>
      <c r="X428" s="33"/>
    </row>
    <row r="429" spans="1:24" ht="16.149999999999999" customHeight="1" x14ac:dyDescent="0.15">
      <c r="A429" s="6">
        <v>423</v>
      </c>
      <c r="B429" s="18" t="s">
        <v>75</v>
      </c>
      <c r="C429" s="43" t="s">
        <v>4267</v>
      </c>
      <c r="D429" s="43" t="s">
        <v>7796</v>
      </c>
      <c r="E429" s="36" t="s">
        <v>219</v>
      </c>
      <c r="F429" s="19">
        <v>9</v>
      </c>
      <c r="G429" s="6">
        <v>25</v>
      </c>
      <c r="H429" s="34" t="s">
        <v>7797</v>
      </c>
      <c r="I429" s="38" t="s">
        <v>171</v>
      </c>
      <c r="J429" s="38" t="s">
        <v>177</v>
      </c>
      <c r="K429" s="38" t="s">
        <v>173</v>
      </c>
      <c r="L429" s="6"/>
      <c r="M429" s="113"/>
      <c r="N429" s="45" t="s">
        <v>62</v>
      </c>
      <c r="O429" s="2" t="s">
        <v>62</v>
      </c>
      <c r="P429" s="38" t="str">
        <f>IFERROR(Table3335678[[#This Row],[Min Count]]/Table3335678[[#This Row],[Scalar]],"")</f>
        <v/>
      </c>
      <c r="Q429" s="36" t="str">
        <f>IFERROR(Table3335678[[#This Row],[Max Count]]/Table3335678[[#This Row],[Scalar]],"")</f>
        <v/>
      </c>
      <c r="R429" s="34"/>
      <c r="S429" s="34"/>
      <c r="T429" s="34" t="s">
        <v>3723</v>
      </c>
      <c r="U429" s="33" t="s">
        <v>4343</v>
      </c>
      <c r="V429" s="33" t="s">
        <v>8775</v>
      </c>
      <c r="W429" s="33"/>
      <c r="X429" s="33"/>
    </row>
    <row r="430" spans="1:24" ht="16.149999999999999" customHeight="1" x14ac:dyDescent="0.15">
      <c r="A430" s="6">
        <v>424</v>
      </c>
      <c r="B430" s="18" t="s">
        <v>75</v>
      </c>
      <c r="C430" s="43" t="s">
        <v>4267</v>
      </c>
      <c r="D430" s="43" t="s">
        <v>7798</v>
      </c>
      <c r="E430" s="36" t="s">
        <v>219</v>
      </c>
      <c r="F430" s="19">
        <v>9</v>
      </c>
      <c r="G430" s="6">
        <v>26</v>
      </c>
      <c r="H430" s="34" t="s">
        <v>7799</v>
      </c>
      <c r="I430" s="38" t="s">
        <v>171</v>
      </c>
      <c r="J430" s="38" t="s">
        <v>177</v>
      </c>
      <c r="K430" s="38" t="s">
        <v>173</v>
      </c>
      <c r="L430" s="6"/>
      <c r="M430" s="113"/>
      <c r="N430" s="45" t="s">
        <v>62</v>
      </c>
      <c r="O430" s="2" t="s">
        <v>62</v>
      </c>
      <c r="P430" s="38" t="str">
        <f>IFERROR(Table3335678[[#This Row],[Min Count]]/Table3335678[[#This Row],[Scalar]],"")</f>
        <v/>
      </c>
      <c r="Q430" s="36" t="str">
        <f>IFERROR(Table3335678[[#This Row],[Max Count]]/Table3335678[[#This Row],[Scalar]],"")</f>
        <v/>
      </c>
      <c r="R430" s="34"/>
      <c r="S430" s="34"/>
      <c r="T430" s="34" t="s">
        <v>3723</v>
      </c>
      <c r="U430" s="33" t="s">
        <v>4343</v>
      </c>
      <c r="V430" s="33" t="s">
        <v>8776</v>
      </c>
      <c r="W430" s="33"/>
      <c r="X430" s="33"/>
    </row>
    <row r="431" spans="1:24" ht="16.149999999999999" customHeight="1" x14ac:dyDescent="0.15">
      <c r="A431" s="6">
        <v>425</v>
      </c>
      <c r="B431" s="18" t="s">
        <v>75</v>
      </c>
      <c r="C431" s="43" t="s">
        <v>4267</v>
      </c>
      <c r="D431" s="43" t="s">
        <v>7800</v>
      </c>
      <c r="E431" s="36" t="s">
        <v>219</v>
      </c>
      <c r="F431" s="19">
        <v>9</v>
      </c>
      <c r="G431" s="6">
        <v>27</v>
      </c>
      <c r="H431" s="34" t="s">
        <v>7801</v>
      </c>
      <c r="I431" s="38" t="s">
        <v>171</v>
      </c>
      <c r="J431" s="38" t="s">
        <v>177</v>
      </c>
      <c r="K431" s="38" t="s">
        <v>173</v>
      </c>
      <c r="L431" s="6"/>
      <c r="M431" s="113"/>
      <c r="N431" s="45" t="s">
        <v>62</v>
      </c>
      <c r="O431" s="2" t="s">
        <v>62</v>
      </c>
      <c r="P431" s="38" t="str">
        <f>IFERROR(Table3335678[[#This Row],[Min Count]]/Table3335678[[#This Row],[Scalar]],"")</f>
        <v/>
      </c>
      <c r="Q431" s="36" t="str">
        <f>IFERROR(Table3335678[[#This Row],[Max Count]]/Table3335678[[#This Row],[Scalar]],"")</f>
        <v/>
      </c>
      <c r="R431" s="34"/>
      <c r="S431" s="34"/>
      <c r="T431" s="34" t="s">
        <v>3723</v>
      </c>
      <c r="U431" s="33" t="s">
        <v>4343</v>
      </c>
      <c r="V431" s="33" t="s">
        <v>8777</v>
      </c>
      <c r="W431" s="33"/>
      <c r="X431" s="33"/>
    </row>
    <row r="432" spans="1:24" ht="16.149999999999999" customHeight="1" x14ac:dyDescent="0.15">
      <c r="A432" s="6">
        <v>426</v>
      </c>
      <c r="B432" s="18" t="s">
        <v>75</v>
      </c>
      <c r="C432" s="43" t="s">
        <v>4267</v>
      </c>
      <c r="D432" s="43" t="s">
        <v>5057</v>
      </c>
      <c r="E432" s="36" t="s">
        <v>219</v>
      </c>
      <c r="F432" s="19">
        <v>9</v>
      </c>
      <c r="G432" s="6">
        <v>28</v>
      </c>
      <c r="H432" s="34" t="s">
        <v>7802</v>
      </c>
      <c r="I432" s="38" t="s">
        <v>171</v>
      </c>
      <c r="J432" s="38" t="s">
        <v>177</v>
      </c>
      <c r="K432" s="38" t="s">
        <v>173</v>
      </c>
      <c r="L432" s="6"/>
      <c r="M432" s="113"/>
      <c r="N432" s="45" t="s">
        <v>62</v>
      </c>
      <c r="O432" s="2" t="s">
        <v>62</v>
      </c>
      <c r="P432" s="38" t="str">
        <f>IFERROR(Table3335678[[#This Row],[Min Count]]/Table3335678[[#This Row],[Scalar]],"")</f>
        <v/>
      </c>
      <c r="Q432" s="36" t="str">
        <f>IFERROR(Table3335678[[#This Row],[Max Count]]/Table3335678[[#This Row],[Scalar]],"")</f>
        <v/>
      </c>
      <c r="R432" s="34"/>
      <c r="S432" s="34"/>
      <c r="T432" s="34" t="s">
        <v>3723</v>
      </c>
      <c r="U432" s="33" t="s">
        <v>4343</v>
      </c>
      <c r="V432" s="33" t="s">
        <v>8778</v>
      </c>
      <c r="W432" s="33"/>
      <c r="X432" s="33"/>
    </row>
    <row r="433" spans="1:24" ht="16.149999999999999" customHeight="1" x14ac:dyDescent="0.15">
      <c r="A433" s="6">
        <v>427</v>
      </c>
      <c r="B433" s="18" t="s">
        <v>75</v>
      </c>
      <c r="C433" s="43" t="s">
        <v>4267</v>
      </c>
      <c r="D433" s="43" t="s">
        <v>7803</v>
      </c>
      <c r="E433" s="36" t="s">
        <v>219</v>
      </c>
      <c r="F433" s="19">
        <v>9</v>
      </c>
      <c r="G433" s="6">
        <v>29</v>
      </c>
      <c r="H433" s="34" t="s">
        <v>7804</v>
      </c>
      <c r="I433" s="38" t="s">
        <v>171</v>
      </c>
      <c r="J433" s="38" t="s">
        <v>177</v>
      </c>
      <c r="K433" s="38" t="s">
        <v>173</v>
      </c>
      <c r="L433" s="6"/>
      <c r="M433" s="113"/>
      <c r="N433" s="45" t="s">
        <v>62</v>
      </c>
      <c r="O433" s="2" t="s">
        <v>62</v>
      </c>
      <c r="P433" s="38" t="str">
        <f>IFERROR(Table3335678[[#This Row],[Min Count]]/Table3335678[[#This Row],[Scalar]],"")</f>
        <v/>
      </c>
      <c r="Q433" s="36" t="str">
        <f>IFERROR(Table3335678[[#This Row],[Max Count]]/Table3335678[[#This Row],[Scalar]],"")</f>
        <v/>
      </c>
      <c r="R433" s="34"/>
      <c r="S433" s="34"/>
      <c r="T433" s="34" t="s">
        <v>3723</v>
      </c>
      <c r="U433" s="33" t="s">
        <v>4343</v>
      </c>
      <c r="V433" s="33" t="s">
        <v>8779</v>
      </c>
      <c r="W433" s="33"/>
      <c r="X433" s="33"/>
    </row>
    <row r="434" spans="1:24" ht="16.149999999999999" customHeight="1" x14ac:dyDescent="0.15">
      <c r="A434" s="6">
        <v>428</v>
      </c>
      <c r="B434" s="18" t="s">
        <v>75</v>
      </c>
      <c r="C434" s="43" t="s">
        <v>4267</v>
      </c>
      <c r="D434" s="43" t="s">
        <v>7805</v>
      </c>
      <c r="E434" s="36" t="s">
        <v>219</v>
      </c>
      <c r="F434" s="19">
        <v>9</v>
      </c>
      <c r="G434" s="6">
        <v>30</v>
      </c>
      <c r="H434" s="34" t="s">
        <v>7806</v>
      </c>
      <c r="I434" s="38" t="s">
        <v>171</v>
      </c>
      <c r="J434" s="38" t="s">
        <v>177</v>
      </c>
      <c r="K434" s="38" t="s">
        <v>173</v>
      </c>
      <c r="L434" s="6"/>
      <c r="M434" s="113"/>
      <c r="N434" s="45" t="s">
        <v>62</v>
      </c>
      <c r="O434" s="2" t="s">
        <v>62</v>
      </c>
      <c r="P434" s="38" t="str">
        <f>IFERROR(Table3335678[[#This Row],[Min Count]]/Table3335678[[#This Row],[Scalar]],"")</f>
        <v/>
      </c>
      <c r="Q434" s="36" t="str">
        <f>IFERROR(Table3335678[[#This Row],[Max Count]]/Table3335678[[#This Row],[Scalar]],"")</f>
        <v/>
      </c>
      <c r="R434" s="34"/>
      <c r="S434" s="34"/>
      <c r="T434" s="34" t="s">
        <v>3723</v>
      </c>
      <c r="U434" s="33" t="s">
        <v>4343</v>
      </c>
      <c r="V434" s="33" t="s">
        <v>8780</v>
      </c>
      <c r="W434" s="33"/>
      <c r="X434" s="33"/>
    </row>
    <row r="435" spans="1:24" ht="16.149999999999999" customHeight="1" x14ac:dyDescent="0.15">
      <c r="A435" s="6">
        <v>429</v>
      </c>
      <c r="B435" s="18" t="s">
        <v>75</v>
      </c>
      <c r="C435" s="43" t="s">
        <v>4267</v>
      </c>
      <c r="D435" s="43" t="s">
        <v>7807</v>
      </c>
      <c r="E435" s="36" t="s">
        <v>219</v>
      </c>
      <c r="F435" s="19">
        <v>9</v>
      </c>
      <c r="G435" s="6">
        <v>31</v>
      </c>
      <c r="H435" s="34" t="s">
        <v>7808</v>
      </c>
      <c r="I435" s="38" t="s">
        <v>171</v>
      </c>
      <c r="J435" s="38" t="s">
        <v>177</v>
      </c>
      <c r="K435" s="38" t="s">
        <v>173</v>
      </c>
      <c r="L435" s="6"/>
      <c r="M435" s="113"/>
      <c r="N435" s="45" t="s">
        <v>62</v>
      </c>
      <c r="O435" s="2" t="s">
        <v>62</v>
      </c>
      <c r="P435" s="38" t="str">
        <f>IFERROR(Table3335678[[#This Row],[Min Count]]/Table3335678[[#This Row],[Scalar]],"")</f>
        <v/>
      </c>
      <c r="Q435" s="36" t="str">
        <f>IFERROR(Table3335678[[#This Row],[Max Count]]/Table3335678[[#This Row],[Scalar]],"")</f>
        <v/>
      </c>
      <c r="R435" s="34"/>
      <c r="S435" s="34"/>
      <c r="T435" s="34" t="s">
        <v>3723</v>
      </c>
      <c r="U435" s="33" t="s">
        <v>4343</v>
      </c>
      <c r="V435" s="33" t="s">
        <v>8781</v>
      </c>
      <c r="W435" s="33"/>
      <c r="X435" s="33"/>
    </row>
    <row r="436" spans="1:24" ht="16.149999999999999" customHeight="1" x14ac:dyDescent="0.15">
      <c r="A436" s="6">
        <v>430</v>
      </c>
      <c r="B436" s="18" t="s">
        <v>75</v>
      </c>
      <c r="C436" s="43" t="s">
        <v>4267</v>
      </c>
      <c r="D436" s="43" t="s">
        <v>7809</v>
      </c>
      <c r="E436" s="36" t="s">
        <v>219</v>
      </c>
      <c r="F436" s="19">
        <v>10</v>
      </c>
      <c r="G436" s="6"/>
      <c r="H436" s="34" t="s">
        <v>3721</v>
      </c>
      <c r="I436" s="38" t="s">
        <v>196</v>
      </c>
      <c r="J436" s="38"/>
      <c r="K436" s="38"/>
      <c r="L436" s="6" t="s">
        <v>61</v>
      </c>
      <c r="M436" s="113">
        <v>1</v>
      </c>
      <c r="N436" s="45" t="s">
        <v>62</v>
      </c>
      <c r="O436" s="2" t="s">
        <v>62</v>
      </c>
      <c r="P436" s="38" t="str">
        <f>IFERROR(Table3335678[[#This Row],[Min Count]]/Table3335678[[#This Row],[Scalar]],"")</f>
        <v/>
      </c>
      <c r="Q436" s="36" t="str">
        <f>IFERROR(Table3335678[[#This Row],[Max Count]]/Table3335678[[#This Row],[Scalar]],"")</f>
        <v/>
      </c>
      <c r="R436" s="34"/>
      <c r="S436" s="34"/>
      <c r="T436" s="34" t="s">
        <v>3723</v>
      </c>
      <c r="U436" s="33" t="s">
        <v>3853</v>
      </c>
      <c r="V436" s="33" t="s">
        <v>8782</v>
      </c>
      <c r="W436" s="33"/>
      <c r="X436" s="33"/>
    </row>
    <row r="437" spans="1:24" ht="16.149999999999999" customHeight="1" x14ac:dyDescent="0.15">
      <c r="A437" s="6">
        <v>431</v>
      </c>
      <c r="B437" s="18" t="s">
        <v>75</v>
      </c>
      <c r="C437" s="43" t="s">
        <v>4267</v>
      </c>
      <c r="D437" s="43" t="s">
        <v>7810</v>
      </c>
      <c r="E437" s="36" t="s">
        <v>219</v>
      </c>
      <c r="F437" s="19">
        <v>10</v>
      </c>
      <c r="G437" s="6">
        <v>0</v>
      </c>
      <c r="H437" s="34" t="s">
        <v>7811</v>
      </c>
      <c r="I437" s="38" t="s">
        <v>171</v>
      </c>
      <c r="J437" s="38" t="s">
        <v>177</v>
      </c>
      <c r="K437" s="38" t="s">
        <v>173</v>
      </c>
      <c r="L437" s="6"/>
      <c r="M437" s="113"/>
      <c r="N437" s="45" t="s">
        <v>62</v>
      </c>
      <c r="O437" s="2" t="s">
        <v>62</v>
      </c>
      <c r="P437" s="38" t="str">
        <f>IFERROR(Table3335678[[#This Row],[Min Count]]/Table3335678[[#This Row],[Scalar]],"")</f>
        <v/>
      </c>
      <c r="Q437" s="36" t="str">
        <f>IFERROR(Table3335678[[#This Row],[Max Count]]/Table3335678[[#This Row],[Scalar]],"")</f>
        <v/>
      </c>
      <c r="R437" s="34"/>
      <c r="S437" s="34"/>
      <c r="T437" s="34" t="s">
        <v>3723</v>
      </c>
      <c r="U437" s="33" t="s">
        <v>4343</v>
      </c>
      <c r="V437" s="33" t="s">
        <v>8783</v>
      </c>
      <c r="W437" s="33"/>
      <c r="X437" s="33"/>
    </row>
    <row r="438" spans="1:24" ht="16.149999999999999" customHeight="1" x14ac:dyDescent="0.15">
      <c r="A438" s="6">
        <v>432</v>
      </c>
      <c r="B438" s="18" t="s">
        <v>75</v>
      </c>
      <c r="C438" s="43" t="s">
        <v>4267</v>
      </c>
      <c r="D438" s="43" t="s">
        <v>7810</v>
      </c>
      <c r="E438" s="36" t="s">
        <v>219</v>
      </c>
      <c r="F438" s="19">
        <v>10</v>
      </c>
      <c r="G438" s="6">
        <v>1</v>
      </c>
      <c r="H438" s="34" t="s">
        <v>7812</v>
      </c>
      <c r="I438" s="38" t="s">
        <v>171</v>
      </c>
      <c r="J438" s="38" t="s">
        <v>177</v>
      </c>
      <c r="K438" s="38" t="s">
        <v>173</v>
      </c>
      <c r="L438" s="6"/>
      <c r="M438" s="113"/>
      <c r="N438" s="45" t="s">
        <v>62</v>
      </c>
      <c r="O438" s="2" t="s">
        <v>62</v>
      </c>
      <c r="P438" s="38" t="str">
        <f>IFERROR(Table3335678[[#This Row],[Min Count]]/Table3335678[[#This Row],[Scalar]],"")</f>
        <v/>
      </c>
      <c r="Q438" s="36" t="str">
        <f>IFERROR(Table3335678[[#This Row],[Max Count]]/Table3335678[[#This Row],[Scalar]],"")</f>
        <v/>
      </c>
      <c r="R438" s="34"/>
      <c r="S438" s="34"/>
      <c r="T438" s="34" t="s">
        <v>3723</v>
      </c>
      <c r="U438" s="33" t="s">
        <v>4343</v>
      </c>
      <c r="V438" s="33" t="s">
        <v>8783</v>
      </c>
      <c r="W438" s="33"/>
      <c r="X438" s="33"/>
    </row>
    <row r="439" spans="1:24" ht="16.149999999999999" customHeight="1" x14ac:dyDescent="0.15">
      <c r="A439" s="6">
        <v>433</v>
      </c>
      <c r="B439" s="18" t="s">
        <v>75</v>
      </c>
      <c r="C439" s="43" t="s">
        <v>4267</v>
      </c>
      <c r="D439" s="43" t="s">
        <v>5110</v>
      </c>
      <c r="E439" s="36" t="s">
        <v>219</v>
      </c>
      <c r="F439" s="19">
        <v>10</v>
      </c>
      <c r="G439" s="6">
        <v>2</v>
      </c>
      <c r="H439" s="34" t="s">
        <v>7813</v>
      </c>
      <c r="I439" s="38" t="s">
        <v>171</v>
      </c>
      <c r="J439" s="38" t="s">
        <v>177</v>
      </c>
      <c r="K439" s="38" t="s">
        <v>173</v>
      </c>
      <c r="L439" s="6"/>
      <c r="M439" s="113"/>
      <c r="N439" s="45" t="s">
        <v>62</v>
      </c>
      <c r="O439" s="2" t="s">
        <v>62</v>
      </c>
      <c r="P439" s="38" t="str">
        <f>IFERROR(Table3335678[[#This Row],[Min Count]]/Table3335678[[#This Row],[Scalar]],"")</f>
        <v/>
      </c>
      <c r="Q439" s="36" t="str">
        <f>IFERROR(Table3335678[[#This Row],[Max Count]]/Table3335678[[#This Row],[Scalar]],"")</f>
        <v/>
      </c>
      <c r="R439" s="34"/>
      <c r="S439" s="34"/>
      <c r="T439" s="34" t="s">
        <v>3723</v>
      </c>
      <c r="U439" s="33" t="s">
        <v>4343</v>
      </c>
      <c r="V439" s="33" t="s">
        <v>8784</v>
      </c>
      <c r="W439" s="33"/>
      <c r="X439" s="33"/>
    </row>
    <row r="440" spans="1:24" ht="16.149999999999999" customHeight="1" x14ac:dyDescent="0.15">
      <c r="A440" s="6">
        <v>434</v>
      </c>
      <c r="B440" s="18" t="s">
        <v>75</v>
      </c>
      <c r="C440" s="43" t="s">
        <v>4267</v>
      </c>
      <c r="D440" s="43" t="s">
        <v>5110</v>
      </c>
      <c r="E440" s="36" t="s">
        <v>219</v>
      </c>
      <c r="F440" s="19">
        <v>10</v>
      </c>
      <c r="G440" s="6">
        <v>3</v>
      </c>
      <c r="H440" s="34" t="s">
        <v>7814</v>
      </c>
      <c r="I440" s="38" t="s">
        <v>171</v>
      </c>
      <c r="J440" s="38" t="s">
        <v>177</v>
      </c>
      <c r="K440" s="38" t="s">
        <v>173</v>
      </c>
      <c r="L440" s="6"/>
      <c r="M440" s="113"/>
      <c r="N440" s="45" t="s">
        <v>62</v>
      </c>
      <c r="O440" s="2" t="s">
        <v>62</v>
      </c>
      <c r="P440" s="38" t="str">
        <f>IFERROR(Table3335678[[#This Row],[Min Count]]/Table3335678[[#This Row],[Scalar]],"")</f>
        <v/>
      </c>
      <c r="Q440" s="36" t="str">
        <f>IFERROR(Table3335678[[#This Row],[Max Count]]/Table3335678[[#This Row],[Scalar]],"")</f>
        <v/>
      </c>
      <c r="R440" s="34"/>
      <c r="S440" s="34"/>
      <c r="T440" s="34" t="s">
        <v>3723</v>
      </c>
      <c r="U440" s="33" t="s">
        <v>4343</v>
      </c>
      <c r="V440" s="33" t="s">
        <v>8784</v>
      </c>
      <c r="W440" s="33"/>
      <c r="X440" s="33"/>
    </row>
    <row r="441" spans="1:24" ht="16.149999999999999" customHeight="1" x14ac:dyDescent="0.15">
      <c r="A441" s="6">
        <v>435</v>
      </c>
      <c r="B441" s="18" t="s">
        <v>75</v>
      </c>
      <c r="C441" s="43" t="s">
        <v>4267</v>
      </c>
      <c r="D441" s="43" t="s">
        <v>5033</v>
      </c>
      <c r="E441" s="36" t="s">
        <v>219</v>
      </c>
      <c r="F441" s="19">
        <v>10</v>
      </c>
      <c r="G441" s="6">
        <v>4</v>
      </c>
      <c r="H441" s="34" t="s">
        <v>7815</v>
      </c>
      <c r="I441" s="38" t="s">
        <v>171</v>
      </c>
      <c r="J441" s="38" t="s">
        <v>177</v>
      </c>
      <c r="K441" s="38" t="s">
        <v>173</v>
      </c>
      <c r="L441" s="6"/>
      <c r="M441" s="113"/>
      <c r="N441" s="45" t="s">
        <v>62</v>
      </c>
      <c r="O441" s="2" t="s">
        <v>62</v>
      </c>
      <c r="P441" s="38" t="str">
        <f>IFERROR(Table3335678[[#This Row],[Min Count]]/Table3335678[[#This Row],[Scalar]],"")</f>
        <v/>
      </c>
      <c r="Q441" s="36" t="str">
        <f>IFERROR(Table3335678[[#This Row],[Max Count]]/Table3335678[[#This Row],[Scalar]],"")</f>
        <v/>
      </c>
      <c r="R441" s="34"/>
      <c r="S441" s="34"/>
      <c r="T441" s="34" t="s">
        <v>3723</v>
      </c>
      <c r="U441" s="33" t="s">
        <v>4343</v>
      </c>
      <c r="V441" s="33" t="s">
        <v>8785</v>
      </c>
      <c r="W441" s="33"/>
      <c r="X441" s="33"/>
    </row>
    <row r="442" spans="1:24" ht="16.149999999999999" customHeight="1" x14ac:dyDescent="0.15">
      <c r="A442" s="6">
        <v>436</v>
      </c>
      <c r="B442" s="18" t="s">
        <v>75</v>
      </c>
      <c r="C442" s="43" t="s">
        <v>4267</v>
      </c>
      <c r="D442" s="43" t="s">
        <v>7816</v>
      </c>
      <c r="E442" s="36" t="s">
        <v>219</v>
      </c>
      <c r="F442" s="19">
        <v>10</v>
      </c>
      <c r="G442" s="6">
        <v>5</v>
      </c>
      <c r="H442" s="34" t="s">
        <v>7817</v>
      </c>
      <c r="I442" s="38" t="s">
        <v>171</v>
      </c>
      <c r="J442" s="38" t="s">
        <v>177</v>
      </c>
      <c r="K442" s="38" t="s">
        <v>173</v>
      </c>
      <c r="L442" s="6"/>
      <c r="M442" s="113"/>
      <c r="N442" s="45" t="s">
        <v>62</v>
      </c>
      <c r="O442" s="2" t="s">
        <v>62</v>
      </c>
      <c r="P442" s="38" t="str">
        <f>IFERROR(Table3335678[[#This Row],[Min Count]]/Table3335678[[#This Row],[Scalar]],"")</f>
        <v/>
      </c>
      <c r="Q442" s="36" t="str">
        <f>IFERROR(Table3335678[[#This Row],[Max Count]]/Table3335678[[#This Row],[Scalar]],"")</f>
        <v/>
      </c>
      <c r="R442" s="34"/>
      <c r="S442" s="34"/>
      <c r="T442" s="34" t="s">
        <v>3723</v>
      </c>
      <c r="U442" s="33" t="s">
        <v>4343</v>
      </c>
      <c r="V442" s="33" t="s">
        <v>8786</v>
      </c>
      <c r="W442" s="33"/>
      <c r="X442" s="33"/>
    </row>
    <row r="443" spans="1:24" ht="16.149999999999999" customHeight="1" x14ac:dyDescent="0.15">
      <c r="A443" s="6">
        <v>437</v>
      </c>
      <c r="B443" s="18" t="s">
        <v>75</v>
      </c>
      <c r="C443" s="43" t="s">
        <v>4267</v>
      </c>
      <c r="D443" s="43" t="s">
        <v>5030</v>
      </c>
      <c r="E443" s="36" t="s">
        <v>219</v>
      </c>
      <c r="F443" s="19">
        <v>10</v>
      </c>
      <c r="G443" s="6">
        <v>6</v>
      </c>
      <c r="H443" s="34" t="s">
        <v>7818</v>
      </c>
      <c r="I443" s="38" t="s">
        <v>171</v>
      </c>
      <c r="J443" s="38" t="s">
        <v>177</v>
      </c>
      <c r="K443" s="38" t="s">
        <v>173</v>
      </c>
      <c r="L443" s="6"/>
      <c r="M443" s="113"/>
      <c r="N443" s="45" t="s">
        <v>62</v>
      </c>
      <c r="O443" s="2" t="s">
        <v>62</v>
      </c>
      <c r="P443" s="38" t="str">
        <f>IFERROR(Table3335678[[#This Row],[Min Count]]/Table3335678[[#This Row],[Scalar]],"")</f>
        <v/>
      </c>
      <c r="Q443" s="36" t="str">
        <f>IFERROR(Table3335678[[#This Row],[Max Count]]/Table3335678[[#This Row],[Scalar]],"")</f>
        <v/>
      </c>
      <c r="R443" s="34"/>
      <c r="S443" s="34"/>
      <c r="T443" s="34" t="s">
        <v>3723</v>
      </c>
      <c r="U443" s="33" t="s">
        <v>4343</v>
      </c>
      <c r="V443" s="33" t="s">
        <v>8787</v>
      </c>
      <c r="W443" s="33"/>
      <c r="X443" s="33"/>
    </row>
    <row r="444" spans="1:24" ht="16.149999999999999" customHeight="1" x14ac:dyDescent="0.15">
      <c r="A444" s="6">
        <v>438</v>
      </c>
      <c r="B444" s="18" t="s">
        <v>75</v>
      </c>
      <c r="C444" s="43" t="s">
        <v>4267</v>
      </c>
      <c r="D444" s="43" t="s">
        <v>7819</v>
      </c>
      <c r="E444" s="36" t="s">
        <v>219</v>
      </c>
      <c r="F444" s="19">
        <v>10</v>
      </c>
      <c r="G444" s="6">
        <v>7</v>
      </c>
      <c r="H444" s="34" t="s">
        <v>7820</v>
      </c>
      <c r="I444" s="38" t="s">
        <v>171</v>
      </c>
      <c r="J444" s="38" t="s">
        <v>177</v>
      </c>
      <c r="K444" s="38" t="s">
        <v>173</v>
      </c>
      <c r="L444" s="6"/>
      <c r="M444" s="113"/>
      <c r="N444" s="45" t="s">
        <v>62</v>
      </c>
      <c r="O444" s="2" t="s">
        <v>62</v>
      </c>
      <c r="P444" s="38" t="str">
        <f>IFERROR(Table3335678[[#This Row],[Min Count]]/Table3335678[[#This Row],[Scalar]],"")</f>
        <v/>
      </c>
      <c r="Q444" s="36" t="str">
        <f>IFERROR(Table3335678[[#This Row],[Max Count]]/Table3335678[[#This Row],[Scalar]],"")</f>
        <v/>
      </c>
      <c r="R444" s="34"/>
      <c r="S444" s="34"/>
      <c r="T444" s="34" t="s">
        <v>3723</v>
      </c>
      <c r="U444" s="33" t="s">
        <v>4343</v>
      </c>
      <c r="V444" s="33" t="s">
        <v>8788</v>
      </c>
      <c r="W444" s="33"/>
      <c r="X444" s="33"/>
    </row>
    <row r="445" spans="1:24" ht="16.149999999999999" customHeight="1" x14ac:dyDescent="0.15">
      <c r="A445" s="6">
        <v>439</v>
      </c>
      <c r="B445" s="18" t="s">
        <v>75</v>
      </c>
      <c r="C445" s="43" t="s">
        <v>4267</v>
      </c>
      <c r="D445" s="43" t="s">
        <v>7821</v>
      </c>
      <c r="E445" s="36" t="s">
        <v>219</v>
      </c>
      <c r="F445" s="19">
        <v>10</v>
      </c>
      <c r="G445" s="6">
        <v>8</v>
      </c>
      <c r="H445" s="34" t="s">
        <v>7822</v>
      </c>
      <c r="I445" s="38" t="s">
        <v>171</v>
      </c>
      <c r="J445" s="38" t="s">
        <v>177</v>
      </c>
      <c r="K445" s="38" t="s">
        <v>173</v>
      </c>
      <c r="L445" s="6"/>
      <c r="M445" s="113"/>
      <c r="N445" s="45" t="s">
        <v>62</v>
      </c>
      <c r="O445" s="2" t="s">
        <v>62</v>
      </c>
      <c r="P445" s="38" t="str">
        <f>IFERROR(Table3335678[[#This Row],[Min Count]]/Table3335678[[#This Row],[Scalar]],"")</f>
        <v/>
      </c>
      <c r="Q445" s="36" t="str">
        <f>IFERROR(Table3335678[[#This Row],[Max Count]]/Table3335678[[#This Row],[Scalar]],"")</f>
        <v/>
      </c>
      <c r="R445" s="34"/>
      <c r="S445" s="34"/>
      <c r="T445" s="34" t="s">
        <v>3723</v>
      </c>
      <c r="U445" s="33" t="s">
        <v>4343</v>
      </c>
      <c r="V445" s="33" t="s">
        <v>8789</v>
      </c>
      <c r="W445" s="33"/>
      <c r="X445" s="33"/>
    </row>
    <row r="446" spans="1:24" ht="16.149999999999999" customHeight="1" x14ac:dyDescent="0.15">
      <c r="A446" s="6">
        <v>440</v>
      </c>
      <c r="B446" s="18" t="s">
        <v>75</v>
      </c>
      <c r="C446" s="43" t="s">
        <v>4267</v>
      </c>
      <c r="D446" s="43" t="s">
        <v>7823</v>
      </c>
      <c r="E446" s="36" t="s">
        <v>219</v>
      </c>
      <c r="F446" s="19">
        <v>10</v>
      </c>
      <c r="G446" s="6">
        <v>9</v>
      </c>
      <c r="H446" s="34" t="s">
        <v>7824</v>
      </c>
      <c r="I446" s="38" t="s">
        <v>171</v>
      </c>
      <c r="J446" s="38" t="s">
        <v>177</v>
      </c>
      <c r="K446" s="38" t="s">
        <v>173</v>
      </c>
      <c r="L446" s="6"/>
      <c r="M446" s="113"/>
      <c r="N446" s="45" t="s">
        <v>62</v>
      </c>
      <c r="O446" s="2" t="s">
        <v>62</v>
      </c>
      <c r="P446" s="38" t="str">
        <f>IFERROR(Table3335678[[#This Row],[Min Count]]/Table3335678[[#This Row],[Scalar]],"")</f>
        <v/>
      </c>
      <c r="Q446" s="36" t="str">
        <f>IFERROR(Table3335678[[#This Row],[Max Count]]/Table3335678[[#This Row],[Scalar]],"")</f>
        <v/>
      </c>
      <c r="R446" s="34"/>
      <c r="S446" s="34"/>
      <c r="T446" s="34" t="s">
        <v>3723</v>
      </c>
      <c r="U446" s="33" t="s">
        <v>4343</v>
      </c>
      <c r="V446" s="33" t="s">
        <v>8790</v>
      </c>
      <c r="W446" s="33"/>
      <c r="X446" s="33"/>
    </row>
    <row r="447" spans="1:24" ht="16.149999999999999" customHeight="1" x14ac:dyDescent="0.15">
      <c r="A447" s="6">
        <v>441</v>
      </c>
      <c r="B447" s="18" t="s">
        <v>75</v>
      </c>
      <c r="C447" s="43" t="s">
        <v>4267</v>
      </c>
      <c r="D447" s="43" t="s">
        <v>5107</v>
      </c>
      <c r="E447" s="36" t="s">
        <v>219</v>
      </c>
      <c r="F447" s="19">
        <v>10</v>
      </c>
      <c r="G447" s="6">
        <v>10</v>
      </c>
      <c r="H447" s="34" t="s">
        <v>7825</v>
      </c>
      <c r="I447" s="38" t="s">
        <v>171</v>
      </c>
      <c r="J447" s="38" t="s">
        <v>177</v>
      </c>
      <c r="K447" s="38" t="s">
        <v>173</v>
      </c>
      <c r="L447" s="6"/>
      <c r="M447" s="113"/>
      <c r="N447" s="45" t="s">
        <v>62</v>
      </c>
      <c r="O447" s="2" t="s">
        <v>62</v>
      </c>
      <c r="P447" s="38" t="str">
        <f>IFERROR(Table3335678[[#This Row],[Min Count]]/Table3335678[[#This Row],[Scalar]],"")</f>
        <v/>
      </c>
      <c r="Q447" s="36" t="str">
        <f>IFERROR(Table3335678[[#This Row],[Max Count]]/Table3335678[[#This Row],[Scalar]],"")</f>
        <v/>
      </c>
      <c r="R447" s="34"/>
      <c r="S447" s="34"/>
      <c r="T447" s="34" t="s">
        <v>3723</v>
      </c>
      <c r="U447" s="33" t="s">
        <v>4343</v>
      </c>
      <c r="V447" s="33" t="s">
        <v>8791</v>
      </c>
      <c r="W447" s="33"/>
      <c r="X447" s="33"/>
    </row>
    <row r="448" spans="1:24" ht="16.149999999999999" customHeight="1" x14ac:dyDescent="0.15">
      <c r="A448" s="6">
        <v>442</v>
      </c>
      <c r="B448" s="18" t="s">
        <v>75</v>
      </c>
      <c r="C448" s="43" t="s">
        <v>4267</v>
      </c>
      <c r="D448" s="43" t="s">
        <v>5104</v>
      </c>
      <c r="E448" s="36" t="s">
        <v>219</v>
      </c>
      <c r="F448" s="19">
        <v>10</v>
      </c>
      <c r="G448" s="6">
        <v>11</v>
      </c>
      <c r="H448" s="34" t="s">
        <v>7826</v>
      </c>
      <c r="I448" s="38" t="s">
        <v>171</v>
      </c>
      <c r="J448" s="38" t="s">
        <v>177</v>
      </c>
      <c r="K448" s="38" t="s">
        <v>173</v>
      </c>
      <c r="L448" s="6"/>
      <c r="M448" s="113"/>
      <c r="N448" s="45" t="s">
        <v>62</v>
      </c>
      <c r="O448" s="2" t="s">
        <v>62</v>
      </c>
      <c r="P448" s="38" t="str">
        <f>IFERROR(Table3335678[[#This Row],[Min Count]]/Table3335678[[#This Row],[Scalar]],"")</f>
        <v/>
      </c>
      <c r="Q448" s="36" t="str">
        <f>IFERROR(Table3335678[[#This Row],[Max Count]]/Table3335678[[#This Row],[Scalar]],"")</f>
        <v/>
      </c>
      <c r="R448" s="34"/>
      <c r="S448" s="34"/>
      <c r="T448" s="34" t="s">
        <v>3723</v>
      </c>
      <c r="U448" s="33" t="s">
        <v>4343</v>
      </c>
      <c r="V448" s="33" t="s">
        <v>8792</v>
      </c>
      <c r="W448" s="33"/>
      <c r="X448" s="33"/>
    </row>
    <row r="449" spans="1:24" ht="16.149999999999999" customHeight="1" x14ac:dyDescent="0.15">
      <c r="A449" s="6">
        <v>443</v>
      </c>
      <c r="B449" s="18" t="s">
        <v>75</v>
      </c>
      <c r="C449" s="43" t="s">
        <v>4267</v>
      </c>
      <c r="D449" s="43" t="s">
        <v>7827</v>
      </c>
      <c r="E449" s="36" t="s">
        <v>219</v>
      </c>
      <c r="F449" s="19">
        <v>10</v>
      </c>
      <c r="G449" s="6">
        <v>12</v>
      </c>
      <c r="H449" s="34" t="s">
        <v>7828</v>
      </c>
      <c r="I449" s="38" t="s">
        <v>171</v>
      </c>
      <c r="J449" s="38" t="s">
        <v>177</v>
      </c>
      <c r="K449" s="38" t="s">
        <v>173</v>
      </c>
      <c r="L449" s="6"/>
      <c r="M449" s="113"/>
      <c r="N449" s="45" t="s">
        <v>62</v>
      </c>
      <c r="O449" s="2" t="s">
        <v>62</v>
      </c>
      <c r="P449" s="38" t="str">
        <f>IFERROR(Table3335678[[#This Row],[Min Count]]/Table3335678[[#This Row],[Scalar]],"")</f>
        <v/>
      </c>
      <c r="Q449" s="36" t="str">
        <f>IFERROR(Table3335678[[#This Row],[Max Count]]/Table3335678[[#This Row],[Scalar]],"")</f>
        <v/>
      </c>
      <c r="R449" s="34"/>
      <c r="S449" s="34"/>
      <c r="T449" s="34" t="s">
        <v>3723</v>
      </c>
      <c r="U449" s="33" t="s">
        <v>4343</v>
      </c>
      <c r="V449" s="33" t="s">
        <v>8793</v>
      </c>
      <c r="W449" s="33"/>
      <c r="X449" s="33"/>
    </row>
    <row r="450" spans="1:24" ht="16.149999999999999" customHeight="1" x14ac:dyDescent="0.15">
      <c r="A450" s="6">
        <v>444</v>
      </c>
      <c r="B450" s="18" t="s">
        <v>75</v>
      </c>
      <c r="C450" s="43" t="s">
        <v>4267</v>
      </c>
      <c r="D450" s="43" t="s">
        <v>7829</v>
      </c>
      <c r="E450" s="36" t="s">
        <v>219</v>
      </c>
      <c r="F450" s="19">
        <v>10</v>
      </c>
      <c r="G450" s="6">
        <v>13</v>
      </c>
      <c r="H450" s="34" t="s">
        <v>7830</v>
      </c>
      <c r="I450" s="38" t="s">
        <v>171</v>
      </c>
      <c r="J450" s="38" t="s">
        <v>177</v>
      </c>
      <c r="K450" s="38" t="s">
        <v>173</v>
      </c>
      <c r="L450" s="6"/>
      <c r="M450" s="113"/>
      <c r="N450" s="45" t="s">
        <v>62</v>
      </c>
      <c r="O450" s="2" t="s">
        <v>62</v>
      </c>
      <c r="P450" s="38" t="str">
        <f>IFERROR(Table3335678[[#This Row],[Min Count]]/Table3335678[[#This Row],[Scalar]],"")</f>
        <v/>
      </c>
      <c r="Q450" s="36" t="str">
        <f>IFERROR(Table3335678[[#This Row],[Max Count]]/Table3335678[[#This Row],[Scalar]],"")</f>
        <v/>
      </c>
      <c r="R450" s="34"/>
      <c r="S450" s="34"/>
      <c r="T450" s="34" t="s">
        <v>3723</v>
      </c>
      <c r="U450" s="33" t="s">
        <v>4343</v>
      </c>
      <c r="V450" s="33" t="s">
        <v>8794</v>
      </c>
      <c r="W450" s="33"/>
      <c r="X450" s="33"/>
    </row>
    <row r="451" spans="1:24" ht="16.149999999999999" customHeight="1" x14ac:dyDescent="0.15">
      <c r="A451" s="6">
        <v>445</v>
      </c>
      <c r="B451" s="18" t="s">
        <v>75</v>
      </c>
      <c r="C451" s="43" t="s">
        <v>4267</v>
      </c>
      <c r="D451" s="43" t="s">
        <v>7831</v>
      </c>
      <c r="E451" s="36" t="s">
        <v>219</v>
      </c>
      <c r="F451" s="19">
        <v>10</v>
      </c>
      <c r="G451" s="6">
        <v>14</v>
      </c>
      <c r="H451" s="34" t="s">
        <v>7832</v>
      </c>
      <c r="I451" s="38" t="s">
        <v>171</v>
      </c>
      <c r="J451" s="38" t="s">
        <v>177</v>
      </c>
      <c r="K451" s="38" t="s">
        <v>173</v>
      </c>
      <c r="L451" s="6"/>
      <c r="M451" s="113"/>
      <c r="N451" s="45" t="s">
        <v>62</v>
      </c>
      <c r="O451" s="2" t="s">
        <v>62</v>
      </c>
      <c r="P451" s="38" t="str">
        <f>IFERROR(Table3335678[[#This Row],[Min Count]]/Table3335678[[#This Row],[Scalar]],"")</f>
        <v/>
      </c>
      <c r="Q451" s="36" t="str">
        <f>IFERROR(Table3335678[[#This Row],[Max Count]]/Table3335678[[#This Row],[Scalar]],"")</f>
        <v/>
      </c>
      <c r="R451" s="34"/>
      <c r="S451" s="34"/>
      <c r="T451" s="34" t="s">
        <v>3723</v>
      </c>
      <c r="U451" s="33" t="s">
        <v>4343</v>
      </c>
      <c r="V451" s="33" t="s">
        <v>8795</v>
      </c>
      <c r="W451" s="33"/>
      <c r="X451" s="33"/>
    </row>
    <row r="452" spans="1:24" ht="16.149999999999999" customHeight="1" x14ac:dyDescent="0.15">
      <c r="A452" s="6">
        <v>446</v>
      </c>
      <c r="B452" s="18" t="s">
        <v>75</v>
      </c>
      <c r="C452" s="43" t="s">
        <v>4267</v>
      </c>
      <c r="D452" s="43" t="s">
        <v>7833</v>
      </c>
      <c r="E452" s="36" t="s">
        <v>219</v>
      </c>
      <c r="F452" s="19">
        <v>10</v>
      </c>
      <c r="G452" s="6">
        <v>15</v>
      </c>
      <c r="H452" s="34" t="s">
        <v>7834</v>
      </c>
      <c r="I452" s="38" t="s">
        <v>171</v>
      </c>
      <c r="J452" s="38" t="s">
        <v>177</v>
      </c>
      <c r="K452" s="38" t="s">
        <v>173</v>
      </c>
      <c r="L452" s="6"/>
      <c r="M452" s="113"/>
      <c r="N452" s="45" t="s">
        <v>62</v>
      </c>
      <c r="O452" s="2" t="s">
        <v>62</v>
      </c>
      <c r="P452" s="38" t="str">
        <f>IFERROR(Table3335678[[#This Row],[Min Count]]/Table3335678[[#This Row],[Scalar]],"")</f>
        <v/>
      </c>
      <c r="Q452" s="36" t="str">
        <f>IFERROR(Table3335678[[#This Row],[Max Count]]/Table3335678[[#This Row],[Scalar]],"")</f>
        <v/>
      </c>
      <c r="R452" s="34"/>
      <c r="S452" s="34"/>
      <c r="T452" s="34" t="s">
        <v>3723</v>
      </c>
      <c r="U452" s="33" t="s">
        <v>4343</v>
      </c>
      <c r="V452" s="33" t="s">
        <v>8796</v>
      </c>
      <c r="W452" s="33"/>
      <c r="X452" s="33"/>
    </row>
    <row r="453" spans="1:24" ht="16.149999999999999" customHeight="1" x14ac:dyDescent="0.15">
      <c r="A453" s="6">
        <v>447</v>
      </c>
      <c r="B453" s="18" t="s">
        <v>75</v>
      </c>
      <c r="C453" s="43" t="s">
        <v>4267</v>
      </c>
      <c r="D453" s="43" t="s">
        <v>5077</v>
      </c>
      <c r="E453" s="36" t="s">
        <v>219</v>
      </c>
      <c r="F453" s="19">
        <v>10</v>
      </c>
      <c r="G453" s="6">
        <v>16</v>
      </c>
      <c r="H453" s="34" t="s">
        <v>7835</v>
      </c>
      <c r="I453" s="38" t="s">
        <v>171</v>
      </c>
      <c r="J453" s="38" t="s">
        <v>177</v>
      </c>
      <c r="K453" s="38" t="s">
        <v>173</v>
      </c>
      <c r="L453" s="6"/>
      <c r="M453" s="113"/>
      <c r="N453" s="45" t="s">
        <v>62</v>
      </c>
      <c r="O453" s="2" t="s">
        <v>62</v>
      </c>
      <c r="P453" s="38" t="str">
        <f>IFERROR(Table3335678[[#This Row],[Min Count]]/Table3335678[[#This Row],[Scalar]],"")</f>
        <v/>
      </c>
      <c r="Q453" s="36" t="str">
        <f>IFERROR(Table3335678[[#This Row],[Max Count]]/Table3335678[[#This Row],[Scalar]],"")</f>
        <v/>
      </c>
      <c r="R453" s="34"/>
      <c r="S453" s="34"/>
      <c r="T453" s="34" t="s">
        <v>3723</v>
      </c>
      <c r="U453" s="33" t="s">
        <v>4343</v>
      </c>
      <c r="V453" s="33" t="s">
        <v>8797</v>
      </c>
      <c r="W453" s="33"/>
      <c r="X453" s="33"/>
    </row>
    <row r="454" spans="1:24" ht="16.149999999999999" customHeight="1" x14ac:dyDescent="0.15">
      <c r="A454" s="6">
        <v>448</v>
      </c>
      <c r="B454" s="18" t="s">
        <v>75</v>
      </c>
      <c r="C454" s="43" t="s">
        <v>4267</v>
      </c>
      <c r="D454" s="43" t="s">
        <v>7836</v>
      </c>
      <c r="E454" s="36" t="s">
        <v>219</v>
      </c>
      <c r="F454" s="19">
        <v>10</v>
      </c>
      <c r="G454" s="6">
        <v>17</v>
      </c>
      <c r="H454" s="34" t="s">
        <v>7837</v>
      </c>
      <c r="I454" s="38" t="s">
        <v>171</v>
      </c>
      <c r="J454" s="38" t="s">
        <v>177</v>
      </c>
      <c r="K454" s="38" t="s">
        <v>173</v>
      </c>
      <c r="L454" s="6"/>
      <c r="M454" s="113"/>
      <c r="N454" s="45" t="s">
        <v>62</v>
      </c>
      <c r="O454" s="2" t="s">
        <v>62</v>
      </c>
      <c r="P454" s="38" t="str">
        <f>IFERROR(Table3335678[[#This Row],[Min Count]]/Table3335678[[#This Row],[Scalar]],"")</f>
        <v/>
      </c>
      <c r="Q454" s="36" t="str">
        <f>IFERROR(Table3335678[[#This Row],[Max Count]]/Table3335678[[#This Row],[Scalar]],"")</f>
        <v/>
      </c>
      <c r="R454" s="34"/>
      <c r="S454" s="34"/>
      <c r="T454" s="34" t="s">
        <v>3723</v>
      </c>
      <c r="U454" s="33" t="s">
        <v>4343</v>
      </c>
      <c r="V454" s="33" t="s">
        <v>8798</v>
      </c>
      <c r="W454" s="33"/>
      <c r="X454" s="33"/>
    </row>
    <row r="455" spans="1:24" ht="16.149999999999999" customHeight="1" x14ac:dyDescent="0.15">
      <c r="A455" s="6">
        <v>449</v>
      </c>
      <c r="B455" s="18" t="s">
        <v>75</v>
      </c>
      <c r="C455" s="43" t="s">
        <v>4267</v>
      </c>
      <c r="D455" s="43" t="s">
        <v>7838</v>
      </c>
      <c r="E455" s="36" t="s">
        <v>219</v>
      </c>
      <c r="F455" s="19">
        <v>10</v>
      </c>
      <c r="G455" s="6">
        <v>18</v>
      </c>
      <c r="H455" s="34" t="s">
        <v>7839</v>
      </c>
      <c r="I455" s="38" t="s">
        <v>171</v>
      </c>
      <c r="J455" s="38" t="s">
        <v>177</v>
      </c>
      <c r="K455" s="38" t="s">
        <v>173</v>
      </c>
      <c r="L455" s="6"/>
      <c r="M455" s="113"/>
      <c r="N455" s="45" t="s">
        <v>62</v>
      </c>
      <c r="O455" s="2" t="s">
        <v>62</v>
      </c>
      <c r="P455" s="38" t="str">
        <f>IFERROR(Table3335678[[#This Row],[Min Count]]/Table3335678[[#This Row],[Scalar]],"")</f>
        <v/>
      </c>
      <c r="Q455" s="36" t="str">
        <f>IFERROR(Table3335678[[#This Row],[Max Count]]/Table3335678[[#This Row],[Scalar]],"")</f>
        <v/>
      </c>
      <c r="R455" s="34"/>
      <c r="S455" s="34"/>
      <c r="T455" s="34" t="s">
        <v>3723</v>
      </c>
      <c r="U455" s="33" t="s">
        <v>4343</v>
      </c>
      <c r="V455" s="33" t="s">
        <v>8799</v>
      </c>
      <c r="W455" s="33"/>
      <c r="X455" s="33"/>
    </row>
    <row r="456" spans="1:24" ht="16.149999999999999" customHeight="1" x14ac:dyDescent="0.15">
      <c r="A456" s="6">
        <v>450</v>
      </c>
      <c r="B456" s="18" t="s">
        <v>75</v>
      </c>
      <c r="C456" s="43" t="s">
        <v>4267</v>
      </c>
      <c r="D456" s="43" t="s">
        <v>5125</v>
      </c>
      <c r="E456" s="36" t="s">
        <v>219</v>
      </c>
      <c r="F456" s="19">
        <v>10</v>
      </c>
      <c r="G456" s="6">
        <v>19</v>
      </c>
      <c r="H456" s="34" t="s">
        <v>7840</v>
      </c>
      <c r="I456" s="38" t="s">
        <v>171</v>
      </c>
      <c r="J456" s="38" t="s">
        <v>177</v>
      </c>
      <c r="K456" s="38" t="s">
        <v>173</v>
      </c>
      <c r="L456" s="6"/>
      <c r="M456" s="113"/>
      <c r="N456" s="45" t="s">
        <v>62</v>
      </c>
      <c r="O456" s="2" t="s">
        <v>62</v>
      </c>
      <c r="P456" s="38" t="str">
        <f>IFERROR(Table3335678[[#This Row],[Min Count]]/Table3335678[[#This Row],[Scalar]],"")</f>
        <v/>
      </c>
      <c r="Q456" s="36" t="str">
        <f>IFERROR(Table3335678[[#This Row],[Max Count]]/Table3335678[[#This Row],[Scalar]],"")</f>
        <v/>
      </c>
      <c r="R456" s="34"/>
      <c r="S456" s="34"/>
      <c r="T456" s="34" t="s">
        <v>3723</v>
      </c>
      <c r="U456" s="33" t="s">
        <v>4343</v>
      </c>
      <c r="V456" s="33" t="s">
        <v>8800</v>
      </c>
      <c r="W456" s="33"/>
      <c r="X456" s="33"/>
    </row>
    <row r="457" spans="1:24" ht="16.149999999999999" customHeight="1" x14ac:dyDescent="0.15">
      <c r="A457" s="6">
        <v>451</v>
      </c>
      <c r="B457" s="18" t="s">
        <v>75</v>
      </c>
      <c r="C457" s="43" t="s">
        <v>4267</v>
      </c>
      <c r="D457" s="43" t="s">
        <v>7841</v>
      </c>
      <c r="E457" s="36" t="s">
        <v>219</v>
      </c>
      <c r="F457" s="19">
        <v>10</v>
      </c>
      <c r="G457" s="6">
        <v>20</v>
      </c>
      <c r="H457" s="34" t="s">
        <v>7842</v>
      </c>
      <c r="I457" s="38" t="s">
        <v>171</v>
      </c>
      <c r="J457" s="38" t="s">
        <v>177</v>
      </c>
      <c r="K457" s="38" t="s">
        <v>173</v>
      </c>
      <c r="L457" s="6"/>
      <c r="M457" s="113"/>
      <c r="N457" s="45" t="s">
        <v>62</v>
      </c>
      <c r="O457" s="2" t="s">
        <v>62</v>
      </c>
      <c r="P457" s="38" t="str">
        <f>IFERROR(Table3335678[[#This Row],[Min Count]]/Table3335678[[#This Row],[Scalar]],"")</f>
        <v/>
      </c>
      <c r="Q457" s="36" t="str">
        <f>IFERROR(Table3335678[[#This Row],[Max Count]]/Table3335678[[#This Row],[Scalar]],"")</f>
        <v/>
      </c>
      <c r="R457" s="34"/>
      <c r="S457" s="34"/>
      <c r="T457" s="34" t="s">
        <v>3723</v>
      </c>
      <c r="U457" s="33" t="s">
        <v>4343</v>
      </c>
      <c r="V457" s="33" t="s">
        <v>8801</v>
      </c>
      <c r="W457" s="33"/>
      <c r="X457" s="33"/>
    </row>
    <row r="458" spans="1:24" ht="16.149999999999999" customHeight="1" x14ac:dyDescent="0.15">
      <c r="A458" s="6">
        <v>452</v>
      </c>
      <c r="B458" s="18" t="s">
        <v>75</v>
      </c>
      <c r="C458" s="43" t="s">
        <v>4267</v>
      </c>
      <c r="D458" s="43" t="s">
        <v>7843</v>
      </c>
      <c r="E458" s="36" t="s">
        <v>219</v>
      </c>
      <c r="F458" s="19">
        <v>10</v>
      </c>
      <c r="G458" s="6">
        <v>21</v>
      </c>
      <c r="H458" s="34" t="s">
        <v>7844</v>
      </c>
      <c r="I458" s="38" t="s">
        <v>171</v>
      </c>
      <c r="J458" s="38" t="s">
        <v>177</v>
      </c>
      <c r="K458" s="38" t="s">
        <v>173</v>
      </c>
      <c r="L458" s="6"/>
      <c r="M458" s="113"/>
      <c r="N458" s="45" t="s">
        <v>62</v>
      </c>
      <c r="O458" s="2" t="s">
        <v>62</v>
      </c>
      <c r="P458" s="38" t="str">
        <f>IFERROR(Table3335678[[#This Row],[Min Count]]/Table3335678[[#This Row],[Scalar]],"")</f>
        <v/>
      </c>
      <c r="Q458" s="36" t="str">
        <f>IFERROR(Table3335678[[#This Row],[Max Count]]/Table3335678[[#This Row],[Scalar]],"")</f>
        <v/>
      </c>
      <c r="R458" s="34"/>
      <c r="S458" s="34"/>
      <c r="T458" s="34" t="s">
        <v>3723</v>
      </c>
      <c r="U458" s="33" t="s">
        <v>4343</v>
      </c>
      <c r="V458" s="33" t="s">
        <v>8802</v>
      </c>
      <c r="W458" s="33"/>
      <c r="X458" s="33"/>
    </row>
    <row r="459" spans="1:24" ht="16.149999999999999" customHeight="1" x14ac:dyDescent="0.15">
      <c r="A459" s="6">
        <v>453</v>
      </c>
      <c r="B459" s="18" t="s">
        <v>75</v>
      </c>
      <c r="C459" s="43" t="s">
        <v>4267</v>
      </c>
      <c r="D459" s="43" t="s">
        <v>5012</v>
      </c>
      <c r="E459" s="36" t="s">
        <v>219</v>
      </c>
      <c r="F459" s="19">
        <v>10</v>
      </c>
      <c r="G459" s="6">
        <v>22</v>
      </c>
      <c r="H459" s="34" t="s">
        <v>7845</v>
      </c>
      <c r="I459" s="38" t="s">
        <v>171</v>
      </c>
      <c r="J459" s="38" t="s">
        <v>177</v>
      </c>
      <c r="K459" s="38" t="s">
        <v>173</v>
      </c>
      <c r="L459" s="6"/>
      <c r="M459" s="113"/>
      <c r="N459" s="45" t="s">
        <v>62</v>
      </c>
      <c r="O459" s="2" t="s">
        <v>62</v>
      </c>
      <c r="P459" s="38" t="str">
        <f>IFERROR(Table3335678[[#This Row],[Min Count]]/Table3335678[[#This Row],[Scalar]],"")</f>
        <v/>
      </c>
      <c r="Q459" s="36" t="str">
        <f>IFERROR(Table3335678[[#This Row],[Max Count]]/Table3335678[[#This Row],[Scalar]],"")</f>
        <v/>
      </c>
      <c r="R459" s="34"/>
      <c r="S459" s="34"/>
      <c r="T459" s="34" t="s">
        <v>3723</v>
      </c>
      <c r="U459" s="33" t="s">
        <v>4343</v>
      </c>
      <c r="V459" s="33" t="s">
        <v>8803</v>
      </c>
      <c r="W459" s="33"/>
      <c r="X459" s="33"/>
    </row>
    <row r="460" spans="1:24" ht="16.149999999999999" customHeight="1" x14ac:dyDescent="0.15">
      <c r="A460" s="6">
        <v>454</v>
      </c>
      <c r="B460" s="18" t="s">
        <v>75</v>
      </c>
      <c r="C460" s="43" t="s">
        <v>4267</v>
      </c>
      <c r="D460" s="43" t="s">
        <v>5145</v>
      </c>
      <c r="E460" s="36" t="s">
        <v>219</v>
      </c>
      <c r="F460" s="19">
        <v>10</v>
      </c>
      <c r="G460" s="6">
        <v>23</v>
      </c>
      <c r="H460" s="34" t="s">
        <v>7846</v>
      </c>
      <c r="I460" s="38" t="s">
        <v>171</v>
      </c>
      <c r="J460" s="38" t="s">
        <v>177</v>
      </c>
      <c r="K460" s="38" t="s">
        <v>173</v>
      </c>
      <c r="L460" s="6"/>
      <c r="M460" s="113"/>
      <c r="N460" s="45" t="s">
        <v>62</v>
      </c>
      <c r="O460" s="2" t="s">
        <v>62</v>
      </c>
      <c r="P460" s="38" t="str">
        <f>IFERROR(Table3335678[[#This Row],[Min Count]]/Table3335678[[#This Row],[Scalar]],"")</f>
        <v/>
      </c>
      <c r="Q460" s="36" t="str">
        <f>IFERROR(Table3335678[[#This Row],[Max Count]]/Table3335678[[#This Row],[Scalar]],"")</f>
        <v/>
      </c>
      <c r="R460" s="34"/>
      <c r="S460" s="34"/>
      <c r="T460" s="34" t="s">
        <v>3723</v>
      </c>
      <c r="U460" s="33" t="s">
        <v>4343</v>
      </c>
      <c r="V460" s="33" t="s">
        <v>8804</v>
      </c>
      <c r="W460" s="33"/>
      <c r="X460" s="33"/>
    </row>
    <row r="461" spans="1:24" ht="16.149999999999999" customHeight="1" x14ac:dyDescent="0.15">
      <c r="A461" s="6">
        <v>455</v>
      </c>
      <c r="B461" s="18" t="s">
        <v>75</v>
      </c>
      <c r="C461" s="43" t="s">
        <v>4267</v>
      </c>
      <c r="D461" s="43" t="s">
        <v>7847</v>
      </c>
      <c r="E461" s="36" t="s">
        <v>219</v>
      </c>
      <c r="F461" s="19">
        <v>10</v>
      </c>
      <c r="G461" s="6">
        <v>24</v>
      </c>
      <c r="H461" s="34" t="s">
        <v>7848</v>
      </c>
      <c r="I461" s="38" t="s">
        <v>171</v>
      </c>
      <c r="J461" s="38" t="s">
        <v>177</v>
      </c>
      <c r="K461" s="38" t="s">
        <v>173</v>
      </c>
      <c r="L461" s="6"/>
      <c r="M461" s="113"/>
      <c r="N461" s="45" t="s">
        <v>62</v>
      </c>
      <c r="O461" s="2" t="s">
        <v>62</v>
      </c>
      <c r="P461" s="38" t="str">
        <f>IFERROR(Table3335678[[#This Row],[Min Count]]/Table3335678[[#This Row],[Scalar]],"")</f>
        <v/>
      </c>
      <c r="Q461" s="36" t="str">
        <f>IFERROR(Table3335678[[#This Row],[Max Count]]/Table3335678[[#This Row],[Scalar]],"")</f>
        <v/>
      </c>
      <c r="R461" s="34"/>
      <c r="S461" s="34"/>
      <c r="T461" s="34" t="s">
        <v>3723</v>
      </c>
      <c r="U461" s="33" t="s">
        <v>4343</v>
      </c>
      <c r="V461" s="33" t="s">
        <v>8805</v>
      </c>
      <c r="W461" s="33"/>
      <c r="X461" s="33"/>
    </row>
    <row r="462" spans="1:24" ht="16.149999999999999" customHeight="1" x14ac:dyDescent="0.15">
      <c r="A462" s="6">
        <v>456</v>
      </c>
      <c r="B462" s="18" t="s">
        <v>75</v>
      </c>
      <c r="C462" s="43" t="s">
        <v>4267</v>
      </c>
      <c r="D462" s="43" t="s">
        <v>5000</v>
      </c>
      <c r="E462" s="36" t="s">
        <v>219</v>
      </c>
      <c r="F462" s="19">
        <v>10</v>
      </c>
      <c r="G462" s="6">
        <v>25</v>
      </c>
      <c r="H462" s="34" t="s">
        <v>7849</v>
      </c>
      <c r="I462" s="38" t="s">
        <v>171</v>
      </c>
      <c r="J462" s="38" t="s">
        <v>177</v>
      </c>
      <c r="K462" s="38" t="s">
        <v>173</v>
      </c>
      <c r="L462" s="6"/>
      <c r="M462" s="113"/>
      <c r="N462" s="45" t="s">
        <v>62</v>
      </c>
      <c r="O462" s="2" t="s">
        <v>62</v>
      </c>
      <c r="P462" s="38" t="str">
        <f>IFERROR(Table3335678[[#This Row],[Min Count]]/Table3335678[[#This Row],[Scalar]],"")</f>
        <v/>
      </c>
      <c r="Q462" s="36" t="str">
        <f>IFERROR(Table3335678[[#This Row],[Max Count]]/Table3335678[[#This Row],[Scalar]],"")</f>
        <v/>
      </c>
      <c r="R462" s="34"/>
      <c r="S462" s="34"/>
      <c r="T462" s="34" t="s">
        <v>3723</v>
      </c>
      <c r="U462" s="33" t="s">
        <v>4343</v>
      </c>
      <c r="V462" s="33" t="s">
        <v>8806</v>
      </c>
      <c r="W462" s="33"/>
      <c r="X462" s="33"/>
    </row>
    <row r="463" spans="1:24" ht="16.149999999999999" customHeight="1" x14ac:dyDescent="0.15">
      <c r="A463" s="6">
        <v>457</v>
      </c>
      <c r="B463" s="18" t="s">
        <v>75</v>
      </c>
      <c r="C463" s="43" t="s">
        <v>4267</v>
      </c>
      <c r="D463" s="43" t="s">
        <v>7850</v>
      </c>
      <c r="E463" s="36" t="s">
        <v>219</v>
      </c>
      <c r="F463" s="19">
        <v>10</v>
      </c>
      <c r="G463" s="6">
        <v>26</v>
      </c>
      <c r="H463" s="34" t="s">
        <v>7851</v>
      </c>
      <c r="I463" s="38" t="s">
        <v>171</v>
      </c>
      <c r="J463" s="38" t="s">
        <v>177</v>
      </c>
      <c r="K463" s="38" t="s">
        <v>173</v>
      </c>
      <c r="L463" s="6"/>
      <c r="M463" s="113"/>
      <c r="N463" s="45" t="s">
        <v>62</v>
      </c>
      <c r="O463" s="2" t="s">
        <v>62</v>
      </c>
      <c r="P463" s="38" t="str">
        <f>IFERROR(Table3335678[[#This Row],[Min Count]]/Table3335678[[#This Row],[Scalar]],"")</f>
        <v/>
      </c>
      <c r="Q463" s="36" t="str">
        <f>IFERROR(Table3335678[[#This Row],[Max Count]]/Table3335678[[#This Row],[Scalar]],"")</f>
        <v/>
      </c>
      <c r="R463" s="34"/>
      <c r="S463" s="34"/>
      <c r="T463" s="34" t="s">
        <v>3723</v>
      </c>
      <c r="U463" s="33" t="s">
        <v>4343</v>
      </c>
      <c r="V463" s="33" t="s">
        <v>8807</v>
      </c>
      <c r="W463" s="33"/>
      <c r="X463" s="33"/>
    </row>
    <row r="464" spans="1:24" ht="16.149999999999999" customHeight="1" x14ac:dyDescent="0.15">
      <c r="A464" s="6">
        <v>458</v>
      </c>
      <c r="B464" s="18" t="s">
        <v>75</v>
      </c>
      <c r="C464" s="43" t="s">
        <v>4267</v>
      </c>
      <c r="D464" s="43" t="s">
        <v>7852</v>
      </c>
      <c r="E464" s="36" t="s">
        <v>219</v>
      </c>
      <c r="F464" s="19">
        <v>11</v>
      </c>
      <c r="G464" s="6"/>
      <c r="H464" s="34" t="s">
        <v>7853</v>
      </c>
      <c r="I464" s="38" t="s">
        <v>196</v>
      </c>
      <c r="J464" s="38"/>
      <c r="K464" s="38"/>
      <c r="L464" s="6" t="s">
        <v>61</v>
      </c>
      <c r="M464" s="113">
        <v>1</v>
      </c>
      <c r="N464" s="45" t="s">
        <v>62</v>
      </c>
      <c r="O464" s="2" t="s">
        <v>62</v>
      </c>
      <c r="P464" s="38" t="str">
        <f>IFERROR(Table3335678[[#This Row],[Min Count]]/Table3335678[[#This Row],[Scalar]],"")</f>
        <v/>
      </c>
      <c r="Q464" s="36" t="str">
        <f>IFERROR(Table3335678[[#This Row],[Max Count]]/Table3335678[[#This Row],[Scalar]],"")</f>
        <v/>
      </c>
      <c r="R464" s="34"/>
      <c r="S464" s="34"/>
      <c r="T464" s="34" t="s">
        <v>3723</v>
      </c>
      <c r="U464" s="33" t="s">
        <v>3853</v>
      </c>
      <c r="V464" s="33" t="s">
        <v>8808</v>
      </c>
      <c r="W464" s="33"/>
      <c r="X464" s="33"/>
    </row>
    <row r="465" spans="1:24" ht="16.149999999999999" customHeight="1" x14ac:dyDescent="0.15">
      <c r="A465" s="6">
        <v>459</v>
      </c>
      <c r="B465" s="18" t="s">
        <v>75</v>
      </c>
      <c r="C465" s="43" t="s">
        <v>4267</v>
      </c>
      <c r="D465" s="43" t="s">
        <v>7854</v>
      </c>
      <c r="E465" s="36" t="s">
        <v>219</v>
      </c>
      <c r="F465" s="19">
        <v>11</v>
      </c>
      <c r="G465" s="6">
        <v>0</v>
      </c>
      <c r="H465" s="34" t="s">
        <v>7855</v>
      </c>
      <c r="I465" s="38" t="s">
        <v>171</v>
      </c>
      <c r="J465" s="38" t="s">
        <v>177</v>
      </c>
      <c r="K465" s="38" t="s">
        <v>173</v>
      </c>
      <c r="L465" s="6"/>
      <c r="M465" s="113"/>
      <c r="N465" s="45" t="s">
        <v>62</v>
      </c>
      <c r="O465" s="2" t="s">
        <v>62</v>
      </c>
      <c r="P465" s="38" t="str">
        <f>IFERROR(Table3335678[[#This Row],[Min Count]]/Table3335678[[#This Row],[Scalar]],"")</f>
        <v/>
      </c>
      <c r="Q465" s="36" t="str">
        <f>IFERROR(Table3335678[[#This Row],[Max Count]]/Table3335678[[#This Row],[Scalar]],"")</f>
        <v/>
      </c>
      <c r="R465" s="34"/>
      <c r="S465" s="34"/>
      <c r="T465" s="34" t="s">
        <v>3723</v>
      </c>
      <c r="U465" s="33" t="s">
        <v>4343</v>
      </c>
      <c r="V465" s="33" t="s">
        <v>8809</v>
      </c>
      <c r="W465" s="33"/>
      <c r="X465" s="33"/>
    </row>
    <row r="466" spans="1:24" ht="16.149999999999999" customHeight="1" x14ac:dyDescent="0.15">
      <c r="A466" s="6">
        <v>460</v>
      </c>
      <c r="B466" s="18" t="s">
        <v>75</v>
      </c>
      <c r="C466" s="43" t="s">
        <v>4267</v>
      </c>
      <c r="D466" s="43" t="s">
        <v>7856</v>
      </c>
      <c r="E466" s="36" t="s">
        <v>219</v>
      </c>
      <c r="F466" s="19">
        <v>11</v>
      </c>
      <c r="G466" s="6">
        <v>1</v>
      </c>
      <c r="H466" s="34" t="s">
        <v>7857</v>
      </c>
      <c r="I466" s="38" t="s">
        <v>171</v>
      </c>
      <c r="J466" s="38" t="s">
        <v>177</v>
      </c>
      <c r="K466" s="38" t="s">
        <v>173</v>
      </c>
      <c r="L466" s="6"/>
      <c r="M466" s="113"/>
      <c r="N466" s="45" t="s">
        <v>62</v>
      </c>
      <c r="O466" s="2" t="s">
        <v>62</v>
      </c>
      <c r="P466" s="38" t="str">
        <f>IFERROR(Table3335678[[#This Row],[Min Count]]/Table3335678[[#This Row],[Scalar]],"")</f>
        <v/>
      </c>
      <c r="Q466" s="36" t="str">
        <f>IFERROR(Table3335678[[#This Row],[Max Count]]/Table3335678[[#This Row],[Scalar]],"")</f>
        <v/>
      </c>
      <c r="R466" s="34"/>
      <c r="S466" s="34"/>
      <c r="T466" s="34" t="s">
        <v>3723</v>
      </c>
      <c r="U466" s="33" t="s">
        <v>4343</v>
      </c>
      <c r="V466" s="33" t="s">
        <v>8810</v>
      </c>
      <c r="W466" s="33"/>
      <c r="X466" s="33"/>
    </row>
    <row r="467" spans="1:24" ht="16.149999999999999" customHeight="1" x14ac:dyDescent="0.15">
      <c r="A467" s="6">
        <v>461</v>
      </c>
      <c r="B467" s="18" t="s">
        <v>75</v>
      </c>
      <c r="C467" s="43" t="s">
        <v>4267</v>
      </c>
      <c r="D467" s="43" t="s">
        <v>7858</v>
      </c>
      <c r="E467" s="36" t="s">
        <v>219</v>
      </c>
      <c r="F467" s="19">
        <v>11</v>
      </c>
      <c r="G467" s="6">
        <v>2</v>
      </c>
      <c r="H467" s="34" t="s">
        <v>7859</v>
      </c>
      <c r="I467" s="38" t="s">
        <v>171</v>
      </c>
      <c r="J467" s="38" t="s">
        <v>177</v>
      </c>
      <c r="K467" s="38" t="s">
        <v>173</v>
      </c>
      <c r="L467" s="6"/>
      <c r="M467" s="113"/>
      <c r="N467" s="45" t="s">
        <v>62</v>
      </c>
      <c r="O467" s="2" t="s">
        <v>62</v>
      </c>
      <c r="P467" s="38" t="str">
        <f>IFERROR(Table3335678[[#This Row],[Min Count]]/Table3335678[[#This Row],[Scalar]],"")</f>
        <v/>
      </c>
      <c r="Q467" s="36" t="str">
        <f>IFERROR(Table3335678[[#This Row],[Max Count]]/Table3335678[[#This Row],[Scalar]],"")</f>
        <v/>
      </c>
      <c r="R467" s="34"/>
      <c r="S467" s="34"/>
      <c r="T467" s="34" t="s">
        <v>3723</v>
      </c>
      <c r="U467" s="33" t="s">
        <v>4343</v>
      </c>
      <c r="V467" s="33" t="s">
        <v>8811</v>
      </c>
      <c r="W467" s="33"/>
      <c r="X467" s="33"/>
    </row>
    <row r="468" spans="1:24" ht="16.149999999999999" customHeight="1" x14ac:dyDescent="0.15">
      <c r="A468" s="6">
        <v>462</v>
      </c>
      <c r="B468" s="18" t="s">
        <v>75</v>
      </c>
      <c r="C468" s="43" t="s">
        <v>4267</v>
      </c>
      <c r="D468" s="43" t="s">
        <v>7860</v>
      </c>
      <c r="E468" s="36" t="s">
        <v>219</v>
      </c>
      <c r="F468" s="19">
        <v>11</v>
      </c>
      <c r="G468" s="6">
        <v>3</v>
      </c>
      <c r="H468" s="34" t="s">
        <v>7861</v>
      </c>
      <c r="I468" s="38" t="s">
        <v>171</v>
      </c>
      <c r="J468" s="38" t="s">
        <v>177</v>
      </c>
      <c r="K468" s="38" t="s">
        <v>173</v>
      </c>
      <c r="L468" s="6"/>
      <c r="M468" s="113"/>
      <c r="N468" s="45" t="s">
        <v>62</v>
      </c>
      <c r="O468" s="2" t="s">
        <v>62</v>
      </c>
      <c r="P468" s="38" t="str">
        <f>IFERROR(Table3335678[[#This Row],[Min Count]]/Table3335678[[#This Row],[Scalar]],"")</f>
        <v/>
      </c>
      <c r="Q468" s="36" t="str">
        <f>IFERROR(Table3335678[[#This Row],[Max Count]]/Table3335678[[#This Row],[Scalar]],"")</f>
        <v/>
      </c>
      <c r="R468" s="34"/>
      <c r="S468" s="34"/>
      <c r="T468" s="34" t="s">
        <v>3723</v>
      </c>
      <c r="U468" s="33" t="s">
        <v>4343</v>
      </c>
      <c r="V468" s="33" t="s">
        <v>8812</v>
      </c>
      <c r="W468" s="33"/>
      <c r="X468" s="33"/>
    </row>
    <row r="469" spans="1:24" ht="16.149999999999999" customHeight="1" x14ac:dyDescent="0.15">
      <c r="A469" s="6">
        <v>463</v>
      </c>
      <c r="B469" s="18" t="s">
        <v>75</v>
      </c>
      <c r="C469" s="43" t="s">
        <v>4267</v>
      </c>
      <c r="D469" s="43" t="s">
        <v>7862</v>
      </c>
      <c r="E469" s="36" t="s">
        <v>219</v>
      </c>
      <c r="F469" s="19">
        <v>11</v>
      </c>
      <c r="G469" s="6">
        <v>4</v>
      </c>
      <c r="H469" s="34" t="s">
        <v>7863</v>
      </c>
      <c r="I469" s="38" t="s">
        <v>171</v>
      </c>
      <c r="J469" s="38" t="s">
        <v>177</v>
      </c>
      <c r="K469" s="38" t="s">
        <v>173</v>
      </c>
      <c r="L469" s="6"/>
      <c r="M469" s="113"/>
      <c r="N469" s="45" t="s">
        <v>62</v>
      </c>
      <c r="O469" s="2" t="s">
        <v>62</v>
      </c>
      <c r="P469" s="38" t="str">
        <f>IFERROR(Table3335678[[#This Row],[Min Count]]/Table3335678[[#This Row],[Scalar]],"")</f>
        <v/>
      </c>
      <c r="Q469" s="36" t="str">
        <f>IFERROR(Table3335678[[#This Row],[Max Count]]/Table3335678[[#This Row],[Scalar]],"")</f>
        <v/>
      </c>
      <c r="R469" s="34"/>
      <c r="S469" s="34"/>
      <c r="T469" s="34" t="s">
        <v>3723</v>
      </c>
      <c r="U469" s="33" t="s">
        <v>4343</v>
      </c>
      <c r="V469" s="33" t="s">
        <v>8813</v>
      </c>
      <c r="W469" s="33"/>
      <c r="X469" s="33"/>
    </row>
    <row r="470" spans="1:24" ht="16.149999999999999" customHeight="1" x14ac:dyDescent="0.15">
      <c r="A470" s="6">
        <v>464</v>
      </c>
      <c r="B470" s="18" t="s">
        <v>75</v>
      </c>
      <c r="C470" s="43" t="s">
        <v>4267</v>
      </c>
      <c r="D470" s="43" t="s">
        <v>7864</v>
      </c>
      <c r="E470" s="36" t="s">
        <v>219</v>
      </c>
      <c r="F470" s="19">
        <v>11</v>
      </c>
      <c r="G470" s="6">
        <v>5</v>
      </c>
      <c r="H470" s="34" t="s">
        <v>7865</v>
      </c>
      <c r="I470" s="38" t="s">
        <v>171</v>
      </c>
      <c r="J470" s="38" t="s">
        <v>177</v>
      </c>
      <c r="K470" s="38" t="s">
        <v>173</v>
      </c>
      <c r="L470" s="6"/>
      <c r="M470" s="113"/>
      <c r="N470" s="45" t="s">
        <v>62</v>
      </c>
      <c r="O470" s="2" t="s">
        <v>62</v>
      </c>
      <c r="P470" s="38" t="str">
        <f>IFERROR(Table3335678[[#This Row],[Min Count]]/Table3335678[[#This Row],[Scalar]],"")</f>
        <v/>
      </c>
      <c r="Q470" s="36" t="str">
        <f>IFERROR(Table3335678[[#This Row],[Max Count]]/Table3335678[[#This Row],[Scalar]],"")</f>
        <v/>
      </c>
      <c r="R470" s="34"/>
      <c r="S470" s="34"/>
      <c r="T470" s="34" t="s">
        <v>3723</v>
      </c>
      <c r="U470" s="33" t="s">
        <v>4343</v>
      </c>
      <c r="V470" s="33" t="s">
        <v>8814</v>
      </c>
      <c r="W470" s="33"/>
      <c r="X470" s="33"/>
    </row>
    <row r="471" spans="1:24" ht="16.149999999999999" customHeight="1" x14ac:dyDescent="0.15">
      <c r="A471" s="6">
        <v>465</v>
      </c>
      <c r="B471" s="18" t="s">
        <v>75</v>
      </c>
      <c r="C471" s="43" t="s">
        <v>4267</v>
      </c>
      <c r="D471" s="43" t="s">
        <v>7866</v>
      </c>
      <c r="E471" s="36" t="s">
        <v>219</v>
      </c>
      <c r="F471" s="19">
        <v>11</v>
      </c>
      <c r="G471" s="6">
        <v>6</v>
      </c>
      <c r="H471" s="34" t="s">
        <v>7867</v>
      </c>
      <c r="I471" s="38" t="s">
        <v>171</v>
      </c>
      <c r="J471" s="38" t="s">
        <v>177</v>
      </c>
      <c r="K471" s="38" t="s">
        <v>173</v>
      </c>
      <c r="L471" s="6"/>
      <c r="M471" s="113"/>
      <c r="N471" s="45" t="s">
        <v>62</v>
      </c>
      <c r="O471" s="2" t="s">
        <v>62</v>
      </c>
      <c r="P471" s="38" t="str">
        <f>IFERROR(Table3335678[[#This Row],[Min Count]]/Table3335678[[#This Row],[Scalar]],"")</f>
        <v/>
      </c>
      <c r="Q471" s="36" t="str">
        <f>IFERROR(Table3335678[[#This Row],[Max Count]]/Table3335678[[#This Row],[Scalar]],"")</f>
        <v/>
      </c>
      <c r="R471" s="34"/>
      <c r="S471" s="34"/>
      <c r="T471" s="34" t="s">
        <v>3723</v>
      </c>
      <c r="U471" s="33" t="s">
        <v>4343</v>
      </c>
      <c r="V471" s="33" t="s">
        <v>8815</v>
      </c>
      <c r="W471" s="33"/>
      <c r="X471" s="33"/>
    </row>
    <row r="472" spans="1:24" ht="16.149999999999999" customHeight="1" x14ac:dyDescent="0.15">
      <c r="A472" s="6">
        <v>466</v>
      </c>
      <c r="B472" s="18" t="s">
        <v>75</v>
      </c>
      <c r="C472" s="43" t="s">
        <v>4267</v>
      </c>
      <c r="D472" s="43" t="s">
        <v>7868</v>
      </c>
      <c r="E472" s="36" t="s">
        <v>219</v>
      </c>
      <c r="F472" s="19">
        <v>11</v>
      </c>
      <c r="G472" s="6">
        <v>7</v>
      </c>
      <c r="H472" s="34" t="s">
        <v>7869</v>
      </c>
      <c r="I472" s="38" t="s">
        <v>171</v>
      </c>
      <c r="J472" s="38" t="s">
        <v>177</v>
      </c>
      <c r="K472" s="38" t="s">
        <v>173</v>
      </c>
      <c r="L472" s="6"/>
      <c r="M472" s="113"/>
      <c r="N472" s="45" t="s">
        <v>62</v>
      </c>
      <c r="O472" s="2" t="s">
        <v>62</v>
      </c>
      <c r="P472" s="38" t="str">
        <f>IFERROR(Table3335678[[#This Row],[Min Count]]/Table3335678[[#This Row],[Scalar]],"")</f>
        <v/>
      </c>
      <c r="Q472" s="36" t="str">
        <f>IFERROR(Table3335678[[#This Row],[Max Count]]/Table3335678[[#This Row],[Scalar]],"")</f>
        <v/>
      </c>
      <c r="R472" s="34"/>
      <c r="S472" s="34"/>
      <c r="T472" s="34" t="s">
        <v>3723</v>
      </c>
      <c r="U472" s="33" t="s">
        <v>4343</v>
      </c>
      <c r="V472" s="33" t="s">
        <v>8816</v>
      </c>
      <c r="W472" s="33"/>
      <c r="X472" s="33"/>
    </row>
    <row r="473" spans="1:24" ht="16.149999999999999" customHeight="1" x14ac:dyDescent="0.15">
      <c r="A473" s="6">
        <v>467</v>
      </c>
      <c r="B473" s="18" t="s">
        <v>75</v>
      </c>
      <c r="C473" s="43" t="s">
        <v>4267</v>
      </c>
      <c r="D473" s="43" t="s">
        <v>7870</v>
      </c>
      <c r="E473" s="36" t="s">
        <v>219</v>
      </c>
      <c r="F473" s="19">
        <v>11</v>
      </c>
      <c r="G473" s="6">
        <v>8</v>
      </c>
      <c r="H473" s="34" t="s">
        <v>7871</v>
      </c>
      <c r="I473" s="38" t="s">
        <v>171</v>
      </c>
      <c r="J473" s="38" t="s">
        <v>177</v>
      </c>
      <c r="K473" s="38" t="s">
        <v>173</v>
      </c>
      <c r="L473" s="6"/>
      <c r="M473" s="113"/>
      <c r="N473" s="45" t="s">
        <v>62</v>
      </c>
      <c r="O473" s="2" t="s">
        <v>62</v>
      </c>
      <c r="P473" s="38" t="str">
        <f>IFERROR(Table3335678[[#This Row],[Min Count]]/Table3335678[[#This Row],[Scalar]],"")</f>
        <v/>
      </c>
      <c r="Q473" s="36" t="str">
        <f>IFERROR(Table3335678[[#This Row],[Max Count]]/Table3335678[[#This Row],[Scalar]],"")</f>
        <v/>
      </c>
      <c r="R473" s="34"/>
      <c r="S473" s="34"/>
      <c r="T473" s="34" t="s">
        <v>3723</v>
      </c>
      <c r="U473" s="33" t="s">
        <v>4343</v>
      </c>
      <c r="V473" s="33" t="s">
        <v>8817</v>
      </c>
      <c r="W473" s="33"/>
      <c r="X473" s="33"/>
    </row>
    <row r="474" spans="1:24" ht="16.149999999999999" customHeight="1" x14ac:dyDescent="0.15">
      <c r="A474" s="6">
        <v>468</v>
      </c>
      <c r="B474" s="18" t="s">
        <v>75</v>
      </c>
      <c r="C474" s="43" t="s">
        <v>4267</v>
      </c>
      <c r="D474" s="43" t="s">
        <v>7872</v>
      </c>
      <c r="E474" s="36" t="s">
        <v>219</v>
      </c>
      <c r="F474" s="19">
        <v>11</v>
      </c>
      <c r="G474" s="6">
        <v>9</v>
      </c>
      <c r="H474" s="34" t="s">
        <v>7873</v>
      </c>
      <c r="I474" s="38" t="s">
        <v>171</v>
      </c>
      <c r="J474" s="38" t="s">
        <v>177</v>
      </c>
      <c r="K474" s="38" t="s">
        <v>173</v>
      </c>
      <c r="L474" s="6"/>
      <c r="M474" s="113"/>
      <c r="N474" s="45" t="s">
        <v>62</v>
      </c>
      <c r="O474" s="2" t="s">
        <v>62</v>
      </c>
      <c r="P474" s="38" t="str">
        <f>IFERROR(Table3335678[[#This Row],[Min Count]]/Table3335678[[#This Row],[Scalar]],"")</f>
        <v/>
      </c>
      <c r="Q474" s="36" t="str">
        <f>IFERROR(Table3335678[[#This Row],[Max Count]]/Table3335678[[#This Row],[Scalar]],"")</f>
        <v/>
      </c>
      <c r="R474" s="34"/>
      <c r="S474" s="34"/>
      <c r="T474" s="34" t="s">
        <v>3723</v>
      </c>
      <c r="U474" s="33" t="s">
        <v>4343</v>
      </c>
      <c r="V474" s="33" t="s">
        <v>8818</v>
      </c>
      <c r="W474" s="33"/>
      <c r="X474" s="33"/>
    </row>
    <row r="475" spans="1:24" ht="16.149999999999999" customHeight="1" x14ac:dyDescent="0.15">
      <c r="A475" s="6">
        <v>469</v>
      </c>
      <c r="B475" s="18" t="s">
        <v>75</v>
      </c>
      <c r="C475" s="43" t="s">
        <v>4267</v>
      </c>
      <c r="D475" s="43" t="s">
        <v>7874</v>
      </c>
      <c r="E475" s="36" t="s">
        <v>219</v>
      </c>
      <c r="F475" s="19">
        <v>11</v>
      </c>
      <c r="G475" s="6">
        <v>10</v>
      </c>
      <c r="H475" s="34" t="s">
        <v>7875</v>
      </c>
      <c r="I475" s="38" t="s">
        <v>171</v>
      </c>
      <c r="J475" s="38" t="s">
        <v>177</v>
      </c>
      <c r="K475" s="38" t="s">
        <v>173</v>
      </c>
      <c r="L475" s="6"/>
      <c r="M475" s="113"/>
      <c r="N475" s="45" t="s">
        <v>62</v>
      </c>
      <c r="O475" s="2" t="s">
        <v>62</v>
      </c>
      <c r="P475" s="38" t="str">
        <f>IFERROR(Table3335678[[#This Row],[Min Count]]/Table3335678[[#This Row],[Scalar]],"")</f>
        <v/>
      </c>
      <c r="Q475" s="36" t="str">
        <f>IFERROR(Table3335678[[#This Row],[Max Count]]/Table3335678[[#This Row],[Scalar]],"")</f>
        <v/>
      </c>
      <c r="R475" s="34"/>
      <c r="S475" s="34"/>
      <c r="T475" s="34" t="s">
        <v>3723</v>
      </c>
      <c r="U475" s="33" t="s">
        <v>4343</v>
      </c>
      <c r="V475" s="33" t="s">
        <v>8819</v>
      </c>
      <c r="W475" s="33"/>
      <c r="X475" s="33"/>
    </row>
    <row r="476" spans="1:24" ht="16.149999999999999" customHeight="1" x14ac:dyDescent="0.15">
      <c r="A476" s="6">
        <v>470</v>
      </c>
      <c r="B476" s="18" t="s">
        <v>75</v>
      </c>
      <c r="C476" s="43" t="s">
        <v>4267</v>
      </c>
      <c r="D476" s="43" t="s">
        <v>7876</v>
      </c>
      <c r="E476" s="36" t="s">
        <v>219</v>
      </c>
      <c r="F476" s="19">
        <v>11</v>
      </c>
      <c r="G476" s="6">
        <v>11</v>
      </c>
      <c r="H476" s="34" t="s">
        <v>7877</v>
      </c>
      <c r="I476" s="38" t="s">
        <v>171</v>
      </c>
      <c r="J476" s="38" t="s">
        <v>177</v>
      </c>
      <c r="K476" s="38" t="s">
        <v>173</v>
      </c>
      <c r="L476" s="6"/>
      <c r="M476" s="113"/>
      <c r="N476" s="45" t="s">
        <v>62</v>
      </c>
      <c r="O476" s="2" t="s">
        <v>62</v>
      </c>
      <c r="P476" s="38" t="str">
        <f>IFERROR(Table3335678[[#This Row],[Min Count]]/Table3335678[[#This Row],[Scalar]],"")</f>
        <v/>
      </c>
      <c r="Q476" s="36" t="str">
        <f>IFERROR(Table3335678[[#This Row],[Max Count]]/Table3335678[[#This Row],[Scalar]],"")</f>
        <v/>
      </c>
      <c r="R476" s="34"/>
      <c r="S476" s="34"/>
      <c r="T476" s="34" t="s">
        <v>3723</v>
      </c>
      <c r="U476" s="33" t="s">
        <v>4343</v>
      </c>
      <c r="V476" s="33" t="s">
        <v>8820</v>
      </c>
      <c r="W476" s="33"/>
      <c r="X476" s="33"/>
    </row>
    <row r="477" spans="1:24" ht="16.149999999999999" customHeight="1" x14ac:dyDescent="0.15">
      <c r="A477" s="6">
        <v>471</v>
      </c>
      <c r="B477" s="18" t="s">
        <v>75</v>
      </c>
      <c r="C477" s="43" t="s">
        <v>4267</v>
      </c>
      <c r="D477" s="43" t="s">
        <v>7878</v>
      </c>
      <c r="E477" s="36" t="s">
        <v>219</v>
      </c>
      <c r="F477" s="19">
        <v>11</v>
      </c>
      <c r="G477" s="6">
        <v>12</v>
      </c>
      <c r="H477" s="34" t="s">
        <v>7879</v>
      </c>
      <c r="I477" s="38" t="s">
        <v>171</v>
      </c>
      <c r="J477" s="38" t="s">
        <v>177</v>
      </c>
      <c r="K477" s="38" t="s">
        <v>173</v>
      </c>
      <c r="L477" s="6"/>
      <c r="M477" s="113"/>
      <c r="N477" s="45" t="s">
        <v>62</v>
      </c>
      <c r="O477" s="2" t="s">
        <v>62</v>
      </c>
      <c r="P477" s="38" t="str">
        <f>IFERROR(Table3335678[[#This Row],[Min Count]]/Table3335678[[#This Row],[Scalar]],"")</f>
        <v/>
      </c>
      <c r="Q477" s="36" t="str">
        <f>IFERROR(Table3335678[[#This Row],[Max Count]]/Table3335678[[#This Row],[Scalar]],"")</f>
        <v/>
      </c>
      <c r="R477" s="34"/>
      <c r="S477" s="34"/>
      <c r="T477" s="34" t="s">
        <v>3723</v>
      </c>
      <c r="U477" s="33" t="s">
        <v>4343</v>
      </c>
      <c r="V477" s="33" t="s">
        <v>8821</v>
      </c>
      <c r="W477" s="33"/>
      <c r="X477" s="33"/>
    </row>
    <row r="478" spans="1:24" ht="16.149999999999999" customHeight="1" x14ac:dyDescent="0.15">
      <c r="A478" s="6">
        <v>472</v>
      </c>
      <c r="B478" s="18" t="s">
        <v>75</v>
      </c>
      <c r="C478" s="43" t="s">
        <v>4267</v>
      </c>
      <c r="D478" s="43" t="s">
        <v>7880</v>
      </c>
      <c r="E478" s="36" t="s">
        <v>219</v>
      </c>
      <c r="F478" s="19">
        <v>11</v>
      </c>
      <c r="G478" s="6">
        <v>13</v>
      </c>
      <c r="H478" s="34" t="s">
        <v>7881</v>
      </c>
      <c r="I478" s="38" t="s">
        <v>171</v>
      </c>
      <c r="J478" s="38" t="s">
        <v>177</v>
      </c>
      <c r="K478" s="38" t="s">
        <v>173</v>
      </c>
      <c r="L478" s="6"/>
      <c r="M478" s="113"/>
      <c r="N478" s="45" t="s">
        <v>62</v>
      </c>
      <c r="O478" s="2" t="s">
        <v>62</v>
      </c>
      <c r="P478" s="38" t="str">
        <f>IFERROR(Table3335678[[#This Row],[Min Count]]/Table3335678[[#This Row],[Scalar]],"")</f>
        <v/>
      </c>
      <c r="Q478" s="36" t="str">
        <f>IFERROR(Table3335678[[#This Row],[Max Count]]/Table3335678[[#This Row],[Scalar]],"")</f>
        <v/>
      </c>
      <c r="R478" s="34"/>
      <c r="S478" s="34"/>
      <c r="T478" s="34" t="s">
        <v>3723</v>
      </c>
      <c r="U478" s="33" t="s">
        <v>4343</v>
      </c>
      <c r="V478" s="33" t="s">
        <v>8822</v>
      </c>
      <c r="W478" s="33"/>
      <c r="X478" s="33"/>
    </row>
    <row r="479" spans="1:24" ht="16.149999999999999" customHeight="1" x14ac:dyDescent="0.15">
      <c r="A479" s="6">
        <v>473</v>
      </c>
      <c r="B479" s="18" t="s">
        <v>75</v>
      </c>
      <c r="C479" s="43" t="s">
        <v>4267</v>
      </c>
      <c r="D479" s="43" t="s">
        <v>7882</v>
      </c>
      <c r="E479" s="36" t="s">
        <v>219</v>
      </c>
      <c r="F479" s="19">
        <v>11</v>
      </c>
      <c r="G479" s="6">
        <v>14</v>
      </c>
      <c r="H479" s="34" t="s">
        <v>7883</v>
      </c>
      <c r="I479" s="38" t="s">
        <v>171</v>
      </c>
      <c r="J479" s="38" t="s">
        <v>177</v>
      </c>
      <c r="K479" s="38" t="s">
        <v>173</v>
      </c>
      <c r="L479" s="6"/>
      <c r="M479" s="113"/>
      <c r="N479" s="45" t="s">
        <v>62</v>
      </c>
      <c r="O479" s="2" t="s">
        <v>62</v>
      </c>
      <c r="P479" s="38" t="str">
        <f>IFERROR(Table3335678[[#This Row],[Min Count]]/Table3335678[[#This Row],[Scalar]],"")</f>
        <v/>
      </c>
      <c r="Q479" s="36" t="str">
        <f>IFERROR(Table3335678[[#This Row],[Max Count]]/Table3335678[[#This Row],[Scalar]],"")</f>
        <v/>
      </c>
      <c r="R479" s="34"/>
      <c r="S479" s="34"/>
      <c r="T479" s="34" t="s">
        <v>3723</v>
      </c>
      <c r="U479" s="33" t="s">
        <v>4343</v>
      </c>
      <c r="V479" s="33" t="s">
        <v>8823</v>
      </c>
      <c r="W479" s="33"/>
      <c r="X479" s="33"/>
    </row>
    <row r="480" spans="1:24" ht="16.149999999999999" customHeight="1" x14ac:dyDescent="0.15">
      <c r="A480" s="6">
        <v>474</v>
      </c>
      <c r="B480" s="18" t="s">
        <v>75</v>
      </c>
      <c r="C480" s="43" t="s">
        <v>4267</v>
      </c>
      <c r="D480" s="43" t="s">
        <v>7884</v>
      </c>
      <c r="E480" s="36" t="s">
        <v>219</v>
      </c>
      <c r="F480" s="19">
        <v>11</v>
      </c>
      <c r="G480" s="6">
        <v>15</v>
      </c>
      <c r="H480" s="34" t="s">
        <v>7885</v>
      </c>
      <c r="I480" s="38" t="s">
        <v>171</v>
      </c>
      <c r="J480" s="38" t="s">
        <v>177</v>
      </c>
      <c r="K480" s="38" t="s">
        <v>173</v>
      </c>
      <c r="L480" s="6"/>
      <c r="M480" s="113"/>
      <c r="N480" s="45" t="s">
        <v>62</v>
      </c>
      <c r="O480" s="2" t="s">
        <v>62</v>
      </c>
      <c r="P480" s="38" t="str">
        <f>IFERROR(Table3335678[[#This Row],[Min Count]]/Table3335678[[#This Row],[Scalar]],"")</f>
        <v/>
      </c>
      <c r="Q480" s="36" t="str">
        <f>IFERROR(Table3335678[[#This Row],[Max Count]]/Table3335678[[#This Row],[Scalar]],"")</f>
        <v/>
      </c>
      <c r="R480" s="34"/>
      <c r="S480" s="34"/>
      <c r="T480" s="34" t="s">
        <v>3723</v>
      </c>
      <c r="U480" s="33" t="s">
        <v>4343</v>
      </c>
      <c r="V480" s="33" t="s">
        <v>8824</v>
      </c>
      <c r="W480" s="33"/>
      <c r="X480" s="33"/>
    </row>
    <row r="481" spans="1:24" ht="16.149999999999999" customHeight="1" x14ac:dyDescent="0.15">
      <c r="A481" s="6">
        <v>475</v>
      </c>
      <c r="B481" s="18" t="s">
        <v>75</v>
      </c>
      <c r="C481" s="43" t="s">
        <v>4267</v>
      </c>
      <c r="D481" s="43" t="s">
        <v>7886</v>
      </c>
      <c r="E481" s="36" t="s">
        <v>219</v>
      </c>
      <c r="F481" s="19">
        <v>11</v>
      </c>
      <c r="G481" s="6">
        <v>16</v>
      </c>
      <c r="H481" s="34" t="s">
        <v>7887</v>
      </c>
      <c r="I481" s="38" t="s">
        <v>171</v>
      </c>
      <c r="J481" s="38" t="s">
        <v>177</v>
      </c>
      <c r="K481" s="38" t="s">
        <v>173</v>
      </c>
      <c r="L481" s="6"/>
      <c r="M481" s="113"/>
      <c r="N481" s="45" t="s">
        <v>62</v>
      </c>
      <c r="O481" s="2" t="s">
        <v>62</v>
      </c>
      <c r="P481" s="38" t="str">
        <f>IFERROR(Table3335678[[#This Row],[Min Count]]/Table3335678[[#This Row],[Scalar]],"")</f>
        <v/>
      </c>
      <c r="Q481" s="36" t="str">
        <f>IFERROR(Table3335678[[#This Row],[Max Count]]/Table3335678[[#This Row],[Scalar]],"")</f>
        <v/>
      </c>
      <c r="R481" s="34"/>
      <c r="S481" s="34"/>
      <c r="T481" s="34" t="s">
        <v>3723</v>
      </c>
      <c r="U481" s="33" t="s">
        <v>4343</v>
      </c>
      <c r="V481" s="33" t="s">
        <v>8825</v>
      </c>
      <c r="W481" s="33"/>
      <c r="X481" s="33"/>
    </row>
    <row r="482" spans="1:24" ht="16.149999999999999" customHeight="1" x14ac:dyDescent="0.15">
      <c r="A482" s="6">
        <v>476</v>
      </c>
      <c r="B482" s="18" t="s">
        <v>75</v>
      </c>
      <c r="C482" s="43" t="s">
        <v>4267</v>
      </c>
      <c r="D482" s="43" t="s">
        <v>7888</v>
      </c>
      <c r="E482" s="36" t="s">
        <v>219</v>
      </c>
      <c r="F482" s="19">
        <v>11</v>
      </c>
      <c r="G482" s="6">
        <v>17</v>
      </c>
      <c r="H482" s="34" t="s">
        <v>7889</v>
      </c>
      <c r="I482" s="38" t="s">
        <v>171</v>
      </c>
      <c r="J482" s="38" t="s">
        <v>177</v>
      </c>
      <c r="K482" s="38" t="s">
        <v>173</v>
      </c>
      <c r="L482" s="6"/>
      <c r="M482" s="113"/>
      <c r="N482" s="45" t="s">
        <v>62</v>
      </c>
      <c r="O482" s="2" t="s">
        <v>62</v>
      </c>
      <c r="P482" s="38" t="str">
        <f>IFERROR(Table3335678[[#This Row],[Min Count]]/Table3335678[[#This Row],[Scalar]],"")</f>
        <v/>
      </c>
      <c r="Q482" s="36" t="str">
        <f>IFERROR(Table3335678[[#This Row],[Max Count]]/Table3335678[[#This Row],[Scalar]],"")</f>
        <v/>
      </c>
      <c r="R482" s="34"/>
      <c r="S482" s="34"/>
      <c r="T482" s="34" t="s">
        <v>3723</v>
      </c>
      <c r="U482" s="33" t="s">
        <v>4343</v>
      </c>
      <c r="V482" s="33" t="s">
        <v>8826</v>
      </c>
      <c r="W482" s="33"/>
      <c r="X482" s="33"/>
    </row>
    <row r="483" spans="1:24" ht="16.149999999999999" customHeight="1" x14ac:dyDescent="0.15">
      <c r="A483" s="6">
        <v>477</v>
      </c>
      <c r="B483" s="18" t="s">
        <v>75</v>
      </c>
      <c r="C483" s="43" t="s">
        <v>4267</v>
      </c>
      <c r="D483" s="43" t="s">
        <v>7890</v>
      </c>
      <c r="E483" s="36" t="s">
        <v>219</v>
      </c>
      <c r="F483" s="19">
        <v>11</v>
      </c>
      <c r="G483" s="6">
        <v>18</v>
      </c>
      <c r="H483" s="34" t="s">
        <v>7891</v>
      </c>
      <c r="I483" s="38" t="s">
        <v>171</v>
      </c>
      <c r="J483" s="38" t="s">
        <v>177</v>
      </c>
      <c r="K483" s="38" t="s">
        <v>173</v>
      </c>
      <c r="L483" s="6"/>
      <c r="M483" s="113"/>
      <c r="N483" s="45" t="s">
        <v>62</v>
      </c>
      <c r="O483" s="2" t="s">
        <v>62</v>
      </c>
      <c r="P483" s="38" t="str">
        <f>IFERROR(Table3335678[[#This Row],[Min Count]]/Table3335678[[#This Row],[Scalar]],"")</f>
        <v/>
      </c>
      <c r="Q483" s="36" t="str">
        <f>IFERROR(Table3335678[[#This Row],[Max Count]]/Table3335678[[#This Row],[Scalar]],"")</f>
        <v/>
      </c>
      <c r="R483" s="34"/>
      <c r="S483" s="34"/>
      <c r="T483" s="34" t="s">
        <v>3723</v>
      </c>
      <c r="U483" s="33" t="s">
        <v>4343</v>
      </c>
      <c r="V483" s="33" t="s">
        <v>8827</v>
      </c>
      <c r="W483" s="33"/>
      <c r="X483" s="33"/>
    </row>
    <row r="484" spans="1:24" ht="16.149999999999999" customHeight="1" x14ac:dyDescent="0.15">
      <c r="A484" s="6">
        <v>478</v>
      </c>
      <c r="B484" s="18" t="s">
        <v>75</v>
      </c>
      <c r="C484" s="43" t="s">
        <v>4267</v>
      </c>
      <c r="D484" s="43" t="s">
        <v>7892</v>
      </c>
      <c r="E484" s="36" t="s">
        <v>219</v>
      </c>
      <c r="F484" s="19">
        <v>11</v>
      </c>
      <c r="G484" s="6">
        <v>19</v>
      </c>
      <c r="H484" s="34" t="s">
        <v>7893</v>
      </c>
      <c r="I484" s="38" t="s">
        <v>171</v>
      </c>
      <c r="J484" s="38" t="s">
        <v>177</v>
      </c>
      <c r="K484" s="38" t="s">
        <v>173</v>
      </c>
      <c r="L484" s="6"/>
      <c r="M484" s="113"/>
      <c r="N484" s="45" t="s">
        <v>62</v>
      </c>
      <c r="O484" s="2" t="s">
        <v>62</v>
      </c>
      <c r="P484" s="38" t="str">
        <f>IFERROR(Table3335678[[#This Row],[Min Count]]/Table3335678[[#This Row],[Scalar]],"")</f>
        <v/>
      </c>
      <c r="Q484" s="36" t="str">
        <f>IFERROR(Table3335678[[#This Row],[Max Count]]/Table3335678[[#This Row],[Scalar]],"")</f>
        <v/>
      </c>
      <c r="R484" s="34"/>
      <c r="S484" s="34"/>
      <c r="T484" s="34" t="s">
        <v>3723</v>
      </c>
      <c r="U484" s="33" t="s">
        <v>4343</v>
      </c>
      <c r="V484" s="33" t="s">
        <v>8828</v>
      </c>
      <c r="W484" s="33"/>
      <c r="X484" s="33"/>
    </row>
    <row r="485" spans="1:24" ht="16.149999999999999" customHeight="1" x14ac:dyDescent="0.15">
      <c r="A485" s="6">
        <v>479</v>
      </c>
      <c r="B485" s="18" t="s">
        <v>75</v>
      </c>
      <c r="C485" s="43" t="s">
        <v>4267</v>
      </c>
      <c r="D485" s="43" t="s">
        <v>7894</v>
      </c>
      <c r="E485" s="36" t="s">
        <v>219</v>
      </c>
      <c r="F485" s="19">
        <v>11</v>
      </c>
      <c r="G485" s="6">
        <v>20</v>
      </c>
      <c r="H485" s="34" t="s">
        <v>7895</v>
      </c>
      <c r="I485" s="38" t="s">
        <v>171</v>
      </c>
      <c r="J485" s="38" t="s">
        <v>177</v>
      </c>
      <c r="K485" s="38" t="s">
        <v>173</v>
      </c>
      <c r="L485" s="6"/>
      <c r="M485" s="113"/>
      <c r="N485" s="45" t="s">
        <v>62</v>
      </c>
      <c r="O485" s="2" t="s">
        <v>62</v>
      </c>
      <c r="P485" s="38" t="str">
        <f>IFERROR(Table3335678[[#This Row],[Min Count]]/Table3335678[[#This Row],[Scalar]],"")</f>
        <v/>
      </c>
      <c r="Q485" s="36" t="str">
        <f>IFERROR(Table3335678[[#This Row],[Max Count]]/Table3335678[[#This Row],[Scalar]],"")</f>
        <v/>
      </c>
      <c r="R485" s="34"/>
      <c r="S485" s="34"/>
      <c r="T485" s="34" t="s">
        <v>3723</v>
      </c>
      <c r="U485" s="33" t="s">
        <v>4343</v>
      </c>
      <c r="V485" s="33" t="s">
        <v>8829</v>
      </c>
      <c r="W485" s="33"/>
      <c r="X485" s="33"/>
    </row>
    <row r="486" spans="1:24" ht="16.149999999999999" customHeight="1" x14ac:dyDescent="0.15">
      <c r="A486" s="6">
        <v>480</v>
      </c>
      <c r="B486" s="18" t="s">
        <v>75</v>
      </c>
      <c r="C486" s="43" t="s">
        <v>4267</v>
      </c>
      <c r="D486" s="43" t="s">
        <v>7896</v>
      </c>
      <c r="E486" s="36" t="s">
        <v>219</v>
      </c>
      <c r="F486" s="19">
        <v>11</v>
      </c>
      <c r="G486" s="6">
        <v>21</v>
      </c>
      <c r="H486" s="34" t="s">
        <v>7897</v>
      </c>
      <c r="I486" s="38" t="s">
        <v>171</v>
      </c>
      <c r="J486" s="38" t="s">
        <v>177</v>
      </c>
      <c r="K486" s="38" t="s">
        <v>173</v>
      </c>
      <c r="L486" s="6"/>
      <c r="M486" s="113"/>
      <c r="N486" s="45" t="s">
        <v>62</v>
      </c>
      <c r="O486" s="2" t="s">
        <v>62</v>
      </c>
      <c r="P486" s="38" t="str">
        <f>IFERROR(Table3335678[[#This Row],[Min Count]]/Table3335678[[#This Row],[Scalar]],"")</f>
        <v/>
      </c>
      <c r="Q486" s="36" t="str">
        <f>IFERROR(Table3335678[[#This Row],[Max Count]]/Table3335678[[#This Row],[Scalar]],"")</f>
        <v/>
      </c>
      <c r="R486" s="34"/>
      <c r="S486" s="34"/>
      <c r="T486" s="34" t="s">
        <v>3723</v>
      </c>
      <c r="U486" s="33" t="s">
        <v>4343</v>
      </c>
      <c r="V486" s="33" t="s">
        <v>8830</v>
      </c>
      <c r="W486" s="33"/>
      <c r="X486" s="33"/>
    </row>
    <row r="487" spans="1:24" ht="16.149999999999999" customHeight="1" x14ac:dyDescent="0.15">
      <c r="A487" s="6">
        <v>481</v>
      </c>
      <c r="B487" s="18" t="s">
        <v>75</v>
      </c>
      <c r="C487" s="43" t="s">
        <v>4267</v>
      </c>
      <c r="D487" s="43" t="s">
        <v>7898</v>
      </c>
      <c r="E487" s="36" t="s">
        <v>219</v>
      </c>
      <c r="F487" s="19">
        <v>11</v>
      </c>
      <c r="G487" s="6">
        <v>22</v>
      </c>
      <c r="H487" s="34" t="s">
        <v>7899</v>
      </c>
      <c r="I487" s="38" t="s">
        <v>171</v>
      </c>
      <c r="J487" s="38" t="s">
        <v>177</v>
      </c>
      <c r="K487" s="38" t="s">
        <v>173</v>
      </c>
      <c r="L487" s="6"/>
      <c r="M487" s="113"/>
      <c r="N487" s="45" t="s">
        <v>62</v>
      </c>
      <c r="O487" s="2" t="s">
        <v>62</v>
      </c>
      <c r="P487" s="38" t="str">
        <f>IFERROR(Table3335678[[#This Row],[Min Count]]/Table3335678[[#This Row],[Scalar]],"")</f>
        <v/>
      </c>
      <c r="Q487" s="36" t="str">
        <f>IFERROR(Table3335678[[#This Row],[Max Count]]/Table3335678[[#This Row],[Scalar]],"")</f>
        <v/>
      </c>
      <c r="R487" s="34"/>
      <c r="S487" s="34"/>
      <c r="T487" s="34" t="s">
        <v>3723</v>
      </c>
      <c r="U487" s="33" t="s">
        <v>4343</v>
      </c>
      <c r="V487" s="33" t="s">
        <v>8831</v>
      </c>
      <c r="W487" s="33"/>
      <c r="X487" s="33"/>
    </row>
    <row r="488" spans="1:24" ht="16.149999999999999" customHeight="1" x14ac:dyDescent="0.15">
      <c r="A488" s="6">
        <v>482</v>
      </c>
      <c r="B488" s="18" t="s">
        <v>75</v>
      </c>
      <c r="C488" s="43" t="s">
        <v>4267</v>
      </c>
      <c r="D488" s="43" t="s">
        <v>7900</v>
      </c>
      <c r="E488" s="36" t="s">
        <v>219</v>
      </c>
      <c r="F488" s="19">
        <v>11</v>
      </c>
      <c r="G488" s="6">
        <v>23</v>
      </c>
      <c r="H488" s="34" t="s">
        <v>7901</v>
      </c>
      <c r="I488" s="38" t="s">
        <v>171</v>
      </c>
      <c r="J488" s="38" t="s">
        <v>177</v>
      </c>
      <c r="K488" s="38" t="s">
        <v>173</v>
      </c>
      <c r="L488" s="6"/>
      <c r="M488" s="113"/>
      <c r="N488" s="45" t="s">
        <v>62</v>
      </c>
      <c r="O488" s="2" t="s">
        <v>62</v>
      </c>
      <c r="P488" s="38" t="str">
        <f>IFERROR(Table3335678[[#This Row],[Min Count]]/Table3335678[[#This Row],[Scalar]],"")</f>
        <v/>
      </c>
      <c r="Q488" s="36" t="str">
        <f>IFERROR(Table3335678[[#This Row],[Max Count]]/Table3335678[[#This Row],[Scalar]],"")</f>
        <v/>
      </c>
      <c r="R488" s="34"/>
      <c r="S488" s="34"/>
      <c r="T488" s="34" t="s">
        <v>3723</v>
      </c>
      <c r="U488" s="33" t="s">
        <v>4343</v>
      </c>
      <c r="V488" s="33" t="s">
        <v>8832</v>
      </c>
      <c r="W488" s="33"/>
      <c r="X488" s="33"/>
    </row>
    <row r="489" spans="1:24" ht="16.149999999999999" customHeight="1" x14ac:dyDescent="0.15">
      <c r="A489" s="6">
        <v>483</v>
      </c>
      <c r="B489" s="18" t="s">
        <v>75</v>
      </c>
      <c r="C489" s="43" t="s">
        <v>4267</v>
      </c>
      <c r="D489" s="43" t="s">
        <v>7902</v>
      </c>
      <c r="E489" s="36" t="s">
        <v>219</v>
      </c>
      <c r="F489" s="19">
        <v>11</v>
      </c>
      <c r="G489" s="6">
        <v>24</v>
      </c>
      <c r="H489" s="34" t="s">
        <v>7903</v>
      </c>
      <c r="I489" s="38" t="s">
        <v>171</v>
      </c>
      <c r="J489" s="38" t="s">
        <v>177</v>
      </c>
      <c r="K489" s="38" t="s">
        <v>173</v>
      </c>
      <c r="L489" s="6"/>
      <c r="M489" s="113"/>
      <c r="N489" s="45" t="s">
        <v>62</v>
      </c>
      <c r="O489" s="2" t="s">
        <v>62</v>
      </c>
      <c r="P489" s="38" t="str">
        <f>IFERROR(Table3335678[[#This Row],[Min Count]]/Table3335678[[#This Row],[Scalar]],"")</f>
        <v/>
      </c>
      <c r="Q489" s="36" t="str">
        <f>IFERROR(Table3335678[[#This Row],[Max Count]]/Table3335678[[#This Row],[Scalar]],"")</f>
        <v/>
      </c>
      <c r="R489" s="34"/>
      <c r="S489" s="34"/>
      <c r="T489" s="34" t="s">
        <v>3723</v>
      </c>
      <c r="U489" s="33" t="s">
        <v>4343</v>
      </c>
      <c r="V489" s="33" t="s">
        <v>8833</v>
      </c>
      <c r="W489" s="33"/>
      <c r="X489" s="33"/>
    </row>
    <row r="490" spans="1:24" ht="16.149999999999999" customHeight="1" x14ac:dyDescent="0.15">
      <c r="A490" s="6">
        <v>484</v>
      </c>
      <c r="B490" s="18" t="s">
        <v>75</v>
      </c>
      <c r="C490" s="43" t="s">
        <v>4267</v>
      </c>
      <c r="D490" s="43" t="s">
        <v>7904</v>
      </c>
      <c r="E490" s="36" t="s">
        <v>219</v>
      </c>
      <c r="F490" s="19">
        <v>11</v>
      </c>
      <c r="G490" s="6">
        <v>25</v>
      </c>
      <c r="H490" s="34" t="s">
        <v>7905</v>
      </c>
      <c r="I490" s="38" t="s">
        <v>171</v>
      </c>
      <c r="J490" s="38" t="s">
        <v>177</v>
      </c>
      <c r="K490" s="38" t="s">
        <v>173</v>
      </c>
      <c r="L490" s="6"/>
      <c r="M490" s="113"/>
      <c r="N490" s="45" t="s">
        <v>62</v>
      </c>
      <c r="O490" s="2" t="s">
        <v>62</v>
      </c>
      <c r="P490" s="38" t="str">
        <f>IFERROR(Table3335678[[#This Row],[Min Count]]/Table3335678[[#This Row],[Scalar]],"")</f>
        <v/>
      </c>
      <c r="Q490" s="36" t="str">
        <f>IFERROR(Table3335678[[#This Row],[Max Count]]/Table3335678[[#This Row],[Scalar]],"")</f>
        <v/>
      </c>
      <c r="R490" s="34"/>
      <c r="S490" s="34"/>
      <c r="T490" s="34" t="s">
        <v>3723</v>
      </c>
      <c r="U490" s="33" t="s">
        <v>4343</v>
      </c>
      <c r="V490" s="33" t="s">
        <v>8834</v>
      </c>
      <c r="W490" s="33"/>
      <c r="X490" s="33"/>
    </row>
    <row r="491" spans="1:24" ht="16.149999999999999" customHeight="1" x14ac:dyDescent="0.15">
      <c r="A491" s="6">
        <v>485</v>
      </c>
      <c r="B491" s="18" t="s">
        <v>75</v>
      </c>
      <c r="C491" s="43" t="s">
        <v>4267</v>
      </c>
      <c r="D491" s="43" t="s">
        <v>7906</v>
      </c>
      <c r="E491" s="36" t="s">
        <v>219</v>
      </c>
      <c r="F491" s="19">
        <v>11</v>
      </c>
      <c r="G491" s="6">
        <v>26</v>
      </c>
      <c r="H491" s="34" t="s">
        <v>7907</v>
      </c>
      <c r="I491" s="38" t="s">
        <v>171</v>
      </c>
      <c r="J491" s="38" t="s">
        <v>177</v>
      </c>
      <c r="K491" s="38" t="s">
        <v>173</v>
      </c>
      <c r="L491" s="6"/>
      <c r="M491" s="113"/>
      <c r="N491" s="45" t="s">
        <v>62</v>
      </c>
      <c r="O491" s="2" t="s">
        <v>62</v>
      </c>
      <c r="P491" s="38" t="str">
        <f>IFERROR(Table3335678[[#This Row],[Min Count]]/Table3335678[[#This Row],[Scalar]],"")</f>
        <v/>
      </c>
      <c r="Q491" s="36" t="str">
        <f>IFERROR(Table3335678[[#This Row],[Max Count]]/Table3335678[[#This Row],[Scalar]],"")</f>
        <v/>
      </c>
      <c r="R491" s="34"/>
      <c r="S491" s="34"/>
      <c r="T491" s="34" t="s">
        <v>3723</v>
      </c>
      <c r="U491" s="33" t="s">
        <v>4343</v>
      </c>
      <c r="V491" s="33" t="s">
        <v>8835</v>
      </c>
      <c r="W491" s="33"/>
      <c r="X491" s="33"/>
    </row>
    <row r="492" spans="1:24" ht="16.149999999999999" customHeight="1" x14ac:dyDescent="0.15">
      <c r="A492" s="6">
        <v>486</v>
      </c>
      <c r="B492" s="18" t="s">
        <v>75</v>
      </c>
      <c r="C492" s="43" t="s">
        <v>4267</v>
      </c>
      <c r="D492" s="43" t="s">
        <v>7908</v>
      </c>
      <c r="E492" s="36" t="s">
        <v>219</v>
      </c>
      <c r="F492" s="19">
        <v>11</v>
      </c>
      <c r="G492" s="6">
        <v>27</v>
      </c>
      <c r="H492" s="34" t="s">
        <v>7909</v>
      </c>
      <c r="I492" s="38" t="s">
        <v>171</v>
      </c>
      <c r="J492" s="38" t="s">
        <v>177</v>
      </c>
      <c r="K492" s="38" t="s">
        <v>173</v>
      </c>
      <c r="L492" s="6"/>
      <c r="M492" s="113"/>
      <c r="N492" s="45" t="s">
        <v>62</v>
      </c>
      <c r="O492" s="2" t="s">
        <v>62</v>
      </c>
      <c r="P492" s="38" t="str">
        <f>IFERROR(Table3335678[[#This Row],[Min Count]]/Table3335678[[#This Row],[Scalar]],"")</f>
        <v/>
      </c>
      <c r="Q492" s="36" t="str">
        <f>IFERROR(Table3335678[[#This Row],[Max Count]]/Table3335678[[#This Row],[Scalar]],"")</f>
        <v/>
      </c>
      <c r="R492" s="34"/>
      <c r="S492" s="34"/>
      <c r="T492" s="34" t="s">
        <v>3723</v>
      </c>
      <c r="U492" s="33" t="s">
        <v>4343</v>
      </c>
      <c r="V492" s="33" t="s">
        <v>8836</v>
      </c>
      <c r="W492" s="33"/>
      <c r="X492" s="33"/>
    </row>
    <row r="493" spans="1:24" ht="16.149999999999999" customHeight="1" x14ac:dyDescent="0.15">
      <c r="A493" s="6">
        <v>487</v>
      </c>
      <c r="B493" s="18" t="s">
        <v>75</v>
      </c>
      <c r="C493" s="43" t="s">
        <v>4267</v>
      </c>
      <c r="D493" s="43" t="s">
        <v>7910</v>
      </c>
      <c r="E493" s="36" t="s">
        <v>219</v>
      </c>
      <c r="F493" s="19">
        <v>11</v>
      </c>
      <c r="G493" s="6">
        <v>28</v>
      </c>
      <c r="H493" s="34" t="s">
        <v>7911</v>
      </c>
      <c r="I493" s="38" t="s">
        <v>171</v>
      </c>
      <c r="J493" s="38" t="s">
        <v>177</v>
      </c>
      <c r="K493" s="38" t="s">
        <v>173</v>
      </c>
      <c r="L493" s="6"/>
      <c r="M493" s="113"/>
      <c r="N493" s="45" t="s">
        <v>62</v>
      </c>
      <c r="O493" s="2" t="s">
        <v>62</v>
      </c>
      <c r="P493" s="38" t="str">
        <f>IFERROR(Table3335678[[#This Row],[Min Count]]/Table3335678[[#This Row],[Scalar]],"")</f>
        <v/>
      </c>
      <c r="Q493" s="36" t="str">
        <f>IFERROR(Table3335678[[#This Row],[Max Count]]/Table3335678[[#This Row],[Scalar]],"")</f>
        <v/>
      </c>
      <c r="R493" s="34"/>
      <c r="S493" s="34"/>
      <c r="T493" s="34" t="s">
        <v>3723</v>
      </c>
      <c r="U493" s="33" t="s">
        <v>4343</v>
      </c>
      <c r="V493" s="33" t="s">
        <v>8837</v>
      </c>
      <c r="W493" s="33"/>
      <c r="X493" s="33"/>
    </row>
    <row r="494" spans="1:24" ht="16.149999999999999" customHeight="1" x14ac:dyDescent="0.15">
      <c r="A494" s="6">
        <v>488</v>
      </c>
      <c r="B494" s="18" t="s">
        <v>75</v>
      </c>
      <c r="C494" s="43" t="s">
        <v>4267</v>
      </c>
      <c r="D494" s="43" t="s">
        <v>7912</v>
      </c>
      <c r="E494" s="36" t="s">
        <v>219</v>
      </c>
      <c r="F494" s="19">
        <v>11</v>
      </c>
      <c r="G494" s="6">
        <v>29</v>
      </c>
      <c r="H494" s="34" t="s">
        <v>7913</v>
      </c>
      <c r="I494" s="38" t="s">
        <v>171</v>
      </c>
      <c r="J494" s="38" t="s">
        <v>177</v>
      </c>
      <c r="K494" s="38" t="s">
        <v>173</v>
      </c>
      <c r="L494" s="6"/>
      <c r="M494" s="113"/>
      <c r="N494" s="45" t="s">
        <v>62</v>
      </c>
      <c r="O494" s="2" t="s">
        <v>62</v>
      </c>
      <c r="P494" s="38" t="str">
        <f>IFERROR(Table3335678[[#This Row],[Min Count]]/Table3335678[[#This Row],[Scalar]],"")</f>
        <v/>
      </c>
      <c r="Q494" s="36" t="str">
        <f>IFERROR(Table3335678[[#This Row],[Max Count]]/Table3335678[[#This Row],[Scalar]],"")</f>
        <v/>
      </c>
      <c r="R494" s="34"/>
      <c r="S494" s="34"/>
      <c r="T494" s="34" t="s">
        <v>3723</v>
      </c>
      <c r="U494" s="33" t="s">
        <v>4343</v>
      </c>
      <c r="V494" s="33" t="s">
        <v>8838</v>
      </c>
      <c r="W494" s="33"/>
      <c r="X494" s="33"/>
    </row>
    <row r="495" spans="1:24" ht="16.149999999999999" customHeight="1" x14ac:dyDescent="0.15">
      <c r="A495" s="6">
        <v>489</v>
      </c>
      <c r="B495" s="18" t="s">
        <v>75</v>
      </c>
      <c r="C495" s="43" t="s">
        <v>4267</v>
      </c>
      <c r="D495" s="43" t="s">
        <v>7914</v>
      </c>
      <c r="E495" s="36" t="s">
        <v>219</v>
      </c>
      <c r="F495" s="19">
        <v>11</v>
      </c>
      <c r="G495" s="6">
        <v>30</v>
      </c>
      <c r="H495" s="34" t="s">
        <v>7915</v>
      </c>
      <c r="I495" s="38" t="s">
        <v>171</v>
      </c>
      <c r="J495" s="38" t="s">
        <v>177</v>
      </c>
      <c r="K495" s="38" t="s">
        <v>173</v>
      </c>
      <c r="L495" s="6"/>
      <c r="M495" s="113"/>
      <c r="N495" s="45" t="s">
        <v>62</v>
      </c>
      <c r="O495" s="2" t="s">
        <v>62</v>
      </c>
      <c r="P495" s="38" t="str">
        <f>IFERROR(Table3335678[[#This Row],[Min Count]]/Table3335678[[#This Row],[Scalar]],"")</f>
        <v/>
      </c>
      <c r="Q495" s="36" t="str">
        <f>IFERROR(Table3335678[[#This Row],[Max Count]]/Table3335678[[#This Row],[Scalar]],"")</f>
        <v/>
      </c>
      <c r="R495" s="34"/>
      <c r="S495" s="34"/>
      <c r="T495" s="34" t="s">
        <v>3723</v>
      </c>
      <c r="U495" s="33" t="s">
        <v>4343</v>
      </c>
      <c r="V495" s="33" t="s">
        <v>8839</v>
      </c>
      <c r="W495" s="33"/>
      <c r="X495" s="33"/>
    </row>
    <row r="496" spans="1:24" ht="16.149999999999999" customHeight="1" x14ac:dyDescent="0.15">
      <c r="A496" s="6">
        <v>490</v>
      </c>
      <c r="B496" s="18" t="s">
        <v>75</v>
      </c>
      <c r="C496" s="43" t="s">
        <v>4267</v>
      </c>
      <c r="D496" s="43" t="s">
        <v>7916</v>
      </c>
      <c r="E496" s="36" t="s">
        <v>219</v>
      </c>
      <c r="F496" s="19">
        <v>11</v>
      </c>
      <c r="G496" s="6">
        <v>31</v>
      </c>
      <c r="H496" s="34" t="s">
        <v>7917</v>
      </c>
      <c r="I496" s="38" t="s">
        <v>171</v>
      </c>
      <c r="J496" s="38" t="s">
        <v>177</v>
      </c>
      <c r="K496" s="38" t="s">
        <v>173</v>
      </c>
      <c r="L496" s="6"/>
      <c r="M496" s="113"/>
      <c r="N496" s="45" t="s">
        <v>62</v>
      </c>
      <c r="O496" s="2" t="s">
        <v>62</v>
      </c>
      <c r="P496" s="38" t="str">
        <f>IFERROR(Table3335678[[#This Row],[Min Count]]/Table3335678[[#This Row],[Scalar]],"")</f>
        <v/>
      </c>
      <c r="Q496" s="36" t="str">
        <f>IFERROR(Table3335678[[#This Row],[Max Count]]/Table3335678[[#This Row],[Scalar]],"")</f>
        <v/>
      </c>
      <c r="R496" s="34"/>
      <c r="S496" s="34"/>
      <c r="T496" s="34" t="s">
        <v>3723</v>
      </c>
      <c r="U496" s="33" t="s">
        <v>4343</v>
      </c>
      <c r="V496" s="33" t="s">
        <v>8840</v>
      </c>
      <c r="W496" s="33"/>
      <c r="X496" s="33"/>
    </row>
    <row r="497" spans="1:24" ht="16.149999999999999" customHeight="1" x14ac:dyDescent="0.15">
      <c r="A497" s="6">
        <v>491</v>
      </c>
      <c r="B497" s="18" t="s">
        <v>75</v>
      </c>
      <c r="C497" s="43" t="s">
        <v>4267</v>
      </c>
      <c r="D497" s="43" t="s">
        <v>7918</v>
      </c>
      <c r="E497" s="36" t="s">
        <v>219</v>
      </c>
      <c r="F497" s="19">
        <v>12</v>
      </c>
      <c r="G497" s="6"/>
      <c r="H497" s="34" t="s">
        <v>7919</v>
      </c>
      <c r="I497" s="38" t="s">
        <v>196</v>
      </c>
      <c r="J497" s="38"/>
      <c r="K497" s="38"/>
      <c r="L497" s="6" t="s">
        <v>61</v>
      </c>
      <c r="M497" s="113">
        <v>1</v>
      </c>
      <c r="N497" s="45" t="s">
        <v>62</v>
      </c>
      <c r="O497" s="2" t="s">
        <v>62</v>
      </c>
      <c r="P497" s="38" t="str">
        <f>IFERROR(Table3335678[[#This Row],[Min Count]]/Table3335678[[#This Row],[Scalar]],"")</f>
        <v/>
      </c>
      <c r="Q497" s="36" t="str">
        <f>IFERROR(Table3335678[[#This Row],[Max Count]]/Table3335678[[#This Row],[Scalar]],"")</f>
        <v/>
      </c>
      <c r="R497" s="34"/>
      <c r="S497" s="34"/>
      <c r="T497" s="34" t="s">
        <v>3723</v>
      </c>
      <c r="U497" s="33" t="s">
        <v>3853</v>
      </c>
      <c r="V497" s="33" t="s">
        <v>8841</v>
      </c>
      <c r="W497" s="33"/>
      <c r="X497" s="33"/>
    </row>
    <row r="498" spans="1:24" ht="16.149999999999999" customHeight="1" x14ac:dyDescent="0.15">
      <c r="A498" s="6">
        <v>492</v>
      </c>
      <c r="B498" s="18" t="s">
        <v>75</v>
      </c>
      <c r="C498" s="43" t="s">
        <v>4267</v>
      </c>
      <c r="D498" s="43" t="s">
        <v>7920</v>
      </c>
      <c r="E498" s="36" t="s">
        <v>219</v>
      </c>
      <c r="F498" s="19">
        <v>12</v>
      </c>
      <c r="G498" s="6">
        <v>0</v>
      </c>
      <c r="H498" s="34" t="s">
        <v>7921</v>
      </c>
      <c r="I498" s="38" t="s">
        <v>171</v>
      </c>
      <c r="J498" s="38" t="s">
        <v>177</v>
      </c>
      <c r="K498" s="38" t="s">
        <v>173</v>
      </c>
      <c r="L498" s="6"/>
      <c r="M498" s="113"/>
      <c r="N498" s="45" t="s">
        <v>62</v>
      </c>
      <c r="O498" s="2" t="s">
        <v>62</v>
      </c>
      <c r="P498" s="38" t="str">
        <f>IFERROR(Table3335678[[#This Row],[Min Count]]/Table3335678[[#This Row],[Scalar]],"")</f>
        <v/>
      </c>
      <c r="Q498" s="36" t="str">
        <f>IFERROR(Table3335678[[#This Row],[Max Count]]/Table3335678[[#This Row],[Scalar]],"")</f>
        <v/>
      </c>
      <c r="R498" s="34"/>
      <c r="S498" s="34"/>
      <c r="T498" s="34" t="s">
        <v>3723</v>
      </c>
      <c r="U498" s="33" t="s">
        <v>4343</v>
      </c>
      <c r="V498" s="33" t="s">
        <v>8842</v>
      </c>
      <c r="W498" s="33"/>
      <c r="X498" s="33"/>
    </row>
    <row r="499" spans="1:24" ht="16.149999999999999" customHeight="1" x14ac:dyDescent="0.15">
      <c r="A499" s="6">
        <v>493</v>
      </c>
      <c r="B499" s="18" t="s">
        <v>75</v>
      </c>
      <c r="C499" s="43" t="s">
        <v>4267</v>
      </c>
      <c r="D499" s="43" t="s">
        <v>7922</v>
      </c>
      <c r="E499" s="36" t="s">
        <v>219</v>
      </c>
      <c r="F499" s="19">
        <v>12</v>
      </c>
      <c r="G499" s="6">
        <v>1</v>
      </c>
      <c r="H499" s="34" t="s">
        <v>7923</v>
      </c>
      <c r="I499" s="38" t="s">
        <v>171</v>
      </c>
      <c r="J499" s="38" t="s">
        <v>177</v>
      </c>
      <c r="K499" s="38" t="s">
        <v>173</v>
      </c>
      <c r="L499" s="6"/>
      <c r="M499" s="113"/>
      <c r="N499" s="45" t="s">
        <v>62</v>
      </c>
      <c r="O499" s="2" t="s">
        <v>62</v>
      </c>
      <c r="P499" s="38" t="str">
        <f>IFERROR(Table3335678[[#This Row],[Min Count]]/Table3335678[[#This Row],[Scalar]],"")</f>
        <v/>
      </c>
      <c r="Q499" s="36" t="str">
        <f>IFERROR(Table3335678[[#This Row],[Max Count]]/Table3335678[[#This Row],[Scalar]],"")</f>
        <v/>
      </c>
      <c r="R499" s="34"/>
      <c r="S499" s="34"/>
      <c r="T499" s="34" t="s">
        <v>3723</v>
      </c>
      <c r="U499" s="33" t="s">
        <v>4343</v>
      </c>
      <c r="V499" s="33" t="s">
        <v>8843</v>
      </c>
      <c r="W499" s="33"/>
      <c r="X499" s="33"/>
    </row>
    <row r="500" spans="1:24" ht="16.149999999999999" customHeight="1" x14ac:dyDescent="0.15">
      <c r="A500" s="6">
        <v>494</v>
      </c>
      <c r="B500" s="18" t="s">
        <v>75</v>
      </c>
      <c r="C500" s="43" t="s">
        <v>4267</v>
      </c>
      <c r="D500" s="43" t="s">
        <v>7924</v>
      </c>
      <c r="E500" s="36" t="s">
        <v>219</v>
      </c>
      <c r="F500" s="19">
        <v>12</v>
      </c>
      <c r="G500" s="6">
        <v>2</v>
      </c>
      <c r="H500" s="34" t="s">
        <v>7925</v>
      </c>
      <c r="I500" s="38" t="s">
        <v>171</v>
      </c>
      <c r="J500" s="38" t="s">
        <v>177</v>
      </c>
      <c r="K500" s="38" t="s">
        <v>173</v>
      </c>
      <c r="L500" s="6"/>
      <c r="M500" s="113"/>
      <c r="N500" s="45" t="s">
        <v>62</v>
      </c>
      <c r="O500" s="2" t="s">
        <v>62</v>
      </c>
      <c r="P500" s="38" t="str">
        <f>IFERROR(Table3335678[[#This Row],[Min Count]]/Table3335678[[#This Row],[Scalar]],"")</f>
        <v/>
      </c>
      <c r="Q500" s="36" t="str">
        <f>IFERROR(Table3335678[[#This Row],[Max Count]]/Table3335678[[#This Row],[Scalar]],"")</f>
        <v/>
      </c>
      <c r="R500" s="34"/>
      <c r="S500" s="34"/>
      <c r="T500" s="34" t="s">
        <v>3723</v>
      </c>
      <c r="U500" s="33" t="s">
        <v>4343</v>
      </c>
      <c r="V500" s="33" t="s">
        <v>8844</v>
      </c>
      <c r="W500" s="33"/>
      <c r="X500" s="33"/>
    </row>
    <row r="501" spans="1:24" ht="16.149999999999999" customHeight="1" x14ac:dyDescent="0.15">
      <c r="A501" s="6">
        <v>495</v>
      </c>
      <c r="B501" s="18" t="s">
        <v>75</v>
      </c>
      <c r="C501" s="43" t="s">
        <v>4267</v>
      </c>
      <c r="D501" s="43" t="s">
        <v>7926</v>
      </c>
      <c r="E501" s="36" t="s">
        <v>219</v>
      </c>
      <c r="F501" s="19">
        <v>12</v>
      </c>
      <c r="G501" s="6">
        <v>3</v>
      </c>
      <c r="H501" s="34" t="s">
        <v>7927</v>
      </c>
      <c r="I501" s="38" t="s">
        <v>171</v>
      </c>
      <c r="J501" s="38" t="s">
        <v>177</v>
      </c>
      <c r="K501" s="38" t="s">
        <v>173</v>
      </c>
      <c r="L501" s="6"/>
      <c r="M501" s="113"/>
      <c r="N501" s="45" t="s">
        <v>62</v>
      </c>
      <c r="O501" s="2" t="s">
        <v>62</v>
      </c>
      <c r="P501" s="38" t="str">
        <f>IFERROR(Table3335678[[#This Row],[Min Count]]/Table3335678[[#This Row],[Scalar]],"")</f>
        <v/>
      </c>
      <c r="Q501" s="36" t="str">
        <f>IFERROR(Table3335678[[#This Row],[Max Count]]/Table3335678[[#This Row],[Scalar]],"")</f>
        <v/>
      </c>
      <c r="R501" s="34"/>
      <c r="S501" s="34"/>
      <c r="T501" s="34" t="s">
        <v>3723</v>
      </c>
      <c r="U501" s="33" t="s">
        <v>4343</v>
      </c>
      <c r="V501" s="33" t="s">
        <v>8845</v>
      </c>
      <c r="W501" s="33"/>
      <c r="X501" s="33"/>
    </row>
    <row r="502" spans="1:24" ht="16.149999999999999" customHeight="1" x14ac:dyDescent="0.15">
      <c r="A502" s="6">
        <v>496</v>
      </c>
      <c r="B502" s="18" t="s">
        <v>75</v>
      </c>
      <c r="C502" s="43" t="s">
        <v>4267</v>
      </c>
      <c r="D502" s="43" t="s">
        <v>7928</v>
      </c>
      <c r="E502" s="36" t="s">
        <v>219</v>
      </c>
      <c r="F502" s="19">
        <v>12</v>
      </c>
      <c r="G502" s="6">
        <v>4</v>
      </c>
      <c r="H502" s="34" t="s">
        <v>7929</v>
      </c>
      <c r="I502" s="38" t="s">
        <v>171</v>
      </c>
      <c r="J502" s="38" t="s">
        <v>177</v>
      </c>
      <c r="K502" s="38" t="s">
        <v>173</v>
      </c>
      <c r="L502" s="6"/>
      <c r="M502" s="113"/>
      <c r="N502" s="45" t="s">
        <v>62</v>
      </c>
      <c r="O502" s="2" t="s">
        <v>62</v>
      </c>
      <c r="P502" s="38" t="str">
        <f>IFERROR(Table3335678[[#This Row],[Min Count]]/Table3335678[[#This Row],[Scalar]],"")</f>
        <v/>
      </c>
      <c r="Q502" s="36" t="str">
        <f>IFERROR(Table3335678[[#This Row],[Max Count]]/Table3335678[[#This Row],[Scalar]],"")</f>
        <v/>
      </c>
      <c r="R502" s="34"/>
      <c r="S502" s="34"/>
      <c r="T502" s="34" t="s">
        <v>3723</v>
      </c>
      <c r="U502" s="33" t="s">
        <v>4343</v>
      </c>
      <c r="V502" s="33" t="s">
        <v>8846</v>
      </c>
      <c r="W502" s="33"/>
      <c r="X502" s="33"/>
    </row>
    <row r="503" spans="1:24" ht="16.149999999999999" customHeight="1" x14ac:dyDescent="0.15">
      <c r="A503" s="6">
        <v>497</v>
      </c>
      <c r="B503" s="18" t="s">
        <v>75</v>
      </c>
      <c r="C503" s="43" t="s">
        <v>4267</v>
      </c>
      <c r="D503" s="43" t="s">
        <v>7930</v>
      </c>
      <c r="E503" s="36" t="s">
        <v>219</v>
      </c>
      <c r="F503" s="19">
        <v>12</v>
      </c>
      <c r="G503" s="6">
        <v>5</v>
      </c>
      <c r="H503" s="34" t="s">
        <v>7931</v>
      </c>
      <c r="I503" s="38" t="s">
        <v>171</v>
      </c>
      <c r="J503" s="38" t="s">
        <v>177</v>
      </c>
      <c r="K503" s="38" t="s">
        <v>173</v>
      </c>
      <c r="L503" s="6"/>
      <c r="M503" s="113"/>
      <c r="N503" s="45" t="s">
        <v>62</v>
      </c>
      <c r="O503" s="2" t="s">
        <v>62</v>
      </c>
      <c r="P503" s="38" t="str">
        <f>IFERROR(Table3335678[[#This Row],[Min Count]]/Table3335678[[#This Row],[Scalar]],"")</f>
        <v/>
      </c>
      <c r="Q503" s="36" t="str">
        <f>IFERROR(Table3335678[[#This Row],[Max Count]]/Table3335678[[#This Row],[Scalar]],"")</f>
        <v/>
      </c>
      <c r="R503" s="34"/>
      <c r="S503" s="34"/>
      <c r="T503" s="34" t="s">
        <v>3723</v>
      </c>
      <c r="U503" s="33" t="s">
        <v>4343</v>
      </c>
      <c r="V503" s="33" t="s">
        <v>8847</v>
      </c>
      <c r="W503" s="33"/>
      <c r="X503" s="33"/>
    </row>
    <row r="504" spans="1:24" ht="16.149999999999999" customHeight="1" x14ac:dyDescent="0.15">
      <c r="A504" s="6">
        <v>498</v>
      </c>
      <c r="B504" s="18" t="s">
        <v>75</v>
      </c>
      <c r="C504" s="43" t="s">
        <v>4267</v>
      </c>
      <c r="D504" s="43" t="s">
        <v>7932</v>
      </c>
      <c r="E504" s="36" t="s">
        <v>219</v>
      </c>
      <c r="F504" s="19">
        <v>12</v>
      </c>
      <c r="G504" s="6">
        <v>6</v>
      </c>
      <c r="H504" s="34" t="s">
        <v>7933</v>
      </c>
      <c r="I504" s="38" t="s">
        <v>171</v>
      </c>
      <c r="J504" s="38" t="s">
        <v>177</v>
      </c>
      <c r="K504" s="38" t="s">
        <v>173</v>
      </c>
      <c r="L504" s="6"/>
      <c r="M504" s="113"/>
      <c r="N504" s="45" t="s">
        <v>62</v>
      </c>
      <c r="O504" s="2" t="s">
        <v>62</v>
      </c>
      <c r="P504" s="38" t="str">
        <f>IFERROR(Table3335678[[#This Row],[Min Count]]/Table3335678[[#This Row],[Scalar]],"")</f>
        <v/>
      </c>
      <c r="Q504" s="36" t="str">
        <f>IFERROR(Table3335678[[#This Row],[Max Count]]/Table3335678[[#This Row],[Scalar]],"")</f>
        <v/>
      </c>
      <c r="R504" s="34"/>
      <c r="S504" s="34"/>
      <c r="T504" s="34" t="s">
        <v>3723</v>
      </c>
      <c r="U504" s="33" t="s">
        <v>4343</v>
      </c>
      <c r="V504" s="33" t="s">
        <v>8848</v>
      </c>
      <c r="W504" s="33"/>
      <c r="X504" s="33"/>
    </row>
    <row r="505" spans="1:24" ht="16.149999999999999" customHeight="1" x14ac:dyDescent="0.15">
      <c r="A505" s="6">
        <v>499</v>
      </c>
      <c r="B505" s="18" t="s">
        <v>75</v>
      </c>
      <c r="C505" s="43" t="s">
        <v>4267</v>
      </c>
      <c r="D505" s="43" t="s">
        <v>7934</v>
      </c>
      <c r="E505" s="36" t="s">
        <v>219</v>
      </c>
      <c r="F505" s="19">
        <v>12</v>
      </c>
      <c r="G505" s="6">
        <v>7</v>
      </c>
      <c r="H505" s="34" t="s">
        <v>7935</v>
      </c>
      <c r="I505" s="38" t="s">
        <v>171</v>
      </c>
      <c r="J505" s="38" t="s">
        <v>177</v>
      </c>
      <c r="K505" s="38" t="s">
        <v>173</v>
      </c>
      <c r="L505" s="6"/>
      <c r="M505" s="113"/>
      <c r="N505" s="45" t="s">
        <v>62</v>
      </c>
      <c r="O505" s="2" t="s">
        <v>62</v>
      </c>
      <c r="P505" s="38" t="str">
        <f>IFERROR(Table3335678[[#This Row],[Min Count]]/Table3335678[[#This Row],[Scalar]],"")</f>
        <v/>
      </c>
      <c r="Q505" s="36" t="str">
        <f>IFERROR(Table3335678[[#This Row],[Max Count]]/Table3335678[[#This Row],[Scalar]],"")</f>
        <v/>
      </c>
      <c r="R505" s="34"/>
      <c r="S505" s="34"/>
      <c r="T505" s="34" t="s">
        <v>3723</v>
      </c>
      <c r="U505" s="33" t="s">
        <v>4343</v>
      </c>
      <c r="V505" s="33" t="s">
        <v>8849</v>
      </c>
      <c r="W505" s="33"/>
      <c r="X505" s="33"/>
    </row>
    <row r="506" spans="1:24" ht="16.149999999999999" customHeight="1" x14ac:dyDescent="0.15">
      <c r="A506" s="6">
        <v>500</v>
      </c>
      <c r="B506" s="18" t="s">
        <v>75</v>
      </c>
      <c r="C506" s="43" t="s">
        <v>4267</v>
      </c>
      <c r="D506" s="43" t="s">
        <v>7936</v>
      </c>
      <c r="E506" s="36" t="s">
        <v>219</v>
      </c>
      <c r="F506" s="19">
        <v>12</v>
      </c>
      <c r="G506" s="6">
        <v>8</v>
      </c>
      <c r="H506" s="34" t="s">
        <v>7937</v>
      </c>
      <c r="I506" s="38" t="s">
        <v>171</v>
      </c>
      <c r="J506" s="38" t="s">
        <v>177</v>
      </c>
      <c r="K506" s="38" t="s">
        <v>173</v>
      </c>
      <c r="L506" s="6"/>
      <c r="M506" s="113"/>
      <c r="N506" s="45" t="s">
        <v>62</v>
      </c>
      <c r="O506" s="2" t="s">
        <v>62</v>
      </c>
      <c r="P506" s="38" t="str">
        <f>IFERROR(Table3335678[[#This Row],[Min Count]]/Table3335678[[#This Row],[Scalar]],"")</f>
        <v/>
      </c>
      <c r="Q506" s="36" t="str">
        <f>IFERROR(Table3335678[[#This Row],[Max Count]]/Table3335678[[#This Row],[Scalar]],"")</f>
        <v/>
      </c>
      <c r="R506" s="34"/>
      <c r="S506" s="34"/>
      <c r="T506" s="34" t="s">
        <v>3723</v>
      </c>
      <c r="U506" s="33" t="s">
        <v>4343</v>
      </c>
      <c r="V506" s="33" t="s">
        <v>8850</v>
      </c>
      <c r="W506" s="33"/>
      <c r="X506" s="33"/>
    </row>
    <row r="507" spans="1:24" ht="16.149999999999999" customHeight="1" x14ac:dyDescent="0.15">
      <c r="A507" s="6">
        <v>501</v>
      </c>
      <c r="B507" s="18" t="s">
        <v>75</v>
      </c>
      <c r="C507" s="43" t="s">
        <v>4267</v>
      </c>
      <c r="D507" s="43" t="s">
        <v>7938</v>
      </c>
      <c r="E507" s="36" t="s">
        <v>219</v>
      </c>
      <c r="F507" s="19">
        <v>12</v>
      </c>
      <c r="G507" s="6">
        <v>9</v>
      </c>
      <c r="H507" s="34" t="s">
        <v>7939</v>
      </c>
      <c r="I507" s="38" t="s">
        <v>171</v>
      </c>
      <c r="J507" s="38" t="s">
        <v>177</v>
      </c>
      <c r="K507" s="38" t="s">
        <v>173</v>
      </c>
      <c r="L507" s="6"/>
      <c r="M507" s="113"/>
      <c r="N507" s="45" t="s">
        <v>62</v>
      </c>
      <c r="O507" s="2" t="s">
        <v>62</v>
      </c>
      <c r="P507" s="38" t="str">
        <f>IFERROR(Table3335678[[#This Row],[Min Count]]/Table3335678[[#This Row],[Scalar]],"")</f>
        <v/>
      </c>
      <c r="Q507" s="36" t="str">
        <f>IFERROR(Table3335678[[#This Row],[Max Count]]/Table3335678[[#This Row],[Scalar]],"")</f>
        <v/>
      </c>
      <c r="R507" s="34"/>
      <c r="S507" s="34"/>
      <c r="T507" s="34" t="s">
        <v>3723</v>
      </c>
      <c r="U507" s="33" t="s">
        <v>4343</v>
      </c>
      <c r="V507" s="33" t="s">
        <v>8851</v>
      </c>
      <c r="W507" s="33"/>
      <c r="X507" s="33"/>
    </row>
    <row r="508" spans="1:24" ht="16.149999999999999" customHeight="1" x14ac:dyDescent="0.15">
      <c r="A508" s="6">
        <v>502</v>
      </c>
      <c r="B508" s="18" t="s">
        <v>75</v>
      </c>
      <c r="C508" s="43" t="s">
        <v>4267</v>
      </c>
      <c r="D508" s="43" t="s">
        <v>7940</v>
      </c>
      <c r="E508" s="36" t="s">
        <v>219</v>
      </c>
      <c r="F508" s="19">
        <v>12</v>
      </c>
      <c r="G508" s="6">
        <v>10</v>
      </c>
      <c r="H508" s="34" t="s">
        <v>7941</v>
      </c>
      <c r="I508" s="38" t="s">
        <v>171</v>
      </c>
      <c r="J508" s="38" t="s">
        <v>177</v>
      </c>
      <c r="K508" s="38" t="s">
        <v>173</v>
      </c>
      <c r="L508" s="6"/>
      <c r="M508" s="113"/>
      <c r="N508" s="45" t="s">
        <v>62</v>
      </c>
      <c r="O508" s="2" t="s">
        <v>62</v>
      </c>
      <c r="P508" s="38" t="str">
        <f>IFERROR(Table3335678[[#This Row],[Min Count]]/Table3335678[[#This Row],[Scalar]],"")</f>
        <v/>
      </c>
      <c r="Q508" s="36" t="str">
        <f>IFERROR(Table3335678[[#This Row],[Max Count]]/Table3335678[[#This Row],[Scalar]],"")</f>
        <v/>
      </c>
      <c r="R508" s="34"/>
      <c r="S508" s="34"/>
      <c r="T508" s="34" t="s">
        <v>3723</v>
      </c>
      <c r="U508" s="33" t="s">
        <v>4343</v>
      </c>
      <c r="V508" s="33" t="s">
        <v>8852</v>
      </c>
      <c r="W508" s="33"/>
      <c r="X508" s="33"/>
    </row>
    <row r="509" spans="1:24" ht="16.149999999999999" customHeight="1" x14ac:dyDescent="0.15">
      <c r="A509" s="6">
        <v>503</v>
      </c>
      <c r="B509" s="18" t="s">
        <v>75</v>
      </c>
      <c r="C509" s="43" t="s">
        <v>4267</v>
      </c>
      <c r="D509" s="43" t="s">
        <v>7942</v>
      </c>
      <c r="E509" s="36" t="s">
        <v>219</v>
      </c>
      <c r="F509" s="19">
        <v>12</v>
      </c>
      <c r="G509" s="6">
        <v>11</v>
      </c>
      <c r="H509" s="34" t="s">
        <v>7943</v>
      </c>
      <c r="I509" s="38" t="s">
        <v>171</v>
      </c>
      <c r="J509" s="38" t="s">
        <v>177</v>
      </c>
      <c r="K509" s="38" t="s">
        <v>173</v>
      </c>
      <c r="L509" s="6"/>
      <c r="M509" s="113"/>
      <c r="N509" s="45" t="s">
        <v>62</v>
      </c>
      <c r="O509" s="2" t="s">
        <v>62</v>
      </c>
      <c r="P509" s="38" t="str">
        <f>IFERROR(Table3335678[[#This Row],[Min Count]]/Table3335678[[#This Row],[Scalar]],"")</f>
        <v/>
      </c>
      <c r="Q509" s="36" t="str">
        <f>IFERROR(Table3335678[[#This Row],[Max Count]]/Table3335678[[#This Row],[Scalar]],"")</f>
        <v/>
      </c>
      <c r="R509" s="34"/>
      <c r="S509" s="34"/>
      <c r="T509" s="34" t="s">
        <v>3723</v>
      </c>
      <c r="U509" s="33" t="s">
        <v>4343</v>
      </c>
      <c r="V509" s="33" t="s">
        <v>8853</v>
      </c>
      <c r="W509" s="33"/>
      <c r="X509" s="33"/>
    </row>
    <row r="510" spans="1:24" ht="16.149999999999999" customHeight="1" x14ac:dyDescent="0.15">
      <c r="A510" s="6">
        <v>504</v>
      </c>
      <c r="B510" s="18" t="s">
        <v>75</v>
      </c>
      <c r="C510" s="43" t="s">
        <v>4267</v>
      </c>
      <c r="D510" s="43" t="s">
        <v>7944</v>
      </c>
      <c r="E510" s="36" t="s">
        <v>219</v>
      </c>
      <c r="F510" s="19">
        <v>12</v>
      </c>
      <c r="G510" s="6">
        <v>12</v>
      </c>
      <c r="H510" s="34" t="s">
        <v>7945</v>
      </c>
      <c r="I510" s="38" t="s">
        <v>171</v>
      </c>
      <c r="J510" s="38" t="s">
        <v>177</v>
      </c>
      <c r="K510" s="38" t="s">
        <v>173</v>
      </c>
      <c r="L510" s="6"/>
      <c r="M510" s="113"/>
      <c r="N510" s="45" t="s">
        <v>62</v>
      </c>
      <c r="O510" s="2" t="s">
        <v>62</v>
      </c>
      <c r="P510" s="38" t="str">
        <f>IFERROR(Table3335678[[#This Row],[Min Count]]/Table3335678[[#This Row],[Scalar]],"")</f>
        <v/>
      </c>
      <c r="Q510" s="36" t="str">
        <f>IFERROR(Table3335678[[#This Row],[Max Count]]/Table3335678[[#This Row],[Scalar]],"")</f>
        <v/>
      </c>
      <c r="R510" s="34"/>
      <c r="S510" s="34"/>
      <c r="T510" s="34" t="s">
        <v>3723</v>
      </c>
      <c r="U510" s="33" t="s">
        <v>4343</v>
      </c>
      <c r="V510" s="33" t="s">
        <v>8854</v>
      </c>
      <c r="W510" s="33"/>
      <c r="X510" s="33"/>
    </row>
    <row r="511" spans="1:24" ht="16.149999999999999" customHeight="1" x14ac:dyDescent="0.15">
      <c r="A511" s="6">
        <v>505</v>
      </c>
      <c r="B511" s="18" t="s">
        <v>75</v>
      </c>
      <c r="C511" s="43" t="s">
        <v>4267</v>
      </c>
      <c r="D511" s="43" t="s">
        <v>7946</v>
      </c>
      <c r="E511" s="36" t="s">
        <v>219</v>
      </c>
      <c r="F511" s="19">
        <v>12</v>
      </c>
      <c r="G511" s="6">
        <v>13</v>
      </c>
      <c r="H511" s="34" t="s">
        <v>7947</v>
      </c>
      <c r="I511" s="38" t="s">
        <v>171</v>
      </c>
      <c r="J511" s="38" t="s">
        <v>177</v>
      </c>
      <c r="K511" s="38" t="s">
        <v>173</v>
      </c>
      <c r="L511" s="6"/>
      <c r="M511" s="113"/>
      <c r="N511" s="45" t="s">
        <v>62</v>
      </c>
      <c r="O511" s="2" t="s">
        <v>62</v>
      </c>
      <c r="P511" s="38" t="str">
        <f>IFERROR(Table3335678[[#This Row],[Min Count]]/Table3335678[[#This Row],[Scalar]],"")</f>
        <v/>
      </c>
      <c r="Q511" s="36" t="str">
        <f>IFERROR(Table3335678[[#This Row],[Max Count]]/Table3335678[[#This Row],[Scalar]],"")</f>
        <v/>
      </c>
      <c r="R511" s="34"/>
      <c r="S511" s="34"/>
      <c r="T511" s="34" t="s">
        <v>3723</v>
      </c>
      <c r="U511" s="33" t="s">
        <v>4343</v>
      </c>
      <c r="V511" s="33" t="s">
        <v>8855</v>
      </c>
      <c r="W511" s="33"/>
      <c r="X511" s="33"/>
    </row>
    <row r="512" spans="1:24" ht="16.149999999999999" customHeight="1" x14ac:dyDescent="0.15">
      <c r="A512" s="6">
        <v>506</v>
      </c>
      <c r="B512" s="18" t="s">
        <v>75</v>
      </c>
      <c r="C512" s="43" t="s">
        <v>4267</v>
      </c>
      <c r="D512" s="43" t="s">
        <v>7948</v>
      </c>
      <c r="E512" s="36" t="s">
        <v>219</v>
      </c>
      <c r="F512" s="19">
        <v>12</v>
      </c>
      <c r="G512" s="6">
        <v>14</v>
      </c>
      <c r="H512" s="34" t="s">
        <v>7949</v>
      </c>
      <c r="I512" s="38" t="s">
        <v>171</v>
      </c>
      <c r="J512" s="38" t="s">
        <v>177</v>
      </c>
      <c r="K512" s="38" t="s">
        <v>173</v>
      </c>
      <c r="L512" s="6"/>
      <c r="M512" s="113"/>
      <c r="N512" s="45" t="s">
        <v>62</v>
      </c>
      <c r="O512" s="2" t="s">
        <v>62</v>
      </c>
      <c r="P512" s="38" t="str">
        <f>IFERROR(Table3335678[[#This Row],[Min Count]]/Table3335678[[#This Row],[Scalar]],"")</f>
        <v/>
      </c>
      <c r="Q512" s="36" t="str">
        <f>IFERROR(Table3335678[[#This Row],[Max Count]]/Table3335678[[#This Row],[Scalar]],"")</f>
        <v/>
      </c>
      <c r="R512" s="34"/>
      <c r="S512" s="34"/>
      <c r="T512" s="34" t="s">
        <v>3723</v>
      </c>
      <c r="U512" s="33" t="s">
        <v>4343</v>
      </c>
      <c r="V512" s="33" t="s">
        <v>8856</v>
      </c>
      <c r="W512" s="33"/>
      <c r="X512" s="33"/>
    </row>
    <row r="513" spans="1:24" ht="16.149999999999999" customHeight="1" x14ac:dyDescent="0.15">
      <c r="A513" s="6">
        <v>507</v>
      </c>
      <c r="B513" s="18" t="s">
        <v>75</v>
      </c>
      <c r="C513" s="43" t="s">
        <v>4267</v>
      </c>
      <c r="D513" s="43" t="s">
        <v>7950</v>
      </c>
      <c r="E513" s="36" t="s">
        <v>219</v>
      </c>
      <c r="F513" s="19">
        <v>12</v>
      </c>
      <c r="G513" s="6">
        <v>15</v>
      </c>
      <c r="H513" s="34" t="s">
        <v>7951</v>
      </c>
      <c r="I513" s="38" t="s">
        <v>171</v>
      </c>
      <c r="J513" s="38" t="s">
        <v>177</v>
      </c>
      <c r="K513" s="38" t="s">
        <v>173</v>
      </c>
      <c r="L513" s="6"/>
      <c r="M513" s="113"/>
      <c r="N513" s="45" t="s">
        <v>62</v>
      </c>
      <c r="O513" s="2" t="s">
        <v>62</v>
      </c>
      <c r="P513" s="38" t="str">
        <f>IFERROR(Table3335678[[#This Row],[Min Count]]/Table3335678[[#This Row],[Scalar]],"")</f>
        <v/>
      </c>
      <c r="Q513" s="36" t="str">
        <f>IFERROR(Table3335678[[#This Row],[Max Count]]/Table3335678[[#This Row],[Scalar]],"")</f>
        <v/>
      </c>
      <c r="R513" s="34"/>
      <c r="S513" s="34"/>
      <c r="T513" s="34" t="s">
        <v>3723</v>
      </c>
      <c r="U513" s="33" t="s">
        <v>4343</v>
      </c>
      <c r="V513" s="33" t="s">
        <v>8857</v>
      </c>
      <c r="W513" s="33"/>
      <c r="X513" s="33"/>
    </row>
    <row r="514" spans="1:24" ht="16.149999999999999" customHeight="1" x14ac:dyDescent="0.15">
      <c r="A514" s="6">
        <v>508</v>
      </c>
      <c r="B514" s="18" t="s">
        <v>75</v>
      </c>
      <c r="C514" s="43" t="s">
        <v>4267</v>
      </c>
      <c r="D514" s="43" t="s">
        <v>7952</v>
      </c>
      <c r="E514" s="36" t="s">
        <v>219</v>
      </c>
      <c r="F514" s="19">
        <v>12</v>
      </c>
      <c r="G514" s="6">
        <v>16</v>
      </c>
      <c r="H514" s="34" t="s">
        <v>7953</v>
      </c>
      <c r="I514" s="38" t="s">
        <v>171</v>
      </c>
      <c r="J514" s="38" t="s">
        <v>177</v>
      </c>
      <c r="K514" s="38" t="s">
        <v>173</v>
      </c>
      <c r="L514" s="6"/>
      <c r="M514" s="113"/>
      <c r="N514" s="45" t="s">
        <v>62</v>
      </c>
      <c r="O514" s="2" t="s">
        <v>62</v>
      </c>
      <c r="P514" s="38" t="str">
        <f>IFERROR(Table3335678[[#This Row],[Min Count]]/Table3335678[[#This Row],[Scalar]],"")</f>
        <v/>
      </c>
      <c r="Q514" s="36" t="str">
        <f>IFERROR(Table3335678[[#This Row],[Max Count]]/Table3335678[[#This Row],[Scalar]],"")</f>
        <v/>
      </c>
      <c r="R514" s="34"/>
      <c r="S514" s="34"/>
      <c r="T514" s="34" t="s">
        <v>3723</v>
      </c>
      <c r="U514" s="33" t="s">
        <v>4343</v>
      </c>
      <c r="V514" s="33" t="s">
        <v>8858</v>
      </c>
      <c r="W514" s="33"/>
      <c r="X514" s="33"/>
    </row>
    <row r="515" spans="1:24" ht="16.149999999999999" customHeight="1" x14ac:dyDescent="0.15">
      <c r="A515" s="6">
        <v>509</v>
      </c>
      <c r="B515" s="18" t="s">
        <v>75</v>
      </c>
      <c r="C515" s="43" t="s">
        <v>4267</v>
      </c>
      <c r="D515" s="43" t="s">
        <v>7954</v>
      </c>
      <c r="E515" s="36" t="s">
        <v>219</v>
      </c>
      <c r="F515" s="19">
        <v>12</v>
      </c>
      <c r="G515" s="6">
        <v>17</v>
      </c>
      <c r="H515" s="34" t="s">
        <v>7955</v>
      </c>
      <c r="I515" s="38" t="s">
        <v>171</v>
      </c>
      <c r="J515" s="38" t="s">
        <v>177</v>
      </c>
      <c r="K515" s="38" t="s">
        <v>173</v>
      </c>
      <c r="L515" s="6"/>
      <c r="M515" s="113"/>
      <c r="N515" s="45" t="s">
        <v>62</v>
      </c>
      <c r="O515" s="2" t="s">
        <v>62</v>
      </c>
      <c r="P515" s="38" t="str">
        <f>IFERROR(Table3335678[[#This Row],[Min Count]]/Table3335678[[#This Row],[Scalar]],"")</f>
        <v/>
      </c>
      <c r="Q515" s="36" t="str">
        <f>IFERROR(Table3335678[[#This Row],[Max Count]]/Table3335678[[#This Row],[Scalar]],"")</f>
        <v/>
      </c>
      <c r="R515" s="34"/>
      <c r="S515" s="34"/>
      <c r="T515" s="34" t="s">
        <v>3723</v>
      </c>
      <c r="U515" s="33" t="s">
        <v>4343</v>
      </c>
      <c r="V515" s="33" t="s">
        <v>8859</v>
      </c>
      <c r="W515" s="33"/>
      <c r="X515" s="33"/>
    </row>
    <row r="516" spans="1:24" ht="16.149999999999999" customHeight="1" x14ac:dyDescent="0.15">
      <c r="A516" s="6">
        <v>510</v>
      </c>
      <c r="B516" s="18" t="s">
        <v>75</v>
      </c>
      <c r="C516" s="43" t="s">
        <v>4267</v>
      </c>
      <c r="D516" s="43" t="s">
        <v>7956</v>
      </c>
      <c r="E516" s="36" t="s">
        <v>219</v>
      </c>
      <c r="F516" s="19">
        <v>12</v>
      </c>
      <c r="G516" s="6">
        <v>18</v>
      </c>
      <c r="H516" s="34" t="s">
        <v>7957</v>
      </c>
      <c r="I516" s="38" t="s">
        <v>171</v>
      </c>
      <c r="J516" s="38" t="s">
        <v>177</v>
      </c>
      <c r="K516" s="38" t="s">
        <v>173</v>
      </c>
      <c r="L516" s="6"/>
      <c r="M516" s="113"/>
      <c r="N516" s="45" t="s">
        <v>62</v>
      </c>
      <c r="O516" s="2" t="s">
        <v>62</v>
      </c>
      <c r="P516" s="38" t="str">
        <f>IFERROR(Table3335678[[#This Row],[Min Count]]/Table3335678[[#This Row],[Scalar]],"")</f>
        <v/>
      </c>
      <c r="Q516" s="36" t="str">
        <f>IFERROR(Table3335678[[#This Row],[Max Count]]/Table3335678[[#This Row],[Scalar]],"")</f>
        <v/>
      </c>
      <c r="R516" s="34"/>
      <c r="S516" s="34"/>
      <c r="T516" s="34" t="s">
        <v>3723</v>
      </c>
      <c r="U516" s="33" t="s">
        <v>4343</v>
      </c>
      <c r="V516" s="33" t="s">
        <v>8860</v>
      </c>
      <c r="W516" s="33"/>
      <c r="X516" s="33"/>
    </row>
    <row r="517" spans="1:24" ht="16.149999999999999" customHeight="1" x14ac:dyDescent="0.15">
      <c r="A517" s="6">
        <v>511</v>
      </c>
      <c r="B517" s="18" t="s">
        <v>75</v>
      </c>
      <c r="C517" s="43" t="s">
        <v>4267</v>
      </c>
      <c r="D517" s="43" t="s">
        <v>7958</v>
      </c>
      <c r="E517" s="36" t="s">
        <v>219</v>
      </c>
      <c r="F517" s="19">
        <v>12</v>
      </c>
      <c r="G517" s="6">
        <v>19</v>
      </c>
      <c r="H517" s="34" t="s">
        <v>7959</v>
      </c>
      <c r="I517" s="38" t="s">
        <v>171</v>
      </c>
      <c r="J517" s="38" t="s">
        <v>177</v>
      </c>
      <c r="K517" s="38" t="s">
        <v>173</v>
      </c>
      <c r="L517" s="6"/>
      <c r="M517" s="113"/>
      <c r="N517" s="45" t="s">
        <v>62</v>
      </c>
      <c r="O517" s="2" t="s">
        <v>62</v>
      </c>
      <c r="P517" s="38" t="str">
        <f>IFERROR(Table3335678[[#This Row],[Min Count]]/Table3335678[[#This Row],[Scalar]],"")</f>
        <v/>
      </c>
      <c r="Q517" s="36" t="str">
        <f>IFERROR(Table3335678[[#This Row],[Max Count]]/Table3335678[[#This Row],[Scalar]],"")</f>
        <v/>
      </c>
      <c r="R517" s="34"/>
      <c r="S517" s="34"/>
      <c r="T517" s="34" t="s">
        <v>3723</v>
      </c>
      <c r="U517" s="33" t="s">
        <v>4343</v>
      </c>
      <c r="V517" s="33" t="s">
        <v>8861</v>
      </c>
      <c r="W517" s="33"/>
      <c r="X517" s="33"/>
    </row>
    <row r="518" spans="1:24" ht="16.149999999999999" customHeight="1" x14ac:dyDescent="0.15">
      <c r="A518" s="6">
        <v>512</v>
      </c>
      <c r="B518" s="18" t="s">
        <v>75</v>
      </c>
      <c r="C518" s="43" t="s">
        <v>4267</v>
      </c>
      <c r="D518" s="43" t="s">
        <v>7960</v>
      </c>
      <c r="E518" s="36" t="s">
        <v>219</v>
      </c>
      <c r="F518" s="19">
        <v>12</v>
      </c>
      <c r="G518" s="6">
        <v>20</v>
      </c>
      <c r="H518" s="34" t="s">
        <v>7961</v>
      </c>
      <c r="I518" s="38" t="s">
        <v>171</v>
      </c>
      <c r="J518" s="38" t="s">
        <v>177</v>
      </c>
      <c r="K518" s="38" t="s">
        <v>173</v>
      </c>
      <c r="L518" s="6"/>
      <c r="M518" s="113"/>
      <c r="N518" s="45" t="s">
        <v>62</v>
      </c>
      <c r="O518" s="2" t="s">
        <v>62</v>
      </c>
      <c r="P518" s="38" t="str">
        <f>IFERROR(Table3335678[[#This Row],[Min Count]]/Table3335678[[#This Row],[Scalar]],"")</f>
        <v/>
      </c>
      <c r="Q518" s="36" t="str">
        <f>IFERROR(Table3335678[[#This Row],[Max Count]]/Table3335678[[#This Row],[Scalar]],"")</f>
        <v/>
      </c>
      <c r="R518" s="34"/>
      <c r="S518" s="34"/>
      <c r="T518" s="34" t="s">
        <v>3723</v>
      </c>
      <c r="U518" s="33" t="s">
        <v>4343</v>
      </c>
      <c r="V518" s="33" t="s">
        <v>8862</v>
      </c>
      <c r="W518" s="33"/>
      <c r="X518" s="33"/>
    </row>
    <row r="519" spans="1:24" ht="16.149999999999999" customHeight="1" x14ac:dyDescent="0.15">
      <c r="A519" s="6">
        <v>513</v>
      </c>
      <c r="B519" s="18" t="s">
        <v>75</v>
      </c>
      <c r="C519" s="43" t="s">
        <v>4267</v>
      </c>
      <c r="D519" s="43" t="s">
        <v>7962</v>
      </c>
      <c r="E519" s="36" t="s">
        <v>219</v>
      </c>
      <c r="F519" s="19">
        <v>12</v>
      </c>
      <c r="G519" s="6">
        <v>21</v>
      </c>
      <c r="H519" s="34" t="s">
        <v>7963</v>
      </c>
      <c r="I519" s="38" t="s">
        <v>171</v>
      </c>
      <c r="J519" s="38" t="s">
        <v>177</v>
      </c>
      <c r="K519" s="38" t="s">
        <v>173</v>
      </c>
      <c r="L519" s="6"/>
      <c r="M519" s="113"/>
      <c r="N519" s="45" t="s">
        <v>62</v>
      </c>
      <c r="O519" s="2" t="s">
        <v>62</v>
      </c>
      <c r="P519" s="38" t="str">
        <f>IFERROR(Table3335678[[#This Row],[Min Count]]/Table3335678[[#This Row],[Scalar]],"")</f>
        <v/>
      </c>
      <c r="Q519" s="36" t="str">
        <f>IFERROR(Table3335678[[#This Row],[Max Count]]/Table3335678[[#This Row],[Scalar]],"")</f>
        <v/>
      </c>
      <c r="R519" s="34"/>
      <c r="S519" s="34"/>
      <c r="T519" s="34" t="s">
        <v>3723</v>
      </c>
      <c r="U519" s="33" t="s">
        <v>4343</v>
      </c>
      <c r="V519" s="33" t="s">
        <v>8863</v>
      </c>
      <c r="W519" s="33"/>
      <c r="X519" s="33"/>
    </row>
    <row r="520" spans="1:24" ht="16.149999999999999" customHeight="1" x14ac:dyDescent="0.15">
      <c r="A520" s="6">
        <v>514</v>
      </c>
      <c r="B520" s="18" t="s">
        <v>75</v>
      </c>
      <c r="C520" s="43" t="s">
        <v>4267</v>
      </c>
      <c r="D520" s="43" t="s">
        <v>7964</v>
      </c>
      <c r="E520" s="36" t="s">
        <v>219</v>
      </c>
      <c r="F520" s="19">
        <v>12</v>
      </c>
      <c r="G520" s="6">
        <v>22</v>
      </c>
      <c r="H520" s="34" t="s">
        <v>7965</v>
      </c>
      <c r="I520" s="38" t="s">
        <v>171</v>
      </c>
      <c r="J520" s="38" t="s">
        <v>177</v>
      </c>
      <c r="K520" s="38" t="s">
        <v>173</v>
      </c>
      <c r="L520" s="6"/>
      <c r="M520" s="113"/>
      <c r="N520" s="45" t="s">
        <v>62</v>
      </c>
      <c r="O520" s="2" t="s">
        <v>62</v>
      </c>
      <c r="P520" s="38" t="str">
        <f>IFERROR(Table3335678[[#This Row],[Min Count]]/Table3335678[[#This Row],[Scalar]],"")</f>
        <v/>
      </c>
      <c r="Q520" s="36" t="str">
        <f>IFERROR(Table3335678[[#This Row],[Max Count]]/Table3335678[[#This Row],[Scalar]],"")</f>
        <v/>
      </c>
      <c r="R520" s="34"/>
      <c r="S520" s="34"/>
      <c r="T520" s="34" t="s">
        <v>3723</v>
      </c>
      <c r="U520" s="33" t="s">
        <v>4343</v>
      </c>
      <c r="V520" s="33" t="s">
        <v>8864</v>
      </c>
      <c r="W520" s="33"/>
      <c r="X520" s="33"/>
    </row>
    <row r="521" spans="1:24" ht="16.149999999999999" customHeight="1" x14ac:dyDescent="0.15">
      <c r="A521" s="6">
        <v>515</v>
      </c>
      <c r="B521" s="18" t="s">
        <v>75</v>
      </c>
      <c r="C521" s="43" t="s">
        <v>4267</v>
      </c>
      <c r="D521" s="43" t="s">
        <v>7966</v>
      </c>
      <c r="E521" s="36" t="s">
        <v>219</v>
      </c>
      <c r="F521" s="19">
        <v>12</v>
      </c>
      <c r="G521" s="6">
        <v>23</v>
      </c>
      <c r="H521" s="34" t="s">
        <v>7967</v>
      </c>
      <c r="I521" s="38" t="s">
        <v>171</v>
      </c>
      <c r="J521" s="38" t="s">
        <v>177</v>
      </c>
      <c r="K521" s="38" t="s">
        <v>173</v>
      </c>
      <c r="L521" s="6"/>
      <c r="M521" s="113"/>
      <c r="N521" s="45" t="s">
        <v>62</v>
      </c>
      <c r="O521" s="2" t="s">
        <v>62</v>
      </c>
      <c r="P521" s="38" t="str">
        <f>IFERROR(Table3335678[[#This Row],[Min Count]]/Table3335678[[#This Row],[Scalar]],"")</f>
        <v/>
      </c>
      <c r="Q521" s="36" t="str">
        <f>IFERROR(Table3335678[[#This Row],[Max Count]]/Table3335678[[#This Row],[Scalar]],"")</f>
        <v/>
      </c>
      <c r="R521" s="34"/>
      <c r="S521" s="34"/>
      <c r="T521" s="34" t="s">
        <v>3723</v>
      </c>
      <c r="U521" s="33" t="s">
        <v>4343</v>
      </c>
      <c r="V521" s="33" t="s">
        <v>8865</v>
      </c>
      <c r="W521" s="33"/>
      <c r="X521" s="33"/>
    </row>
    <row r="522" spans="1:24" ht="16.149999999999999" customHeight="1" x14ac:dyDescent="0.15">
      <c r="A522" s="6">
        <v>516</v>
      </c>
      <c r="B522" s="18" t="s">
        <v>75</v>
      </c>
      <c r="C522" s="43" t="s">
        <v>4267</v>
      </c>
      <c r="D522" s="43" t="s">
        <v>7968</v>
      </c>
      <c r="E522" s="36" t="s">
        <v>219</v>
      </c>
      <c r="F522" s="19">
        <v>12</v>
      </c>
      <c r="G522" s="6">
        <v>24</v>
      </c>
      <c r="H522" s="34" t="s">
        <v>7969</v>
      </c>
      <c r="I522" s="38" t="s">
        <v>171</v>
      </c>
      <c r="J522" s="38" t="s">
        <v>177</v>
      </c>
      <c r="K522" s="38" t="s">
        <v>173</v>
      </c>
      <c r="L522" s="6"/>
      <c r="M522" s="113"/>
      <c r="N522" s="45" t="s">
        <v>62</v>
      </c>
      <c r="O522" s="2" t="s">
        <v>62</v>
      </c>
      <c r="P522" s="38" t="str">
        <f>IFERROR(Table3335678[[#This Row],[Min Count]]/Table3335678[[#This Row],[Scalar]],"")</f>
        <v/>
      </c>
      <c r="Q522" s="36" t="str">
        <f>IFERROR(Table3335678[[#This Row],[Max Count]]/Table3335678[[#This Row],[Scalar]],"")</f>
        <v/>
      </c>
      <c r="R522" s="34"/>
      <c r="S522" s="34"/>
      <c r="T522" s="34" t="s">
        <v>3723</v>
      </c>
      <c r="U522" s="33" t="s">
        <v>4343</v>
      </c>
      <c r="V522" s="33" t="s">
        <v>8866</v>
      </c>
      <c r="W522" s="33"/>
      <c r="X522" s="33"/>
    </row>
    <row r="523" spans="1:24" ht="16.149999999999999" customHeight="1" x14ac:dyDescent="0.15">
      <c r="A523" s="6">
        <v>517</v>
      </c>
      <c r="B523" s="18" t="s">
        <v>75</v>
      </c>
      <c r="C523" s="43" t="s">
        <v>4267</v>
      </c>
      <c r="D523" s="43" t="s">
        <v>7970</v>
      </c>
      <c r="E523" s="36" t="s">
        <v>219</v>
      </c>
      <c r="F523" s="19">
        <v>12</v>
      </c>
      <c r="G523" s="6">
        <v>25</v>
      </c>
      <c r="H523" s="34" t="s">
        <v>7971</v>
      </c>
      <c r="I523" s="38" t="s">
        <v>171</v>
      </c>
      <c r="J523" s="38" t="s">
        <v>177</v>
      </c>
      <c r="K523" s="38" t="s">
        <v>173</v>
      </c>
      <c r="L523" s="6"/>
      <c r="M523" s="113"/>
      <c r="N523" s="45" t="s">
        <v>62</v>
      </c>
      <c r="O523" s="2" t="s">
        <v>62</v>
      </c>
      <c r="P523" s="38" t="str">
        <f>IFERROR(Table3335678[[#This Row],[Min Count]]/Table3335678[[#This Row],[Scalar]],"")</f>
        <v/>
      </c>
      <c r="Q523" s="36" t="str">
        <f>IFERROR(Table3335678[[#This Row],[Max Count]]/Table3335678[[#This Row],[Scalar]],"")</f>
        <v/>
      </c>
      <c r="R523" s="34"/>
      <c r="S523" s="34"/>
      <c r="T523" s="34" t="s">
        <v>3723</v>
      </c>
      <c r="U523" s="33" t="s">
        <v>4343</v>
      </c>
      <c r="V523" s="33" t="s">
        <v>8867</v>
      </c>
      <c r="W523" s="33"/>
      <c r="X523" s="33"/>
    </row>
    <row r="524" spans="1:24" ht="16.149999999999999" customHeight="1" x14ac:dyDescent="0.15">
      <c r="A524" s="6">
        <v>518</v>
      </c>
      <c r="B524" s="18" t="s">
        <v>75</v>
      </c>
      <c r="C524" s="43" t="s">
        <v>4267</v>
      </c>
      <c r="D524" s="43" t="s">
        <v>7972</v>
      </c>
      <c r="E524" s="36" t="s">
        <v>219</v>
      </c>
      <c r="F524" s="19">
        <v>12</v>
      </c>
      <c r="G524" s="6">
        <v>26</v>
      </c>
      <c r="H524" s="34" t="s">
        <v>7973</v>
      </c>
      <c r="I524" s="38" t="s">
        <v>171</v>
      </c>
      <c r="J524" s="38" t="s">
        <v>177</v>
      </c>
      <c r="K524" s="38" t="s">
        <v>173</v>
      </c>
      <c r="L524" s="6"/>
      <c r="M524" s="113"/>
      <c r="N524" s="45" t="s">
        <v>62</v>
      </c>
      <c r="O524" s="2" t="s">
        <v>62</v>
      </c>
      <c r="P524" s="38" t="str">
        <f>IFERROR(Table3335678[[#This Row],[Min Count]]/Table3335678[[#This Row],[Scalar]],"")</f>
        <v/>
      </c>
      <c r="Q524" s="36" t="str">
        <f>IFERROR(Table3335678[[#This Row],[Max Count]]/Table3335678[[#This Row],[Scalar]],"")</f>
        <v/>
      </c>
      <c r="R524" s="34"/>
      <c r="S524" s="34"/>
      <c r="T524" s="34" t="s">
        <v>3723</v>
      </c>
      <c r="U524" s="33" t="s">
        <v>4343</v>
      </c>
      <c r="V524" s="33" t="s">
        <v>8868</v>
      </c>
      <c r="W524" s="33"/>
      <c r="X524" s="33"/>
    </row>
    <row r="525" spans="1:24" ht="16.149999999999999" customHeight="1" x14ac:dyDescent="0.15">
      <c r="A525" s="6">
        <v>519</v>
      </c>
      <c r="B525" s="18" t="s">
        <v>75</v>
      </c>
      <c r="C525" s="43" t="s">
        <v>4267</v>
      </c>
      <c r="D525" s="43" t="s">
        <v>7974</v>
      </c>
      <c r="E525" s="36" t="s">
        <v>219</v>
      </c>
      <c r="F525" s="19">
        <v>12</v>
      </c>
      <c r="G525" s="6">
        <v>27</v>
      </c>
      <c r="H525" s="34" t="s">
        <v>7975</v>
      </c>
      <c r="I525" s="38" t="s">
        <v>171</v>
      </c>
      <c r="J525" s="38" t="s">
        <v>177</v>
      </c>
      <c r="K525" s="38" t="s">
        <v>173</v>
      </c>
      <c r="L525" s="6"/>
      <c r="M525" s="113"/>
      <c r="N525" s="45" t="s">
        <v>62</v>
      </c>
      <c r="O525" s="2" t="s">
        <v>62</v>
      </c>
      <c r="P525" s="38" t="str">
        <f>IFERROR(Table3335678[[#This Row],[Min Count]]/Table3335678[[#This Row],[Scalar]],"")</f>
        <v/>
      </c>
      <c r="Q525" s="36" t="str">
        <f>IFERROR(Table3335678[[#This Row],[Max Count]]/Table3335678[[#This Row],[Scalar]],"")</f>
        <v/>
      </c>
      <c r="R525" s="34"/>
      <c r="S525" s="34"/>
      <c r="T525" s="34" t="s">
        <v>3723</v>
      </c>
      <c r="U525" s="33" t="s">
        <v>4343</v>
      </c>
      <c r="V525" s="33" t="s">
        <v>8869</v>
      </c>
      <c r="W525" s="33"/>
      <c r="X525" s="33"/>
    </row>
    <row r="526" spans="1:24" ht="16.149999999999999" customHeight="1" x14ac:dyDescent="0.15">
      <c r="A526" s="6">
        <v>520</v>
      </c>
      <c r="B526" s="18" t="s">
        <v>75</v>
      </c>
      <c r="C526" s="43" t="s">
        <v>4267</v>
      </c>
      <c r="D526" s="43" t="s">
        <v>7976</v>
      </c>
      <c r="E526" s="36" t="s">
        <v>219</v>
      </c>
      <c r="F526" s="19">
        <v>12</v>
      </c>
      <c r="G526" s="6">
        <v>28</v>
      </c>
      <c r="H526" s="34" t="s">
        <v>7977</v>
      </c>
      <c r="I526" s="38" t="s">
        <v>171</v>
      </c>
      <c r="J526" s="38" t="s">
        <v>177</v>
      </c>
      <c r="K526" s="38" t="s">
        <v>173</v>
      </c>
      <c r="L526" s="6"/>
      <c r="M526" s="113"/>
      <c r="N526" s="45" t="s">
        <v>62</v>
      </c>
      <c r="O526" s="2" t="s">
        <v>62</v>
      </c>
      <c r="P526" s="38" t="str">
        <f>IFERROR(Table3335678[[#This Row],[Min Count]]/Table3335678[[#This Row],[Scalar]],"")</f>
        <v/>
      </c>
      <c r="Q526" s="36" t="str">
        <f>IFERROR(Table3335678[[#This Row],[Max Count]]/Table3335678[[#This Row],[Scalar]],"")</f>
        <v/>
      </c>
      <c r="R526" s="34"/>
      <c r="S526" s="34"/>
      <c r="T526" s="34" t="s">
        <v>3723</v>
      </c>
      <c r="U526" s="33" t="s">
        <v>4343</v>
      </c>
      <c r="V526" s="33" t="s">
        <v>8870</v>
      </c>
      <c r="W526" s="33"/>
      <c r="X526" s="33"/>
    </row>
    <row r="527" spans="1:24" ht="16.149999999999999" customHeight="1" x14ac:dyDescent="0.15">
      <c r="A527" s="6">
        <v>521</v>
      </c>
      <c r="B527" s="18" t="s">
        <v>75</v>
      </c>
      <c r="C527" s="43" t="s">
        <v>4267</v>
      </c>
      <c r="D527" s="43" t="s">
        <v>7978</v>
      </c>
      <c r="E527" s="36" t="s">
        <v>219</v>
      </c>
      <c r="F527" s="19">
        <v>12</v>
      </c>
      <c r="G527" s="6">
        <v>29</v>
      </c>
      <c r="H527" s="34" t="s">
        <v>7979</v>
      </c>
      <c r="I527" s="38" t="s">
        <v>171</v>
      </c>
      <c r="J527" s="38" t="s">
        <v>177</v>
      </c>
      <c r="K527" s="38" t="s">
        <v>173</v>
      </c>
      <c r="L527" s="6"/>
      <c r="M527" s="113"/>
      <c r="N527" s="45" t="s">
        <v>62</v>
      </c>
      <c r="O527" s="2" t="s">
        <v>62</v>
      </c>
      <c r="P527" s="38" t="str">
        <f>IFERROR(Table3335678[[#This Row],[Min Count]]/Table3335678[[#This Row],[Scalar]],"")</f>
        <v/>
      </c>
      <c r="Q527" s="36" t="str">
        <f>IFERROR(Table3335678[[#This Row],[Max Count]]/Table3335678[[#This Row],[Scalar]],"")</f>
        <v/>
      </c>
      <c r="R527" s="34"/>
      <c r="S527" s="34"/>
      <c r="T527" s="34" t="s">
        <v>3723</v>
      </c>
      <c r="U527" s="33" t="s">
        <v>4343</v>
      </c>
      <c r="V527" s="33" t="s">
        <v>8871</v>
      </c>
      <c r="W527" s="33"/>
      <c r="X527" s="33"/>
    </row>
    <row r="528" spans="1:24" ht="16.149999999999999" customHeight="1" x14ac:dyDescent="0.15">
      <c r="A528" s="6">
        <v>522</v>
      </c>
      <c r="B528" s="18" t="s">
        <v>75</v>
      </c>
      <c r="C528" s="43" t="s">
        <v>4267</v>
      </c>
      <c r="D528" s="43" t="s">
        <v>7980</v>
      </c>
      <c r="E528" s="36" t="s">
        <v>219</v>
      </c>
      <c r="F528" s="19">
        <v>12</v>
      </c>
      <c r="G528" s="6">
        <v>30</v>
      </c>
      <c r="H528" s="34" t="s">
        <v>7981</v>
      </c>
      <c r="I528" s="38" t="s">
        <v>171</v>
      </c>
      <c r="J528" s="38" t="s">
        <v>177</v>
      </c>
      <c r="K528" s="38" t="s">
        <v>173</v>
      </c>
      <c r="L528" s="6"/>
      <c r="M528" s="113"/>
      <c r="N528" s="45" t="s">
        <v>62</v>
      </c>
      <c r="O528" s="2" t="s">
        <v>62</v>
      </c>
      <c r="P528" s="38" t="str">
        <f>IFERROR(Table3335678[[#This Row],[Min Count]]/Table3335678[[#This Row],[Scalar]],"")</f>
        <v/>
      </c>
      <c r="Q528" s="36" t="str">
        <f>IFERROR(Table3335678[[#This Row],[Max Count]]/Table3335678[[#This Row],[Scalar]],"")</f>
        <v/>
      </c>
      <c r="R528" s="34"/>
      <c r="S528" s="34"/>
      <c r="T528" s="34" t="s">
        <v>3723</v>
      </c>
      <c r="U528" s="33" t="s">
        <v>4343</v>
      </c>
      <c r="V528" s="33" t="s">
        <v>8872</v>
      </c>
      <c r="W528" s="33"/>
      <c r="X528" s="33"/>
    </row>
    <row r="529" spans="1:24" ht="16.149999999999999" customHeight="1" x14ac:dyDescent="0.15">
      <c r="A529" s="6">
        <v>523</v>
      </c>
      <c r="B529" s="18" t="s">
        <v>75</v>
      </c>
      <c r="C529" s="43" t="s">
        <v>4267</v>
      </c>
      <c r="D529" s="43" t="s">
        <v>7982</v>
      </c>
      <c r="E529" s="36" t="s">
        <v>219</v>
      </c>
      <c r="F529" s="19">
        <v>12</v>
      </c>
      <c r="G529" s="6">
        <v>31</v>
      </c>
      <c r="H529" s="34" t="s">
        <v>7983</v>
      </c>
      <c r="I529" s="38" t="s">
        <v>171</v>
      </c>
      <c r="J529" s="38" t="s">
        <v>177</v>
      </c>
      <c r="K529" s="38" t="s">
        <v>173</v>
      </c>
      <c r="L529" s="6"/>
      <c r="M529" s="113"/>
      <c r="N529" s="45" t="s">
        <v>62</v>
      </c>
      <c r="O529" s="2" t="s">
        <v>62</v>
      </c>
      <c r="P529" s="38" t="str">
        <f>IFERROR(Table3335678[[#This Row],[Min Count]]/Table3335678[[#This Row],[Scalar]],"")</f>
        <v/>
      </c>
      <c r="Q529" s="36" t="str">
        <f>IFERROR(Table3335678[[#This Row],[Max Count]]/Table3335678[[#This Row],[Scalar]],"")</f>
        <v/>
      </c>
      <c r="R529" s="34"/>
      <c r="S529" s="34"/>
      <c r="T529" s="34" t="s">
        <v>3723</v>
      </c>
      <c r="U529" s="33" t="s">
        <v>4343</v>
      </c>
      <c r="V529" s="33" t="s">
        <v>8873</v>
      </c>
      <c r="W529" s="33"/>
      <c r="X529" s="33"/>
    </row>
    <row r="530" spans="1:24" ht="16.149999999999999" customHeight="1" x14ac:dyDescent="0.15">
      <c r="A530" s="6">
        <v>524</v>
      </c>
      <c r="B530" s="18" t="s">
        <v>75</v>
      </c>
      <c r="C530" s="43" t="s">
        <v>4267</v>
      </c>
      <c r="D530" s="43" t="s">
        <v>7984</v>
      </c>
      <c r="E530" s="36" t="s">
        <v>219</v>
      </c>
      <c r="F530" s="19">
        <v>13</v>
      </c>
      <c r="G530" s="6"/>
      <c r="H530" s="34" t="s">
        <v>7985</v>
      </c>
      <c r="I530" s="38"/>
      <c r="J530" s="38"/>
      <c r="K530" s="38"/>
      <c r="L530" s="6" t="s">
        <v>61</v>
      </c>
      <c r="M530" s="113">
        <v>1</v>
      </c>
      <c r="N530" s="45" t="s">
        <v>62</v>
      </c>
      <c r="O530" s="2" t="s">
        <v>62</v>
      </c>
      <c r="P530" s="38" t="str">
        <f>IFERROR(Table3335678[[#This Row],[Min Count]]/Table3335678[[#This Row],[Scalar]],"")</f>
        <v/>
      </c>
      <c r="Q530" s="36" t="str">
        <f>IFERROR(Table3335678[[#This Row],[Max Count]]/Table3335678[[#This Row],[Scalar]],"")</f>
        <v/>
      </c>
      <c r="R530" s="34"/>
      <c r="S530" s="34"/>
      <c r="T530" s="34" t="s">
        <v>3723</v>
      </c>
      <c r="U530" s="33" t="s">
        <v>3853</v>
      </c>
      <c r="V530" s="33" t="s">
        <v>8874</v>
      </c>
      <c r="W530" s="33"/>
      <c r="X530" s="33"/>
    </row>
    <row r="531" spans="1:24" ht="16.149999999999999" customHeight="1" x14ac:dyDescent="0.15">
      <c r="A531" s="6">
        <v>525</v>
      </c>
      <c r="B531" s="18" t="s">
        <v>75</v>
      </c>
      <c r="C531" s="43" t="s">
        <v>4267</v>
      </c>
      <c r="D531" s="43" t="s">
        <v>7986</v>
      </c>
      <c r="E531" s="36" t="s">
        <v>219</v>
      </c>
      <c r="F531" s="19">
        <v>14</v>
      </c>
      <c r="G531" s="6"/>
      <c r="H531" s="34" t="s">
        <v>7987</v>
      </c>
      <c r="I531" s="38"/>
      <c r="J531" s="38"/>
      <c r="K531" s="38"/>
      <c r="L531" s="6" t="s">
        <v>61</v>
      </c>
      <c r="M531" s="113">
        <v>1</v>
      </c>
      <c r="N531" s="45" t="s">
        <v>62</v>
      </c>
      <c r="O531" s="2" t="s">
        <v>62</v>
      </c>
      <c r="P531" s="38" t="str">
        <f>IFERROR(Table3335678[[#This Row],[Min Count]]/Table3335678[[#This Row],[Scalar]],"")</f>
        <v/>
      </c>
      <c r="Q531" s="36" t="str">
        <f>IFERROR(Table3335678[[#This Row],[Max Count]]/Table3335678[[#This Row],[Scalar]],"")</f>
        <v/>
      </c>
      <c r="R531" s="34"/>
      <c r="S531" s="34"/>
      <c r="T531" s="34" t="s">
        <v>3723</v>
      </c>
      <c r="U531" s="33" t="s">
        <v>3853</v>
      </c>
      <c r="V531" s="33" t="s">
        <v>8875</v>
      </c>
      <c r="W531" s="33"/>
      <c r="X531" s="33"/>
    </row>
    <row r="532" spans="1:24" ht="16.149999999999999" customHeight="1" x14ac:dyDescent="0.15">
      <c r="A532" s="6">
        <v>526</v>
      </c>
      <c r="B532" s="18" t="s">
        <v>75</v>
      </c>
      <c r="C532" s="43" t="s">
        <v>4267</v>
      </c>
      <c r="D532" s="43" t="s">
        <v>7988</v>
      </c>
      <c r="E532" s="36" t="s">
        <v>219</v>
      </c>
      <c r="F532" s="19">
        <v>15</v>
      </c>
      <c r="G532" s="6"/>
      <c r="H532" s="34" t="s">
        <v>7989</v>
      </c>
      <c r="I532" s="38"/>
      <c r="J532" s="38"/>
      <c r="K532" s="38"/>
      <c r="L532" s="6" t="s">
        <v>61</v>
      </c>
      <c r="M532" s="113">
        <v>1</v>
      </c>
      <c r="N532" s="45" t="s">
        <v>62</v>
      </c>
      <c r="O532" s="2" t="s">
        <v>62</v>
      </c>
      <c r="P532" s="38" t="str">
        <f>IFERROR(Table3335678[[#This Row],[Min Count]]/Table3335678[[#This Row],[Scalar]],"")</f>
        <v/>
      </c>
      <c r="Q532" s="36" t="str">
        <f>IFERROR(Table3335678[[#This Row],[Max Count]]/Table3335678[[#This Row],[Scalar]],"")</f>
        <v/>
      </c>
      <c r="R532" s="34"/>
      <c r="S532" s="34"/>
      <c r="T532" s="34" t="s">
        <v>3723</v>
      </c>
      <c r="U532" s="33" t="s">
        <v>3853</v>
      </c>
      <c r="V532" s="33" t="s">
        <v>8876</v>
      </c>
      <c r="W532" s="33"/>
      <c r="X532" s="33"/>
    </row>
    <row r="533" spans="1:24" ht="16.149999999999999" customHeight="1" x14ac:dyDescent="0.15">
      <c r="A533" s="6">
        <v>527</v>
      </c>
      <c r="B533" s="18" t="s">
        <v>75</v>
      </c>
      <c r="C533" s="43" t="s">
        <v>4267</v>
      </c>
      <c r="D533" s="43" t="s">
        <v>7990</v>
      </c>
      <c r="E533" s="36" t="s">
        <v>219</v>
      </c>
      <c r="F533" s="19">
        <v>16</v>
      </c>
      <c r="G533" s="6"/>
      <c r="H533" s="34" t="s">
        <v>7991</v>
      </c>
      <c r="I533" s="38"/>
      <c r="J533" s="38"/>
      <c r="K533" s="38"/>
      <c r="L533" s="6" t="s">
        <v>61</v>
      </c>
      <c r="M533" s="113">
        <v>1</v>
      </c>
      <c r="N533" s="45" t="s">
        <v>62</v>
      </c>
      <c r="O533" s="2" t="s">
        <v>62</v>
      </c>
      <c r="P533" s="38" t="str">
        <f>IFERROR(Table3335678[[#This Row],[Min Count]]/Table3335678[[#This Row],[Scalar]],"")</f>
        <v/>
      </c>
      <c r="Q533" s="36" t="str">
        <f>IFERROR(Table3335678[[#This Row],[Max Count]]/Table3335678[[#This Row],[Scalar]],"")</f>
        <v/>
      </c>
      <c r="R533" s="34"/>
      <c r="S533" s="34"/>
      <c r="T533" s="34" t="s">
        <v>3723</v>
      </c>
      <c r="U533" s="33" t="s">
        <v>3853</v>
      </c>
      <c r="V533" s="33" t="s">
        <v>8877</v>
      </c>
      <c r="W533" s="33"/>
      <c r="X533" s="33"/>
    </row>
    <row r="534" spans="1:24" ht="16.149999999999999" customHeight="1" x14ac:dyDescent="0.15">
      <c r="A534" s="6">
        <v>528</v>
      </c>
      <c r="B534" s="18" t="s">
        <v>75</v>
      </c>
      <c r="C534" s="43" t="s">
        <v>4267</v>
      </c>
      <c r="D534" s="43" t="s">
        <v>7992</v>
      </c>
      <c r="E534" s="36" t="s">
        <v>219</v>
      </c>
      <c r="F534" s="19">
        <v>17</v>
      </c>
      <c r="G534" s="6"/>
      <c r="H534" s="34" t="s">
        <v>7993</v>
      </c>
      <c r="I534" s="38"/>
      <c r="J534" s="38"/>
      <c r="K534" s="38"/>
      <c r="L534" s="6" t="s">
        <v>61</v>
      </c>
      <c r="M534" s="113">
        <v>1</v>
      </c>
      <c r="N534" s="45" t="s">
        <v>62</v>
      </c>
      <c r="O534" s="2" t="s">
        <v>62</v>
      </c>
      <c r="P534" s="38" t="str">
        <f>IFERROR(Table3335678[[#This Row],[Min Count]]/Table3335678[[#This Row],[Scalar]],"")</f>
        <v/>
      </c>
      <c r="Q534" s="36" t="str">
        <f>IFERROR(Table3335678[[#This Row],[Max Count]]/Table3335678[[#This Row],[Scalar]],"")</f>
        <v/>
      </c>
      <c r="R534" s="34"/>
      <c r="S534" s="34"/>
      <c r="T534" s="34" t="s">
        <v>3723</v>
      </c>
      <c r="U534" s="33" t="s">
        <v>3853</v>
      </c>
      <c r="V534" s="33" t="s">
        <v>8878</v>
      </c>
      <c r="W534" s="33"/>
      <c r="X534" s="33"/>
    </row>
    <row r="535" spans="1:24" ht="16.149999999999999" customHeight="1" x14ac:dyDescent="0.15">
      <c r="A535" s="6">
        <v>529</v>
      </c>
      <c r="B535" s="18" t="s">
        <v>75</v>
      </c>
      <c r="C535" s="43" t="s">
        <v>4267</v>
      </c>
      <c r="D535" s="43" t="s">
        <v>7994</v>
      </c>
      <c r="E535" s="36" t="s">
        <v>219</v>
      </c>
      <c r="F535" s="19">
        <v>18</v>
      </c>
      <c r="G535" s="6"/>
      <c r="H535" s="34" t="s">
        <v>7995</v>
      </c>
      <c r="I535" s="38"/>
      <c r="J535" s="38"/>
      <c r="K535" s="38"/>
      <c r="L535" s="6" t="s">
        <v>61</v>
      </c>
      <c r="M535" s="113">
        <v>1</v>
      </c>
      <c r="N535" s="45" t="s">
        <v>62</v>
      </c>
      <c r="O535" s="2" t="s">
        <v>62</v>
      </c>
      <c r="P535" s="38" t="str">
        <f>IFERROR(Table3335678[[#This Row],[Min Count]]/Table3335678[[#This Row],[Scalar]],"")</f>
        <v/>
      </c>
      <c r="Q535" s="36" t="str">
        <f>IFERROR(Table3335678[[#This Row],[Max Count]]/Table3335678[[#This Row],[Scalar]],"")</f>
        <v/>
      </c>
      <c r="R535" s="34"/>
      <c r="S535" s="34"/>
      <c r="T535" s="34" t="s">
        <v>3723</v>
      </c>
      <c r="U535" s="33" t="s">
        <v>3853</v>
      </c>
      <c r="V535" s="33" t="s">
        <v>8879</v>
      </c>
      <c r="W535" s="33"/>
      <c r="X535" s="33"/>
    </row>
    <row r="536" spans="1:24" ht="16.149999999999999" customHeight="1" x14ac:dyDescent="0.15">
      <c r="A536" s="6">
        <v>530</v>
      </c>
      <c r="B536" s="18" t="s">
        <v>75</v>
      </c>
      <c r="C536" s="43" t="s">
        <v>4267</v>
      </c>
      <c r="D536" s="43" t="s">
        <v>7996</v>
      </c>
      <c r="E536" s="36" t="s">
        <v>219</v>
      </c>
      <c r="F536" s="19">
        <v>19</v>
      </c>
      <c r="G536" s="6"/>
      <c r="H536" s="34" t="s">
        <v>7997</v>
      </c>
      <c r="I536" s="38"/>
      <c r="J536" s="38"/>
      <c r="K536" s="38"/>
      <c r="L536" s="6" t="s">
        <v>61</v>
      </c>
      <c r="M536" s="113">
        <v>1</v>
      </c>
      <c r="N536" s="45" t="s">
        <v>62</v>
      </c>
      <c r="O536" s="2" t="s">
        <v>62</v>
      </c>
      <c r="P536" s="38" t="str">
        <f>IFERROR(Table3335678[[#This Row],[Min Count]]/Table3335678[[#This Row],[Scalar]],"")</f>
        <v/>
      </c>
      <c r="Q536" s="36" t="str">
        <f>IFERROR(Table3335678[[#This Row],[Max Count]]/Table3335678[[#This Row],[Scalar]],"")</f>
        <v/>
      </c>
      <c r="R536" s="34"/>
      <c r="S536" s="34"/>
      <c r="T536" s="34" t="s">
        <v>3723</v>
      </c>
      <c r="U536" s="33" t="s">
        <v>3853</v>
      </c>
      <c r="V536" s="33" t="s">
        <v>8880</v>
      </c>
      <c r="W536" s="33"/>
      <c r="X536" s="33"/>
    </row>
    <row r="537" spans="1:24" ht="16.149999999999999" customHeight="1" x14ac:dyDescent="0.15">
      <c r="A537" s="6">
        <v>531</v>
      </c>
      <c r="B537" s="18" t="s">
        <v>75</v>
      </c>
      <c r="C537" s="43" t="s">
        <v>4267</v>
      </c>
      <c r="D537" s="43" t="s">
        <v>7998</v>
      </c>
      <c r="E537" s="36" t="s">
        <v>219</v>
      </c>
      <c r="F537" s="19">
        <v>20</v>
      </c>
      <c r="G537" s="6"/>
      <c r="H537" s="34" t="s">
        <v>7999</v>
      </c>
      <c r="I537" s="38"/>
      <c r="J537" s="38"/>
      <c r="K537" s="38"/>
      <c r="L537" s="6" t="s">
        <v>61</v>
      </c>
      <c r="M537" s="113">
        <v>1</v>
      </c>
      <c r="N537" s="45" t="s">
        <v>62</v>
      </c>
      <c r="O537" s="2" t="s">
        <v>62</v>
      </c>
      <c r="P537" s="38" t="str">
        <f>IFERROR(Table3335678[[#This Row],[Min Count]]/Table3335678[[#This Row],[Scalar]],"")</f>
        <v/>
      </c>
      <c r="Q537" s="36" t="str">
        <f>IFERROR(Table3335678[[#This Row],[Max Count]]/Table3335678[[#This Row],[Scalar]],"")</f>
        <v/>
      </c>
      <c r="R537" s="34"/>
      <c r="S537" s="34"/>
      <c r="T537" s="34" t="s">
        <v>3723</v>
      </c>
      <c r="U537" s="33" t="s">
        <v>3853</v>
      </c>
      <c r="V537" s="33" t="s">
        <v>8881</v>
      </c>
      <c r="W537" s="33"/>
      <c r="X537" s="33"/>
    </row>
    <row r="538" spans="1:24" ht="16.149999999999999" customHeight="1" x14ac:dyDescent="0.15">
      <c r="A538" s="6">
        <v>532</v>
      </c>
      <c r="B538" s="18" t="s">
        <v>75</v>
      </c>
      <c r="C538" s="43" t="s">
        <v>4267</v>
      </c>
      <c r="D538" s="43" t="s">
        <v>8000</v>
      </c>
      <c r="E538" s="36" t="s">
        <v>219</v>
      </c>
      <c r="F538" s="19">
        <v>21</v>
      </c>
      <c r="G538" s="6"/>
      <c r="H538" s="34" t="s">
        <v>8001</v>
      </c>
      <c r="I538" s="38"/>
      <c r="J538" s="38"/>
      <c r="K538" s="38"/>
      <c r="L538" s="6" t="s">
        <v>61</v>
      </c>
      <c r="M538" s="113">
        <v>1</v>
      </c>
      <c r="N538" s="45" t="s">
        <v>62</v>
      </c>
      <c r="O538" s="2" t="s">
        <v>62</v>
      </c>
      <c r="P538" s="38" t="str">
        <f>IFERROR(Table3335678[[#This Row],[Min Count]]/Table3335678[[#This Row],[Scalar]],"")</f>
        <v/>
      </c>
      <c r="Q538" s="36" t="str">
        <f>IFERROR(Table3335678[[#This Row],[Max Count]]/Table3335678[[#This Row],[Scalar]],"")</f>
        <v/>
      </c>
      <c r="R538" s="34"/>
      <c r="S538" s="34"/>
      <c r="T538" s="34" t="s">
        <v>3723</v>
      </c>
      <c r="U538" s="33" t="s">
        <v>3853</v>
      </c>
      <c r="V538" s="33" t="s">
        <v>8882</v>
      </c>
      <c r="W538" s="33"/>
      <c r="X538" s="33"/>
    </row>
    <row r="539" spans="1:24" ht="16.149999999999999" customHeight="1" x14ac:dyDescent="0.15">
      <c r="A539" s="6">
        <v>533</v>
      </c>
      <c r="B539" s="18" t="s">
        <v>75</v>
      </c>
      <c r="C539" s="43" t="s">
        <v>4267</v>
      </c>
      <c r="D539" s="43" t="s">
        <v>8002</v>
      </c>
      <c r="E539" s="36" t="s">
        <v>219</v>
      </c>
      <c r="F539" s="19">
        <v>22</v>
      </c>
      <c r="G539" s="6"/>
      <c r="H539" s="34" t="s">
        <v>8003</v>
      </c>
      <c r="I539" s="38"/>
      <c r="J539" s="38"/>
      <c r="K539" s="38"/>
      <c r="L539" s="6" t="s">
        <v>61</v>
      </c>
      <c r="M539" s="113">
        <v>1</v>
      </c>
      <c r="N539" s="45" t="s">
        <v>62</v>
      </c>
      <c r="O539" s="2" t="s">
        <v>62</v>
      </c>
      <c r="P539" s="38" t="str">
        <f>IFERROR(Table3335678[[#This Row],[Min Count]]/Table3335678[[#This Row],[Scalar]],"")</f>
        <v/>
      </c>
      <c r="Q539" s="36" t="str">
        <f>IFERROR(Table3335678[[#This Row],[Max Count]]/Table3335678[[#This Row],[Scalar]],"")</f>
        <v/>
      </c>
      <c r="R539" s="34"/>
      <c r="S539" s="34"/>
      <c r="T539" s="34" t="s">
        <v>3723</v>
      </c>
      <c r="U539" s="33" t="s">
        <v>3853</v>
      </c>
      <c r="V539" s="33" t="s">
        <v>8883</v>
      </c>
      <c r="W539" s="33"/>
      <c r="X539" s="33"/>
    </row>
    <row r="540" spans="1:24" ht="16.149999999999999" customHeight="1" x14ac:dyDescent="0.15">
      <c r="A540" s="6">
        <v>534</v>
      </c>
      <c r="B540" s="18" t="s">
        <v>75</v>
      </c>
      <c r="C540" s="43" t="s">
        <v>4267</v>
      </c>
      <c r="D540" s="43" t="s">
        <v>8004</v>
      </c>
      <c r="E540" s="36" t="s">
        <v>219</v>
      </c>
      <c r="F540" s="19">
        <v>23</v>
      </c>
      <c r="G540" s="6"/>
      <c r="H540" s="34" t="s">
        <v>8005</v>
      </c>
      <c r="I540" s="38"/>
      <c r="J540" s="38"/>
      <c r="K540" s="38"/>
      <c r="L540" s="6" t="s">
        <v>61</v>
      </c>
      <c r="M540" s="113">
        <v>1</v>
      </c>
      <c r="N540" s="45" t="s">
        <v>62</v>
      </c>
      <c r="O540" s="2" t="s">
        <v>62</v>
      </c>
      <c r="P540" s="38" t="str">
        <f>IFERROR(Table3335678[[#This Row],[Min Count]]/Table3335678[[#This Row],[Scalar]],"")</f>
        <v/>
      </c>
      <c r="Q540" s="36" t="str">
        <f>IFERROR(Table3335678[[#This Row],[Max Count]]/Table3335678[[#This Row],[Scalar]],"")</f>
        <v/>
      </c>
      <c r="R540" s="34"/>
      <c r="S540" s="34"/>
      <c r="T540" s="34" t="s">
        <v>3723</v>
      </c>
      <c r="U540" s="33" t="s">
        <v>3853</v>
      </c>
      <c r="V540" s="33" t="s">
        <v>8884</v>
      </c>
      <c r="W540" s="33"/>
      <c r="X540" s="33"/>
    </row>
    <row r="541" spans="1:24" ht="16.149999999999999" customHeight="1" x14ac:dyDescent="0.15">
      <c r="A541" s="6">
        <v>535</v>
      </c>
      <c r="B541" s="18" t="s">
        <v>75</v>
      </c>
      <c r="C541" s="43" t="s">
        <v>4267</v>
      </c>
      <c r="D541" s="43" t="s">
        <v>8006</v>
      </c>
      <c r="E541" s="36" t="s">
        <v>219</v>
      </c>
      <c r="F541" s="19">
        <v>24</v>
      </c>
      <c r="G541" s="6"/>
      <c r="H541" s="34" t="s">
        <v>8007</v>
      </c>
      <c r="I541" s="38"/>
      <c r="J541" s="38"/>
      <c r="K541" s="38"/>
      <c r="L541" s="6" t="s">
        <v>61</v>
      </c>
      <c r="M541" s="113">
        <v>1</v>
      </c>
      <c r="N541" s="45" t="s">
        <v>62</v>
      </c>
      <c r="O541" s="2" t="s">
        <v>62</v>
      </c>
      <c r="P541" s="38" t="str">
        <f>IFERROR(Table3335678[[#This Row],[Min Count]]/Table3335678[[#This Row],[Scalar]],"")</f>
        <v/>
      </c>
      <c r="Q541" s="36" t="str">
        <f>IFERROR(Table3335678[[#This Row],[Max Count]]/Table3335678[[#This Row],[Scalar]],"")</f>
        <v/>
      </c>
      <c r="R541" s="34"/>
      <c r="S541" s="34"/>
      <c r="T541" s="34" t="s">
        <v>3723</v>
      </c>
      <c r="U541" s="33" t="s">
        <v>3853</v>
      </c>
      <c r="V541" s="33" t="s">
        <v>8885</v>
      </c>
      <c r="W541" s="33"/>
      <c r="X541" s="33"/>
    </row>
    <row r="542" spans="1:24" ht="16.149999999999999" customHeight="1" x14ac:dyDescent="0.15">
      <c r="A542" s="6">
        <v>536</v>
      </c>
      <c r="B542" s="18" t="s">
        <v>75</v>
      </c>
      <c r="C542" s="43" t="s">
        <v>4267</v>
      </c>
      <c r="D542" s="43" t="s">
        <v>8008</v>
      </c>
      <c r="E542" s="36" t="s">
        <v>219</v>
      </c>
      <c r="F542" s="19">
        <v>25</v>
      </c>
      <c r="G542" s="6"/>
      <c r="H542" s="34" t="s">
        <v>8009</v>
      </c>
      <c r="I542" s="38"/>
      <c r="J542" s="38"/>
      <c r="K542" s="38"/>
      <c r="L542" s="6" t="s">
        <v>61</v>
      </c>
      <c r="M542" s="113">
        <v>1</v>
      </c>
      <c r="N542" s="45" t="s">
        <v>62</v>
      </c>
      <c r="O542" s="2" t="s">
        <v>62</v>
      </c>
      <c r="P542" s="38" t="str">
        <f>IFERROR(Table3335678[[#This Row],[Min Count]]/Table3335678[[#This Row],[Scalar]],"")</f>
        <v/>
      </c>
      <c r="Q542" s="36" t="str">
        <f>IFERROR(Table3335678[[#This Row],[Max Count]]/Table3335678[[#This Row],[Scalar]],"")</f>
        <v/>
      </c>
      <c r="R542" s="34"/>
      <c r="S542" s="34"/>
      <c r="T542" s="34" t="s">
        <v>3723</v>
      </c>
      <c r="U542" s="33" t="s">
        <v>3853</v>
      </c>
      <c r="V542" s="33" t="s">
        <v>8886</v>
      </c>
      <c r="W542" s="33"/>
      <c r="X542" s="33"/>
    </row>
    <row r="543" spans="1:24" ht="16.149999999999999" customHeight="1" x14ac:dyDescent="0.15">
      <c r="A543" s="6">
        <v>537</v>
      </c>
      <c r="B543" s="18" t="s">
        <v>75</v>
      </c>
      <c r="C543" s="43" t="s">
        <v>4267</v>
      </c>
      <c r="D543" s="43" t="s">
        <v>8010</v>
      </c>
      <c r="E543" s="36" t="s">
        <v>219</v>
      </c>
      <c r="F543" s="19">
        <v>26</v>
      </c>
      <c r="G543" s="6"/>
      <c r="H543" s="34" t="s">
        <v>8011</v>
      </c>
      <c r="I543" s="38"/>
      <c r="J543" s="38"/>
      <c r="K543" s="38"/>
      <c r="L543" s="6" t="s">
        <v>61</v>
      </c>
      <c r="M543" s="113">
        <v>1</v>
      </c>
      <c r="N543" s="45" t="s">
        <v>62</v>
      </c>
      <c r="O543" s="2" t="s">
        <v>62</v>
      </c>
      <c r="P543" s="38" t="str">
        <f>IFERROR(Table3335678[[#This Row],[Min Count]]/Table3335678[[#This Row],[Scalar]],"")</f>
        <v/>
      </c>
      <c r="Q543" s="36" t="str">
        <f>IFERROR(Table3335678[[#This Row],[Max Count]]/Table3335678[[#This Row],[Scalar]],"")</f>
        <v/>
      </c>
      <c r="R543" s="34"/>
      <c r="S543" s="34"/>
      <c r="T543" s="34" t="s">
        <v>3723</v>
      </c>
      <c r="U543" s="33" t="s">
        <v>3853</v>
      </c>
      <c r="V543" s="33" t="s">
        <v>8887</v>
      </c>
      <c r="W543" s="33"/>
      <c r="X543" s="33"/>
    </row>
    <row r="544" spans="1:24" ht="16.149999999999999" customHeight="1" x14ac:dyDescent="0.15">
      <c r="A544" s="6">
        <v>538</v>
      </c>
      <c r="B544" s="18" t="s">
        <v>75</v>
      </c>
      <c r="C544" s="43" t="s">
        <v>4267</v>
      </c>
      <c r="D544" s="43" t="s">
        <v>8012</v>
      </c>
      <c r="E544" s="36" t="s">
        <v>219</v>
      </c>
      <c r="F544" s="19">
        <v>27</v>
      </c>
      <c r="G544" s="6"/>
      <c r="H544" s="34" t="s">
        <v>8013</v>
      </c>
      <c r="I544" s="38"/>
      <c r="J544" s="38"/>
      <c r="K544" s="38"/>
      <c r="L544" s="6" t="s">
        <v>61</v>
      </c>
      <c r="M544" s="113">
        <v>1</v>
      </c>
      <c r="N544" s="45" t="s">
        <v>62</v>
      </c>
      <c r="O544" s="2" t="s">
        <v>62</v>
      </c>
      <c r="P544" s="38" t="str">
        <f>IFERROR(Table3335678[[#This Row],[Min Count]]/Table3335678[[#This Row],[Scalar]],"")</f>
        <v/>
      </c>
      <c r="Q544" s="36" t="str">
        <f>IFERROR(Table3335678[[#This Row],[Max Count]]/Table3335678[[#This Row],[Scalar]],"")</f>
        <v/>
      </c>
      <c r="R544" s="34"/>
      <c r="S544" s="34"/>
      <c r="T544" s="34" t="s">
        <v>3723</v>
      </c>
      <c r="U544" s="33" t="s">
        <v>3853</v>
      </c>
      <c r="V544" s="33" t="s">
        <v>8888</v>
      </c>
      <c r="W544" s="33"/>
      <c r="X544" s="33"/>
    </row>
    <row r="545" spans="1:24" ht="16.149999999999999" customHeight="1" x14ac:dyDescent="0.15">
      <c r="A545" s="6">
        <v>539</v>
      </c>
      <c r="B545" s="18" t="s">
        <v>75</v>
      </c>
      <c r="C545" s="43" t="s">
        <v>4267</v>
      </c>
      <c r="D545" s="43" t="s">
        <v>8014</v>
      </c>
      <c r="E545" s="36" t="s">
        <v>219</v>
      </c>
      <c r="F545" s="19">
        <v>28</v>
      </c>
      <c r="G545" s="6"/>
      <c r="H545" s="34" t="s">
        <v>8015</v>
      </c>
      <c r="I545" s="38"/>
      <c r="J545" s="38"/>
      <c r="K545" s="38"/>
      <c r="L545" s="6" t="s">
        <v>61</v>
      </c>
      <c r="M545" s="113">
        <v>1</v>
      </c>
      <c r="N545" s="45" t="s">
        <v>62</v>
      </c>
      <c r="O545" s="2" t="s">
        <v>62</v>
      </c>
      <c r="P545" s="38" t="str">
        <f>IFERROR(Table3335678[[#This Row],[Min Count]]/Table3335678[[#This Row],[Scalar]],"")</f>
        <v/>
      </c>
      <c r="Q545" s="36" t="str">
        <f>IFERROR(Table3335678[[#This Row],[Max Count]]/Table3335678[[#This Row],[Scalar]],"")</f>
        <v/>
      </c>
      <c r="R545" s="34"/>
      <c r="S545" s="34"/>
      <c r="T545" s="34" t="s">
        <v>3723</v>
      </c>
      <c r="U545" s="33" t="s">
        <v>3853</v>
      </c>
      <c r="V545" s="33" t="s">
        <v>8889</v>
      </c>
      <c r="W545" s="33"/>
      <c r="X545" s="33"/>
    </row>
    <row r="546" spans="1:24" ht="16.149999999999999" customHeight="1" x14ac:dyDescent="0.15">
      <c r="A546" s="6">
        <v>540</v>
      </c>
      <c r="B546" s="18" t="s">
        <v>75</v>
      </c>
      <c r="C546" s="43" t="s">
        <v>4267</v>
      </c>
      <c r="D546" s="43" t="s">
        <v>8016</v>
      </c>
      <c r="E546" s="36" t="s">
        <v>219</v>
      </c>
      <c r="F546" s="19">
        <v>29</v>
      </c>
      <c r="G546" s="6"/>
      <c r="H546" s="34" t="s">
        <v>5918</v>
      </c>
      <c r="I546" s="38"/>
      <c r="J546" s="38"/>
      <c r="K546" s="38"/>
      <c r="L546" s="6" t="s">
        <v>61</v>
      </c>
      <c r="M546" s="113">
        <v>1</v>
      </c>
      <c r="N546" s="45" t="s">
        <v>62</v>
      </c>
      <c r="O546" s="2" t="s">
        <v>62</v>
      </c>
      <c r="P546" s="38" t="str">
        <f>IFERROR(Table3335678[[#This Row],[Min Count]]/Table3335678[[#This Row],[Scalar]],"")</f>
        <v/>
      </c>
      <c r="Q546" s="36" t="str">
        <f>IFERROR(Table3335678[[#This Row],[Max Count]]/Table3335678[[#This Row],[Scalar]],"")</f>
        <v/>
      </c>
      <c r="R546" s="34"/>
      <c r="S546" s="34"/>
      <c r="T546" s="34" t="s">
        <v>3723</v>
      </c>
      <c r="U546" s="33" t="s">
        <v>3853</v>
      </c>
      <c r="V546" s="33" t="s">
        <v>8890</v>
      </c>
      <c r="W546" s="33"/>
      <c r="X546" s="33"/>
    </row>
    <row r="547" spans="1:24" ht="16.149999999999999" customHeight="1" x14ac:dyDescent="0.15">
      <c r="A547" s="6">
        <v>541</v>
      </c>
      <c r="B547" s="18" t="s">
        <v>75</v>
      </c>
      <c r="C547" s="43" t="s">
        <v>4267</v>
      </c>
      <c r="D547" s="43" t="s">
        <v>8017</v>
      </c>
      <c r="E547" s="36" t="s">
        <v>219</v>
      </c>
      <c r="F547" s="19">
        <v>30</v>
      </c>
      <c r="G547" s="6"/>
      <c r="H547" s="34" t="s">
        <v>8018</v>
      </c>
      <c r="I547" s="38"/>
      <c r="J547" s="38"/>
      <c r="K547" s="38"/>
      <c r="L547" s="6" t="s">
        <v>61</v>
      </c>
      <c r="M547" s="113">
        <v>1</v>
      </c>
      <c r="N547" s="45" t="s">
        <v>62</v>
      </c>
      <c r="O547" s="2" t="s">
        <v>62</v>
      </c>
      <c r="P547" s="38" t="str">
        <f>IFERROR(Table3335678[[#This Row],[Min Count]]/Table3335678[[#This Row],[Scalar]],"")</f>
        <v/>
      </c>
      <c r="Q547" s="36" t="str">
        <f>IFERROR(Table3335678[[#This Row],[Max Count]]/Table3335678[[#This Row],[Scalar]],"")</f>
        <v/>
      </c>
      <c r="R547" s="34"/>
      <c r="S547" s="34"/>
      <c r="T547" s="34" t="s">
        <v>3723</v>
      </c>
      <c r="U547" s="33" t="s">
        <v>3853</v>
      </c>
      <c r="V547" s="33" t="s">
        <v>8891</v>
      </c>
      <c r="W547" s="33"/>
      <c r="X547" s="33"/>
    </row>
    <row r="548" spans="1:24" ht="16.149999999999999" customHeight="1" x14ac:dyDescent="0.15">
      <c r="A548" s="6">
        <v>542</v>
      </c>
      <c r="B548" s="18" t="s">
        <v>75</v>
      </c>
      <c r="C548" s="34" t="s">
        <v>6035</v>
      </c>
      <c r="D548" t="s">
        <v>6036</v>
      </c>
      <c r="E548" s="2" t="s">
        <v>169</v>
      </c>
      <c r="F548" s="19">
        <v>0</v>
      </c>
      <c r="G548" s="6"/>
      <c r="H548" s="34" t="s">
        <v>3721</v>
      </c>
      <c r="I548" s="38" t="s">
        <v>196</v>
      </c>
      <c r="J548" s="38" t="s">
        <v>177</v>
      </c>
      <c r="K548" s="38" t="s">
        <v>173</v>
      </c>
      <c r="L548" s="38"/>
      <c r="M548" s="19"/>
      <c r="N548" s="76" t="s">
        <v>62</v>
      </c>
      <c r="O548" s="6" t="s">
        <v>62</v>
      </c>
      <c r="P548" s="38" t="str">
        <f>IFERROR(Table3335678[[#This Row],[Min Count]]/Table3335678[[#This Row],[Scalar]],"")</f>
        <v/>
      </c>
      <c r="Q548" s="38" t="str">
        <f>IFERROR(Table3335678[[#This Row],[Max Count]]/Table3335678[[#This Row],[Scalar]],"")</f>
        <v/>
      </c>
      <c r="R548" s="34"/>
      <c r="S548" s="34"/>
      <c r="T548" s="34" t="s">
        <v>3723</v>
      </c>
      <c r="U548" s="8" t="s">
        <v>3708</v>
      </c>
      <c r="V548" s="33" t="s">
        <v>6037</v>
      </c>
      <c r="W548" s="33"/>
      <c r="X548" s="33"/>
    </row>
    <row r="549" spans="1:24" ht="16.149999999999999" customHeight="1" x14ac:dyDescent="0.15">
      <c r="A549" s="6">
        <v>543</v>
      </c>
      <c r="B549" s="18" t="s">
        <v>75</v>
      </c>
      <c r="C549" s="34" t="s">
        <v>6035</v>
      </c>
      <c r="D549" t="s">
        <v>6039</v>
      </c>
      <c r="E549" s="2" t="s">
        <v>169</v>
      </c>
      <c r="F549" s="19">
        <v>1</v>
      </c>
      <c r="G549" s="6"/>
      <c r="H549" s="34" t="s">
        <v>3721</v>
      </c>
      <c r="I549" s="38" t="s">
        <v>196</v>
      </c>
      <c r="J549" s="38" t="s">
        <v>177</v>
      </c>
      <c r="K549" s="38" t="s">
        <v>173</v>
      </c>
      <c r="L549" s="38"/>
      <c r="M549" s="19"/>
      <c r="N549" s="76" t="s">
        <v>62</v>
      </c>
      <c r="O549" s="6" t="s">
        <v>62</v>
      </c>
      <c r="P549" s="38" t="str">
        <f>IFERROR(Table3335678[[#This Row],[Min Count]]/Table3335678[[#This Row],[Scalar]],"")</f>
        <v/>
      </c>
      <c r="Q549" s="38" t="str">
        <f>IFERROR(Table3335678[[#This Row],[Max Count]]/Table3335678[[#This Row],[Scalar]],"")</f>
        <v/>
      </c>
      <c r="R549" s="34"/>
      <c r="S549" s="34"/>
      <c r="T549" s="34" t="s">
        <v>3723</v>
      </c>
      <c r="U549" s="8" t="s">
        <v>3708</v>
      </c>
      <c r="V549" s="33" t="s">
        <v>6040</v>
      </c>
      <c r="W549" s="33"/>
      <c r="X549" s="33"/>
    </row>
    <row r="550" spans="1:24" ht="16.149999999999999" customHeight="1" x14ac:dyDescent="0.15">
      <c r="A550" s="6">
        <v>544</v>
      </c>
      <c r="B550" s="18" t="s">
        <v>75</v>
      </c>
      <c r="C550" s="44" t="s">
        <v>6035</v>
      </c>
      <c r="D550" s="43" t="s">
        <v>6042</v>
      </c>
      <c r="E550" s="2" t="s">
        <v>169</v>
      </c>
      <c r="F550" s="19">
        <v>2</v>
      </c>
      <c r="G550" s="6"/>
      <c r="H550" s="34" t="s">
        <v>3721</v>
      </c>
      <c r="I550" s="38" t="s">
        <v>171</v>
      </c>
      <c r="J550" s="38" t="s">
        <v>177</v>
      </c>
      <c r="K550" s="38" t="s">
        <v>173</v>
      </c>
      <c r="L550" s="38"/>
      <c r="M550" s="19"/>
      <c r="N550" s="76" t="s">
        <v>62</v>
      </c>
      <c r="O550" s="6" t="s">
        <v>62</v>
      </c>
      <c r="P550" s="38" t="str">
        <f>IFERROR(Table3335678[[#This Row],[Min Count]]/Table3335678[[#This Row],[Scalar]],"")</f>
        <v/>
      </c>
      <c r="Q550" s="38" t="str">
        <f>IFERROR(Table3335678[[#This Row],[Max Count]]/Table3335678[[#This Row],[Scalar]],"")</f>
        <v/>
      </c>
      <c r="R550" s="34"/>
      <c r="S550" s="34"/>
      <c r="T550" s="34" t="s">
        <v>3723</v>
      </c>
      <c r="U550" s="8" t="s">
        <v>3708</v>
      </c>
      <c r="V550" s="33" t="s">
        <v>6043</v>
      </c>
      <c r="W550" s="33"/>
      <c r="X550" s="33"/>
    </row>
    <row r="551" spans="1:24" ht="16.149999999999999" customHeight="1" x14ac:dyDescent="0.15">
      <c r="A551" s="6">
        <v>545</v>
      </c>
      <c r="B551" s="18" t="s">
        <v>75</v>
      </c>
      <c r="C551" s="44" t="s">
        <v>6035</v>
      </c>
      <c r="D551" s="43" t="s">
        <v>6045</v>
      </c>
      <c r="E551" s="2" t="s">
        <v>169</v>
      </c>
      <c r="F551" s="19">
        <v>3</v>
      </c>
      <c r="G551" s="6"/>
      <c r="H551" s="34" t="s">
        <v>3721</v>
      </c>
      <c r="I551" s="38" t="s">
        <v>171</v>
      </c>
      <c r="J551" s="38" t="s">
        <v>6046</v>
      </c>
      <c r="K551" s="38" t="s">
        <v>6047</v>
      </c>
      <c r="L551" s="38"/>
      <c r="M551" s="19"/>
      <c r="N551" s="76" t="s">
        <v>62</v>
      </c>
      <c r="O551" s="6" t="s">
        <v>62</v>
      </c>
      <c r="P551" s="38" t="str">
        <f>IFERROR(Table3335678[[#This Row],[Min Count]]/Table3335678[[#This Row],[Scalar]],"")</f>
        <v/>
      </c>
      <c r="Q551" s="38" t="str">
        <f>IFERROR(Table3335678[[#This Row],[Max Count]]/Table3335678[[#This Row],[Scalar]],"")</f>
        <v/>
      </c>
      <c r="R551" s="34"/>
      <c r="S551" s="34"/>
      <c r="T551" s="34" t="s">
        <v>3723</v>
      </c>
      <c r="U551" s="8" t="s">
        <v>3708</v>
      </c>
      <c r="V551" s="33" t="s">
        <v>6048</v>
      </c>
      <c r="W551" s="33"/>
      <c r="X551" s="33"/>
    </row>
    <row r="552" spans="1:24" ht="16.149999999999999" customHeight="1" x14ac:dyDescent="0.15">
      <c r="A552" s="6">
        <v>546</v>
      </c>
      <c r="B552" s="18" t="s">
        <v>75</v>
      </c>
      <c r="C552" s="43" t="s">
        <v>6035</v>
      </c>
      <c r="D552" s="43" t="s">
        <v>4481</v>
      </c>
      <c r="E552" s="2" t="s">
        <v>169</v>
      </c>
      <c r="F552" s="19">
        <v>4</v>
      </c>
      <c r="G552" s="6"/>
      <c r="H552" s="34" t="s">
        <v>8019</v>
      </c>
      <c r="I552" s="38" t="s">
        <v>196</v>
      </c>
      <c r="J552" s="6" t="s">
        <v>940</v>
      </c>
      <c r="K552" s="38" t="s">
        <v>941</v>
      </c>
      <c r="L552" s="6"/>
      <c r="M552" s="113"/>
      <c r="N552" s="45" t="s">
        <v>62</v>
      </c>
      <c r="O552" s="2" t="s">
        <v>62</v>
      </c>
      <c r="P552" s="38" t="str">
        <f>IFERROR(Table3335678[[#This Row],[Min Count]]/Table3335678[[#This Row],[Scalar]],"")</f>
        <v/>
      </c>
      <c r="Q552" s="36" t="str">
        <f>IFERROR(Table3335678[[#This Row],[Max Count]]/Table3335678[[#This Row],[Scalar]],"")</f>
        <v/>
      </c>
      <c r="R552" s="34"/>
      <c r="S552" s="34"/>
      <c r="T552" s="34" t="s">
        <v>3723</v>
      </c>
      <c r="U552" s="33" t="s">
        <v>3815</v>
      </c>
      <c r="V552" s="33" t="s">
        <v>8892</v>
      </c>
      <c r="W552" s="33"/>
      <c r="X552" s="33" t="s">
        <v>4434</v>
      </c>
    </row>
    <row r="553" spans="1:24" ht="16.149999999999999" customHeight="1" x14ac:dyDescent="0.15">
      <c r="A553" s="6">
        <v>547</v>
      </c>
      <c r="B553" s="18" t="s">
        <v>75</v>
      </c>
      <c r="C553" s="43" t="s">
        <v>6035</v>
      </c>
      <c r="D553" s="43" t="s">
        <v>4484</v>
      </c>
      <c r="E553" s="2" t="s">
        <v>169</v>
      </c>
      <c r="F553" s="19">
        <v>5</v>
      </c>
      <c r="G553" s="6"/>
      <c r="H553" s="34" t="s">
        <v>8020</v>
      </c>
      <c r="I553" s="38" t="s">
        <v>196</v>
      </c>
      <c r="J553" s="6" t="s">
        <v>940</v>
      </c>
      <c r="K553" s="38" t="s">
        <v>941</v>
      </c>
      <c r="L553" s="6"/>
      <c r="M553" s="113"/>
      <c r="N553" s="45" t="s">
        <v>62</v>
      </c>
      <c r="O553" s="2" t="s">
        <v>62</v>
      </c>
      <c r="P553" s="38" t="str">
        <f>IFERROR(Table3335678[[#This Row],[Min Count]]/Table3335678[[#This Row],[Scalar]],"")</f>
        <v/>
      </c>
      <c r="Q553" s="36" t="str">
        <f>IFERROR(Table3335678[[#This Row],[Max Count]]/Table3335678[[#This Row],[Scalar]],"")</f>
        <v/>
      </c>
      <c r="R553" s="34"/>
      <c r="S553" s="34"/>
      <c r="T553" s="34" t="s">
        <v>3723</v>
      </c>
      <c r="U553" s="33" t="s">
        <v>3815</v>
      </c>
      <c r="V553" s="33" t="s">
        <v>8893</v>
      </c>
      <c r="W553" s="33"/>
      <c r="X553" s="33" t="s">
        <v>4434</v>
      </c>
    </row>
    <row r="554" spans="1:24" ht="16.149999999999999" customHeight="1" x14ac:dyDescent="0.15">
      <c r="A554" s="6">
        <v>548</v>
      </c>
      <c r="B554" s="18" t="s">
        <v>75</v>
      </c>
      <c r="C554" s="43" t="s">
        <v>6035</v>
      </c>
      <c r="D554" s="43" t="s">
        <v>4487</v>
      </c>
      <c r="E554" s="2" t="s">
        <v>169</v>
      </c>
      <c r="F554" s="19">
        <v>6</v>
      </c>
      <c r="G554" s="6"/>
      <c r="H554" s="34" t="s">
        <v>8021</v>
      </c>
      <c r="I554" s="38" t="s">
        <v>196</v>
      </c>
      <c r="J554" s="6" t="s">
        <v>940</v>
      </c>
      <c r="K554" s="38" t="s">
        <v>941</v>
      </c>
      <c r="L554" s="6"/>
      <c r="M554" s="113"/>
      <c r="N554" s="45" t="s">
        <v>62</v>
      </c>
      <c r="O554" s="2" t="s">
        <v>62</v>
      </c>
      <c r="P554" s="38" t="str">
        <f>IFERROR(Table3335678[[#This Row],[Min Count]]/Table3335678[[#This Row],[Scalar]],"")</f>
        <v/>
      </c>
      <c r="Q554" s="36" t="str">
        <f>IFERROR(Table3335678[[#This Row],[Max Count]]/Table3335678[[#This Row],[Scalar]],"")</f>
        <v/>
      </c>
      <c r="R554" s="34"/>
      <c r="S554" s="34"/>
      <c r="T554" s="34" t="s">
        <v>3723</v>
      </c>
      <c r="U554" s="33" t="s">
        <v>3815</v>
      </c>
      <c r="V554" s="33" t="s">
        <v>8894</v>
      </c>
      <c r="W554" s="33"/>
      <c r="X554" s="33" t="s">
        <v>4434</v>
      </c>
    </row>
    <row r="555" spans="1:24" ht="16.149999999999999" customHeight="1" x14ac:dyDescent="0.15">
      <c r="A555" s="6">
        <v>549</v>
      </c>
      <c r="B555" s="18" t="s">
        <v>75</v>
      </c>
      <c r="C555" s="43" t="s">
        <v>6035</v>
      </c>
      <c r="D555" s="43" t="s">
        <v>4490</v>
      </c>
      <c r="E555" s="2" t="s">
        <v>169</v>
      </c>
      <c r="F555" s="19">
        <v>7</v>
      </c>
      <c r="G555" s="6"/>
      <c r="H555" s="34" t="s">
        <v>8022</v>
      </c>
      <c r="I555" s="38" t="s">
        <v>196</v>
      </c>
      <c r="J555" s="6" t="s">
        <v>940</v>
      </c>
      <c r="K555" s="38" t="s">
        <v>941</v>
      </c>
      <c r="L555" s="6"/>
      <c r="M555" s="113"/>
      <c r="N555" s="45" t="s">
        <v>62</v>
      </c>
      <c r="O555" s="2" t="s">
        <v>62</v>
      </c>
      <c r="P555" s="38" t="str">
        <f>IFERROR(Table3335678[[#This Row],[Min Count]]/Table3335678[[#This Row],[Scalar]],"")</f>
        <v/>
      </c>
      <c r="Q555" s="36" t="str">
        <f>IFERROR(Table3335678[[#This Row],[Max Count]]/Table3335678[[#This Row],[Scalar]],"")</f>
        <v/>
      </c>
      <c r="R555" s="34"/>
      <c r="S555" s="34"/>
      <c r="T555" s="34" t="s">
        <v>3723</v>
      </c>
      <c r="U555" s="33" t="s">
        <v>3815</v>
      </c>
      <c r="V555" s="33" t="s">
        <v>8895</v>
      </c>
      <c r="W555" s="33"/>
      <c r="X555" s="33" t="s">
        <v>4434</v>
      </c>
    </row>
    <row r="556" spans="1:24" ht="16.149999999999999" customHeight="1" x14ac:dyDescent="0.15">
      <c r="A556" s="6">
        <v>550</v>
      </c>
      <c r="B556" s="18" t="s">
        <v>75</v>
      </c>
      <c r="C556" s="43" t="s">
        <v>6035</v>
      </c>
      <c r="D556" s="43" t="s">
        <v>4493</v>
      </c>
      <c r="E556" s="2" t="s">
        <v>169</v>
      </c>
      <c r="F556" s="19">
        <v>8</v>
      </c>
      <c r="G556" s="6"/>
      <c r="H556" s="34" t="s">
        <v>8023</v>
      </c>
      <c r="I556" s="38" t="s">
        <v>196</v>
      </c>
      <c r="J556" s="6" t="s">
        <v>940</v>
      </c>
      <c r="K556" s="38" t="s">
        <v>941</v>
      </c>
      <c r="L556" s="6"/>
      <c r="M556" s="113"/>
      <c r="N556" s="45" t="s">
        <v>62</v>
      </c>
      <c r="O556" s="2" t="s">
        <v>62</v>
      </c>
      <c r="P556" s="38" t="str">
        <f>IFERROR(Table3335678[[#This Row],[Min Count]]/Table3335678[[#This Row],[Scalar]],"")</f>
        <v/>
      </c>
      <c r="Q556" s="36" t="str">
        <f>IFERROR(Table3335678[[#This Row],[Max Count]]/Table3335678[[#This Row],[Scalar]],"")</f>
        <v/>
      </c>
      <c r="R556" s="34"/>
      <c r="S556" s="34"/>
      <c r="T556" s="34" t="s">
        <v>3723</v>
      </c>
      <c r="U556" s="33" t="s">
        <v>3815</v>
      </c>
      <c r="V556" s="33" t="s">
        <v>8896</v>
      </c>
      <c r="W556" s="33"/>
      <c r="X556" s="33" t="s">
        <v>4434</v>
      </c>
    </row>
    <row r="557" spans="1:24" ht="16.149999999999999" customHeight="1" x14ac:dyDescent="0.15">
      <c r="A557" s="6">
        <v>551</v>
      </c>
      <c r="B557" s="18" t="s">
        <v>75</v>
      </c>
      <c r="C557" s="43" t="s">
        <v>6035</v>
      </c>
      <c r="D557" s="43" t="s">
        <v>4496</v>
      </c>
      <c r="E557" s="2" t="s">
        <v>169</v>
      </c>
      <c r="F557" s="19">
        <v>9</v>
      </c>
      <c r="G557" s="6"/>
      <c r="H557" s="34" t="s">
        <v>8024</v>
      </c>
      <c r="I557" s="38" t="s">
        <v>196</v>
      </c>
      <c r="J557" s="6" t="s">
        <v>940</v>
      </c>
      <c r="K557" s="38" t="s">
        <v>941</v>
      </c>
      <c r="L557" s="6"/>
      <c r="M557" s="113"/>
      <c r="N557" s="45" t="s">
        <v>62</v>
      </c>
      <c r="O557" s="2" t="s">
        <v>62</v>
      </c>
      <c r="P557" s="38" t="str">
        <f>IFERROR(Table3335678[[#This Row],[Min Count]]/Table3335678[[#This Row],[Scalar]],"")</f>
        <v/>
      </c>
      <c r="Q557" s="36" t="str">
        <f>IFERROR(Table3335678[[#This Row],[Max Count]]/Table3335678[[#This Row],[Scalar]],"")</f>
        <v/>
      </c>
      <c r="R557" s="34"/>
      <c r="S557" s="34"/>
      <c r="T557" s="34" t="s">
        <v>3723</v>
      </c>
      <c r="U557" s="33" t="s">
        <v>3815</v>
      </c>
      <c r="V557" s="33" t="s">
        <v>8897</v>
      </c>
      <c r="W557" s="33"/>
      <c r="X557" s="33" t="s">
        <v>4434</v>
      </c>
    </row>
    <row r="558" spans="1:24" ht="16.149999999999999" customHeight="1" x14ac:dyDescent="0.15">
      <c r="A558" s="6">
        <v>552</v>
      </c>
      <c r="B558" s="18" t="s">
        <v>75</v>
      </c>
      <c r="C558" s="43" t="s">
        <v>6035</v>
      </c>
      <c r="D558" s="43" t="s">
        <v>4499</v>
      </c>
      <c r="E558" s="2" t="s">
        <v>169</v>
      </c>
      <c r="F558" s="19">
        <v>10</v>
      </c>
      <c r="G558" s="6"/>
      <c r="H558" s="34" t="s">
        <v>8025</v>
      </c>
      <c r="I558" s="38" t="s">
        <v>196</v>
      </c>
      <c r="J558" s="6" t="s">
        <v>940</v>
      </c>
      <c r="K558" s="38" t="s">
        <v>941</v>
      </c>
      <c r="L558" s="6"/>
      <c r="M558" s="113"/>
      <c r="N558" s="45" t="s">
        <v>62</v>
      </c>
      <c r="O558" s="2" t="s">
        <v>62</v>
      </c>
      <c r="P558" s="38" t="str">
        <f>IFERROR(Table3335678[[#This Row],[Min Count]]/Table3335678[[#This Row],[Scalar]],"")</f>
        <v/>
      </c>
      <c r="Q558" s="36" t="str">
        <f>IFERROR(Table3335678[[#This Row],[Max Count]]/Table3335678[[#This Row],[Scalar]],"")</f>
        <v/>
      </c>
      <c r="R558" s="34"/>
      <c r="S558" s="34"/>
      <c r="T558" s="34" t="s">
        <v>3723</v>
      </c>
      <c r="U558" s="33" t="s">
        <v>3815</v>
      </c>
      <c r="V558" s="33" t="s">
        <v>8898</v>
      </c>
      <c r="W558" s="33"/>
      <c r="X558" s="33" t="s">
        <v>4434</v>
      </c>
    </row>
    <row r="559" spans="1:24" ht="16.149999999999999" customHeight="1" x14ac:dyDescent="0.15">
      <c r="A559" s="6">
        <v>553</v>
      </c>
      <c r="B559" s="18" t="s">
        <v>75</v>
      </c>
      <c r="C559" s="43" t="s">
        <v>6035</v>
      </c>
      <c r="D559" s="43" t="s">
        <v>4502</v>
      </c>
      <c r="E559" s="2" t="s">
        <v>169</v>
      </c>
      <c r="F559" s="19">
        <v>11</v>
      </c>
      <c r="G559" s="6"/>
      <c r="H559" s="34" t="s">
        <v>8026</v>
      </c>
      <c r="I559" s="38" t="s">
        <v>196</v>
      </c>
      <c r="J559" s="6" t="s">
        <v>940</v>
      </c>
      <c r="K559" s="38" t="s">
        <v>941</v>
      </c>
      <c r="L559" s="6"/>
      <c r="M559" s="113"/>
      <c r="N559" s="45" t="s">
        <v>62</v>
      </c>
      <c r="O559" s="2" t="s">
        <v>62</v>
      </c>
      <c r="P559" s="38" t="str">
        <f>IFERROR(Table3335678[[#This Row],[Min Count]]/Table3335678[[#This Row],[Scalar]],"")</f>
        <v/>
      </c>
      <c r="Q559" s="36" t="str">
        <f>IFERROR(Table3335678[[#This Row],[Max Count]]/Table3335678[[#This Row],[Scalar]],"")</f>
        <v/>
      </c>
      <c r="R559" s="34"/>
      <c r="S559" s="34"/>
      <c r="T559" s="34" t="s">
        <v>3723</v>
      </c>
      <c r="U559" s="33" t="s">
        <v>3815</v>
      </c>
      <c r="V559" s="33" t="s">
        <v>8899</v>
      </c>
      <c r="W559" s="33"/>
      <c r="X559" s="33" t="s">
        <v>4434</v>
      </c>
    </row>
    <row r="560" spans="1:24" ht="16.149999999999999" customHeight="1" x14ac:dyDescent="0.15">
      <c r="A560" s="6">
        <v>554</v>
      </c>
      <c r="B560" s="18" t="s">
        <v>75</v>
      </c>
      <c r="C560" s="43" t="s">
        <v>6035</v>
      </c>
      <c r="D560" s="43" t="s">
        <v>4505</v>
      </c>
      <c r="E560" s="2" t="s">
        <v>169</v>
      </c>
      <c r="F560" s="19">
        <v>12</v>
      </c>
      <c r="G560" s="6"/>
      <c r="H560" s="34" t="s">
        <v>8027</v>
      </c>
      <c r="I560" s="38" t="s">
        <v>196</v>
      </c>
      <c r="J560" s="6" t="s">
        <v>940</v>
      </c>
      <c r="K560" s="38" t="s">
        <v>941</v>
      </c>
      <c r="L560" s="6"/>
      <c r="M560" s="113"/>
      <c r="N560" s="45" t="s">
        <v>62</v>
      </c>
      <c r="O560" s="2" t="s">
        <v>62</v>
      </c>
      <c r="P560" s="38" t="str">
        <f>IFERROR(Table3335678[[#This Row],[Min Count]]/Table3335678[[#This Row],[Scalar]],"")</f>
        <v/>
      </c>
      <c r="Q560" s="36" t="str">
        <f>IFERROR(Table3335678[[#This Row],[Max Count]]/Table3335678[[#This Row],[Scalar]],"")</f>
        <v/>
      </c>
      <c r="R560" s="34"/>
      <c r="S560" s="34"/>
      <c r="T560" s="34" t="s">
        <v>3723</v>
      </c>
      <c r="U560" s="33" t="s">
        <v>3815</v>
      </c>
      <c r="V560" s="33" t="s">
        <v>8900</v>
      </c>
      <c r="W560" s="33"/>
      <c r="X560" s="33" t="s">
        <v>4434</v>
      </c>
    </row>
    <row r="561" spans="1:24" ht="16.149999999999999" customHeight="1" x14ac:dyDescent="0.15">
      <c r="A561" s="6">
        <v>555</v>
      </c>
      <c r="B561" s="18" t="s">
        <v>75</v>
      </c>
      <c r="C561" s="43" t="s">
        <v>6035</v>
      </c>
      <c r="D561" s="43" t="s">
        <v>4508</v>
      </c>
      <c r="E561" s="2" t="s">
        <v>169</v>
      </c>
      <c r="F561" s="19">
        <v>13</v>
      </c>
      <c r="G561" s="6"/>
      <c r="H561" s="34" t="s">
        <v>8028</v>
      </c>
      <c r="I561" s="38" t="s">
        <v>196</v>
      </c>
      <c r="J561" s="6" t="s">
        <v>940</v>
      </c>
      <c r="K561" s="38" t="s">
        <v>941</v>
      </c>
      <c r="L561" s="6"/>
      <c r="M561" s="113"/>
      <c r="N561" s="45" t="s">
        <v>62</v>
      </c>
      <c r="O561" s="2" t="s">
        <v>62</v>
      </c>
      <c r="P561" s="38" t="str">
        <f>IFERROR(Table3335678[[#This Row],[Min Count]]/Table3335678[[#This Row],[Scalar]],"")</f>
        <v/>
      </c>
      <c r="Q561" s="36" t="str">
        <f>IFERROR(Table3335678[[#This Row],[Max Count]]/Table3335678[[#This Row],[Scalar]],"")</f>
        <v/>
      </c>
      <c r="R561" s="34"/>
      <c r="S561" s="34"/>
      <c r="T561" s="34" t="s">
        <v>3723</v>
      </c>
      <c r="U561" s="33" t="s">
        <v>3815</v>
      </c>
      <c r="V561" s="33" t="s">
        <v>8901</v>
      </c>
      <c r="W561" s="33"/>
      <c r="X561" s="33" t="s">
        <v>4434</v>
      </c>
    </row>
    <row r="562" spans="1:24" ht="16.149999999999999" customHeight="1" x14ac:dyDescent="0.15">
      <c r="A562" s="6">
        <v>556</v>
      </c>
      <c r="B562" s="18" t="s">
        <v>75</v>
      </c>
      <c r="C562" s="43" t="s">
        <v>6035</v>
      </c>
      <c r="D562" s="43" t="s">
        <v>4511</v>
      </c>
      <c r="E562" s="2" t="s">
        <v>169</v>
      </c>
      <c r="F562" s="19">
        <v>14</v>
      </c>
      <c r="G562" s="6"/>
      <c r="H562" s="34" t="s">
        <v>8029</v>
      </c>
      <c r="I562" s="38" t="s">
        <v>196</v>
      </c>
      <c r="J562" s="6" t="s">
        <v>940</v>
      </c>
      <c r="K562" s="38" t="s">
        <v>941</v>
      </c>
      <c r="L562" s="6"/>
      <c r="M562" s="113"/>
      <c r="N562" s="45" t="s">
        <v>62</v>
      </c>
      <c r="O562" s="2" t="s">
        <v>62</v>
      </c>
      <c r="P562" s="38" t="str">
        <f>IFERROR(Table3335678[[#This Row],[Min Count]]/Table3335678[[#This Row],[Scalar]],"")</f>
        <v/>
      </c>
      <c r="Q562" s="36" t="str">
        <f>IFERROR(Table3335678[[#This Row],[Max Count]]/Table3335678[[#This Row],[Scalar]],"")</f>
        <v/>
      </c>
      <c r="R562" s="34"/>
      <c r="S562" s="34"/>
      <c r="T562" s="34" t="s">
        <v>3723</v>
      </c>
      <c r="U562" s="33" t="s">
        <v>3815</v>
      </c>
      <c r="V562" s="33" t="s">
        <v>8902</v>
      </c>
      <c r="W562" s="33"/>
      <c r="X562" s="33" t="s">
        <v>4434</v>
      </c>
    </row>
    <row r="563" spans="1:24" ht="16.149999999999999" customHeight="1" x14ac:dyDescent="0.15">
      <c r="A563" s="6">
        <v>557</v>
      </c>
      <c r="B563" s="18" t="s">
        <v>75</v>
      </c>
      <c r="C563" s="43" t="s">
        <v>6035</v>
      </c>
      <c r="D563" s="43" t="s">
        <v>4514</v>
      </c>
      <c r="E563" s="2" t="s">
        <v>169</v>
      </c>
      <c r="F563" s="19">
        <v>15</v>
      </c>
      <c r="G563" s="6"/>
      <c r="H563" s="34" t="s">
        <v>8030</v>
      </c>
      <c r="I563" s="38" t="s">
        <v>196</v>
      </c>
      <c r="J563" s="6" t="s">
        <v>940</v>
      </c>
      <c r="K563" s="38" t="s">
        <v>941</v>
      </c>
      <c r="L563" s="6"/>
      <c r="M563" s="113"/>
      <c r="N563" s="45" t="s">
        <v>62</v>
      </c>
      <c r="O563" s="2" t="s">
        <v>62</v>
      </c>
      <c r="P563" s="38" t="str">
        <f>IFERROR(Table3335678[[#This Row],[Min Count]]/Table3335678[[#This Row],[Scalar]],"")</f>
        <v/>
      </c>
      <c r="Q563" s="36" t="str">
        <f>IFERROR(Table3335678[[#This Row],[Max Count]]/Table3335678[[#This Row],[Scalar]],"")</f>
        <v/>
      </c>
      <c r="R563" s="34"/>
      <c r="S563" s="34"/>
      <c r="T563" s="34" t="s">
        <v>3723</v>
      </c>
      <c r="U563" s="33" t="s">
        <v>3815</v>
      </c>
      <c r="V563" s="33" t="s">
        <v>8903</v>
      </c>
      <c r="W563" s="33"/>
      <c r="X563" s="33" t="s">
        <v>4434</v>
      </c>
    </row>
    <row r="564" spans="1:24" ht="16.149999999999999" customHeight="1" x14ac:dyDescent="0.15">
      <c r="A564" s="6">
        <v>558</v>
      </c>
      <c r="B564" s="18" t="s">
        <v>75</v>
      </c>
      <c r="C564" s="43" t="s">
        <v>6035</v>
      </c>
      <c r="D564" s="43" t="s">
        <v>4517</v>
      </c>
      <c r="E564" s="2" t="s">
        <v>169</v>
      </c>
      <c r="F564" s="19">
        <v>16</v>
      </c>
      <c r="G564" s="6"/>
      <c r="H564" s="34" t="s">
        <v>8031</v>
      </c>
      <c r="I564" s="38" t="s">
        <v>196</v>
      </c>
      <c r="J564" s="6" t="s">
        <v>940</v>
      </c>
      <c r="K564" s="38" t="s">
        <v>941</v>
      </c>
      <c r="L564" s="6"/>
      <c r="M564" s="113"/>
      <c r="N564" s="45" t="s">
        <v>62</v>
      </c>
      <c r="O564" s="2" t="s">
        <v>62</v>
      </c>
      <c r="P564" s="38" t="str">
        <f>IFERROR(Table3335678[[#This Row],[Min Count]]/Table3335678[[#This Row],[Scalar]],"")</f>
        <v/>
      </c>
      <c r="Q564" s="36" t="str">
        <f>IFERROR(Table3335678[[#This Row],[Max Count]]/Table3335678[[#This Row],[Scalar]],"")</f>
        <v/>
      </c>
      <c r="R564" s="34"/>
      <c r="S564" s="34"/>
      <c r="T564" s="34" t="s">
        <v>3723</v>
      </c>
      <c r="U564" s="33" t="s">
        <v>3815</v>
      </c>
      <c r="V564" s="33" t="s">
        <v>8904</v>
      </c>
      <c r="W564" s="33"/>
      <c r="X564" s="33" t="s">
        <v>4434</v>
      </c>
    </row>
    <row r="565" spans="1:24" ht="16.149999999999999" customHeight="1" x14ac:dyDescent="0.15">
      <c r="A565" s="6">
        <v>559</v>
      </c>
      <c r="B565" s="18" t="s">
        <v>75</v>
      </c>
      <c r="C565" s="43" t="s">
        <v>6035</v>
      </c>
      <c r="D565" s="43" t="s">
        <v>4520</v>
      </c>
      <c r="E565" s="2" t="s">
        <v>169</v>
      </c>
      <c r="F565" s="19">
        <v>17</v>
      </c>
      <c r="G565" s="6"/>
      <c r="H565" s="34" t="s">
        <v>8032</v>
      </c>
      <c r="I565" s="38" t="s">
        <v>196</v>
      </c>
      <c r="J565" s="6" t="s">
        <v>940</v>
      </c>
      <c r="K565" s="38" t="s">
        <v>941</v>
      </c>
      <c r="L565" s="6"/>
      <c r="M565" s="113"/>
      <c r="N565" s="45" t="s">
        <v>62</v>
      </c>
      <c r="O565" s="2" t="s">
        <v>62</v>
      </c>
      <c r="P565" s="38" t="str">
        <f>IFERROR(Table3335678[[#This Row],[Min Count]]/Table3335678[[#This Row],[Scalar]],"")</f>
        <v/>
      </c>
      <c r="Q565" s="36" t="str">
        <f>IFERROR(Table3335678[[#This Row],[Max Count]]/Table3335678[[#This Row],[Scalar]],"")</f>
        <v/>
      </c>
      <c r="R565" s="34"/>
      <c r="S565" s="34"/>
      <c r="T565" s="34" t="s">
        <v>3723</v>
      </c>
      <c r="U565" s="33" t="s">
        <v>3815</v>
      </c>
      <c r="V565" s="33" t="s">
        <v>8905</v>
      </c>
      <c r="W565" s="33"/>
      <c r="X565" s="33" t="s">
        <v>4434</v>
      </c>
    </row>
    <row r="566" spans="1:24" ht="16.149999999999999" customHeight="1" x14ac:dyDescent="0.15">
      <c r="A566" s="6">
        <v>560</v>
      </c>
      <c r="B566" s="18" t="s">
        <v>75</v>
      </c>
      <c r="C566" s="43" t="s">
        <v>6035</v>
      </c>
      <c r="D566" s="43" t="s">
        <v>4523</v>
      </c>
      <c r="E566" s="2" t="s">
        <v>169</v>
      </c>
      <c r="F566" s="19">
        <v>18</v>
      </c>
      <c r="G566" s="6"/>
      <c r="H566" s="34" t="s">
        <v>8033</v>
      </c>
      <c r="I566" s="38" t="s">
        <v>196</v>
      </c>
      <c r="J566" s="6" t="s">
        <v>940</v>
      </c>
      <c r="K566" s="38" t="s">
        <v>941</v>
      </c>
      <c r="L566" s="6"/>
      <c r="M566" s="113"/>
      <c r="N566" s="45" t="s">
        <v>62</v>
      </c>
      <c r="O566" s="2" t="s">
        <v>62</v>
      </c>
      <c r="P566" s="38" t="str">
        <f>IFERROR(Table3335678[[#This Row],[Min Count]]/Table3335678[[#This Row],[Scalar]],"")</f>
        <v/>
      </c>
      <c r="Q566" s="36" t="str">
        <f>IFERROR(Table3335678[[#This Row],[Max Count]]/Table3335678[[#This Row],[Scalar]],"")</f>
        <v/>
      </c>
      <c r="R566" s="34"/>
      <c r="S566" s="34"/>
      <c r="T566" s="34" t="s">
        <v>3723</v>
      </c>
      <c r="U566" s="33" t="s">
        <v>3815</v>
      </c>
      <c r="V566" s="33" t="s">
        <v>8906</v>
      </c>
      <c r="W566" s="33"/>
      <c r="X566" s="33" t="s">
        <v>4434</v>
      </c>
    </row>
    <row r="567" spans="1:24" ht="16.149999999999999" customHeight="1" x14ac:dyDescent="0.15">
      <c r="A567" s="6">
        <v>561</v>
      </c>
      <c r="B567" s="18" t="s">
        <v>75</v>
      </c>
      <c r="C567" s="43" t="s">
        <v>6035</v>
      </c>
      <c r="D567" t="s">
        <v>4526</v>
      </c>
      <c r="E567" s="2" t="s">
        <v>169</v>
      </c>
      <c r="F567" s="19">
        <v>19</v>
      </c>
      <c r="G567" s="6"/>
      <c r="H567" s="34" t="s">
        <v>8034</v>
      </c>
      <c r="I567" s="38" t="s">
        <v>196</v>
      </c>
      <c r="J567" s="6" t="s">
        <v>940</v>
      </c>
      <c r="K567" s="38" t="s">
        <v>941</v>
      </c>
      <c r="L567" s="38"/>
      <c r="M567" s="19"/>
      <c r="N567" s="76" t="s">
        <v>62</v>
      </c>
      <c r="O567" s="6" t="s">
        <v>62</v>
      </c>
      <c r="P567" s="38" t="str">
        <f>IFERROR(Table3335678[[#This Row],[Min Count]]/Table3335678[[#This Row],[Scalar]],"")</f>
        <v/>
      </c>
      <c r="Q567" s="38" t="str">
        <f>IFERROR(Table3335678[[#This Row],[Max Count]]/Table3335678[[#This Row],[Scalar]],"")</f>
        <v/>
      </c>
      <c r="R567" s="34"/>
      <c r="S567" s="34"/>
      <c r="T567" s="34" t="s">
        <v>3723</v>
      </c>
      <c r="U567" s="33" t="s">
        <v>3815</v>
      </c>
      <c r="V567" s="33" t="s">
        <v>8907</v>
      </c>
      <c r="W567" s="33"/>
      <c r="X567" s="33" t="s">
        <v>4434</v>
      </c>
    </row>
    <row r="568" spans="1:24" ht="16.149999999999999" customHeight="1" x14ac:dyDescent="0.15">
      <c r="A568" s="6">
        <v>562</v>
      </c>
      <c r="B568" s="18" t="s">
        <v>75</v>
      </c>
      <c r="C568" s="43" t="s">
        <v>6035</v>
      </c>
      <c r="D568" s="43" t="s">
        <v>4529</v>
      </c>
      <c r="E568" s="2" t="s">
        <v>169</v>
      </c>
      <c r="F568" s="19">
        <v>20</v>
      </c>
      <c r="G568" s="6"/>
      <c r="H568" s="34" t="s">
        <v>8035</v>
      </c>
      <c r="I568" s="38" t="s">
        <v>196</v>
      </c>
      <c r="J568" s="6" t="s">
        <v>940</v>
      </c>
      <c r="K568" s="38" t="s">
        <v>941</v>
      </c>
      <c r="L568" s="6"/>
      <c r="M568" s="113"/>
      <c r="N568" s="45" t="s">
        <v>62</v>
      </c>
      <c r="O568" s="2" t="s">
        <v>62</v>
      </c>
      <c r="P568" s="38" t="str">
        <f>IFERROR(Table3335678[[#This Row],[Min Count]]/Table3335678[[#This Row],[Scalar]],"")</f>
        <v/>
      </c>
      <c r="Q568" s="36" t="str">
        <f>IFERROR(Table3335678[[#This Row],[Max Count]]/Table3335678[[#This Row],[Scalar]],"")</f>
        <v/>
      </c>
      <c r="R568" s="34"/>
      <c r="S568" s="34"/>
      <c r="T568" s="34" t="s">
        <v>3723</v>
      </c>
      <c r="U568" s="33" t="s">
        <v>3815</v>
      </c>
      <c r="V568" s="33" t="s">
        <v>8908</v>
      </c>
      <c r="W568" s="33"/>
      <c r="X568" s="33" t="s">
        <v>4434</v>
      </c>
    </row>
    <row r="569" spans="1:24" ht="16.149999999999999" customHeight="1" x14ac:dyDescent="0.15">
      <c r="A569" s="6">
        <v>563</v>
      </c>
      <c r="B569" s="18" t="s">
        <v>75</v>
      </c>
      <c r="C569" s="43" t="s">
        <v>6035</v>
      </c>
      <c r="D569" s="43" t="s">
        <v>4532</v>
      </c>
      <c r="E569" s="2" t="s">
        <v>169</v>
      </c>
      <c r="F569" s="19">
        <v>21</v>
      </c>
      <c r="G569" s="6"/>
      <c r="H569" s="34" t="s">
        <v>8036</v>
      </c>
      <c r="I569" s="38" t="s">
        <v>196</v>
      </c>
      <c r="J569" s="6" t="s">
        <v>940</v>
      </c>
      <c r="K569" s="38" t="s">
        <v>941</v>
      </c>
      <c r="L569" s="6"/>
      <c r="M569" s="131"/>
      <c r="N569" s="45" t="s">
        <v>62</v>
      </c>
      <c r="O569" s="2" t="s">
        <v>62</v>
      </c>
      <c r="P569" s="38" t="str">
        <f>IFERROR(Table3335678[[#This Row],[Min Count]]/Table3335678[[#This Row],[Scalar]],"")</f>
        <v/>
      </c>
      <c r="Q569" s="36" t="str">
        <f>IFERROR(Table3335678[[#This Row],[Max Count]]/Table3335678[[#This Row],[Scalar]],"")</f>
        <v/>
      </c>
      <c r="R569" s="34"/>
      <c r="S569" s="34"/>
      <c r="T569" s="34" t="s">
        <v>3723</v>
      </c>
      <c r="U569" s="33" t="s">
        <v>3815</v>
      </c>
      <c r="V569" s="35" t="s">
        <v>8909</v>
      </c>
      <c r="W569" s="35"/>
      <c r="X569" s="33" t="s">
        <v>4434</v>
      </c>
    </row>
    <row r="570" spans="1:24" ht="16.149999999999999" customHeight="1" x14ac:dyDescent="0.15">
      <c r="A570" s="6">
        <v>564</v>
      </c>
      <c r="B570" s="18" t="s">
        <v>75</v>
      </c>
      <c r="C570" s="43" t="s">
        <v>6035</v>
      </c>
      <c r="D570" s="43" t="s">
        <v>4535</v>
      </c>
      <c r="E570" s="2" t="s">
        <v>169</v>
      </c>
      <c r="F570" s="19">
        <v>22</v>
      </c>
      <c r="G570" s="6"/>
      <c r="H570" s="34" t="s">
        <v>8037</v>
      </c>
      <c r="I570" s="38" t="s">
        <v>196</v>
      </c>
      <c r="J570" s="6" t="s">
        <v>940</v>
      </c>
      <c r="K570" s="38" t="s">
        <v>941</v>
      </c>
      <c r="L570" s="6"/>
      <c r="M570" s="48"/>
      <c r="N570" s="45" t="s">
        <v>62</v>
      </c>
      <c r="O570" s="2" t="s">
        <v>62</v>
      </c>
      <c r="P570" s="38" t="str">
        <f>IFERROR(Table3335678[[#This Row],[Min Count]]/Table3335678[[#This Row],[Scalar]],"")</f>
        <v/>
      </c>
      <c r="Q570" s="36" t="str">
        <f>IFERROR(Table3335678[[#This Row],[Max Count]]/Table3335678[[#This Row],[Scalar]],"")</f>
        <v/>
      </c>
      <c r="R570" s="34"/>
      <c r="S570" s="34"/>
      <c r="T570" s="34" t="s">
        <v>3723</v>
      </c>
      <c r="U570" s="33" t="s">
        <v>3815</v>
      </c>
      <c r="V570" s="33" t="s">
        <v>8910</v>
      </c>
      <c r="W570" s="33"/>
      <c r="X570" s="33" t="s">
        <v>4434</v>
      </c>
    </row>
    <row r="571" spans="1:24" ht="16.149999999999999" customHeight="1" x14ac:dyDescent="0.15">
      <c r="A571" s="6">
        <v>565</v>
      </c>
      <c r="B571" s="18" t="s">
        <v>75</v>
      </c>
      <c r="C571" s="43" t="s">
        <v>6035</v>
      </c>
      <c r="D571" s="43" t="s">
        <v>4538</v>
      </c>
      <c r="E571" s="2" t="s">
        <v>169</v>
      </c>
      <c r="F571" s="19">
        <v>23</v>
      </c>
      <c r="G571" s="6"/>
      <c r="H571" s="34" t="s">
        <v>8038</v>
      </c>
      <c r="I571" s="38" t="s">
        <v>196</v>
      </c>
      <c r="J571" s="6" t="s">
        <v>940</v>
      </c>
      <c r="K571" s="38" t="s">
        <v>941</v>
      </c>
      <c r="L571" s="6"/>
      <c r="M571" s="48"/>
      <c r="N571" s="45" t="s">
        <v>62</v>
      </c>
      <c r="O571" s="2" t="s">
        <v>62</v>
      </c>
      <c r="P571" s="38" t="str">
        <f>IFERROR(Table3335678[[#This Row],[Min Count]]/Table3335678[[#This Row],[Scalar]],"")</f>
        <v/>
      </c>
      <c r="Q571" s="36" t="str">
        <f>IFERROR(Table3335678[[#This Row],[Max Count]]/Table3335678[[#This Row],[Scalar]],"")</f>
        <v/>
      </c>
      <c r="R571" s="34"/>
      <c r="S571" s="34"/>
      <c r="T571" s="34" t="s">
        <v>3723</v>
      </c>
      <c r="U571" s="33" t="s">
        <v>3815</v>
      </c>
      <c r="V571" s="33" t="s">
        <v>8911</v>
      </c>
      <c r="W571" s="33"/>
      <c r="X571" s="33" t="s">
        <v>4434</v>
      </c>
    </row>
    <row r="572" spans="1:24" ht="16.149999999999999" customHeight="1" x14ac:dyDescent="0.15">
      <c r="A572" s="6">
        <v>566</v>
      </c>
      <c r="B572" s="18" t="s">
        <v>75</v>
      </c>
      <c r="C572" s="43" t="s">
        <v>6035</v>
      </c>
      <c r="D572" s="43" t="s">
        <v>4541</v>
      </c>
      <c r="E572" s="2" t="s">
        <v>169</v>
      </c>
      <c r="F572" s="19">
        <v>24</v>
      </c>
      <c r="G572" s="6"/>
      <c r="H572" s="34" t="s">
        <v>8039</v>
      </c>
      <c r="I572" s="38" t="s">
        <v>196</v>
      </c>
      <c r="J572" s="6" t="s">
        <v>940</v>
      </c>
      <c r="K572" s="38" t="s">
        <v>941</v>
      </c>
      <c r="L572" s="6"/>
      <c r="M572" s="48"/>
      <c r="N572" s="45" t="s">
        <v>62</v>
      </c>
      <c r="O572" s="2" t="s">
        <v>62</v>
      </c>
      <c r="P572" s="38" t="str">
        <f>IFERROR(Table3335678[[#This Row],[Min Count]]/Table3335678[[#This Row],[Scalar]],"")</f>
        <v/>
      </c>
      <c r="Q572" s="36" t="str">
        <f>IFERROR(Table3335678[[#This Row],[Max Count]]/Table3335678[[#This Row],[Scalar]],"")</f>
        <v/>
      </c>
      <c r="R572" s="34"/>
      <c r="S572" s="34"/>
      <c r="T572" s="34" t="s">
        <v>3723</v>
      </c>
      <c r="U572" s="33" t="s">
        <v>3815</v>
      </c>
      <c r="V572" s="33" t="s">
        <v>8912</v>
      </c>
      <c r="W572" s="33"/>
      <c r="X572" s="33" t="s">
        <v>4434</v>
      </c>
    </row>
    <row r="573" spans="1:24" ht="16.149999999999999" customHeight="1" x14ac:dyDescent="0.15">
      <c r="A573" s="6">
        <v>567</v>
      </c>
      <c r="B573" s="18" t="s">
        <v>75</v>
      </c>
      <c r="C573" s="44" t="s">
        <v>6050</v>
      </c>
      <c r="D573" s="43" t="s">
        <v>6051</v>
      </c>
      <c r="E573" s="36" t="s">
        <v>3192</v>
      </c>
      <c r="F573" s="19">
        <v>0</v>
      </c>
      <c r="G573" s="6"/>
      <c r="H573" s="34" t="s">
        <v>3721</v>
      </c>
      <c r="I573" s="38"/>
      <c r="J573" s="38"/>
      <c r="K573" s="38"/>
      <c r="L573" s="6" t="s">
        <v>82</v>
      </c>
      <c r="M573" s="48">
        <v>1</v>
      </c>
      <c r="N573" s="45">
        <v>-3.40282346639E+38</v>
      </c>
      <c r="O573" s="2">
        <v>3.40282346639E+38</v>
      </c>
      <c r="P573" s="38">
        <f>IFERROR(Table3335678[[#This Row],[Min Count]]/Table3335678[[#This Row],[Scalar]],"")</f>
        <v>-3.40282346639E+38</v>
      </c>
      <c r="Q573" s="36">
        <f>IFERROR(Table3335678[[#This Row],[Max Count]]/Table3335678[[#This Row],[Scalar]],"")</f>
        <v>3.40282346639E+38</v>
      </c>
      <c r="R573" s="34"/>
      <c r="S573" s="34"/>
      <c r="T573" s="34" t="s">
        <v>3807</v>
      </c>
      <c r="U573" s="33" t="s">
        <v>3950</v>
      </c>
      <c r="V573" s="33" t="s">
        <v>6052</v>
      </c>
      <c r="W573" s="33"/>
      <c r="X573" s="33"/>
    </row>
    <row r="574" spans="1:24" ht="16.149999999999999" customHeight="1" x14ac:dyDescent="0.15">
      <c r="A574" s="6">
        <v>568</v>
      </c>
      <c r="B574" s="18" t="s">
        <v>75</v>
      </c>
      <c r="C574" s="44" t="s">
        <v>6050</v>
      </c>
      <c r="D574" s="43" t="s">
        <v>6053</v>
      </c>
      <c r="E574" s="36" t="s">
        <v>3192</v>
      </c>
      <c r="F574" s="19">
        <v>1</v>
      </c>
      <c r="G574" s="6"/>
      <c r="H574" s="34" t="s">
        <v>3721</v>
      </c>
      <c r="I574" s="38"/>
      <c r="J574" s="38"/>
      <c r="K574" s="38"/>
      <c r="L574" s="6" t="s">
        <v>3791</v>
      </c>
      <c r="M574" s="48">
        <v>1</v>
      </c>
      <c r="N574" s="45">
        <v>-3.40282346639E+38</v>
      </c>
      <c r="O574" s="2">
        <v>3.40282346639E+38</v>
      </c>
      <c r="P574" s="38">
        <f>IFERROR(Table3335678[[#This Row],[Min Count]]/Table3335678[[#This Row],[Scalar]],"")</f>
        <v>-3.40282346639E+38</v>
      </c>
      <c r="Q574" s="36">
        <f>IFERROR(Table3335678[[#This Row],[Max Count]]/Table3335678[[#This Row],[Scalar]],"")</f>
        <v>3.40282346639E+38</v>
      </c>
      <c r="R574" s="34"/>
      <c r="S574" s="34"/>
      <c r="T574" s="34" t="s">
        <v>3807</v>
      </c>
      <c r="U574" s="33" t="s">
        <v>3950</v>
      </c>
      <c r="V574" s="33" t="s">
        <v>6054</v>
      </c>
      <c r="W574" s="33"/>
      <c r="X574" s="33"/>
    </row>
    <row r="575" spans="1:24" ht="16.149999999999999" customHeight="1" x14ac:dyDescent="0.15">
      <c r="A575" s="6">
        <v>569</v>
      </c>
      <c r="B575" s="18" t="s">
        <v>75</v>
      </c>
      <c r="C575" s="44" t="s">
        <v>6050</v>
      </c>
      <c r="D575" s="43" t="s">
        <v>6055</v>
      </c>
      <c r="E575" s="36" t="s">
        <v>107</v>
      </c>
      <c r="F575" s="19">
        <v>2</v>
      </c>
      <c r="G575" s="6"/>
      <c r="H575" s="34" t="s">
        <v>3721</v>
      </c>
      <c r="I575" s="38"/>
      <c r="J575" s="38"/>
      <c r="K575" s="38"/>
      <c r="L575" s="6" t="s">
        <v>3722</v>
      </c>
      <c r="M575" s="48">
        <v>1</v>
      </c>
      <c r="N575" s="45">
        <v>-2147483648</v>
      </c>
      <c r="O575" s="2">
        <v>2147483647</v>
      </c>
      <c r="P575" s="38">
        <f>IFERROR(Table3335678[[#This Row],[Min Count]]/Table3335678[[#This Row],[Scalar]],"")</f>
        <v>-2147483648</v>
      </c>
      <c r="Q575" s="36">
        <f>IFERROR(Table3335678[[#This Row],[Max Count]]/Table3335678[[#This Row],[Scalar]],"")</f>
        <v>2147483647</v>
      </c>
      <c r="R575" s="34"/>
      <c r="S575" s="34"/>
      <c r="T575" s="34" t="s">
        <v>3807</v>
      </c>
      <c r="U575" s="33" t="s">
        <v>3950</v>
      </c>
      <c r="V575" s="33" t="s">
        <v>6056</v>
      </c>
      <c r="W575" s="8" t="s">
        <v>2351</v>
      </c>
      <c r="X575" s="2" t="s">
        <v>6057</v>
      </c>
    </row>
    <row r="576" spans="1:24" ht="16.149999999999999" customHeight="1" x14ac:dyDescent="0.15">
      <c r="A576" s="6">
        <v>570</v>
      </c>
      <c r="B576" s="18" t="s">
        <v>75</v>
      </c>
      <c r="C576" s="44" t="s">
        <v>6058</v>
      </c>
      <c r="D576" s="43" t="s">
        <v>6059</v>
      </c>
      <c r="E576" s="36" t="s">
        <v>169</v>
      </c>
      <c r="F576" s="19">
        <v>0</v>
      </c>
      <c r="G576" s="6" t="s">
        <v>7013</v>
      </c>
      <c r="H576" s="34" t="s">
        <v>3721</v>
      </c>
      <c r="I576" s="38" t="s">
        <v>196</v>
      </c>
      <c r="J576" s="38" t="s">
        <v>6046</v>
      </c>
      <c r="K576" s="38" t="s">
        <v>6047</v>
      </c>
      <c r="L576" s="6"/>
      <c r="M576" s="48"/>
      <c r="N576" s="45" t="s">
        <v>62</v>
      </c>
      <c r="O576" s="2" t="s">
        <v>62</v>
      </c>
      <c r="P576" s="38" t="str">
        <f>IFERROR(Table3335678[[#This Row],[Min Count]]/Table3335678[[#This Row],[Scalar]],"")</f>
        <v/>
      </c>
      <c r="Q576" s="36" t="str">
        <f>IFERROR(Table3335678[[#This Row],[Max Count]]/Table3335678[[#This Row],[Scalar]],"")</f>
        <v/>
      </c>
      <c r="R576" s="34"/>
      <c r="S576" s="34"/>
      <c r="T576" s="34" t="s">
        <v>3723</v>
      </c>
      <c r="U576" s="33" t="s">
        <v>3950</v>
      </c>
      <c r="V576" s="33" t="s">
        <v>6060</v>
      </c>
      <c r="W576" s="33"/>
      <c r="X576" s="33"/>
    </row>
    <row r="577" spans="1:24" ht="16.149999999999999" customHeight="1" x14ac:dyDescent="0.15">
      <c r="A577" s="6">
        <v>571</v>
      </c>
      <c r="B577" s="18" t="s">
        <v>75</v>
      </c>
      <c r="C577" s="44" t="s">
        <v>6058</v>
      </c>
      <c r="D577" s="43" t="s">
        <v>6061</v>
      </c>
      <c r="E577" s="36" t="s">
        <v>169</v>
      </c>
      <c r="F577" s="19">
        <v>1</v>
      </c>
      <c r="G577" s="6" t="s">
        <v>7013</v>
      </c>
      <c r="H577" s="34" t="s">
        <v>3721</v>
      </c>
      <c r="I577" s="38" t="s">
        <v>196</v>
      </c>
      <c r="J577" s="38" t="s">
        <v>6062</v>
      </c>
      <c r="K577" s="38" t="s">
        <v>6063</v>
      </c>
      <c r="L577" s="6"/>
      <c r="M577" s="48"/>
      <c r="N577" s="45" t="s">
        <v>62</v>
      </c>
      <c r="O577" s="2" t="s">
        <v>62</v>
      </c>
      <c r="P577" s="38" t="str">
        <f>IFERROR(Table3335678[[#This Row],[Min Count]]/Table3335678[[#This Row],[Scalar]],"")</f>
        <v/>
      </c>
      <c r="Q577" s="36" t="str">
        <f>IFERROR(Table3335678[[#This Row],[Max Count]]/Table3335678[[#This Row],[Scalar]],"")</f>
        <v/>
      </c>
      <c r="R577" s="34"/>
      <c r="S577" s="34"/>
      <c r="T577" s="34" t="s">
        <v>3723</v>
      </c>
      <c r="U577" s="33" t="s">
        <v>3950</v>
      </c>
      <c r="V577" s="33" t="s">
        <v>6064</v>
      </c>
      <c r="W577" s="33"/>
      <c r="X577" s="33"/>
    </row>
    <row r="578" spans="1:24" ht="16.149999999999999" customHeight="1" x14ac:dyDescent="0.15">
      <c r="A578" s="6">
        <v>572</v>
      </c>
      <c r="B578" s="18" t="s">
        <v>75</v>
      </c>
      <c r="C578" s="44" t="s">
        <v>6058</v>
      </c>
      <c r="D578" s="43" t="s">
        <v>6065</v>
      </c>
      <c r="E578" s="36" t="s">
        <v>169</v>
      </c>
      <c r="F578" s="19">
        <v>2</v>
      </c>
      <c r="G578" s="6" t="s">
        <v>7013</v>
      </c>
      <c r="H578" s="34" t="s">
        <v>6066</v>
      </c>
      <c r="I578" s="38" t="s">
        <v>196</v>
      </c>
      <c r="J578" s="38" t="s">
        <v>6067</v>
      </c>
      <c r="K578" s="38" t="s">
        <v>173</v>
      </c>
      <c r="L578" s="6"/>
      <c r="M578" s="48"/>
      <c r="N578" s="45" t="s">
        <v>62</v>
      </c>
      <c r="O578" s="2" t="s">
        <v>62</v>
      </c>
      <c r="P578" s="38" t="str">
        <f>IFERROR(Table3335678[[#This Row],[Min Count]]/Table3335678[[#This Row],[Scalar]],"")</f>
        <v/>
      </c>
      <c r="Q578" s="36" t="str">
        <f>IFERROR(Table3335678[[#This Row],[Max Count]]/Table3335678[[#This Row],[Scalar]],"")</f>
        <v/>
      </c>
      <c r="R578" s="34"/>
      <c r="S578" s="34"/>
      <c r="T578" s="34" t="s">
        <v>3723</v>
      </c>
      <c r="U578" s="33" t="s">
        <v>3950</v>
      </c>
      <c r="V578" s="33" t="s">
        <v>6068</v>
      </c>
      <c r="W578" s="33"/>
      <c r="X578" s="33"/>
    </row>
    <row r="579" spans="1:24" ht="16.149999999999999" customHeight="1" x14ac:dyDescent="0.15">
      <c r="A579" s="6">
        <v>573</v>
      </c>
      <c r="B579" s="18" t="s">
        <v>75</v>
      </c>
      <c r="C579" s="44" t="s">
        <v>6058</v>
      </c>
      <c r="D579" s="43" t="s">
        <v>6069</v>
      </c>
      <c r="E579" s="36" t="s">
        <v>169</v>
      </c>
      <c r="F579" s="19">
        <v>3</v>
      </c>
      <c r="G579" s="6" t="s">
        <v>7013</v>
      </c>
      <c r="H579" s="34" t="s">
        <v>6070</v>
      </c>
      <c r="I579" s="38" t="s">
        <v>196</v>
      </c>
      <c r="J579" s="38" t="s">
        <v>6071</v>
      </c>
      <c r="K579" s="38" t="s">
        <v>198</v>
      </c>
      <c r="L579" s="6"/>
      <c r="M579" s="48"/>
      <c r="N579" s="45" t="s">
        <v>62</v>
      </c>
      <c r="O579" s="2" t="s">
        <v>62</v>
      </c>
      <c r="P579" s="38" t="str">
        <f>IFERROR(Table3335678[[#This Row],[Min Count]]/Table3335678[[#This Row],[Scalar]],"")</f>
        <v/>
      </c>
      <c r="Q579" s="36" t="str">
        <f>IFERROR(Table3335678[[#This Row],[Max Count]]/Table3335678[[#This Row],[Scalar]],"")</f>
        <v/>
      </c>
      <c r="R579" s="34"/>
      <c r="S579" s="34"/>
      <c r="T579" s="34" t="s">
        <v>3723</v>
      </c>
      <c r="U579" s="33" t="s">
        <v>3950</v>
      </c>
      <c r="V579" s="33" t="s">
        <v>6072</v>
      </c>
      <c r="W579" s="33"/>
      <c r="X579" s="33"/>
    </row>
    <row r="580" spans="1:24" ht="16.149999999999999" customHeight="1" x14ac:dyDescent="0.15">
      <c r="A580" s="38"/>
      <c r="B580" s="18"/>
      <c r="C580" s="44"/>
      <c r="D580" s="43"/>
      <c r="E580" s="36"/>
      <c r="F580" s="19"/>
      <c r="G580" s="6"/>
      <c r="H580" s="34"/>
      <c r="I580" s="38"/>
      <c r="J580" s="38"/>
      <c r="K580" s="38"/>
      <c r="L580" s="6"/>
      <c r="M580" s="48"/>
      <c r="N580" s="45" t="s">
        <v>62</v>
      </c>
      <c r="O580" s="2" t="s">
        <v>62</v>
      </c>
      <c r="P580" s="38" t="str">
        <f>IFERROR(Table3335678[[#This Row],[Min Count]]/Table3335678[[#This Row],[Scalar]],"")</f>
        <v/>
      </c>
      <c r="Q580" s="36" t="str">
        <f>IFERROR(Table3335678[[#This Row],[Max Count]]/Table3335678[[#This Row],[Scalar]],"")</f>
        <v/>
      </c>
      <c r="R580" s="34"/>
      <c r="S580" s="34"/>
      <c r="T580" s="34"/>
      <c r="U580" s="33"/>
      <c r="V580" s="33" t="s">
        <v>8913</v>
      </c>
      <c r="W580" s="33"/>
      <c r="X580" s="33"/>
    </row>
    <row r="581" spans="1:24" ht="16.149999999999999" customHeight="1" x14ac:dyDescent="0.15">
      <c r="A581" s="38"/>
      <c r="B581" s="18"/>
      <c r="C581" s="44"/>
      <c r="D581" s="43"/>
      <c r="E581" s="36"/>
      <c r="F581" s="19"/>
      <c r="G581" s="6"/>
      <c r="H581" s="34"/>
      <c r="I581" s="38"/>
      <c r="J581" s="38"/>
      <c r="K581" s="38"/>
      <c r="L581" s="6"/>
      <c r="M581" s="48"/>
      <c r="N581" s="45" t="s">
        <v>62</v>
      </c>
      <c r="O581" s="2" t="s">
        <v>62</v>
      </c>
      <c r="P581" s="38" t="str">
        <f>IFERROR(Table3335678[[#This Row],[Min Count]]/Table3335678[[#This Row],[Scalar]],"")</f>
        <v/>
      </c>
      <c r="Q581" s="36" t="str">
        <f>IFERROR(Table3335678[[#This Row],[Max Count]]/Table3335678[[#This Row],[Scalar]],"")</f>
        <v/>
      </c>
      <c r="R581" s="34"/>
      <c r="S581" s="34"/>
      <c r="T581" s="34"/>
      <c r="U581" s="33"/>
      <c r="V581" s="33" t="s">
        <v>8913</v>
      </c>
      <c r="W581" s="33"/>
      <c r="X581" s="33"/>
    </row>
    <row r="582" spans="1:24" ht="16.149999999999999" customHeight="1" x14ac:dyDescent="0.15">
      <c r="A582" s="38"/>
      <c r="B582" s="18"/>
      <c r="C582" s="44"/>
      <c r="D582" s="43"/>
      <c r="E582" s="36"/>
      <c r="F582" s="19"/>
      <c r="G582" s="6"/>
      <c r="H582" s="34"/>
      <c r="I582" s="38"/>
      <c r="J582" s="38"/>
      <c r="K582" s="38"/>
      <c r="L582" s="6"/>
      <c r="M582" s="48"/>
      <c r="N582" s="45"/>
      <c r="O582" s="2"/>
      <c r="P582" s="38"/>
      <c r="Q582" s="36"/>
      <c r="R582" s="34"/>
      <c r="S582" s="34"/>
      <c r="T582" s="34"/>
      <c r="U582" s="33"/>
      <c r="V582" s="33"/>
      <c r="W582" s="33"/>
      <c r="X582" s="33"/>
    </row>
    <row r="583" spans="1:24" ht="16.149999999999999" customHeight="1" x14ac:dyDescent="0.15">
      <c r="A583" s="38"/>
      <c r="B583" s="18"/>
      <c r="C583" s="44"/>
      <c r="D583" s="43"/>
      <c r="E583" s="36"/>
      <c r="F583" s="19"/>
      <c r="G583" s="6"/>
      <c r="H583" s="34"/>
      <c r="I583" s="38"/>
      <c r="J583" s="38"/>
      <c r="K583" s="38"/>
      <c r="L583" s="6"/>
      <c r="M583" s="48"/>
      <c r="N583" s="45"/>
      <c r="O583" s="2"/>
      <c r="P583" s="38"/>
      <c r="Q583" s="36"/>
      <c r="R583" s="34"/>
      <c r="S583" s="34"/>
      <c r="T583" s="34"/>
      <c r="U583" s="33"/>
      <c r="V583" s="33"/>
      <c r="W583" s="33"/>
      <c r="X583" s="33"/>
    </row>
    <row r="584" spans="1:24" ht="16.149999999999999" customHeight="1" x14ac:dyDescent="0.15">
      <c r="A584" s="38"/>
      <c r="B584" s="18"/>
      <c r="C584" s="44"/>
      <c r="D584" s="43"/>
      <c r="E584" s="36"/>
      <c r="F584" s="19"/>
      <c r="G584" s="6"/>
      <c r="H584" s="34"/>
      <c r="I584" s="38"/>
      <c r="J584" s="38"/>
      <c r="K584" s="38"/>
      <c r="L584" s="6"/>
      <c r="M584" s="48"/>
      <c r="N584" s="45"/>
      <c r="O584" s="2"/>
      <c r="P584" s="38"/>
      <c r="Q584" s="36"/>
      <c r="R584" s="34"/>
      <c r="S584" s="34"/>
      <c r="T584" s="34"/>
      <c r="U584" s="33"/>
      <c r="V584" s="33"/>
      <c r="W584" s="33"/>
      <c r="X584" s="33"/>
    </row>
    <row r="585" spans="1:24" ht="16.149999999999999" customHeight="1" x14ac:dyDescent="0.15">
      <c r="A585" s="38"/>
      <c r="B585" s="18"/>
      <c r="C585" s="44"/>
      <c r="D585" s="43"/>
      <c r="E585" s="36"/>
      <c r="F585" s="19"/>
      <c r="G585" s="6"/>
      <c r="H585" s="34"/>
      <c r="I585" s="38"/>
      <c r="J585" s="38"/>
      <c r="K585" s="38"/>
      <c r="L585" s="6"/>
      <c r="M585" s="48"/>
      <c r="N585" s="45"/>
      <c r="O585" s="2"/>
      <c r="P585" s="38"/>
      <c r="Q585" s="36"/>
      <c r="R585" s="34"/>
      <c r="S585" s="34"/>
      <c r="T585" s="34"/>
      <c r="U585" s="33"/>
      <c r="V585" s="33"/>
      <c r="W585" s="33"/>
      <c r="X585" s="33"/>
    </row>
    <row r="586" spans="1:24" ht="16.149999999999999" customHeight="1" x14ac:dyDescent="0.15">
      <c r="A586" s="38"/>
      <c r="B586" s="18"/>
      <c r="C586" s="44"/>
      <c r="D586" s="43"/>
      <c r="E586" s="36"/>
      <c r="F586" s="19"/>
      <c r="G586" s="6"/>
      <c r="H586" s="34"/>
      <c r="I586" s="38"/>
      <c r="J586" s="38"/>
      <c r="K586" s="38"/>
      <c r="L586" s="6"/>
      <c r="M586" s="48"/>
      <c r="N586" s="45"/>
      <c r="O586" s="2"/>
      <c r="P586" s="38"/>
      <c r="Q586" s="36"/>
      <c r="R586" s="34"/>
      <c r="S586" s="34"/>
      <c r="T586" s="34"/>
      <c r="U586" s="33"/>
      <c r="V586" s="33"/>
      <c r="W586" s="33"/>
      <c r="X586" s="33"/>
    </row>
    <row r="587" spans="1:24" ht="16.149999999999999" customHeight="1" x14ac:dyDescent="0.15">
      <c r="A587" s="38"/>
      <c r="B587" s="18"/>
      <c r="C587" s="44"/>
      <c r="D587" s="43"/>
      <c r="E587" s="36"/>
      <c r="F587" s="19"/>
      <c r="G587" s="6"/>
      <c r="H587" s="34"/>
      <c r="I587" s="38"/>
      <c r="J587" s="38"/>
      <c r="K587" s="38"/>
      <c r="L587" s="6"/>
      <c r="M587" s="48"/>
      <c r="N587" s="45"/>
      <c r="O587" s="2"/>
      <c r="P587" s="38"/>
      <c r="Q587" s="36"/>
      <c r="R587" s="34"/>
      <c r="S587" s="34"/>
      <c r="T587" s="34"/>
      <c r="U587" s="33"/>
      <c r="V587" s="33"/>
      <c r="W587" s="33"/>
      <c r="X587" s="33"/>
    </row>
    <row r="588" spans="1:24" ht="16.149999999999999" customHeight="1" x14ac:dyDescent="0.15">
      <c r="A588" s="38"/>
      <c r="B588" s="18"/>
      <c r="C588" s="44"/>
      <c r="D588" s="43"/>
      <c r="E588" s="36"/>
      <c r="F588" s="19"/>
      <c r="G588" s="6"/>
      <c r="H588" s="34"/>
      <c r="I588" s="38"/>
      <c r="J588" s="38"/>
      <c r="K588" s="38"/>
      <c r="L588" s="6"/>
      <c r="M588" s="48"/>
      <c r="N588" s="45"/>
      <c r="O588" s="2"/>
      <c r="P588" s="38"/>
      <c r="Q588" s="36"/>
      <c r="R588" s="34"/>
      <c r="S588" s="34"/>
      <c r="T588" s="34"/>
      <c r="U588" s="33"/>
      <c r="V588" s="33"/>
      <c r="W588" s="33"/>
      <c r="X588" s="33"/>
    </row>
    <row r="589" spans="1:24" ht="16.149999999999999" customHeight="1" x14ac:dyDescent="0.15">
      <c r="A589" s="38"/>
      <c r="B589" s="18"/>
      <c r="C589" s="44"/>
      <c r="D589" s="43"/>
      <c r="E589" s="36"/>
      <c r="F589" s="19"/>
      <c r="G589" s="6"/>
      <c r="H589" s="34"/>
      <c r="I589" s="38"/>
      <c r="J589" s="38"/>
      <c r="K589" s="38"/>
      <c r="L589" s="6"/>
      <c r="M589" s="48"/>
      <c r="N589" s="45"/>
      <c r="O589" s="2"/>
      <c r="P589" s="38"/>
      <c r="Q589" s="36"/>
      <c r="R589" s="34"/>
      <c r="S589" s="34"/>
      <c r="T589" s="34"/>
      <c r="U589" s="33"/>
      <c r="V589" s="33"/>
      <c r="W589" s="33"/>
      <c r="X589" s="33"/>
    </row>
    <row r="590" spans="1:24" ht="16.149999999999999" customHeight="1" x14ac:dyDescent="0.15">
      <c r="A590" s="38"/>
      <c r="B590" s="18"/>
      <c r="C590" s="44"/>
      <c r="D590" s="43"/>
      <c r="E590" s="36"/>
      <c r="F590" s="19"/>
      <c r="G590" s="6"/>
      <c r="H590" s="34"/>
      <c r="I590" s="38"/>
      <c r="J590" s="38"/>
      <c r="K590" s="38"/>
      <c r="L590" s="6"/>
      <c r="M590" s="48"/>
      <c r="N590" s="45"/>
      <c r="O590" s="2"/>
      <c r="P590" s="38"/>
      <c r="Q590" s="36"/>
      <c r="R590" s="34"/>
      <c r="S590" s="34"/>
      <c r="T590" s="34"/>
      <c r="U590" s="33"/>
      <c r="V590" s="33"/>
      <c r="W590" s="33"/>
      <c r="X590" s="33"/>
    </row>
    <row r="591" spans="1:24" ht="16.149999999999999" customHeight="1" x14ac:dyDescent="0.15">
      <c r="A591" s="38"/>
      <c r="B591" s="18"/>
      <c r="C591" s="44"/>
      <c r="D591" s="43"/>
      <c r="E591" s="36"/>
      <c r="F591" s="19"/>
      <c r="G591" s="6"/>
      <c r="H591" s="34"/>
      <c r="I591" s="38"/>
      <c r="J591" s="38"/>
      <c r="K591" s="38"/>
      <c r="L591" s="6"/>
      <c r="M591" s="48"/>
      <c r="N591" s="45"/>
      <c r="O591" s="2"/>
      <c r="P591" s="38"/>
      <c r="Q591" s="36"/>
      <c r="R591" s="34"/>
      <c r="S591" s="34"/>
      <c r="T591" s="34"/>
      <c r="U591" s="33"/>
      <c r="V591" s="33"/>
      <c r="W591" s="33"/>
      <c r="X591" s="33"/>
    </row>
    <row r="592" spans="1:24" ht="16.149999999999999" customHeight="1" x14ac:dyDescent="0.15">
      <c r="A592" s="38"/>
      <c r="B592" s="18"/>
      <c r="C592" s="44"/>
      <c r="D592" s="43"/>
      <c r="E592" s="36"/>
      <c r="F592" s="19"/>
      <c r="G592" s="6"/>
      <c r="H592" s="34"/>
      <c r="I592" s="38"/>
      <c r="J592" s="38"/>
      <c r="K592" s="38"/>
      <c r="L592" s="6"/>
      <c r="M592" s="48"/>
      <c r="N592" s="45"/>
      <c r="O592" s="2"/>
      <c r="P592" s="38"/>
      <c r="Q592" s="36"/>
      <c r="R592" s="34"/>
      <c r="S592" s="34"/>
      <c r="T592" s="34"/>
      <c r="U592" s="33"/>
      <c r="V592" s="33"/>
      <c r="W592" s="33"/>
      <c r="X592" s="33"/>
    </row>
    <row r="593" spans="1:24" ht="16.149999999999999" customHeight="1" x14ac:dyDescent="0.15">
      <c r="A593" s="38"/>
      <c r="B593" s="18"/>
      <c r="C593" s="44"/>
      <c r="D593" s="43"/>
      <c r="E593" s="36"/>
      <c r="F593" s="19"/>
      <c r="G593" s="6"/>
      <c r="H593" s="34"/>
      <c r="I593" s="38"/>
      <c r="J593" s="38"/>
      <c r="K593" s="38"/>
      <c r="L593" s="6"/>
      <c r="M593" s="48"/>
      <c r="N593" s="45"/>
      <c r="O593" s="2"/>
      <c r="P593" s="38"/>
      <c r="Q593" s="36"/>
      <c r="R593" s="34"/>
      <c r="S593" s="34"/>
      <c r="T593" s="34"/>
      <c r="U593" s="33"/>
      <c r="V593" s="33"/>
      <c r="W593" s="33"/>
      <c r="X593" s="33"/>
    </row>
    <row r="594" spans="1:24" ht="16.149999999999999" customHeight="1" x14ac:dyDescent="0.15">
      <c r="A594" s="38"/>
      <c r="B594" s="18"/>
      <c r="C594" s="44"/>
      <c r="D594" s="43"/>
      <c r="E594" s="36"/>
      <c r="F594" s="19"/>
      <c r="G594" s="6"/>
      <c r="H594" s="34"/>
      <c r="I594" s="38"/>
      <c r="J594" s="38"/>
      <c r="K594" s="38"/>
      <c r="L594" s="6"/>
      <c r="M594" s="48"/>
      <c r="N594" s="45"/>
      <c r="O594" s="2"/>
      <c r="P594" s="38"/>
      <c r="Q594" s="36"/>
      <c r="R594" s="34"/>
      <c r="S594" s="34"/>
      <c r="T594" s="34"/>
      <c r="U594" s="33"/>
      <c r="V594" s="33"/>
      <c r="W594" s="33"/>
      <c r="X594" s="33"/>
    </row>
    <row r="595" spans="1:24" ht="16.149999999999999" customHeight="1" x14ac:dyDescent="0.15">
      <c r="A595" s="38"/>
      <c r="B595" s="18"/>
      <c r="C595" s="44"/>
      <c r="D595" s="43"/>
      <c r="E595" s="36"/>
      <c r="F595" s="19"/>
      <c r="G595" s="6"/>
      <c r="H595" s="34"/>
      <c r="I595" s="38"/>
      <c r="J595" s="38"/>
      <c r="K595" s="38"/>
      <c r="L595" s="6"/>
      <c r="M595" s="48"/>
      <c r="N595" s="45"/>
      <c r="O595" s="2"/>
      <c r="P595" s="38"/>
      <c r="Q595" s="36"/>
      <c r="R595" s="34"/>
      <c r="S595" s="34"/>
      <c r="T595" s="34"/>
      <c r="U595" s="33"/>
      <c r="V595" s="33"/>
      <c r="W595" s="33"/>
      <c r="X595" s="33"/>
    </row>
    <row r="596" spans="1:24" ht="16.149999999999999" customHeight="1" x14ac:dyDescent="0.15">
      <c r="A596" s="38"/>
      <c r="B596" s="18"/>
      <c r="C596" s="44"/>
      <c r="D596" s="43"/>
      <c r="E596" s="36"/>
      <c r="F596" s="19"/>
      <c r="G596" s="6"/>
      <c r="H596" s="34"/>
      <c r="I596" s="38"/>
      <c r="J596" s="38"/>
      <c r="K596" s="38"/>
      <c r="L596" s="6"/>
      <c r="M596" s="48"/>
      <c r="N596" s="45"/>
      <c r="O596" s="2"/>
      <c r="P596" s="38"/>
      <c r="Q596" s="36"/>
      <c r="R596" s="34"/>
      <c r="S596" s="34"/>
      <c r="T596" s="34"/>
      <c r="U596" s="33"/>
      <c r="V596" s="33"/>
      <c r="W596" s="33"/>
      <c r="X596" s="33"/>
    </row>
    <row r="597" spans="1:24" ht="16.149999999999999" customHeight="1" x14ac:dyDescent="0.15">
      <c r="A597" s="38"/>
      <c r="B597" s="18"/>
      <c r="C597" s="44"/>
      <c r="D597" s="43"/>
      <c r="E597" s="36"/>
      <c r="F597" s="19"/>
      <c r="G597" s="6"/>
      <c r="H597" s="34"/>
      <c r="I597" s="38"/>
      <c r="J597" s="38"/>
      <c r="K597" s="38"/>
      <c r="L597" s="6"/>
      <c r="M597" s="48"/>
      <c r="N597" s="45"/>
      <c r="O597" s="2"/>
      <c r="P597" s="38"/>
      <c r="Q597" s="36"/>
      <c r="R597" s="34"/>
      <c r="S597" s="34"/>
      <c r="T597" s="34"/>
      <c r="U597" s="33"/>
      <c r="V597" s="33"/>
      <c r="W597" s="33"/>
      <c r="X597" s="33"/>
    </row>
    <row r="598" spans="1:24" ht="16.149999999999999" customHeight="1" x14ac:dyDescent="0.15">
      <c r="A598" s="38"/>
      <c r="B598" s="18"/>
      <c r="C598" s="44"/>
      <c r="D598" s="43"/>
      <c r="E598" s="36"/>
      <c r="F598" s="19"/>
      <c r="G598" s="6"/>
      <c r="H598" s="34"/>
      <c r="I598" s="38"/>
      <c r="J598" s="38"/>
      <c r="K598" s="38"/>
      <c r="L598" s="6"/>
      <c r="M598" s="48"/>
      <c r="N598" s="45"/>
      <c r="O598" s="2"/>
      <c r="P598" s="38"/>
      <c r="Q598" s="36"/>
      <c r="R598" s="34"/>
      <c r="S598" s="34"/>
      <c r="T598" s="34"/>
      <c r="U598" s="33"/>
      <c r="V598" s="33"/>
      <c r="W598" s="33"/>
      <c r="X598" s="33"/>
    </row>
    <row r="599" spans="1:24" ht="16.149999999999999" customHeight="1" x14ac:dyDescent="0.15">
      <c r="A599" s="38"/>
      <c r="B599" s="18"/>
      <c r="C599" s="44"/>
      <c r="D599" s="43"/>
      <c r="E599" s="36"/>
      <c r="F599" s="19"/>
      <c r="G599" s="6"/>
      <c r="H599" s="34"/>
      <c r="I599" s="38"/>
      <c r="J599" s="38"/>
      <c r="K599" s="38"/>
      <c r="L599" s="6"/>
      <c r="M599" s="48"/>
      <c r="N599" s="45"/>
      <c r="O599" s="2"/>
      <c r="P599" s="38"/>
      <c r="Q599" s="36"/>
      <c r="R599" s="34"/>
      <c r="S599" s="34"/>
      <c r="T599" s="34"/>
      <c r="U599" s="33"/>
      <c r="V599" s="33"/>
      <c r="W599" s="33"/>
      <c r="X599" s="33"/>
    </row>
    <row r="600" spans="1:24" ht="16.149999999999999" customHeight="1" x14ac:dyDescent="0.15">
      <c r="A600" s="38"/>
      <c r="B600" s="18"/>
      <c r="C600" s="44"/>
      <c r="D600" s="43"/>
      <c r="E600" s="36"/>
      <c r="F600" s="19"/>
      <c r="G600" s="6"/>
      <c r="H600" s="34"/>
      <c r="I600" s="38"/>
      <c r="J600" s="38"/>
      <c r="K600" s="38"/>
      <c r="L600" s="6"/>
      <c r="M600" s="48"/>
      <c r="N600" s="45"/>
      <c r="O600" s="2"/>
      <c r="P600" s="38"/>
      <c r="Q600" s="36"/>
      <c r="R600" s="34"/>
      <c r="S600" s="34"/>
      <c r="T600" s="34"/>
      <c r="U600" s="33"/>
      <c r="V600" s="33"/>
      <c r="W600" s="33"/>
      <c r="X600" s="33"/>
    </row>
    <row r="601" spans="1:24" ht="16.149999999999999" customHeight="1" x14ac:dyDescent="0.15">
      <c r="A601" s="38"/>
      <c r="B601" s="18"/>
      <c r="C601" s="44"/>
      <c r="D601" s="43"/>
      <c r="E601" s="36"/>
      <c r="F601" s="19"/>
      <c r="G601" s="6"/>
      <c r="H601" s="34"/>
      <c r="I601" s="38"/>
      <c r="J601" s="38"/>
      <c r="K601" s="38"/>
      <c r="L601" s="6"/>
      <c r="M601" s="48"/>
      <c r="N601" s="45"/>
      <c r="O601" s="2"/>
      <c r="P601" s="38"/>
      <c r="Q601" s="36"/>
      <c r="R601" s="34"/>
      <c r="S601" s="34"/>
      <c r="T601" s="34"/>
      <c r="U601" s="33"/>
      <c r="V601" s="33"/>
      <c r="W601" s="33"/>
      <c r="X601" s="33"/>
    </row>
    <row r="602" spans="1:24" ht="16.149999999999999" customHeight="1" x14ac:dyDescent="0.15">
      <c r="A602" s="38"/>
      <c r="B602" s="18"/>
      <c r="C602" s="44"/>
      <c r="D602" s="43"/>
      <c r="E602" s="36"/>
      <c r="F602" s="19"/>
      <c r="G602" s="6"/>
      <c r="H602" s="34"/>
      <c r="I602" s="38"/>
      <c r="J602" s="38"/>
      <c r="K602" s="38"/>
      <c r="L602" s="6"/>
      <c r="M602" s="48"/>
      <c r="N602" s="45"/>
      <c r="O602" s="2"/>
      <c r="P602" s="38"/>
      <c r="Q602" s="36"/>
      <c r="R602" s="34"/>
      <c r="S602" s="34"/>
      <c r="T602" s="34"/>
      <c r="U602" s="33"/>
      <c r="V602" s="33"/>
      <c r="W602" s="33"/>
      <c r="X602" s="33"/>
    </row>
    <row r="603" spans="1:24" ht="16.149999999999999" customHeight="1" x14ac:dyDescent="0.15">
      <c r="A603" s="38"/>
      <c r="B603" s="18"/>
      <c r="C603" s="44"/>
      <c r="D603" s="43"/>
      <c r="E603" s="36"/>
      <c r="F603" s="19"/>
      <c r="G603" s="6"/>
      <c r="H603" s="34"/>
      <c r="I603" s="38"/>
      <c r="J603" s="38"/>
      <c r="K603" s="38"/>
      <c r="L603" s="6"/>
      <c r="M603" s="48"/>
      <c r="N603" s="45"/>
      <c r="O603" s="2"/>
      <c r="P603" s="38"/>
      <c r="Q603" s="36"/>
      <c r="R603" s="34"/>
      <c r="S603" s="34"/>
      <c r="T603" s="34"/>
      <c r="U603" s="33"/>
      <c r="V603" s="33"/>
      <c r="W603" s="33"/>
      <c r="X603" s="33"/>
    </row>
    <row r="604" spans="1:24" ht="16.149999999999999" customHeight="1" x14ac:dyDescent="0.15">
      <c r="A604" s="38"/>
      <c r="B604" s="18"/>
      <c r="C604" s="44"/>
      <c r="D604" s="43"/>
      <c r="E604" s="36"/>
      <c r="F604" s="19"/>
      <c r="G604" s="6"/>
      <c r="H604" s="34"/>
      <c r="I604" s="38"/>
      <c r="J604" s="38"/>
      <c r="K604" s="38"/>
      <c r="L604" s="6"/>
      <c r="M604" s="48"/>
      <c r="N604" s="45"/>
      <c r="O604" s="2"/>
      <c r="P604" s="38"/>
      <c r="Q604" s="36"/>
      <c r="R604" s="34"/>
      <c r="S604" s="34"/>
      <c r="T604" s="34"/>
      <c r="U604" s="33"/>
      <c r="V604" s="33"/>
      <c r="W604" s="33"/>
      <c r="X604" s="33"/>
    </row>
    <row r="605" spans="1:24" ht="16.149999999999999" customHeight="1" x14ac:dyDescent="0.15">
      <c r="A605" s="38"/>
      <c r="B605" s="18"/>
      <c r="C605" s="44"/>
      <c r="D605" s="43"/>
      <c r="E605" s="36"/>
      <c r="F605" s="19"/>
      <c r="G605" s="6"/>
      <c r="H605" s="34"/>
      <c r="I605" s="38"/>
      <c r="J605" s="38"/>
      <c r="K605" s="38"/>
      <c r="L605" s="6"/>
      <c r="M605" s="48"/>
      <c r="N605" s="45"/>
      <c r="O605" s="2"/>
      <c r="P605" s="38"/>
      <c r="Q605" s="36"/>
      <c r="R605" s="34"/>
      <c r="S605" s="34"/>
      <c r="T605" s="34"/>
      <c r="U605" s="33"/>
      <c r="V605" s="33"/>
      <c r="W605" s="33"/>
      <c r="X605" s="33"/>
    </row>
    <row r="606" spans="1:24" ht="16.149999999999999" customHeight="1" x14ac:dyDescent="0.15">
      <c r="A606" s="38"/>
      <c r="B606" s="18"/>
      <c r="C606" s="44"/>
      <c r="D606" s="43"/>
      <c r="E606" s="36"/>
      <c r="F606" s="19"/>
      <c r="G606" s="6"/>
      <c r="H606" s="34"/>
      <c r="I606" s="38"/>
      <c r="J606" s="38"/>
      <c r="K606" s="38"/>
      <c r="L606" s="6"/>
      <c r="M606" s="48"/>
      <c r="N606" s="45"/>
      <c r="O606" s="2"/>
      <c r="P606" s="38"/>
      <c r="Q606" s="36"/>
      <c r="R606" s="34"/>
      <c r="S606" s="34"/>
      <c r="T606" s="34"/>
      <c r="U606" s="33"/>
      <c r="V606" s="33"/>
      <c r="W606" s="33"/>
      <c r="X606" s="33"/>
    </row>
    <row r="607" spans="1:24" ht="16.149999999999999" customHeight="1" x14ac:dyDescent="0.15">
      <c r="A607" s="38"/>
      <c r="B607" s="18"/>
      <c r="C607" s="44"/>
      <c r="D607" s="43"/>
      <c r="E607" s="36"/>
      <c r="F607" s="19"/>
      <c r="G607" s="6"/>
      <c r="H607" s="34"/>
      <c r="I607" s="38"/>
      <c r="J607" s="38"/>
      <c r="K607" s="38"/>
      <c r="L607" s="6"/>
      <c r="M607" s="48"/>
      <c r="N607" s="45"/>
      <c r="O607" s="2"/>
      <c r="P607" s="38"/>
      <c r="Q607" s="36"/>
      <c r="R607" s="34"/>
      <c r="S607" s="34"/>
      <c r="T607" s="34"/>
      <c r="U607" s="33"/>
      <c r="V607" s="33"/>
      <c r="W607" s="33"/>
      <c r="X607" s="33"/>
    </row>
    <row r="608" spans="1:24" ht="16.149999999999999" customHeight="1" x14ac:dyDescent="0.15">
      <c r="A608" s="38"/>
      <c r="B608" s="18"/>
      <c r="C608" s="44"/>
      <c r="D608" s="43"/>
      <c r="E608" s="36"/>
      <c r="F608" s="19"/>
      <c r="G608" s="6"/>
      <c r="H608" s="34"/>
      <c r="I608" s="38"/>
      <c r="J608" s="38"/>
      <c r="K608" s="38"/>
      <c r="L608" s="6"/>
      <c r="M608" s="48"/>
      <c r="N608" s="45"/>
      <c r="O608" s="2"/>
      <c r="P608" s="38"/>
      <c r="Q608" s="36"/>
      <c r="R608" s="34"/>
      <c r="S608" s="34"/>
      <c r="T608" s="34"/>
      <c r="U608" s="33"/>
      <c r="V608" s="33"/>
      <c r="W608" s="33"/>
      <c r="X608" s="33"/>
    </row>
    <row r="609" spans="1:24" ht="16.149999999999999" customHeight="1" x14ac:dyDescent="0.15">
      <c r="A609" s="38"/>
      <c r="B609" s="18"/>
      <c r="C609" s="44"/>
      <c r="D609" s="43"/>
      <c r="E609" s="36"/>
      <c r="F609" s="19"/>
      <c r="G609" s="6"/>
      <c r="H609" s="34"/>
      <c r="I609" s="38"/>
      <c r="J609" s="38"/>
      <c r="K609" s="38"/>
      <c r="L609" s="6"/>
      <c r="M609" s="48"/>
      <c r="N609" s="45"/>
      <c r="O609" s="2"/>
      <c r="P609" s="38"/>
      <c r="Q609" s="36"/>
      <c r="R609" s="34"/>
      <c r="S609" s="34"/>
      <c r="T609" s="34"/>
      <c r="U609" s="33"/>
      <c r="V609" s="33"/>
      <c r="W609" s="33"/>
      <c r="X609" s="33"/>
    </row>
    <row r="610" spans="1:24" ht="16.149999999999999" customHeight="1" x14ac:dyDescent="0.15">
      <c r="A610" s="38"/>
      <c r="B610" s="18"/>
      <c r="C610" s="44"/>
      <c r="D610" s="43"/>
      <c r="E610" s="36"/>
      <c r="F610" s="19"/>
      <c r="G610" s="6"/>
      <c r="H610" s="34"/>
      <c r="I610" s="38"/>
      <c r="J610" s="38"/>
      <c r="K610" s="38"/>
      <c r="L610" s="6"/>
      <c r="M610" s="48"/>
      <c r="N610" s="45"/>
      <c r="O610" s="2"/>
      <c r="P610" s="38"/>
      <c r="Q610" s="36"/>
      <c r="R610" s="34"/>
      <c r="S610" s="34"/>
      <c r="T610" s="34"/>
      <c r="U610" s="33"/>
      <c r="V610" s="33"/>
      <c r="W610" s="33"/>
      <c r="X610" s="33"/>
    </row>
    <row r="611" spans="1:24" ht="16.149999999999999" customHeight="1" x14ac:dyDescent="0.15">
      <c r="A611" s="38"/>
      <c r="B611" s="18"/>
      <c r="C611" s="44"/>
      <c r="D611" s="43"/>
      <c r="E611" s="36"/>
      <c r="F611" s="19"/>
      <c r="G611" s="6"/>
      <c r="H611" s="34"/>
      <c r="I611" s="38"/>
      <c r="J611" s="38"/>
      <c r="K611" s="38"/>
      <c r="L611" s="6"/>
      <c r="M611" s="48"/>
      <c r="N611" s="45"/>
      <c r="O611" s="2"/>
      <c r="P611" s="38"/>
      <c r="Q611" s="36"/>
      <c r="R611" s="34"/>
      <c r="S611" s="34"/>
      <c r="T611" s="34"/>
      <c r="U611" s="33"/>
      <c r="V611" s="33"/>
      <c r="W611" s="33"/>
      <c r="X611" s="33"/>
    </row>
    <row r="612" spans="1:24" ht="16.149999999999999" customHeight="1" x14ac:dyDescent="0.15">
      <c r="A612" s="38"/>
      <c r="B612" s="18"/>
      <c r="C612" s="44"/>
      <c r="D612" s="43"/>
      <c r="E612" s="36"/>
      <c r="F612" s="19"/>
      <c r="G612" s="6"/>
      <c r="H612" s="34"/>
      <c r="I612" s="38"/>
      <c r="J612" s="38"/>
      <c r="K612" s="38"/>
      <c r="L612" s="6"/>
      <c r="M612" s="48"/>
      <c r="N612" s="45"/>
      <c r="O612" s="2"/>
      <c r="P612" s="38"/>
      <c r="Q612" s="36"/>
      <c r="R612" s="34"/>
      <c r="S612" s="34"/>
      <c r="T612" s="34"/>
      <c r="U612" s="33"/>
      <c r="V612" s="33"/>
      <c r="W612" s="33"/>
      <c r="X612" s="33"/>
    </row>
    <row r="613" spans="1:24" ht="16.149999999999999" customHeight="1" x14ac:dyDescent="0.15">
      <c r="A613" s="38"/>
      <c r="B613" s="18"/>
      <c r="C613" s="44"/>
      <c r="D613" s="43"/>
      <c r="E613" s="36"/>
      <c r="F613" s="19"/>
      <c r="G613" s="6"/>
      <c r="H613" s="34"/>
      <c r="I613" s="38"/>
      <c r="J613" s="38"/>
      <c r="K613" s="38"/>
      <c r="L613" s="6"/>
      <c r="M613" s="48"/>
      <c r="N613" s="45"/>
      <c r="O613" s="2"/>
      <c r="P613" s="38"/>
      <c r="Q613" s="36"/>
      <c r="R613" s="34"/>
      <c r="S613" s="34"/>
      <c r="T613" s="34"/>
      <c r="U613" s="33"/>
      <c r="V613" s="33"/>
      <c r="W613" s="33"/>
      <c r="X613" s="33"/>
    </row>
    <row r="614" spans="1:24" ht="16.149999999999999" customHeight="1" x14ac:dyDescent="0.15">
      <c r="A614" s="38"/>
      <c r="B614" s="18"/>
      <c r="C614" s="44"/>
      <c r="D614" s="43"/>
      <c r="E614" s="36"/>
      <c r="F614" s="19"/>
      <c r="G614" s="6"/>
      <c r="H614" s="34"/>
      <c r="I614" s="38"/>
      <c r="J614" s="38"/>
      <c r="K614" s="38"/>
      <c r="L614" s="6"/>
      <c r="M614" s="48"/>
      <c r="N614" s="45"/>
      <c r="O614" s="2"/>
      <c r="P614" s="38"/>
      <c r="Q614" s="36"/>
      <c r="R614" s="34"/>
      <c r="S614" s="34"/>
      <c r="T614" s="34"/>
      <c r="U614" s="33"/>
      <c r="V614" s="33"/>
      <c r="W614" s="33"/>
      <c r="X614" s="33"/>
    </row>
    <row r="615" spans="1:24" ht="16.149999999999999" customHeight="1" x14ac:dyDescent="0.15">
      <c r="A615" s="38"/>
      <c r="B615" s="18"/>
      <c r="C615" s="44"/>
      <c r="D615" s="43"/>
      <c r="E615" s="36"/>
      <c r="F615" s="19"/>
      <c r="G615" s="6"/>
      <c r="H615" s="34"/>
      <c r="I615" s="38"/>
      <c r="J615" s="38"/>
      <c r="K615" s="38"/>
      <c r="L615" s="6"/>
      <c r="M615" s="48"/>
      <c r="N615" s="45"/>
      <c r="O615" s="2"/>
      <c r="P615" s="38"/>
      <c r="Q615" s="36"/>
      <c r="R615" s="34"/>
      <c r="S615" s="34"/>
      <c r="T615" s="34"/>
      <c r="U615" s="33"/>
      <c r="V615" s="33"/>
      <c r="W615" s="33"/>
      <c r="X615" s="33"/>
    </row>
    <row r="616" spans="1:24" ht="16.149999999999999" customHeight="1" x14ac:dyDescent="0.15">
      <c r="A616" s="38"/>
      <c r="B616" s="18"/>
      <c r="C616" s="44"/>
      <c r="D616" s="43"/>
      <c r="E616" s="36"/>
      <c r="F616" s="19"/>
      <c r="G616" s="6"/>
      <c r="H616" s="34"/>
      <c r="I616" s="38"/>
      <c r="J616" s="38"/>
      <c r="K616" s="38"/>
      <c r="L616" s="6"/>
      <c r="M616" s="48"/>
      <c r="N616" s="45"/>
      <c r="O616" s="2"/>
      <c r="P616" s="38"/>
      <c r="Q616" s="36"/>
      <c r="R616" s="34"/>
      <c r="S616" s="34"/>
      <c r="T616" s="34"/>
      <c r="U616" s="33"/>
      <c r="V616" s="33"/>
      <c r="W616" s="33"/>
      <c r="X616" s="33"/>
    </row>
    <row r="617" spans="1:24" ht="16.149999999999999" customHeight="1" x14ac:dyDescent="0.15">
      <c r="A617" s="38"/>
      <c r="B617" s="18"/>
      <c r="C617" s="44"/>
      <c r="D617" s="43"/>
      <c r="E617" s="36"/>
      <c r="F617" s="19"/>
      <c r="G617" s="6"/>
      <c r="H617" s="34"/>
      <c r="I617" s="38"/>
      <c r="J617" s="38"/>
      <c r="K617" s="38"/>
      <c r="L617" s="6"/>
      <c r="M617" s="48"/>
      <c r="N617" s="45"/>
      <c r="O617" s="2"/>
      <c r="P617" s="38"/>
      <c r="Q617" s="36"/>
      <c r="R617" s="34"/>
      <c r="S617" s="34"/>
      <c r="T617" s="34"/>
      <c r="U617" s="33"/>
      <c r="V617" s="33"/>
      <c r="W617" s="33"/>
      <c r="X617" s="33"/>
    </row>
    <row r="618" spans="1:24" ht="16.149999999999999" customHeight="1" x14ac:dyDescent="0.15">
      <c r="A618" s="38"/>
      <c r="B618" s="18"/>
      <c r="C618" s="44"/>
      <c r="D618" s="43"/>
      <c r="E618" s="36"/>
      <c r="F618" s="19"/>
      <c r="G618" s="6"/>
      <c r="H618" s="34"/>
      <c r="I618" s="38"/>
      <c r="J618" s="38"/>
      <c r="K618" s="38"/>
      <c r="L618" s="6"/>
      <c r="M618" s="48"/>
      <c r="N618" s="45"/>
      <c r="O618" s="2"/>
      <c r="P618" s="38"/>
      <c r="Q618" s="36"/>
      <c r="R618" s="34"/>
      <c r="S618" s="34"/>
      <c r="T618" s="34"/>
      <c r="U618" s="33"/>
      <c r="V618" s="33"/>
      <c r="W618" s="33"/>
      <c r="X618" s="33"/>
    </row>
    <row r="619" spans="1:24" ht="16.149999999999999" customHeight="1" x14ac:dyDescent="0.15">
      <c r="A619" s="38"/>
      <c r="B619" s="18"/>
      <c r="C619" s="44"/>
      <c r="D619" s="43"/>
      <c r="E619" s="36"/>
      <c r="F619" s="19"/>
      <c r="G619" s="6"/>
      <c r="H619" s="34"/>
      <c r="I619" s="38"/>
      <c r="J619" s="38"/>
      <c r="K619" s="38"/>
      <c r="L619" s="6"/>
      <c r="M619" s="48"/>
      <c r="N619" s="45"/>
      <c r="O619" s="2"/>
      <c r="P619" s="38"/>
      <c r="Q619" s="36"/>
      <c r="R619" s="34"/>
      <c r="S619" s="34"/>
      <c r="T619" s="34"/>
      <c r="U619" s="33"/>
      <c r="V619" s="33"/>
      <c r="W619" s="33"/>
      <c r="X619" s="33"/>
    </row>
    <row r="620" spans="1:24" ht="16.149999999999999" customHeight="1" x14ac:dyDescent="0.15">
      <c r="A620" s="38"/>
      <c r="B620" s="18"/>
      <c r="C620" s="44"/>
      <c r="D620" s="43"/>
      <c r="E620" s="36"/>
      <c r="F620" s="19"/>
      <c r="G620" s="6"/>
      <c r="H620" s="34"/>
      <c r="I620" s="38"/>
      <c r="J620" s="38"/>
      <c r="K620" s="38"/>
      <c r="L620" s="6"/>
      <c r="M620" s="48"/>
      <c r="N620" s="45"/>
      <c r="O620" s="2"/>
      <c r="P620" s="38"/>
      <c r="Q620" s="36"/>
      <c r="R620" s="34"/>
      <c r="S620" s="34"/>
      <c r="T620" s="34"/>
      <c r="U620" s="33"/>
      <c r="V620" s="33"/>
      <c r="W620" s="33"/>
      <c r="X620" s="33"/>
    </row>
    <row r="621" spans="1:24" ht="16.149999999999999" customHeight="1" x14ac:dyDescent="0.15">
      <c r="A621" s="38"/>
      <c r="B621" s="18"/>
      <c r="C621" s="44"/>
      <c r="D621" s="43"/>
      <c r="E621" s="36"/>
      <c r="F621" s="19"/>
      <c r="G621" s="6"/>
      <c r="H621" s="34"/>
      <c r="I621" s="38"/>
      <c r="J621" s="38"/>
      <c r="K621" s="38"/>
      <c r="L621" s="6"/>
      <c r="M621" s="48"/>
      <c r="N621" s="45"/>
      <c r="O621" s="2"/>
      <c r="P621" s="38"/>
      <c r="Q621" s="36"/>
      <c r="R621" s="34"/>
      <c r="S621" s="34"/>
      <c r="T621" s="34"/>
      <c r="U621" s="33"/>
      <c r="V621" s="33"/>
      <c r="W621" s="33"/>
      <c r="X621" s="33"/>
    </row>
    <row r="622" spans="1:24" ht="16.149999999999999" customHeight="1" x14ac:dyDescent="0.15">
      <c r="A622" s="38"/>
      <c r="B622" s="18"/>
      <c r="C622" s="44"/>
      <c r="D622" s="43"/>
      <c r="E622" s="36"/>
      <c r="F622" s="19"/>
      <c r="G622" s="6"/>
      <c r="H622" s="34"/>
      <c r="I622" s="38"/>
      <c r="J622" s="38"/>
      <c r="K622" s="38"/>
      <c r="L622" s="6"/>
      <c r="M622" s="48"/>
      <c r="N622" s="45"/>
      <c r="O622" s="2"/>
      <c r="P622" s="38"/>
      <c r="Q622" s="36"/>
      <c r="R622" s="34"/>
      <c r="S622" s="34"/>
      <c r="T622" s="34"/>
      <c r="U622" s="33"/>
      <c r="V622" s="33"/>
      <c r="W622" s="33"/>
      <c r="X622" s="33"/>
    </row>
    <row r="623" spans="1:24" ht="16.149999999999999" customHeight="1" x14ac:dyDescent="0.15">
      <c r="A623" s="38"/>
      <c r="B623" s="18"/>
      <c r="C623" s="44"/>
      <c r="D623" s="43"/>
      <c r="E623" s="36"/>
      <c r="F623" s="19"/>
      <c r="G623" s="6"/>
      <c r="H623" s="34"/>
      <c r="I623" s="38"/>
      <c r="J623" s="38"/>
      <c r="K623" s="38"/>
      <c r="L623" s="6"/>
      <c r="M623" s="48"/>
      <c r="N623" s="45"/>
      <c r="O623" s="2"/>
      <c r="P623" s="38"/>
      <c r="Q623" s="36"/>
      <c r="R623" s="34"/>
      <c r="S623" s="34"/>
      <c r="T623" s="34"/>
      <c r="U623" s="33"/>
      <c r="V623" s="33"/>
      <c r="W623" s="33"/>
      <c r="X623" s="33"/>
    </row>
    <row r="624" spans="1:24" ht="16.149999999999999" customHeight="1" x14ac:dyDescent="0.15">
      <c r="A624" s="38"/>
      <c r="B624" s="18"/>
      <c r="C624" s="44"/>
      <c r="D624" s="43"/>
      <c r="E624" s="36"/>
      <c r="F624" s="19"/>
      <c r="G624" s="6"/>
      <c r="H624" s="34"/>
      <c r="I624" s="38"/>
      <c r="J624" s="38"/>
      <c r="K624" s="38"/>
      <c r="L624" s="6"/>
      <c r="M624" s="48"/>
      <c r="N624" s="45"/>
      <c r="O624" s="2"/>
      <c r="P624" s="38"/>
      <c r="Q624" s="36"/>
      <c r="R624" s="34"/>
      <c r="S624" s="34"/>
      <c r="T624" s="34"/>
      <c r="U624" s="33"/>
      <c r="V624" s="33"/>
      <c r="W624" s="33"/>
      <c r="X624" s="33"/>
    </row>
    <row r="625" spans="1:24" ht="16.149999999999999" customHeight="1" x14ac:dyDescent="0.15">
      <c r="A625" s="38"/>
      <c r="B625" s="18"/>
      <c r="C625" s="44"/>
      <c r="D625" s="43"/>
      <c r="E625" s="36"/>
      <c r="F625" s="19"/>
      <c r="G625" s="6"/>
      <c r="H625" s="34"/>
      <c r="I625" s="38"/>
      <c r="J625" s="38"/>
      <c r="K625" s="38"/>
      <c r="L625" s="6"/>
      <c r="M625" s="48"/>
      <c r="N625" s="45"/>
      <c r="O625" s="2"/>
      <c r="P625" s="38"/>
      <c r="Q625" s="36"/>
      <c r="R625" s="34"/>
      <c r="S625" s="34"/>
      <c r="T625" s="34"/>
      <c r="U625" s="33"/>
      <c r="V625" s="33"/>
      <c r="W625" s="33"/>
      <c r="X625" s="33"/>
    </row>
    <row r="626" spans="1:24" ht="16.149999999999999" customHeight="1" x14ac:dyDescent="0.15">
      <c r="A626" s="38"/>
      <c r="B626" s="18"/>
      <c r="C626" s="44"/>
      <c r="D626" s="43"/>
      <c r="E626" s="36"/>
      <c r="F626" s="19"/>
      <c r="G626" s="6"/>
      <c r="H626" s="34"/>
      <c r="I626" s="38"/>
      <c r="J626" s="38"/>
      <c r="K626" s="38"/>
      <c r="L626" s="6"/>
      <c r="M626" s="48"/>
      <c r="N626" s="45"/>
      <c r="O626" s="2"/>
      <c r="P626" s="38"/>
      <c r="Q626" s="36"/>
      <c r="R626" s="34"/>
      <c r="S626" s="34"/>
      <c r="T626" s="34"/>
      <c r="U626" s="33"/>
      <c r="V626" s="33"/>
      <c r="W626" s="33"/>
      <c r="X626" s="33"/>
    </row>
    <row r="627" spans="1:24" ht="16.149999999999999" customHeight="1" x14ac:dyDescent="0.15">
      <c r="A627" s="38"/>
      <c r="B627" s="18"/>
      <c r="C627" s="44"/>
      <c r="D627" s="43"/>
      <c r="E627" s="36"/>
      <c r="F627" s="19"/>
      <c r="G627" s="6"/>
      <c r="H627" s="34"/>
      <c r="I627" s="38"/>
      <c r="J627" s="38"/>
      <c r="K627" s="38"/>
      <c r="L627" s="6"/>
      <c r="M627" s="48"/>
      <c r="N627" s="45"/>
      <c r="O627" s="2"/>
      <c r="P627" s="38"/>
      <c r="Q627" s="36"/>
      <c r="R627" s="34"/>
      <c r="S627" s="34"/>
      <c r="T627" s="34"/>
      <c r="U627" s="33"/>
      <c r="V627" s="33"/>
      <c r="W627" s="33"/>
      <c r="X627" s="33"/>
    </row>
    <row r="628" spans="1:24" ht="16.149999999999999" customHeight="1" x14ac:dyDescent="0.15">
      <c r="A628" s="38"/>
      <c r="B628" s="18"/>
      <c r="C628" s="44"/>
      <c r="D628" s="43"/>
      <c r="E628" s="36"/>
      <c r="F628" s="19"/>
      <c r="G628" s="6"/>
      <c r="H628" s="34"/>
      <c r="I628" s="38"/>
      <c r="J628" s="38"/>
      <c r="K628" s="38"/>
      <c r="L628" s="6"/>
      <c r="M628" s="48"/>
      <c r="N628" s="45"/>
      <c r="O628" s="2"/>
      <c r="P628" s="38"/>
      <c r="Q628" s="36"/>
      <c r="R628" s="34"/>
      <c r="S628" s="34"/>
      <c r="T628" s="34"/>
      <c r="U628" s="33"/>
      <c r="V628" s="33"/>
      <c r="W628" s="33"/>
      <c r="X628" s="33"/>
    </row>
    <row r="629" spans="1:24" ht="16.149999999999999" customHeight="1" x14ac:dyDescent="0.15">
      <c r="A629" s="38"/>
      <c r="B629" s="18"/>
      <c r="C629" s="44"/>
      <c r="D629" s="43"/>
      <c r="E629" s="36"/>
      <c r="F629" s="19"/>
      <c r="G629" s="6"/>
      <c r="H629" s="34"/>
      <c r="I629" s="38"/>
      <c r="J629" s="38"/>
      <c r="K629" s="38"/>
      <c r="L629" s="6"/>
      <c r="M629" s="48"/>
      <c r="N629" s="45"/>
      <c r="O629" s="2"/>
      <c r="P629" s="38"/>
      <c r="Q629" s="36"/>
      <c r="R629" s="34"/>
      <c r="S629" s="34"/>
      <c r="T629" s="34"/>
      <c r="U629" s="33"/>
      <c r="V629" s="33"/>
      <c r="W629" s="33"/>
      <c r="X629" s="33"/>
    </row>
    <row r="630" spans="1:24" ht="16.149999999999999" customHeight="1" x14ac:dyDescent="0.15">
      <c r="A630" s="38"/>
      <c r="B630" s="18"/>
      <c r="C630" s="44"/>
      <c r="D630" s="43"/>
      <c r="E630" s="36"/>
      <c r="F630" s="19"/>
      <c r="G630" s="6"/>
      <c r="H630" s="34"/>
      <c r="I630" s="38"/>
      <c r="J630" s="38"/>
      <c r="K630" s="38"/>
      <c r="L630" s="6"/>
      <c r="M630" s="48"/>
      <c r="N630" s="45"/>
      <c r="O630" s="2"/>
      <c r="P630" s="38"/>
      <c r="Q630" s="36"/>
      <c r="R630" s="34"/>
      <c r="S630" s="34"/>
      <c r="T630" s="34"/>
      <c r="U630" s="33"/>
      <c r="V630" s="33"/>
      <c r="W630" s="33"/>
      <c r="X630" s="33"/>
    </row>
    <row r="631" spans="1:24" ht="16.149999999999999" customHeight="1" x14ac:dyDescent="0.15">
      <c r="A631" s="38"/>
      <c r="B631" s="18"/>
      <c r="C631" s="44"/>
      <c r="D631" s="43"/>
      <c r="E631" s="36"/>
      <c r="F631" s="19"/>
      <c r="G631" s="6"/>
      <c r="H631" s="34"/>
      <c r="I631" s="38"/>
      <c r="J631" s="38"/>
      <c r="K631" s="38"/>
      <c r="L631" s="6"/>
      <c r="M631" s="48"/>
      <c r="N631" s="45"/>
      <c r="O631" s="2"/>
      <c r="P631" s="38"/>
      <c r="Q631" s="36"/>
      <c r="R631" s="34"/>
      <c r="S631" s="34"/>
      <c r="T631" s="34"/>
      <c r="U631" s="33"/>
      <c r="V631" s="33"/>
      <c r="W631" s="33"/>
      <c r="X631" s="33"/>
    </row>
    <row r="632" spans="1:24" ht="16.149999999999999" customHeight="1" x14ac:dyDescent="0.15">
      <c r="A632" s="38"/>
      <c r="B632" s="18"/>
      <c r="C632" s="44"/>
      <c r="D632" s="43"/>
      <c r="E632" s="36"/>
      <c r="F632" s="19"/>
      <c r="G632" s="6"/>
      <c r="H632" s="34"/>
      <c r="I632" s="38"/>
      <c r="J632" s="38"/>
      <c r="K632" s="38"/>
      <c r="L632" s="6"/>
      <c r="M632" s="48"/>
      <c r="N632" s="45"/>
      <c r="O632" s="2"/>
      <c r="P632" s="38"/>
      <c r="Q632" s="36"/>
      <c r="R632" s="34"/>
      <c r="S632" s="34"/>
      <c r="T632" s="34"/>
      <c r="U632" s="33"/>
      <c r="V632" s="33"/>
      <c r="W632" s="33"/>
      <c r="X632" s="33"/>
    </row>
    <row r="633" spans="1:24" ht="16.149999999999999" customHeight="1" x14ac:dyDescent="0.15">
      <c r="A633" s="38"/>
      <c r="B633" s="18"/>
      <c r="C633" s="44"/>
      <c r="D633" s="43"/>
      <c r="E633" s="36"/>
      <c r="F633" s="19"/>
      <c r="G633" s="6"/>
      <c r="H633" s="34"/>
      <c r="I633" s="38"/>
      <c r="J633" s="38"/>
      <c r="K633" s="38"/>
      <c r="L633" s="6"/>
      <c r="M633" s="48"/>
      <c r="N633" s="45"/>
      <c r="O633" s="2"/>
      <c r="P633" s="38"/>
      <c r="Q633" s="36"/>
      <c r="R633" s="34"/>
      <c r="S633" s="34"/>
      <c r="T633" s="34"/>
      <c r="U633" s="33"/>
      <c r="V633" s="33"/>
      <c r="W633" s="33"/>
      <c r="X633" s="33"/>
    </row>
    <row r="634" spans="1:24" ht="16.149999999999999" customHeight="1" x14ac:dyDescent="0.15">
      <c r="A634" s="38"/>
      <c r="B634" s="18"/>
      <c r="C634" s="44"/>
      <c r="D634" s="43"/>
      <c r="E634" s="36"/>
      <c r="F634" s="19"/>
      <c r="G634" s="6"/>
      <c r="H634" s="34"/>
      <c r="I634" s="38"/>
      <c r="J634" s="38"/>
      <c r="K634" s="38"/>
      <c r="L634" s="6"/>
      <c r="M634" s="48"/>
      <c r="N634" s="45"/>
      <c r="O634" s="2"/>
      <c r="P634" s="38"/>
      <c r="Q634" s="36"/>
      <c r="R634" s="34"/>
      <c r="S634" s="34"/>
      <c r="T634" s="34"/>
      <c r="U634" s="33"/>
      <c r="V634" s="33"/>
      <c r="W634" s="33"/>
      <c r="X634" s="33"/>
    </row>
    <row r="635" spans="1:24" ht="16.149999999999999" customHeight="1" x14ac:dyDescent="0.15">
      <c r="A635" s="38"/>
      <c r="B635" s="18"/>
      <c r="C635" s="44"/>
      <c r="D635" s="43"/>
      <c r="E635" s="36"/>
      <c r="F635" s="19"/>
      <c r="G635" s="6"/>
      <c r="H635" s="34"/>
      <c r="I635" s="38"/>
      <c r="J635" s="38"/>
      <c r="K635" s="38"/>
      <c r="L635" s="6"/>
      <c r="M635" s="48"/>
      <c r="N635" s="45"/>
      <c r="O635" s="2"/>
      <c r="P635" s="38"/>
      <c r="Q635" s="36"/>
      <c r="R635" s="34"/>
      <c r="S635" s="34"/>
      <c r="T635" s="34"/>
      <c r="U635" s="33"/>
      <c r="V635" s="33"/>
      <c r="W635" s="33"/>
      <c r="X635" s="33"/>
    </row>
    <row r="636" spans="1:24" ht="16.149999999999999" customHeight="1" x14ac:dyDescent="0.15">
      <c r="A636" s="38"/>
      <c r="B636" s="18"/>
      <c r="C636" s="44"/>
      <c r="D636" s="43"/>
      <c r="E636" s="36"/>
      <c r="F636" s="19"/>
      <c r="G636" s="6"/>
      <c r="H636" s="34"/>
      <c r="I636" s="38"/>
      <c r="J636" s="38"/>
      <c r="K636" s="38"/>
      <c r="L636" s="6"/>
      <c r="M636" s="48"/>
      <c r="N636" s="45"/>
      <c r="O636" s="2"/>
      <c r="P636" s="38"/>
      <c r="Q636" s="36"/>
      <c r="R636" s="34"/>
      <c r="S636" s="34"/>
      <c r="T636" s="34"/>
      <c r="U636" s="33"/>
      <c r="V636" s="33"/>
      <c r="W636" s="33"/>
      <c r="X636" s="33"/>
    </row>
    <row r="637" spans="1:24" ht="16.149999999999999" customHeight="1" x14ac:dyDescent="0.15">
      <c r="A637" s="38"/>
      <c r="B637" s="18"/>
      <c r="C637" s="44"/>
      <c r="D637" s="43"/>
      <c r="E637" s="36"/>
      <c r="F637" s="19"/>
      <c r="G637" s="6"/>
      <c r="H637" s="34"/>
      <c r="I637" s="38"/>
      <c r="J637" s="38"/>
      <c r="K637" s="38"/>
      <c r="L637" s="6"/>
      <c r="M637" s="48"/>
      <c r="N637" s="45"/>
      <c r="O637" s="2"/>
      <c r="P637" s="38"/>
      <c r="Q637" s="36"/>
      <c r="R637" s="34"/>
      <c r="S637" s="34"/>
      <c r="T637" s="34"/>
      <c r="U637" s="33"/>
      <c r="V637" s="33"/>
      <c r="W637" s="33"/>
      <c r="X637" s="33"/>
    </row>
    <row r="638" spans="1:24" ht="16.149999999999999" customHeight="1" x14ac:dyDescent="0.15">
      <c r="A638" s="38"/>
      <c r="B638" s="18"/>
      <c r="C638" s="44"/>
      <c r="D638" s="43"/>
      <c r="E638" s="36"/>
      <c r="F638" s="19"/>
      <c r="G638" s="6"/>
      <c r="H638" s="34"/>
      <c r="I638" s="38"/>
      <c r="J638" s="38"/>
      <c r="K638" s="38"/>
      <c r="L638" s="6"/>
      <c r="M638" s="48"/>
      <c r="N638" s="45"/>
      <c r="O638" s="2"/>
      <c r="P638" s="38"/>
      <c r="Q638" s="36"/>
      <c r="R638" s="34"/>
      <c r="S638" s="34"/>
      <c r="T638" s="34"/>
      <c r="U638" s="33"/>
      <c r="V638" s="33"/>
      <c r="W638" s="33"/>
      <c r="X638" s="33"/>
    </row>
    <row r="639" spans="1:24" ht="16.149999999999999" customHeight="1" x14ac:dyDescent="0.15">
      <c r="A639" s="38"/>
      <c r="B639" s="18"/>
      <c r="C639" s="44"/>
      <c r="D639" s="43"/>
      <c r="E639" s="36"/>
      <c r="F639" s="19"/>
      <c r="G639" s="6"/>
      <c r="H639" s="34"/>
      <c r="I639" s="38"/>
      <c r="J639" s="38"/>
      <c r="K639" s="38"/>
      <c r="L639" s="6"/>
      <c r="M639" s="48"/>
      <c r="N639" s="45"/>
      <c r="O639" s="2"/>
      <c r="P639" s="38"/>
      <c r="Q639" s="36"/>
      <c r="R639" s="34"/>
      <c r="S639" s="34"/>
      <c r="T639" s="34"/>
      <c r="U639" s="33"/>
      <c r="V639" s="33"/>
      <c r="W639" s="33"/>
      <c r="X639" s="33"/>
    </row>
    <row r="640" spans="1:24" ht="16.149999999999999" customHeight="1" x14ac:dyDescent="0.15">
      <c r="A640" s="38"/>
      <c r="B640" s="18"/>
      <c r="C640" s="44"/>
      <c r="D640" s="43"/>
      <c r="E640" s="36"/>
      <c r="F640" s="19"/>
      <c r="G640" s="6"/>
      <c r="H640" s="34"/>
      <c r="I640" s="38"/>
      <c r="J640" s="38"/>
      <c r="K640" s="38"/>
      <c r="L640" s="6"/>
      <c r="M640" s="48"/>
      <c r="N640" s="45"/>
      <c r="O640" s="2"/>
      <c r="P640" s="38"/>
      <c r="Q640" s="36"/>
      <c r="R640" s="34"/>
      <c r="S640" s="34"/>
      <c r="T640" s="34"/>
      <c r="U640" s="33"/>
      <c r="V640" s="33"/>
      <c r="W640" s="33"/>
      <c r="X640" s="33"/>
    </row>
    <row r="641" spans="1:24" ht="16.149999999999999" customHeight="1" x14ac:dyDescent="0.15">
      <c r="A641" s="38"/>
      <c r="B641" s="18"/>
      <c r="C641" s="44"/>
      <c r="D641" s="43"/>
      <c r="E641" s="36"/>
      <c r="F641" s="19"/>
      <c r="G641" s="6"/>
      <c r="H641" s="34"/>
      <c r="I641" s="38"/>
      <c r="J641" s="38"/>
      <c r="K641" s="38"/>
      <c r="L641" s="6"/>
      <c r="M641" s="48"/>
      <c r="N641" s="45"/>
      <c r="O641" s="2"/>
      <c r="P641" s="38"/>
      <c r="Q641" s="36"/>
      <c r="R641" s="34"/>
      <c r="S641" s="34"/>
      <c r="T641" s="34"/>
      <c r="U641" s="33"/>
      <c r="V641" s="33"/>
      <c r="W641" s="33"/>
      <c r="X641" s="33"/>
    </row>
    <row r="642" spans="1:24" ht="16.149999999999999" customHeight="1" x14ac:dyDescent="0.15">
      <c r="A642" s="38"/>
      <c r="B642" s="18"/>
      <c r="C642" s="44"/>
      <c r="D642" s="43"/>
      <c r="E642" s="36"/>
      <c r="F642" s="19"/>
      <c r="G642" s="6"/>
      <c r="H642" s="34"/>
      <c r="I642" s="38"/>
      <c r="J642" s="38"/>
      <c r="K642" s="38"/>
      <c r="L642" s="6"/>
      <c r="M642" s="48"/>
      <c r="N642" s="45"/>
      <c r="O642" s="2"/>
      <c r="P642" s="38"/>
      <c r="Q642" s="36"/>
      <c r="R642" s="34"/>
      <c r="S642" s="34"/>
      <c r="T642" s="34"/>
      <c r="U642" s="33"/>
      <c r="V642" s="33"/>
      <c r="W642" s="33"/>
      <c r="X642" s="33"/>
    </row>
    <row r="643" spans="1:24" ht="16.149999999999999" customHeight="1" x14ac:dyDescent="0.15">
      <c r="A643" s="38"/>
      <c r="B643" s="18"/>
      <c r="C643" s="44"/>
      <c r="D643" s="43"/>
      <c r="E643" s="36"/>
      <c r="F643" s="19"/>
      <c r="G643" s="6"/>
      <c r="H643" s="34"/>
      <c r="I643" s="38"/>
      <c r="J643" s="38"/>
      <c r="K643" s="38"/>
      <c r="L643" s="6"/>
      <c r="M643" s="48"/>
      <c r="N643" s="45"/>
      <c r="O643" s="2"/>
      <c r="P643" s="38"/>
      <c r="Q643" s="36"/>
      <c r="R643" s="34"/>
      <c r="S643" s="34"/>
      <c r="T643" s="34"/>
      <c r="U643" s="33"/>
      <c r="V643" s="33"/>
      <c r="W643" s="33"/>
      <c r="X643" s="33"/>
    </row>
    <row r="644" spans="1:24" ht="16.149999999999999" customHeight="1" x14ac:dyDescent="0.15">
      <c r="A644" s="38"/>
      <c r="B644" s="18"/>
      <c r="C644" s="44"/>
      <c r="D644" s="43"/>
      <c r="E644" s="36"/>
      <c r="F644" s="19"/>
      <c r="G644" s="6"/>
      <c r="H644" s="34"/>
      <c r="I644" s="38"/>
      <c r="J644" s="38"/>
      <c r="K644" s="38"/>
      <c r="L644" s="6"/>
      <c r="M644" s="48"/>
      <c r="N644" s="45"/>
      <c r="O644" s="2"/>
      <c r="P644" s="38"/>
      <c r="Q644" s="36"/>
      <c r="R644" s="34"/>
      <c r="S644" s="34"/>
      <c r="T644" s="34"/>
      <c r="U644" s="33"/>
      <c r="V644" s="33"/>
      <c r="W644" s="33"/>
      <c r="X644" s="33"/>
    </row>
    <row r="645" spans="1:24" ht="16.149999999999999" customHeight="1" x14ac:dyDescent="0.15">
      <c r="A645" s="38"/>
      <c r="B645" s="18"/>
      <c r="C645" s="44"/>
      <c r="D645" s="43"/>
      <c r="E645" s="36"/>
      <c r="F645" s="19"/>
      <c r="G645" s="6"/>
      <c r="H645" s="34"/>
      <c r="I645" s="38"/>
      <c r="J645" s="38"/>
      <c r="K645" s="38"/>
      <c r="L645" s="6"/>
      <c r="M645" s="48"/>
      <c r="N645" s="45"/>
      <c r="O645" s="2"/>
      <c r="P645" s="38"/>
      <c r="Q645" s="36"/>
      <c r="R645" s="34"/>
      <c r="S645" s="34"/>
      <c r="T645" s="34"/>
      <c r="U645" s="33"/>
      <c r="V645" s="33"/>
      <c r="W645" s="33"/>
      <c r="X645" s="33"/>
    </row>
    <row r="646" spans="1:24" ht="16.149999999999999" customHeight="1" x14ac:dyDescent="0.15">
      <c r="A646" s="38"/>
      <c r="B646" s="18"/>
      <c r="C646" s="44"/>
      <c r="D646" s="43"/>
      <c r="E646" s="36"/>
      <c r="F646" s="19"/>
      <c r="G646" s="6"/>
      <c r="H646" s="34"/>
      <c r="I646" s="38"/>
      <c r="J646" s="38"/>
      <c r="K646" s="38"/>
      <c r="L646" s="6"/>
      <c r="M646" s="48"/>
      <c r="N646" s="45"/>
      <c r="O646" s="2"/>
      <c r="P646" s="38"/>
      <c r="Q646" s="36"/>
      <c r="R646" s="34"/>
      <c r="S646" s="34"/>
      <c r="T646" s="34"/>
      <c r="U646" s="33"/>
      <c r="V646" s="33"/>
      <c r="W646" s="33"/>
      <c r="X646" s="33"/>
    </row>
    <row r="647" spans="1:24" ht="16.149999999999999" customHeight="1" x14ac:dyDescent="0.15">
      <c r="A647" s="38"/>
      <c r="B647" s="18"/>
      <c r="C647" s="44"/>
      <c r="D647" s="43"/>
      <c r="E647" s="36"/>
      <c r="F647" s="19"/>
      <c r="G647" s="6"/>
      <c r="H647" s="34"/>
      <c r="I647" s="38"/>
      <c r="J647" s="38"/>
      <c r="K647" s="38"/>
      <c r="L647" s="6"/>
      <c r="M647" s="48"/>
      <c r="N647" s="45"/>
      <c r="O647" s="2"/>
      <c r="P647" s="38"/>
      <c r="Q647" s="36"/>
      <c r="R647" s="34"/>
      <c r="S647" s="34"/>
      <c r="T647" s="34"/>
      <c r="U647" s="33"/>
      <c r="V647" s="33"/>
      <c r="W647" s="33"/>
      <c r="X647" s="33"/>
    </row>
    <row r="648" spans="1:24" ht="16.149999999999999" customHeight="1" x14ac:dyDescent="0.15">
      <c r="A648" s="38"/>
      <c r="B648" s="18"/>
      <c r="C648" s="44"/>
      <c r="D648" s="43"/>
      <c r="E648" s="36"/>
      <c r="F648" s="19"/>
      <c r="G648" s="6"/>
      <c r="H648" s="34"/>
      <c r="I648" s="38"/>
      <c r="J648" s="38"/>
      <c r="K648" s="38"/>
      <c r="L648" s="6"/>
      <c r="M648" s="48"/>
      <c r="N648" s="45"/>
      <c r="O648" s="2"/>
      <c r="P648" s="38"/>
      <c r="Q648" s="36"/>
      <c r="R648" s="34"/>
      <c r="S648" s="34"/>
      <c r="T648" s="34"/>
      <c r="U648" s="33"/>
      <c r="V648" s="33"/>
      <c r="W648" s="33"/>
      <c r="X648" s="33"/>
    </row>
    <row r="649" spans="1:24" ht="16.149999999999999" customHeight="1" x14ac:dyDescent="0.15">
      <c r="A649" s="38"/>
      <c r="B649" s="18"/>
      <c r="C649" s="44"/>
      <c r="D649" s="43"/>
      <c r="E649" s="36"/>
      <c r="F649" s="19"/>
      <c r="G649" s="6"/>
      <c r="H649" s="34"/>
      <c r="I649" s="38"/>
      <c r="J649" s="38"/>
      <c r="K649" s="38"/>
      <c r="L649" s="6"/>
      <c r="M649" s="48"/>
      <c r="N649" s="45"/>
      <c r="O649" s="2"/>
      <c r="P649" s="38"/>
      <c r="Q649" s="36"/>
      <c r="R649" s="34"/>
      <c r="S649" s="34"/>
      <c r="T649" s="34"/>
      <c r="U649" s="33"/>
      <c r="V649" s="33"/>
      <c r="W649" s="33"/>
      <c r="X649" s="33"/>
    </row>
    <row r="650" spans="1:24" ht="16.149999999999999" customHeight="1" x14ac:dyDescent="0.15">
      <c r="A650" s="38"/>
      <c r="B650" s="18"/>
      <c r="C650" s="44"/>
      <c r="D650" s="43"/>
      <c r="E650" s="36"/>
      <c r="F650" s="19"/>
      <c r="G650" s="6"/>
      <c r="H650" s="34"/>
      <c r="I650" s="38"/>
      <c r="J650" s="38"/>
      <c r="K650" s="38"/>
      <c r="L650" s="6"/>
      <c r="M650" s="48"/>
      <c r="N650" s="45"/>
      <c r="O650" s="2"/>
      <c r="P650" s="38"/>
      <c r="Q650" s="36"/>
      <c r="R650" s="34"/>
      <c r="S650" s="34"/>
      <c r="T650" s="34"/>
      <c r="U650" s="33"/>
      <c r="V650" s="33"/>
      <c r="W650" s="33"/>
      <c r="X650" s="33"/>
    </row>
    <row r="651" spans="1:24" ht="16.149999999999999" customHeight="1" x14ac:dyDescent="0.15">
      <c r="A651" s="38"/>
      <c r="B651" s="18"/>
      <c r="C651" s="44"/>
      <c r="D651" s="43"/>
      <c r="E651" s="36"/>
      <c r="F651" s="19"/>
      <c r="G651" s="6"/>
      <c r="H651" s="34"/>
      <c r="I651" s="38"/>
      <c r="J651" s="38"/>
      <c r="K651" s="38"/>
      <c r="L651" s="6"/>
      <c r="M651" s="48"/>
      <c r="N651" s="45"/>
      <c r="O651" s="2"/>
      <c r="P651" s="38"/>
      <c r="Q651" s="36"/>
      <c r="R651" s="34"/>
      <c r="S651" s="34"/>
      <c r="T651" s="34"/>
      <c r="U651" s="33"/>
      <c r="V651" s="33"/>
      <c r="W651" s="33"/>
      <c r="X651" s="33"/>
    </row>
    <row r="652" spans="1:24" ht="16.149999999999999" customHeight="1" x14ac:dyDescent="0.15">
      <c r="A652" s="38"/>
      <c r="B652" s="18"/>
      <c r="C652" s="44"/>
      <c r="D652" s="43"/>
      <c r="E652" s="36"/>
      <c r="F652" s="19"/>
      <c r="G652" s="6"/>
      <c r="H652" s="34"/>
      <c r="I652" s="38"/>
      <c r="J652" s="38"/>
      <c r="K652" s="38"/>
      <c r="L652" s="6"/>
      <c r="M652" s="48"/>
      <c r="N652" s="45"/>
      <c r="O652" s="2"/>
      <c r="P652" s="38"/>
      <c r="Q652" s="36"/>
      <c r="R652" s="34"/>
      <c r="S652" s="34"/>
      <c r="T652" s="34"/>
      <c r="U652" s="33"/>
      <c r="V652" s="33"/>
      <c r="W652" s="33"/>
      <c r="X652" s="33"/>
    </row>
    <row r="653" spans="1:24" ht="16.149999999999999" customHeight="1" x14ac:dyDescent="0.15">
      <c r="A653" s="38"/>
      <c r="B653" s="18"/>
      <c r="C653" s="44"/>
      <c r="D653" s="43"/>
      <c r="E653" s="36"/>
      <c r="F653" s="19"/>
      <c r="G653" s="6"/>
      <c r="H653" s="34"/>
      <c r="I653" s="38"/>
      <c r="J653" s="38"/>
      <c r="K653" s="38"/>
      <c r="L653" s="6"/>
      <c r="M653" s="48"/>
      <c r="N653" s="45"/>
      <c r="O653" s="2"/>
      <c r="P653" s="38"/>
      <c r="Q653" s="36"/>
      <c r="R653" s="34"/>
      <c r="S653" s="34"/>
      <c r="T653" s="34"/>
      <c r="U653" s="33"/>
      <c r="V653" s="33"/>
      <c r="W653" s="33"/>
      <c r="X653" s="33"/>
    </row>
    <row r="654" spans="1:24" ht="16.149999999999999" customHeight="1" x14ac:dyDescent="0.15">
      <c r="A654" s="38"/>
      <c r="B654" s="18"/>
      <c r="C654" s="44"/>
      <c r="D654" s="43"/>
      <c r="E654" s="36"/>
      <c r="F654" s="19"/>
      <c r="G654" s="6"/>
      <c r="H654" s="34"/>
      <c r="I654" s="38"/>
      <c r="J654" s="38"/>
      <c r="K654" s="38"/>
      <c r="L654" s="6"/>
      <c r="M654" s="48"/>
      <c r="N654" s="45"/>
      <c r="O654" s="2"/>
      <c r="P654" s="38"/>
      <c r="Q654" s="36"/>
      <c r="R654" s="34"/>
      <c r="S654" s="34"/>
      <c r="T654" s="34"/>
      <c r="U654" s="33"/>
      <c r="V654" s="33"/>
      <c r="W654" s="33"/>
      <c r="X654" s="33"/>
    </row>
    <row r="655" spans="1:24" ht="16.149999999999999" customHeight="1" x14ac:dyDescent="0.15">
      <c r="A655" s="38"/>
      <c r="B655" s="18"/>
      <c r="C655" s="44"/>
      <c r="D655" s="43"/>
      <c r="E655" s="36"/>
      <c r="F655" s="19"/>
      <c r="G655" s="6"/>
      <c r="H655" s="34"/>
      <c r="I655" s="38"/>
      <c r="J655" s="38"/>
      <c r="K655" s="38"/>
      <c r="L655" s="6"/>
      <c r="M655" s="48"/>
      <c r="N655" s="45"/>
      <c r="O655" s="2"/>
      <c r="P655" s="38"/>
      <c r="Q655" s="36"/>
      <c r="R655" s="34"/>
      <c r="S655" s="34"/>
      <c r="T655" s="34"/>
      <c r="U655" s="33"/>
      <c r="V655" s="33"/>
      <c r="W655" s="33"/>
      <c r="X655" s="33"/>
    </row>
    <row r="656" spans="1:24" ht="16.149999999999999" customHeight="1" x14ac:dyDescent="0.15">
      <c r="A656" s="38"/>
      <c r="B656" s="18"/>
      <c r="C656" s="44"/>
      <c r="D656" s="43"/>
      <c r="E656" s="36"/>
      <c r="F656" s="19"/>
      <c r="G656" s="6"/>
      <c r="H656" s="34"/>
      <c r="I656" s="38"/>
      <c r="J656" s="38"/>
      <c r="K656" s="38"/>
      <c r="L656" s="6"/>
      <c r="M656" s="48"/>
      <c r="N656" s="45"/>
      <c r="O656" s="2"/>
      <c r="P656" s="38"/>
      <c r="Q656" s="36"/>
      <c r="R656" s="34"/>
      <c r="S656" s="34"/>
      <c r="T656" s="34"/>
      <c r="U656" s="33"/>
      <c r="V656" s="33"/>
      <c r="W656" s="33"/>
      <c r="X656" s="33"/>
    </row>
    <row r="657" spans="1:24" ht="16.149999999999999" customHeight="1" x14ac:dyDescent="0.15">
      <c r="A657" s="38"/>
      <c r="B657" s="18"/>
      <c r="C657" s="44"/>
      <c r="D657" s="43"/>
      <c r="E657" s="36"/>
      <c r="F657" s="19"/>
      <c r="G657" s="6"/>
      <c r="H657" s="34"/>
      <c r="I657" s="38"/>
      <c r="J657" s="38"/>
      <c r="K657" s="38"/>
      <c r="L657" s="6"/>
      <c r="M657" s="48"/>
      <c r="N657" s="45"/>
      <c r="O657" s="2"/>
      <c r="P657" s="38"/>
      <c r="Q657" s="36"/>
      <c r="R657" s="34"/>
      <c r="S657" s="34"/>
      <c r="T657" s="34"/>
      <c r="U657" s="33"/>
      <c r="V657" s="33"/>
      <c r="W657" s="33"/>
      <c r="X657" s="33"/>
    </row>
    <row r="658" spans="1:24" ht="16.149999999999999" customHeight="1" x14ac:dyDescent="0.15">
      <c r="A658" s="38"/>
      <c r="B658" s="18"/>
      <c r="C658" s="44"/>
      <c r="D658" s="43"/>
      <c r="E658" s="36"/>
      <c r="F658" s="19"/>
      <c r="G658" s="6"/>
      <c r="H658" s="34"/>
      <c r="I658" s="38"/>
      <c r="J658" s="38"/>
      <c r="K658" s="38"/>
      <c r="L658" s="6"/>
      <c r="M658" s="48"/>
      <c r="N658" s="45"/>
      <c r="O658" s="2"/>
      <c r="P658" s="38"/>
      <c r="Q658" s="36"/>
      <c r="R658" s="34"/>
      <c r="S658" s="34"/>
      <c r="T658" s="34"/>
      <c r="U658" s="33"/>
      <c r="V658" s="33"/>
      <c r="W658" s="33"/>
      <c r="X658" s="33"/>
    </row>
    <row r="659" spans="1:24" ht="16.149999999999999" customHeight="1" x14ac:dyDescent="0.15">
      <c r="A659" s="38"/>
      <c r="B659" s="18"/>
      <c r="C659" s="44"/>
      <c r="D659" s="43"/>
      <c r="E659" s="36"/>
      <c r="F659" s="19"/>
      <c r="G659" s="6"/>
      <c r="H659" s="34"/>
      <c r="I659" s="38"/>
      <c r="J659" s="38"/>
      <c r="K659" s="38"/>
      <c r="L659" s="6"/>
      <c r="M659" s="48"/>
      <c r="N659" s="45"/>
      <c r="O659" s="2"/>
      <c r="P659" s="38"/>
      <c r="Q659" s="36"/>
      <c r="R659" s="34"/>
      <c r="S659" s="34"/>
      <c r="T659" s="34"/>
      <c r="U659" s="33"/>
      <c r="V659" s="33"/>
      <c r="W659" s="33"/>
      <c r="X659" s="33"/>
    </row>
    <row r="660" spans="1:24" ht="16.149999999999999" customHeight="1" x14ac:dyDescent="0.15">
      <c r="A660" s="38"/>
      <c r="B660" s="18"/>
      <c r="C660" s="44"/>
      <c r="D660" s="43"/>
      <c r="E660" s="36"/>
      <c r="F660" s="19"/>
      <c r="G660" s="6"/>
      <c r="H660" s="34"/>
      <c r="I660" s="38"/>
      <c r="J660" s="38"/>
      <c r="K660" s="38"/>
      <c r="L660" s="6"/>
      <c r="M660" s="48"/>
      <c r="N660" s="45"/>
      <c r="O660" s="2"/>
      <c r="P660" s="38"/>
      <c r="Q660" s="36"/>
      <c r="R660" s="34"/>
      <c r="S660" s="34"/>
      <c r="T660" s="34"/>
      <c r="U660" s="33"/>
      <c r="V660" s="33"/>
      <c r="W660" s="33"/>
      <c r="X660" s="33"/>
    </row>
    <row r="661" spans="1:24" ht="16.149999999999999" customHeight="1" x14ac:dyDescent="0.15">
      <c r="A661" s="38"/>
      <c r="B661" s="18"/>
      <c r="C661" s="44"/>
      <c r="D661" s="43"/>
      <c r="E661" s="36"/>
      <c r="F661" s="19"/>
      <c r="G661" s="6"/>
      <c r="H661" s="34"/>
      <c r="I661" s="38"/>
      <c r="J661" s="38"/>
      <c r="K661" s="38"/>
      <c r="L661" s="6"/>
      <c r="M661" s="48"/>
      <c r="N661" s="45"/>
      <c r="O661" s="2"/>
      <c r="P661" s="38"/>
      <c r="Q661" s="36"/>
      <c r="R661" s="34"/>
      <c r="S661" s="34"/>
      <c r="T661" s="34"/>
      <c r="U661" s="33"/>
      <c r="V661" s="33"/>
      <c r="W661" s="33"/>
      <c r="X661" s="33"/>
    </row>
    <row r="662" spans="1:24" ht="16.149999999999999" customHeight="1" x14ac:dyDescent="0.15">
      <c r="A662" s="38"/>
      <c r="B662" s="18"/>
      <c r="C662" s="44"/>
      <c r="D662" s="43"/>
      <c r="E662" s="36"/>
      <c r="F662" s="19"/>
      <c r="G662" s="6"/>
      <c r="H662" s="34"/>
      <c r="I662" s="38"/>
      <c r="J662" s="38"/>
      <c r="K662" s="38"/>
      <c r="L662" s="6"/>
      <c r="M662" s="48"/>
      <c r="N662" s="45"/>
      <c r="O662" s="2"/>
      <c r="P662" s="38"/>
      <c r="Q662" s="36"/>
      <c r="R662" s="34"/>
      <c r="S662" s="34"/>
      <c r="T662" s="34"/>
      <c r="U662" s="33"/>
      <c r="V662" s="33"/>
      <c r="W662" s="33"/>
      <c r="X662" s="33"/>
    </row>
    <row r="663" spans="1:24" ht="16.149999999999999" customHeight="1" x14ac:dyDescent="0.15">
      <c r="A663" s="38"/>
      <c r="B663" s="18"/>
      <c r="C663" s="44"/>
      <c r="D663" s="43"/>
      <c r="E663" s="36"/>
      <c r="F663" s="19"/>
      <c r="G663" s="6"/>
      <c r="H663" s="34"/>
      <c r="I663" s="38"/>
      <c r="J663" s="38"/>
      <c r="K663" s="38"/>
      <c r="L663" s="6"/>
      <c r="M663" s="48"/>
      <c r="N663" s="45"/>
      <c r="O663" s="2"/>
      <c r="P663" s="38"/>
      <c r="Q663" s="36"/>
      <c r="R663" s="34"/>
      <c r="S663" s="34"/>
      <c r="T663" s="34"/>
      <c r="U663" s="33"/>
      <c r="V663" s="33"/>
      <c r="W663" s="33"/>
      <c r="X663" s="33"/>
    </row>
    <row r="664" spans="1:24" ht="16.149999999999999" customHeight="1" x14ac:dyDescent="0.15">
      <c r="A664" s="38"/>
      <c r="B664" s="18"/>
      <c r="C664" s="44"/>
      <c r="D664" s="43"/>
      <c r="E664" s="36"/>
      <c r="F664" s="19"/>
      <c r="G664" s="6"/>
      <c r="H664" s="34"/>
      <c r="I664" s="38"/>
      <c r="J664" s="38"/>
      <c r="K664" s="38"/>
      <c r="L664" s="6"/>
      <c r="M664" s="48"/>
      <c r="N664" s="45" t="s">
        <v>62</v>
      </c>
      <c r="O664" s="2" t="s">
        <v>62</v>
      </c>
      <c r="P664" s="38" t="str">
        <f>IFERROR(Table3335678[[#This Row],[Min Count]]/Table3335678[[#This Row],[Scalar]],"")</f>
        <v/>
      </c>
      <c r="Q664" s="36" t="str">
        <f>IFERROR(Table3335678[[#This Row],[Max Count]]/Table3335678[[#This Row],[Scalar]],"")</f>
        <v/>
      </c>
      <c r="R664" s="34"/>
      <c r="S664" s="34"/>
      <c r="T664" s="34"/>
      <c r="U664" s="33"/>
      <c r="V664" s="33" t="s">
        <v>8913</v>
      </c>
      <c r="W664" s="33"/>
      <c r="X664" s="33"/>
    </row>
    <row r="665" spans="1:24" ht="16.149999999999999" customHeight="1" x14ac:dyDescent="0.15">
      <c r="A665" s="38"/>
      <c r="B665" s="18"/>
      <c r="C665" s="44"/>
      <c r="D665" s="43"/>
      <c r="E665" s="36"/>
      <c r="F665" s="19"/>
      <c r="G665" s="6"/>
      <c r="H665" s="34"/>
      <c r="I665" s="38"/>
      <c r="J665" s="38"/>
      <c r="K665" s="38"/>
      <c r="L665" s="6"/>
      <c r="M665" s="48"/>
      <c r="N665" s="45" t="s">
        <v>62</v>
      </c>
      <c r="O665" s="2" t="s">
        <v>62</v>
      </c>
      <c r="P665" s="38" t="str">
        <f>IFERROR(Table3335678[[#This Row],[Min Count]]/Table3335678[[#This Row],[Scalar]],"")</f>
        <v/>
      </c>
      <c r="Q665" s="36" t="str">
        <f>IFERROR(Table3335678[[#This Row],[Max Count]]/Table3335678[[#This Row],[Scalar]],"")</f>
        <v/>
      </c>
      <c r="R665" s="34"/>
      <c r="S665" s="34"/>
      <c r="T665" s="34"/>
      <c r="U665" s="33"/>
      <c r="V665" s="33" t="s">
        <v>8913</v>
      </c>
      <c r="W665" s="33"/>
      <c r="X665" s="33"/>
    </row>
    <row r="666" spans="1:24" ht="16.149999999999999" customHeight="1" x14ac:dyDescent="0.15">
      <c r="A666" s="38"/>
      <c r="B666" s="18"/>
      <c r="C666" s="44"/>
      <c r="D666" s="43"/>
      <c r="E666" s="36"/>
      <c r="F666" s="19"/>
      <c r="G666" s="6"/>
      <c r="H666" s="34"/>
      <c r="I666" s="38"/>
      <c r="J666" s="38"/>
      <c r="K666" s="38"/>
      <c r="L666" s="6"/>
      <c r="M666" s="48"/>
      <c r="N666" s="45" t="s">
        <v>62</v>
      </c>
      <c r="O666" s="2" t="s">
        <v>62</v>
      </c>
      <c r="P666" s="38" t="str">
        <f>IFERROR(Table3335678[[#This Row],[Min Count]]/Table3335678[[#This Row],[Scalar]],"")</f>
        <v/>
      </c>
      <c r="Q666" s="36" t="str">
        <f>IFERROR(Table3335678[[#This Row],[Max Count]]/Table3335678[[#This Row],[Scalar]],"")</f>
        <v/>
      </c>
      <c r="R666" s="34"/>
      <c r="S666" s="34"/>
      <c r="T666" s="34"/>
      <c r="U666" s="33"/>
      <c r="V666" s="33" t="s">
        <v>8913</v>
      </c>
      <c r="W666" s="33"/>
      <c r="X666" s="33"/>
    </row>
    <row r="667" spans="1:24" ht="16.149999999999999" customHeight="1" x14ac:dyDescent="0.15">
      <c r="A667" s="38"/>
      <c r="B667" s="18"/>
      <c r="C667" s="44"/>
      <c r="D667" s="43"/>
      <c r="E667" s="36"/>
      <c r="F667" s="19"/>
      <c r="G667" s="6"/>
      <c r="H667" s="34"/>
      <c r="I667" s="38"/>
      <c r="J667" s="38"/>
      <c r="K667" s="38"/>
      <c r="L667" s="6"/>
      <c r="M667" s="48"/>
      <c r="N667" s="45" t="s">
        <v>62</v>
      </c>
      <c r="O667" s="2" t="s">
        <v>62</v>
      </c>
      <c r="P667" s="38" t="str">
        <f>IFERROR(Table3335678[[#This Row],[Min Count]]/Table3335678[[#This Row],[Scalar]],"")</f>
        <v/>
      </c>
      <c r="Q667" s="36" t="str">
        <f>IFERROR(Table3335678[[#This Row],[Max Count]]/Table3335678[[#This Row],[Scalar]],"")</f>
        <v/>
      </c>
      <c r="R667" s="34"/>
      <c r="S667" s="34"/>
      <c r="T667" s="34"/>
      <c r="U667" s="33"/>
      <c r="V667" s="33" t="s">
        <v>8913</v>
      </c>
      <c r="W667" s="33"/>
      <c r="X667" s="33"/>
    </row>
    <row r="668" spans="1:24" ht="16.149999999999999" customHeight="1" x14ac:dyDescent="0.15">
      <c r="A668" s="38"/>
      <c r="B668" s="23"/>
      <c r="C668" s="44"/>
      <c r="D668" s="43"/>
      <c r="E668" s="36"/>
      <c r="F668" s="24"/>
      <c r="G668" s="6"/>
      <c r="H668" s="34"/>
      <c r="I668" s="38"/>
      <c r="J668" s="38"/>
      <c r="K668" s="38"/>
      <c r="L668" s="6"/>
      <c r="M668" s="49"/>
      <c r="N668" s="45" t="s">
        <v>62</v>
      </c>
      <c r="O668" s="2" t="s">
        <v>62</v>
      </c>
      <c r="P668" s="38" t="str">
        <f>IFERROR(Table3335678[[#This Row],[Min Count]]/Table3335678[[#This Row],[Scalar]],"")</f>
        <v/>
      </c>
      <c r="Q668" s="36" t="str">
        <f>IFERROR(Table3335678[[#This Row],[Max Count]]/Table3335678[[#This Row],[Scalar]],"")</f>
        <v/>
      </c>
      <c r="R668" s="34"/>
      <c r="S668" s="34"/>
      <c r="T668" s="34"/>
      <c r="U668" s="35"/>
      <c r="V668" s="35" t="s">
        <v>8913</v>
      </c>
      <c r="W668" s="35"/>
      <c r="X668" s="35"/>
    </row>
  </sheetData>
  <dataValidations count="7">
    <dataValidation type="list" allowBlank="1" showInputMessage="1" showErrorMessage="1" sqref="U7:U581" xr:uid="{AEC0E0D0-FC38-40F3-B191-30EC01CACAF3}">
      <formula1>"KPI,Primary Detail,Secondary Detail,Alarms,Analytic,Diagnostic,Not Shown"</formula1>
    </dataValidation>
    <dataValidation type="list" allowBlank="1" showInputMessage="1" sqref="J7:K581" xr:uid="{0E9121C1-0E25-497E-8FDB-9811A1566F79}">
      <formula1>"Enabled,Disabled,Open,Closed,Normal,Alarm,On,Off"</formula1>
    </dataValidation>
    <dataValidation type="list" allowBlank="1" showInputMessage="1" showErrorMessage="1" sqref="I7:I581" xr:uid="{2E78ABA1-AAC2-4DB8-9DA3-77CB148A7A63}">
      <formula1>"None,On (1),Off (0),State change,Analog"</formula1>
    </dataValidation>
    <dataValidation type="list" allowBlank="1" showInputMessage="1" showErrorMessage="1" sqref="C7:C581" xr:uid="{74168703-D2DA-4F28-A376-B2AD52471ECB}">
      <formula1>"Binary input,Binary output,Analog input,Analog output,Counter"</formula1>
    </dataValidation>
    <dataValidation allowBlank="1" showErrorMessage="1" errorTitle="Invalid IEC 61131-3 Variable Nam" error="Please enter only alphanumeric and underscore characters." sqref="D48:D103 D7:D8 D10:D46 D105:D569" xr:uid="{03ACCE52-2910-499C-AC21-60847AAA4F0E}"/>
    <dataValidation type="whole" errorStyle="warning" allowBlank="1" showInputMessage="1" showErrorMessage="1" errorTitle="Device Modbus Register Base" error="This value is the device register number of the first register in the table.  Typically this value is 1, occasionally it is 0.  " sqref="C4" xr:uid="{822CF6B2-3D98-4674-8CB9-450E3F5A2502}">
      <formula1>0</formula1>
      <formula2>1</formula2>
    </dataValidation>
    <dataValidation type="custom" allowBlank="1" showErrorMessage="1" errorTitle="Invalid IEC 61131-3 Variable Nam" error="Please enter only alphanumeric and underscore characters." sqref="L3:L5" xr:uid="{1EDDA94C-B7C7-4989-A911-3B22E47418C3}">
      <formula1>ISNUMBER(SUMPRODUCT(SEARCH(MID(L3,ROW(INDIRECT("1:"&amp;LEN(L3))),1),"0123456789abcdefghijklmnopqrstuvwxyzABCDEFGHIJKLMNOPQRSTUVWXYZ-_")))</formula1>
    </dataValidation>
  </dataValidations>
  <pageMargins left="0.25" right="0.25" top="0.75" bottom="0.75" header="0.3" footer="0.3"/>
  <pageSetup paperSize="3" scale="24" fitToHeight="0" orientation="portrait"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160EB-226E-45C2-9E54-9D8C6EBB26AA}">
  <sheetPr codeName="Sheet9">
    <tabColor rgb="FF7030A0"/>
    <pageSetUpPr fitToPage="1"/>
  </sheetPr>
  <dimension ref="A1:AH909"/>
  <sheetViews>
    <sheetView zoomScaleNormal="100" workbookViewId="0">
      <selection activeCell="N1" sqref="N1:Q1048576"/>
    </sheetView>
  </sheetViews>
  <sheetFormatPr defaultColWidth="14.6640625" defaultRowHeight="16.149999999999999" customHeight="1" x14ac:dyDescent="0.15"/>
  <cols>
    <col min="1" max="1" width="11.6640625" bestFit="1" customWidth="1"/>
    <col min="2" max="2" width="12.33203125" bestFit="1" customWidth="1"/>
    <col min="3" max="3" width="12.5" bestFit="1" customWidth="1"/>
    <col min="4" max="4" width="53" bestFit="1" customWidth="1"/>
    <col min="5" max="5" width="18" bestFit="1" customWidth="1"/>
    <col min="6" max="6" width="12" bestFit="1" customWidth="1"/>
    <col min="7" max="7" width="5.83203125" bestFit="1" customWidth="1"/>
    <col min="8" max="8" width="24.33203125" bestFit="1" customWidth="1"/>
    <col min="9" max="9" width="13.1640625" bestFit="1" customWidth="1"/>
    <col min="10" max="10" width="13.83203125" bestFit="1" customWidth="1"/>
    <col min="11" max="11" width="14.1640625" bestFit="1" customWidth="1"/>
    <col min="12" max="12" width="11.1640625" bestFit="1" customWidth="1"/>
    <col min="13" max="13" width="8.6640625" bestFit="1" customWidth="1"/>
    <col min="14" max="14" width="13.33203125" hidden="1" customWidth="1"/>
    <col min="15" max="15" width="12.5" hidden="1" customWidth="1"/>
    <col min="16" max="16" width="13.33203125" hidden="1" customWidth="1"/>
    <col min="17" max="17" width="12.5" hidden="1" customWidth="1"/>
    <col min="18" max="18" width="20.83203125" bestFit="1" customWidth="1"/>
    <col min="19" max="19" width="13.83203125" bestFit="1" customWidth="1"/>
    <col min="20" max="20" width="16.5" bestFit="1" customWidth="1"/>
    <col min="21" max="21" width="15" bestFit="1" customWidth="1"/>
    <col min="22" max="22" width="72.6640625" style="9" bestFit="1" customWidth="1"/>
    <col min="23" max="23" width="18.83203125" bestFit="1" customWidth="1"/>
    <col min="24" max="24" width="55.83203125" style="9" bestFit="1" customWidth="1"/>
    <col min="25" max="25" width="77.6640625" style="9" bestFit="1" customWidth="1"/>
    <col min="26" max="26" width="9" style="9" bestFit="1" customWidth="1"/>
    <col min="27" max="27" width="5.5" style="9" customWidth="1"/>
    <col min="30" max="30" width="5.5" customWidth="1"/>
    <col min="31" max="31" width="25" style="9" bestFit="1" customWidth="1"/>
    <col min="32" max="32" width="39.6640625" style="9" customWidth="1"/>
    <col min="33" max="33" width="68" style="9" customWidth="1"/>
    <col min="34" max="34" width="5.5" style="9" bestFit="1" customWidth="1"/>
    <col min="35" max="35" width="56.5" customWidth="1"/>
    <col min="36" max="36" width="14.33203125" customWidth="1"/>
    <col min="37" max="37" width="11.33203125" bestFit="1" customWidth="1"/>
    <col min="38" max="38" width="14.6640625" customWidth="1"/>
    <col min="39" max="39" width="48.5" bestFit="1" customWidth="1"/>
  </cols>
  <sheetData>
    <row r="1" spans="1:34" ht="24" customHeight="1" x14ac:dyDescent="0.15">
      <c r="A1" s="25" t="str">
        <f>'Data Flows'!A1</f>
        <v>Site Name</v>
      </c>
      <c r="B1" s="2"/>
      <c r="C1" s="2"/>
      <c r="D1" s="2"/>
      <c r="E1" s="2"/>
      <c r="F1" s="2"/>
      <c r="G1" s="25" t="s">
        <v>3711</v>
      </c>
      <c r="J1" s="25" t="s">
        <v>3712</v>
      </c>
      <c r="K1" s="25"/>
      <c r="V1" s="6"/>
      <c r="AA1"/>
      <c r="AE1"/>
      <c r="AF1"/>
      <c r="AG1"/>
      <c r="AH1"/>
    </row>
    <row r="2" spans="1:34" ht="16.149999999999999" customHeight="1" x14ac:dyDescent="0.15">
      <c r="A2" s="10" t="s">
        <v>21</v>
      </c>
      <c r="B2" s="2"/>
      <c r="C2" s="11">
        <v>45075</v>
      </c>
      <c r="D2" s="41" t="s">
        <v>22</v>
      </c>
      <c r="E2" t="s">
        <v>3706</v>
      </c>
      <c r="J2" t="s">
        <v>24</v>
      </c>
      <c r="V2" s="6"/>
      <c r="AA2"/>
      <c r="AE2"/>
      <c r="AF2"/>
      <c r="AG2"/>
      <c r="AH2"/>
    </row>
    <row r="3" spans="1:34" ht="16.149999999999999" customHeight="1" x14ac:dyDescent="0.15">
      <c r="A3" s="12" t="s">
        <v>25</v>
      </c>
      <c r="C3">
        <v>4</v>
      </c>
      <c r="D3" s="42" t="s">
        <v>26</v>
      </c>
      <c r="E3" t="s">
        <v>27</v>
      </c>
      <c r="L3" s="13"/>
      <c r="M3" s="8"/>
      <c r="V3" s="6"/>
      <c r="X3" s="37"/>
      <c r="Y3"/>
      <c r="Z3"/>
      <c r="AA3"/>
      <c r="AE3"/>
      <c r="AF3"/>
      <c r="AG3"/>
      <c r="AH3"/>
    </row>
    <row r="4" spans="1:34" ht="16.149999999999999" customHeight="1" x14ac:dyDescent="0.15">
      <c r="A4" s="12"/>
      <c r="C4" s="9"/>
      <c r="J4" s="47" t="s">
        <v>3713</v>
      </c>
      <c r="M4" s="2"/>
      <c r="V4" s="6"/>
      <c r="X4"/>
      <c r="Y4"/>
      <c r="Z4"/>
      <c r="AA4"/>
      <c r="AE4"/>
      <c r="AF4"/>
      <c r="AG4"/>
      <c r="AH4"/>
    </row>
    <row r="5" spans="1:34" ht="16.149999999999999" customHeight="1" x14ac:dyDescent="0.15">
      <c r="A5" s="12"/>
      <c r="M5" s="2"/>
      <c r="V5" s="6"/>
      <c r="X5"/>
      <c r="Y5"/>
      <c r="Z5"/>
      <c r="AA5"/>
      <c r="AE5"/>
      <c r="AF5"/>
      <c r="AG5"/>
      <c r="AH5"/>
    </row>
    <row r="6" spans="1:34" ht="42" customHeight="1" x14ac:dyDescent="0.15">
      <c r="A6" t="s">
        <v>31</v>
      </c>
      <c r="B6" t="s">
        <v>32</v>
      </c>
      <c r="C6" t="s">
        <v>3714</v>
      </c>
      <c r="D6" t="s">
        <v>34</v>
      </c>
      <c r="E6" t="s">
        <v>35</v>
      </c>
      <c r="F6" t="s">
        <v>3715</v>
      </c>
      <c r="G6" t="s">
        <v>3716</v>
      </c>
      <c r="H6" t="s">
        <v>39</v>
      </c>
      <c r="I6" t="s">
        <v>40</v>
      </c>
      <c r="J6" t="s">
        <v>41</v>
      </c>
      <c r="K6" t="s">
        <v>42</v>
      </c>
      <c r="L6" t="s">
        <v>43</v>
      </c>
      <c r="M6" t="s">
        <v>44</v>
      </c>
      <c r="N6" t="s">
        <v>45</v>
      </c>
      <c r="O6" t="s">
        <v>46</v>
      </c>
      <c r="P6" t="s">
        <v>47</v>
      </c>
      <c r="Q6" t="s">
        <v>48</v>
      </c>
      <c r="R6" t="s">
        <v>49</v>
      </c>
      <c r="S6" t="s">
        <v>50</v>
      </c>
      <c r="T6" t="s">
        <v>51</v>
      </c>
      <c r="U6" t="s">
        <v>52</v>
      </c>
      <c r="V6" t="s">
        <v>53</v>
      </c>
      <c r="W6" t="s">
        <v>54</v>
      </c>
      <c r="X6" t="s">
        <v>55</v>
      </c>
      <c r="Y6" t="s">
        <v>3717</v>
      </c>
      <c r="Z6" t="s">
        <v>3718</v>
      </c>
      <c r="AA6"/>
      <c r="AE6"/>
      <c r="AF6"/>
      <c r="AG6"/>
      <c r="AH6"/>
    </row>
    <row r="7" spans="1:34" ht="15.75" customHeight="1" x14ac:dyDescent="0.15">
      <c r="A7" s="9">
        <v>1</v>
      </c>
      <c r="B7" t="s">
        <v>75</v>
      </c>
      <c r="C7" t="s">
        <v>3719</v>
      </c>
      <c r="D7" t="s">
        <v>3720</v>
      </c>
      <c r="E7" s="9" t="s">
        <v>3192</v>
      </c>
      <c r="F7" s="9">
        <v>0</v>
      </c>
      <c r="G7" s="9"/>
      <c r="H7" s="9" t="s">
        <v>3721</v>
      </c>
      <c r="I7" t="s">
        <v>196</v>
      </c>
      <c r="L7" t="s">
        <v>3722</v>
      </c>
      <c r="M7">
        <v>1</v>
      </c>
      <c r="N7">
        <v>-3.40282346639E+38</v>
      </c>
      <c r="O7">
        <v>3.40282346639E+38</v>
      </c>
      <c r="P7">
        <v>-3.40282346639E+38</v>
      </c>
      <c r="Q7">
        <v>3.40282346639E+38</v>
      </c>
      <c r="T7" t="s">
        <v>3723</v>
      </c>
      <c r="U7" t="s">
        <v>3708</v>
      </c>
      <c r="V7" t="s">
        <v>3724</v>
      </c>
      <c r="W7" t="s">
        <v>3725</v>
      </c>
      <c r="X7"/>
      <c r="Y7" t="s">
        <v>3726</v>
      </c>
      <c r="Z7"/>
      <c r="AA7"/>
      <c r="AE7"/>
      <c r="AF7"/>
      <c r="AG7"/>
      <c r="AH7"/>
    </row>
    <row r="8" spans="1:34" ht="15.75" customHeight="1" x14ac:dyDescent="0.15">
      <c r="A8" s="9">
        <v>2</v>
      </c>
      <c r="B8" t="s">
        <v>75</v>
      </c>
      <c r="C8" t="s">
        <v>3719</v>
      </c>
      <c r="D8" t="s">
        <v>3727</v>
      </c>
      <c r="E8" s="9" t="s">
        <v>3192</v>
      </c>
      <c r="F8" s="9">
        <v>1</v>
      </c>
      <c r="G8" s="9"/>
      <c r="H8" s="9" t="s">
        <v>3728</v>
      </c>
      <c r="I8" t="s">
        <v>3729</v>
      </c>
      <c r="L8" t="s">
        <v>82</v>
      </c>
      <c r="M8">
        <v>1</v>
      </c>
      <c r="N8">
        <v>-3.40282346639E+38</v>
      </c>
      <c r="O8">
        <v>3.40282346639E+38</v>
      </c>
      <c r="P8">
        <v>-3.40282346639E+38</v>
      </c>
      <c r="Q8">
        <v>3.40282346639E+38</v>
      </c>
      <c r="R8" t="s">
        <v>3730</v>
      </c>
      <c r="S8" t="s">
        <v>3731</v>
      </c>
      <c r="T8" t="s">
        <v>3707</v>
      </c>
      <c r="U8" t="s">
        <v>3708</v>
      </c>
      <c r="V8" t="s">
        <v>3732</v>
      </c>
      <c r="X8"/>
      <c r="Y8" t="s">
        <v>3733</v>
      </c>
      <c r="Z8"/>
      <c r="AA8"/>
      <c r="AE8"/>
      <c r="AF8"/>
      <c r="AG8"/>
      <c r="AH8"/>
    </row>
    <row r="9" spans="1:34" ht="15.75" customHeight="1" x14ac:dyDescent="0.15">
      <c r="A9" s="9">
        <v>3</v>
      </c>
      <c r="B9" t="s">
        <v>75</v>
      </c>
      <c r="C9" t="s">
        <v>3719</v>
      </c>
      <c r="D9" t="s">
        <v>3734</v>
      </c>
      <c r="E9" s="9" t="s">
        <v>3192</v>
      </c>
      <c r="F9" s="9">
        <v>2</v>
      </c>
      <c r="G9" s="9"/>
      <c r="H9" s="9" t="s">
        <v>3735</v>
      </c>
      <c r="I9" t="s">
        <v>3729</v>
      </c>
      <c r="L9" t="s">
        <v>153</v>
      </c>
      <c r="M9">
        <v>1</v>
      </c>
      <c r="N9">
        <v>-3.40282346639E+38</v>
      </c>
      <c r="O9">
        <v>3.40282346639E+38</v>
      </c>
      <c r="P9">
        <v>-3.40282346639E+38</v>
      </c>
      <c r="Q9">
        <v>3.40282346639E+38</v>
      </c>
      <c r="R9" t="s">
        <v>3736</v>
      </c>
      <c r="S9" t="s">
        <v>3731</v>
      </c>
      <c r="T9" t="s">
        <v>3707</v>
      </c>
      <c r="U9" t="s">
        <v>3708</v>
      </c>
      <c r="V9" t="s">
        <v>3737</v>
      </c>
      <c r="X9"/>
      <c r="Y9" t="s">
        <v>3738</v>
      </c>
      <c r="Z9"/>
      <c r="AA9"/>
      <c r="AE9"/>
      <c r="AF9"/>
      <c r="AG9"/>
      <c r="AH9"/>
    </row>
    <row r="10" spans="1:34" ht="15.75" customHeight="1" x14ac:dyDescent="0.15">
      <c r="A10" s="9">
        <v>4</v>
      </c>
      <c r="B10" t="s">
        <v>75</v>
      </c>
      <c r="C10" t="s">
        <v>3719</v>
      </c>
      <c r="D10" t="s">
        <v>3739</v>
      </c>
      <c r="E10" s="9" t="s">
        <v>3192</v>
      </c>
      <c r="F10" s="9">
        <v>3</v>
      </c>
      <c r="G10" s="9"/>
      <c r="H10" s="9" t="s">
        <v>3740</v>
      </c>
      <c r="I10" t="s">
        <v>196</v>
      </c>
      <c r="L10" t="s">
        <v>123</v>
      </c>
      <c r="M10">
        <v>1</v>
      </c>
      <c r="N10">
        <v>-3.40282346639E+38</v>
      </c>
      <c r="O10">
        <v>3.40282346639E+38</v>
      </c>
      <c r="P10">
        <v>-3.40282346639E+38</v>
      </c>
      <c r="Q10">
        <v>3.40282346639E+38</v>
      </c>
      <c r="T10" t="s">
        <v>3707</v>
      </c>
      <c r="U10" t="s">
        <v>3708</v>
      </c>
      <c r="V10" t="s">
        <v>3741</v>
      </c>
      <c r="X10"/>
      <c r="Y10" t="s">
        <v>3742</v>
      </c>
      <c r="Z10"/>
      <c r="AA10"/>
      <c r="AE10"/>
      <c r="AF10"/>
      <c r="AG10"/>
      <c r="AH10"/>
    </row>
    <row r="11" spans="1:34" ht="15.75" customHeight="1" x14ac:dyDescent="0.15">
      <c r="A11" s="9">
        <v>5</v>
      </c>
      <c r="B11" t="s">
        <v>75</v>
      </c>
      <c r="C11" t="s">
        <v>3719</v>
      </c>
      <c r="D11" t="s">
        <v>3743</v>
      </c>
      <c r="E11" s="9" t="s">
        <v>3192</v>
      </c>
      <c r="F11" s="9">
        <v>4</v>
      </c>
      <c r="G11" s="9"/>
      <c r="H11" s="9" t="s">
        <v>3744</v>
      </c>
      <c r="I11" t="s">
        <v>196</v>
      </c>
      <c r="L11" t="s">
        <v>123</v>
      </c>
      <c r="M11">
        <v>1</v>
      </c>
      <c r="N11">
        <v>-3.40282346639E+38</v>
      </c>
      <c r="O11">
        <v>3.40282346639E+38</v>
      </c>
      <c r="P11">
        <v>-3.40282346639E+38</v>
      </c>
      <c r="Q11">
        <v>3.40282346639E+38</v>
      </c>
      <c r="T11" t="s">
        <v>3707</v>
      </c>
      <c r="U11" t="s">
        <v>3708</v>
      </c>
      <c r="V11" t="s">
        <v>3745</v>
      </c>
      <c r="X11"/>
      <c r="Y11" t="s">
        <v>3746</v>
      </c>
      <c r="Z11"/>
      <c r="AA11"/>
      <c r="AE11"/>
      <c r="AF11"/>
      <c r="AG11"/>
      <c r="AH11"/>
    </row>
    <row r="12" spans="1:34" ht="15.75" customHeight="1" x14ac:dyDescent="0.15">
      <c r="A12" s="9">
        <v>6</v>
      </c>
      <c r="B12" t="s">
        <v>75</v>
      </c>
      <c r="C12" t="s">
        <v>3719</v>
      </c>
      <c r="D12" t="s">
        <v>3747</v>
      </c>
      <c r="E12" s="9" t="s">
        <v>3192</v>
      </c>
      <c r="F12" s="9">
        <v>5</v>
      </c>
      <c r="G12" s="9"/>
      <c r="H12" s="9" t="s">
        <v>3748</v>
      </c>
      <c r="I12" t="s">
        <v>196</v>
      </c>
      <c r="L12" t="s">
        <v>123</v>
      </c>
      <c r="M12">
        <v>1</v>
      </c>
      <c r="N12">
        <v>-3.40282346639E+38</v>
      </c>
      <c r="O12">
        <v>3.40282346639E+38</v>
      </c>
      <c r="P12">
        <v>-3.40282346639E+38</v>
      </c>
      <c r="Q12">
        <v>3.40282346639E+38</v>
      </c>
      <c r="T12" t="s">
        <v>3707</v>
      </c>
      <c r="U12" t="s">
        <v>3708</v>
      </c>
      <c r="V12" t="s">
        <v>3749</v>
      </c>
      <c r="X12"/>
      <c r="Y12" t="s">
        <v>3750</v>
      </c>
      <c r="Z12"/>
      <c r="AA12"/>
      <c r="AE12"/>
      <c r="AF12"/>
      <c r="AG12"/>
      <c r="AH12"/>
    </row>
    <row r="13" spans="1:34" ht="15.75" customHeight="1" x14ac:dyDescent="0.15">
      <c r="A13" s="9">
        <v>7</v>
      </c>
      <c r="B13" t="s">
        <v>75</v>
      </c>
      <c r="C13" t="s">
        <v>3719</v>
      </c>
      <c r="D13" t="s">
        <v>3751</v>
      </c>
      <c r="E13" s="9" t="s">
        <v>3192</v>
      </c>
      <c r="F13" s="9">
        <v>6</v>
      </c>
      <c r="G13" s="9"/>
      <c r="H13" s="9" t="s">
        <v>3752</v>
      </c>
      <c r="I13" t="s">
        <v>196</v>
      </c>
      <c r="L13" t="s">
        <v>113</v>
      </c>
      <c r="M13">
        <v>1</v>
      </c>
      <c r="N13">
        <v>-3.40282346639E+38</v>
      </c>
      <c r="O13">
        <v>3.40282346639E+38</v>
      </c>
      <c r="P13">
        <v>-3.40282346639E+38</v>
      </c>
      <c r="Q13">
        <v>3.40282346639E+38</v>
      </c>
      <c r="T13" t="s">
        <v>3707</v>
      </c>
      <c r="U13" t="s">
        <v>3708</v>
      </c>
      <c r="V13" t="s">
        <v>3753</v>
      </c>
      <c r="X13"/>
      <c r="Y13" t="s">
        <v>3754</v>
      </c>
      <c r="Z13"/>
      <c r="AA13"/>
      <c r="AE13"/>
      <c r="AF13"/>
      <c r="AG13"/>
      <c r="AH13"/>
    </row>
    <row r="14" spans="1:34" ht="15.75" customHeight="1" x14ac:dyDescent="0.15">
      <c r="A14" s="9">
        <v>8</v>
      </c>
      <c r="B14" t="s">
        <v>75</v>
      </c>
      <c r="C14" t="s">
        <v>3719</v>
      </c>
      <c r="D14" t="s">
        <v>3755</v>
      </c>
      <c r="E14" s="9" t="s">
        <v>3192</v>
      </c>
      <c r="F14" s="9">
        <v>7</v>
      </c>
      <c r="G14" s="9"/>
      <c r="H14" s="9" t="s">
        <v>3756</v>
      </c>
      <c r="I14" t="s">
        <v>196</v>
      </c>
      <c r="L14" t="s">
        <v>113</v>
      </c>
      <c r="M14">
        <v>1</v>
      </c>
      <c r="N14">
        <v>-3.40282346639E+38</v>
      </c>
      <c r="O14">
        <v>3.40282346639E+38</v>
      </c>
      <c r="P14">
        <v>-3.40282346639E+38</v>
      </c>
      <c r="Q14">
        <v>3.40282346639E+38</v>
      </c>
      <c r="T14" t="s">
        <v>3707</v>
      </c>
      <c r="U14" t="s">
        <v>3708</v>
      </c>
      <c r="V14" t="s">
        <v>3757</v>
      </c>
      <c r="X14"/>
      <c r="Y14" t="s">
        <v>3758</v>
      </c>
      <c r="Z14"/>
      <c r="AA14"/>
      <c r="AE14"/>
      <c r="AF14"/>
      <c r="AG14"/>
      <c r="AH14"/>
    </row>
    <row r="15" spans="1:34" ht="15.75" customHeight="1" x14ac:dyDescent="0.15">
      <c r="A15" s="9">
        <v>9</v>
      </c>
      <c r="B15" t="s">
        <v>75</v>
      </c>
      <c r="C15" t="s">
        <v>3719</v>
      </c>
      <c r="D15" t="s">
        <v>3759</v>
      </c>
      <c r="E15" s="9" t="s">
        <v>3192</v>
      </c>
      <c r="F15" s="9">
        <v>8</v>
      </c>
      <c r="G15" s="9"/>
      <c r="H15" s="9" t="s">
        <v>3760</v>
      </c>
      <c r="I15" t="s">
        <v>196</v>
      </c>
      <c r="L15" t="s">
        <v>113</v>
      </c>
      <c r="M15">
        <v>1</v>
      </c>
      <c r="N15">
        <v>-3.40282346639E+38</v>
      </c>
      <c r="O15">
        <v>3.40282346639E+38</v>
      </c>
      <c r="P15">
        <v>-3.40282346639E+38</v>
      </c>
      <c r="Q15">
        <v>3.40282346639E+38</v>
      </c>
      <c r="T15" t="s">
        <v>3707</v>
      </c>
      <c r="U15" t="s">
        <v>3708</v>
      </c>
      <c r="V15" t="s">
        <v>3761</v>
      </c>
      <c r="X15"/>
      <c r="Y15" t="s">
        <v>3762</v>
      </c>
      <c r="Z15"/>
      <c r="AA15"/>
      <c r="AE15"/>
      <c r="AF15"/>
      <c r="AG15"/>
      <c r="AH15"/>
    </row>
    <row r="16" spans="1:34" ht="15.75" customHeight="1" x14ac:dyDescent="0.15">
      <c r="A16" s="9">
        <v>10</v>
      </c>
      <c r="B16" t="s">
        <v>75</v>
      </c>
      <c r="C16" t="s">
        <v>3719</v>
      </c>
      <c r="D16" t="s">
        <v>3763</v>
      </c>
      <c r="E16" s="9" t="s">
        <v>3192</v>
      </c>
      <c r="F16" s="9">
        <v>9</v>
      </c>
      <c r="G16" s="9"/>
      <c r="H16" s="9" t="s">
        <v>3764</v>
      </c>
      <c r="I16" t="s">
        <v>196</v>
      </c>
      <c r="L16" t="s">
        <v>145</v>
      </c>
      <c r="M16">
        <v>1</v>
      </c>
      <c r="N16">
        <v>-3.40282346639E+38</v>
      </c>
      <c r="O16">
        <v>3.40282346639E+38</v>
      </c>
      <c r="P16">
        <v>-3.40282346639E+38</v>
      </c>
      <c r="Q16">
        <v>3.40282346639E+38</v>
      </c>
      <c r="T16" t="s">
        <v>3707</v>
      </c>
      <c r="U16" t="s">
        <v>3708</v>
      </c>
      <c r="V16" t="s">
        <v>3765</v>
      </c>
      <c r="X16"/>
      <c r="Y16" t="s">
        <v>3766</v>
      </c>
      <c r="Z16"/>
      <c r="AA16"/>
      <c r="AE16"/>
      <c r="AF16"/>
      <c r="AG16"/>
      <c r="AH16"/>
    </row>
    <row r="17" spans="1:34" ht="15.75" customHeight="1" x14ac:dyDescent="0.15">
      <c r="A17" s="9">
        <v>11</v>
      </c>
      <c r="B17" t="s">
        <v>75</v>
      </c>
      <c r="C17" t="s">
        <v>3719</v>
      </c>
      <c r="D17" t="s">
        <v>3767</v>
      </c>
      <c r="E17" s="9" t="s">
        <v>3192</v>
      </c>
      <c r="F17" s="9">
        <v>10</v>
      </c>
      <c r="G17" s="9"/>
      <c r="H17" s="9" t="s">
        <v>3768</v>
      </c>
      <c r="I17" t="s">
        <v>196</v>
      </c>
      <c r="L17" t="s">
        <v>149</v>
      </c>
      <c r="M17">
        <v>1</v>
      </c>
      <c r="N17">
        <v>-3.40282346639E+38</v>
      </c>
      <c r="O17">
        <v>3.40282346639E+38</v>
      </c>
      <c r="P17">
        <v>-3.40282346639E+38</v>
      </c>
      <c r="Q17">
        <v>3.40282346639E+38</v>
      </c>
      <c r="T17" t="s">
        <v>3707</v>
      </c>
      <c r="U17" t="s">
        <v>3708</v>
      </c>
      <c r="V17" t="s">
        <v>3769</v>
      </c>
      <c r="X17"/>
      <c r="Y17" t="s">
        <v>3770</v>
      </c>
      <c r="Z17"/>
      <c r="AA17"/>
      <c r="AE17"/>
      <c r="AF17"/>
      <c r="AG17"/>
      <c r="AH17"/>
    </row>
    <row r="18" spans="1:34" ht="15.75" customHeight="1" x14ac:dyDescent="0.15">
      <c r="A18" s="9">
        <v>12</v>
      </c>
      <c r="B18" t="s">
        <v>75</v>
      </c>
      <c r="C18" t="s">
        <v>3719</v>
      </c>
      <c r="D18" t="s">
        <v>3771</v>
      </c>
      <c r="E18" s="9" t="s">
        <v>3192</v>
      </c>
      <c r="F18" s="9">
        <v>11</v>
      </c>
      <c r="G18" s="9"/>
      <c r="H18" s="9" t="s">
        <v>3721</v>
      </c>
      <c r="I18" t="s">
        <v>3729</v>
      </c>
      <c r="L18" t="s">
        <v>82</v>
      </c>
      <c r="M18">
        <v>1</v>
      </c>
      <c r="N18">
        <v>-3.40282346639E+38</v>
      </c>
      <c r="O18">
        <v>3.40282346639E+38</v>
      </c>
      <c r="P18">
        <v>-3.40282346639E+38</v>
      </c>
      <c r="Q18">
        <v>3.40282346639E+38</v>
      </c>
      <c r="R18" t="s">
        <v>3772</v>
      </c>
      <c r="S18" t="s">
        <v>3731</v>
      </c>
      <c r="T18" t="s">
        <v>3707</v>
      </c>
      <c r="U18" t="s">
        <v>3708</v>
      </c>
      <c r="V18" t="s">
        <v>3773</v>
      </c>
      <c r="X18"/>
      <c r="Y18" t="s">
        <v>3774</v>
      </c>
      <c r="Z18"/>
      <c r="AA18"/>
      <c r="AE18"/>
      <c r="AF18"/>
      <c r="AG18"/>
      <c r="AH18"/>
    </row>
    <row r="19" spans="1:34" ht="15.75" customHeight="1" x14ac:dyDescent="0.15">
      <c r="A19" s="9">
        <v>13</v>
      </c>
      <c r="B19" t="s">
        <v>75</v>
      </c>
      <c r="C19" t="s">
        <v>3719</v>
      </c>
      <c r="D19" t="s">
        <v>3775</v>
      </c>
      <c r="E19" s="9" t="s">
        <v>3192</v>
      </c>
      <c r="F19" s="9">
        <v>12</v>
      </c>
      <c r="G19" s="9"/>
      <c r="H19" s="9" t="s">
        <v>3776</v>
      </c>
      <c r="I19" t="s">
        <v>3729</v>
      </c>
      <c r="L19" t="s">
        <v>82</v>
      </c>
      <c r="M19">
        <v>1</v>
      </c>
      <c r="N19">
        <v>-3.40282346639E+38</v>
      </c>
      <c r="O19">
        <v>3.40282346639E+38</v>
      </c>
      <c r="P19">
        <v>-3.40282346639E+38</v>
      </c>
      <c r="Q19">
        <v>3.40282346639E+38</v>
      </c>
      <c r="R19" t="s">
        <v>3777</v>
      </c>
      <c r="S19" t="s">
        <v>3778</v>
      </c>
      <c r="T19" t="s">
        <v>3707</v>
      </c>
      <c r="U19" t="s">
        <v>3708</v>
      </c>
      <c r="V19" t="s">
        <v>3779</v>
      </c>
      <c r="X19"/>
      <c r="Y19" t="s">
        <v>3780</v>
      </c>
      <c r="Z19"/>
      <c r="AA19"/>
      <c r="AE19"/>
      <c r="AF19"/>
      <c r="AG19"/>
      <c r="AH19"/>
    </row>
    <row r="20" spans="1:34" ht="15.75" customHeight="1" x14ac:dyDescent="0.15">
      <c r="A20" s="9">
        <v>14</v>
      </c>
      <c r="B20" t="s">
        <v>75</v>
      </c>
      <c r="C20" t="s">
        <v>3719</v>
      </c>
      <c r="D20" t="s">
        <v>3781</v>
      </c>
      <c r="E20" s="9" t="s">
        <v>107</v>
      </c>
      <c r="F20" s="9">
        <v>13</v>
      </c>
      <c r="G20" s="9"/>
      <c r="H20" s="9" t="s">
        <v>3721</v>
      </c>
      <c r="I20" t="s">
        <v>3089</v>
      </c>
      <c r="L20" t="s">
        <v>3722</v>
      </c>
      <c r="M20">
        <v>1</v>
      </c>
      <c r="N20">
        <v>-2147483648</v>
      </c>
      <c r="O20">
        <v>2147483647</v>
      </c>
      <c r="P20">
        <v>-2147483648</v>
      </c>
      <c r="Q20">
        <v>2147483647</v>
      </c>
      <c r="T20" t="s">
        <v>3723</v>
      </c>
      <c r="U20" t="s">
        <v>3708</v>
      </c>
      <c r="V20" t="s">
        <v>3782</v>
      </c>
      <c r="W20" t="s">
        <v>3783</v>
      </c>
      <c r="X20" t="s">
        <v>3784</v>
      </c>
      <c r="Y20" t="s">
        <v>3785</v>
      </c>
      <c r="Z20"/>
      <c r="AA20"/>
      <c r="AE20"/>
      <c r="AF20"/>
      <c r="AG20"/>
      <c r="AH20"/>
    </row>
    <row r="21" spans="1:34" ht="15.75" customHeight="1" x14ac:dyDescent="0.15">
      <c r="A21" s="9">
        <v>15</v>
      </c>
      <c r="B21" t="s">
        <v>75</v>
      </c>
      <c r="C21" t="s">
        <v>3719</v>
      </c>
      <c r="D21" t="s">
        <v>3786</v>
      </c>
      <c r="E21" s="9" t="s">
        <v>107</v>
      </c>
      <c r="F21" s="9">
        <v>14</v>
      </c>
      <c r="G21" s="9"/>
      <c r="H21" s="9" t="s">
        <v>3721</v>
      </c>
      <c r="I21" t="s">
        <v>3729</v>
      </c>
      <c r="L21" t="s">
        <v>3722</v>
      </c>
      <c r="M21">
        <v>1</v>
      </c>
      <c r="N21">
        <v>-2147483648</v>
      </c>
      <c r="O21">
        <v>2147483647</v>
      </c>
      <c r="P21">
        <v>-2147483648</v>
      </c>
      <c r="Q21">
        <v>2147483647</v>
      </c>
      <c r="R21" t="s">
        <v>3787</v>
      </c>
      <c r="S21" t="s">
        <v>3778</v>
      </c>
      <c r="T21" t="s">
        <v>3723</v>
      </c>
      <c r="U21" t="s">
        <v>3708</v>
      </c>
      <c r="V21" t="s">
        <v>3788</v>
      </c>
      <c r="W21" t="s">
        <v>3783</v>
      </c>
      <c r="X21" t="s">
        <v>3784</v>
      </c>
      <c r="Y21" t="s">
        <v>3789</v>
      </c>
      <c r="Z21"/>
      <c r="AA21"/>
      <c r="AE21"/>
      <c r="AF21"/>
      <c r="AG21"/>
      <c r="AH21"/>
    </row>
    <row r="22" spans="1:34" ht="15.75" customHeight="1" x14ac:dyDescent="0.15">
      <c r="A22" s="9">
        <v>16</v>
      </c>
      <c r="B22" t="s">
        <v>75</v>
      </c>
      <c r="C22" t="s">
        <v>3719</v>
      </c>
      <c r="D22" t="s">
        <v>3790</v>
      </c>
      <c r="E22" s="9" t="s">
        <v>3192</v>
      </c>
      <c r="F22" s="9">
        <v>15</v>
      </c>
      <c r="G22" s="9"/>
      <c r="H22" s="9" t="s">
        <v>3721</v>
      </c>
      <c r="I22" t="s">
        <v>3729</v>
      </c>
      <c r="L22" t="s">
        <v>3791</v>
      </c>
      <c r="M22">
        <v>1</v>
      </c>
      <c r="N22">
        <v>-3.40282346639E+38</v>
      </c>
      <c r="O22">
        <v>3.40282346639E+38</v>
      </c>
      <c r="P22">
        <v>-3.40282346639E+38</v>
      </c>
      <c r="Q22">
        <v>3.40282346639E+38</v>
      </c>
      <c r="R22" t="s">
        <v>3792</v>
      </c>
      <c r="S22" t="s">
        <v>3793</v>
      </c>
      <c r="T22" t="s">
        <v>3707</v>
      </c>
      <c r="U22" t="s">
        <v>3708</v>
      </c>
      <c r="V22" t="s">
        <v>3794</v>
      </c>
      <c r="X22"/>
      <c r="Y22" t="s">
        <v>3795</v>
      </c>
      <c r="Z22"/>
      <c r="AA22"/>
      <c r="AE22"/>
      <c r="AF22"/>
      <c r="AG22"/>
      <c r="AH22"/>
    </row>
    <row r="23" spans="1:34" ht="15.75" customHeight="1" x14ac:dyDescent="0.15">
      <c r="A23" s="9">
        <v>17</v>
      </c>
      <c r="B23" t="s">
        <v>75</v>
      </c>
      <c r="C23" t="s">
        <v>3719</v>
      </c>
      <c r="D23" t="s">
        <v>3796</v>
      </c>
      <c r="E23" s="9" t="s">
        <v>3192</v>
      </c>
      <c r="F23" s="9">
        <v>16</v>
      </c>
      <c r="G23" s="9"/>
      <c r="H23" s="9" t="s">
        <v>3797</v>
      </c>
      <c r="I23" t="s">
        <v>3729</v>
      </c>
      <c r="L23" t="s">
        <v>3791</v>
      </c>
      <c r="M23">
        <v>1</v>
      </c>
      <c r="N23">
        <v>-3.40282346639E+38</v>
      </c>
      <c r="O23">
        <v>3.40282346639E+38</v>
      </c>
      <c r="P23">
        <v>-3.40282346639E+38</v>
      </c>
      <c r="Q23">
        <v>3.40282346639E+38</v>
      </c>
      <c r="R23" t="s">
        <v>3798</v>
      </c>
      <c r="S23" t="s">
        <v>3778</v>
      </c>
      <c r="T23" t="s">
        <v>3707</v>
      </c>
      <c r="U23" t="s">
        <v>3708</v>
      </c>
      <c r="V23" t="s">
        <v>3799</v>
      </c>
      <c r="X23"/>
      <c r="Y23" t="s">
        <v>3800</v>
      </c>
      <c r="Z23"/>
      <c r="AA23"/>
      <c r="AE23"/>
      <c r="AF23"/>
      <c r="AG23"/>
      <c r="AH23"/>
    </row>
    <row r="24" spans="1:34" ht="15.75" customHeight="1" x14ac:dyDescent="0.15">
      <c r="A24" s="9">
        <v>18</v>
      </c>
      <c r="B24" t="s">
        <v>75</v>
      </c>
      <c r="C24" t="s">
        <v>3719</v>
      </c>
      <c r="D24" t="s">
        <v>3801</v>
      </c>
      <c r="E24" s="9" t="s">
        <v>3192</v>
      </c>
      <c r="F24" s="9">
        <v>17</v>
      </c>
      <c r="G24" s="9"/>
      <c r="H24" s="9" t="s">
        <v>3802</v>
      </c>
      <c r="I24" t="s">
        <v>196</v>
      </c>
      <c r="L24" t="s">
        <v>82</v>
      </c>
      <c r="M24">
        <v>1</v>
      </c>
      <c r="N24">
        <v>-3.40282346639E+38</v>
      </c>
      <c r="O24">
        <v>3.40282346639E+38</v>
      </c>
      <c r="P24">
        <v>-3.40282346639E+38</v>
      </c>
      <c r="Q24">
        <v>3.40282346639E+38</v>
      </c>
      <c r="T24" t="s">
        <v>3707</v>
      </c>
      <c r="U24" t="s">
        <v>3708</v>
      </c>
      <c r="V24" t="s">
        <v>3803</v>
      </c>
      <c r="X24"/>
      <c r="Y24" t="s">
        <v>3804</v>
      </c>
      <c r="Z24"/>
      <c r="AA24"/>
      <c r="AE24"/>
      <c r="AF24"/>
      <c r="AG24"/>
      <c r="AH24"/>
    </row>
    <row r="25" spans="1:34" ht="15.75" customHeight="1" x14ac:dyDescent="0.15">
      <c r="A25" s="9">
        <v>19</v>
      </c>
      <c r="B25" t="s">
        <v>75</v>
      </c>
      <c r="C25" t="s">
        <v>3719</v>
      </c>
      <c r="D25" t="s">
        <v>3805</v>
      </c>
      <c r="E25" s="9" t="s">
        <v>3192</v>
      </c>
      <c r="F25" s="9">
        <v>18</v>
      </c>
      <c r="G25" s="9"/>
      <c r="H25" s="9" t="s">
        <v>3806</v>
      </c>
      <c r="I25" t="s">
        <v>196</v>
      </c>
      <c r="L25" t="s">
        <v>86</v>
      </c>
      <c r="M25">
        <v>1</v>
      </c>
      <c r="N25">
        <v>-3.40282346639E+38</v>
      </c>
      <c r="O25">
        <v>3.40282346639E+38</v>
      </c>
      <c r="P25">
        <v>-3.40282346639E+38</v>
      </c>
      <c r="Q25">
        <v>3.40282346639E+38</v>
      </c>
      <c r="T25" t="s">
        <v>3807</v>
      </c>
      <c r="U25" t="s">
        <v>3708</v>
      </c>
      <c r="V25" t="s">
        <v>3808</v>
      </c>
      <c r="X25"/>
      <c r="Y25" t="s">
        <v>3809</v>
      </c>
      <c r="Z25"/>
      <c r="AA25"/>
      <c r="AE25"/>
      <c r="AF25"/>
      <c r="AG25"/>
      <c r="AH25"/>
    </row>
    <row r="26" spans="1:34" ht="15.75" customHeight="1" x14ac:dyDescent="0.15">
      <c r="A26" s="9">
        <v>20</v>
      </c>
      <c r="B26" t="s">
        <v>75</v>
      </c>
      <c r="C26" t="s">
        <v>3719</v>
      </c>
      <c r="D26" t="s">
        <v>3810</v>
      </c>
      <c r="E26" s="9" t="s">
        <v>3192</v>
      </c>
      <c r="F26" s="9">
        <v>19</v>
      </c>
      <c r="G26" s="9"/>
      <c r="H26" s="9" t="s">
        <v>3721</v>
      </c>
      <c r="I26" t="s">
        <v>196</v>
      </c>
      <c r="L26" t="s">
        <v>86</v>
      </c>
      <c r="M26">
        <v>1</v>
      </c>
      <c r="N26">
        <v>-3.40282346639E+38</v>
      </c>
      <c r="O26">
        <v>3.40282346639E+38</v>
      </c>
      <c r="P26">
        <v>-3.40282346639E+38</v>
      </c>
      <c r="Q26">
        <v>3.40282346639E+38</v>
      </c>
      <c r="T26" t="s">
        <v>3723</v>
      </c>
      <c r="U26" t="s">
        <v>3708</v>
      </c>
      <c r="V26" t="s">
        <v>3811</v>
      </c>
      <c r="X26"/>
      <c r="Y26" t="s">
        <v>3812</v>
      </c>
      <c r="Z26"/>
      <c r="AA26"/>
      <c r="AE26"/>
      <c r="AF26"/>
      <c r="AG26"/>
      <c r="AH26"/>
    </row>
    <row r="27" spans="1:34" ht="15.75" customHeight="1" x14ac:dyDescent="0.15">
      <c r="A27" s="9">
        <v>21</v>
      </c>
      <c r="B27" t="s">
        <v>75</v>
      </c>
      <c r="C27" t="s">
        <v>3719</v>
      </c>
      <c r="D27" t="s">
        <v>3813</v>
      </c>
      <c r="E27" s="9" t="s">
        <v>3192</v>
      </c>
      <c r="F27" s="9">
        <v>20</v>
      </c>
      <c r="G27" s="9"/>
      <c r="H27" s="9" t="s">
        <v>3814</v>
      </c>
      <c r="I27" t="s">
        <v>196</v>
      </c>
      <c r="L27" t="s">
        <v>86</v>
      </c>
      <c r="M27">
        <v>1</v>
      </c>
      <c r="N27">
        <v>-3.40282346639E+38</v>
      </c>
      <c r="O27">
        <v>3.40282346639E+38</v>
      </c>
      <c r="P27">
        <v>-3.40282346639E+38</v>
      </c>
      <c r="Q27">
        <v>3.40282346639E+38</v>
      </c>
      <c r="T27" t="s">
        <v>3807</v>
      </c>
      <c r="U27" t="s">
        <v>3815</v>
      </c>
      <c r="V27" t="s">
        <v>3816</v>
      </c>
      <c r="X27"/>
      <c r="Y27" t="s">
        <v>3817</v>
      </c>
      <c r="Z27"/>
      <c r="AA27"/>
      <c r="AE27"/>
      <c r="AF27"/>
      <c r="AG27"/>
      <c r="AH27"/>
    </row>
    <row r="28" spans="1:34" ht="15.75" customHeight="1" x14ac:dyDescent="0.15">
      <c r="A28" s="9">
        <v>22</v>
      </c>
      <c r="B28" t="s">
        <v>75</v>
      </c>
      <c r="C28" t="s">
        <v>3719</v>
      </c>
      <c r="D28" t="s">
        <v>3818</v>
      </c>
      <c r="E28" s="9" t="s">
        <v>3192</v>
      </c>
      <c r="F28" s="9">
        <v>21</v>
      </c>
      <c r="G28" s="9"/>
      <c r="H28" s="9" t="s">
        <v>3819</v>
      </c>
      <c r="I28" t="s">
        <v>196</v>
      </c>
      <c r="L28" t="s">
        <v>104</v>
      </c>
      <c r="M28">
        <v>1</v>
      </c>
      <c r="N28">
        <v>-3.40282346639E+38</v>
      </c>
      <c r="O28">
        <v>3.40282346639E+38</v>
      </c>
      <c r="P28">
        <v>-3.40282346639E+38</v>
      </c>
      <c r="Q28">
        <v>3.40282346639E+38</v>
      </c>
      <c r="T28" t="s">
        <v>3807</v>
      </c>
      <c r="U28" t="s">
        <v>3815</v>
      </c>
      <c r="V28" t="s">
        <v>3820</v>
      </c>
      <c r="X28"/>
      <c r="Y28" t="s">
        <v>3821</v>
      </c>
      <c r="Z28"/>
      <c r="AA28"/>
      <c r="AE28"/>
      <c r="AF28"/>
      <c r="AG28"/>
      <c r="AH28"/>
    </row>
    <row r="29" spans="1:34" s="9" customFormat="1" ht="15.75" customHeight="1" x14ac:dyDescent="0.15">
      <c r="A29" s="9">
        <v>23</v>
      </c>
      <c r="B29" s="9" t="s">
        <v>75</v>
      </c>
      <c r="C29" s="9" t="s">
        <v>3719</v>
      </c>
      <c r="D29" t="s">
        <v>3822</v>
      </c>
      <c r="E29" s="20" t="s">
        <v>3192</v>
      </c>
      <c r="F29" s="9">
        <v>22</v>
      </c>
      <c r="H29" s="9" t="s">
        <v>3823</v>
      </c>
      <c r="I29" s="9" t="s">
        <v>3729</v>
      </c>
      <c r="L29" s="9" t="s">
        <v>266</v>
      </c>
      <c r="M29">
        <v>1</v>
      </c>
      <c r="N29">
        <v>-3.40282346639E+38</v>
      </c>
      <c r="O29">
        <v>3.40282346639E+38</v>
      </c>
      <c r="P29">
        <v>-3.40282346639E+38</v>
      </c>
      <c r="Q29">
        <v>3.40282346639E+38</v>
      </c>
      <c r="R29" s="9" t="s">
        <v>3824</v>
      </c>
      <c r="S29" s="9" t="s">
        <v>3793</v>
      </c>
      <c r="T29" s="9" t="s">
        <v>3807</v>
      </c>
      <c r="U29" s="9" t="s">
        <v>3825</v>
      </c>
      <c r="V29" s="9" t="s">
        <v>3826</v>
      </c>
      <c r="Y29" t="s">
        <v>3827</v>
      </c>
      <c r="Z29"/>
    </row>
    <row r="30" spans="1:34" s="9" customFormat="1" ht="15.75" customHeight="1" x14ac:dyDescent="0.15">
      <c r="A30" s="9">
        <v>24</v>
      </c>
      <c r="B30" s="9" t="s">
        <v>75</v>
      </c>
      <c r="C30" s="9" t="s">
        <v>3719</v>
      </c>
      <c r="D30" t="s">
        <v>3828</v>
      </c>
      <c r="E30" s="20" t="s">
        <v>3192</v>
      </c>
      <c r="F30" s="9">
        <v>23</v>
      </c>
      <c r="H30" s="9" t="s">
        <v>3829</v>
      </c>
      <c r="I30" s="9" t="s">
        <v>3729</v>
      </c>
      <c r="L30" s="9" t="s">
        <v>266</v>
      </c>
      <c r="M30">
        <v>1</v>
      </c>
      <c r="N30">
        <v>-3.40282346639E+38</v>
      </c>
      <c r="O30">
        <v>3.40282346639E+38</v>
      </c>
      <c r="P30">
        <v>-3.40282346639E+38</v>
      </c>
      <c r="Q30">
        <v>3.40282346639E+38</v>
      </c>
      <c r="R30" s="9" t="s">
        <v>3824</v>
      </c>
      <c r="S30" s="9" t="s">
        <v>3793</v>
      </c>
      <c r="T30" s="9" t="s">
        <v>3807</v>
      </c>
      <c r="U30" s="9" t="s">
        <v>3825</v>
      </c>
      <c r="V30" s="9" t="s">
        <v>3830</v>
      </c>
      <c r="Y30" t="s">
        <v>3831</v>
      </c>
      <c r="Z30"/>
    </row>
    <row r="31" spans="1:34" s="9" customFormat="1" ht="15.75" customHeight="1" x14ac:dyDescent="0.15">
      <c r="A31" s="9">
        <v>25</v>
      </c>
      <c r="B31" s="9" t="s">
        <v>75</v>
      </c>
      <c r="C31" s="9" t="s">
        <v>3719</v>
      </c>
      <c r="D31" t="s">
        <v>3832</v>
      </c>
      <c r="E31" s="20" t="s">
        <v>3192</v>
      </c>
      <c r="F31" s="9">
        <v>24</v>
      </c>
      <c r="H31" s="9" t="s">
        <v>3833</v>
      </c>
      <c r="I31" s="9" t="s">
        <v>3729</v>
      </c>
      <c r="L31" s="9" t="s">
        <v>2281</v>
      </c>
      <c r="M31">
        <v>1</v>
      </c>
      <c r="N31">
        <v>-3.40282346639E+38</v>
      </c>
      <c r="O31">
        <v>3.40282346639E+38</v>
      </c>
      <c r="P31">
        <v>-3.40282346639E+38</v>
      </c>
      <c r="Q31">
        <v>3.40282346639E+38</v>
      </c>
      <c r="R31" s="9" t="s">
        <v>3834</v>
      </c>
      <c r="S31" s="9" t="s">
        <v>3731</v>
      </c>
      <c r="T31" s="9" t="s">
        <v>3807</v>
      </c>
      <c r="U31" s="9" t="s">
        <v>3815</v>
      </c>
      <c r="V31" s="9" t="s">
        <v>3835</v>
      </c>
      <c r="X31" s="9" t="s">
        <v>3836</v>
      </c>
      <c r="Y31" t="s">
        <v>3837</v>
      </c>
      <c r="Z31"/>
    </row>
    <row r="32" spans="1:34" s="9" customFormat="1" ht="15.75" customHeight="1" x14ac:dyDescent="0.15">
      <c r="A32" s="9">
        <v>26</v>
      </c>
      <c r="B32" s="9" t="s">
        <v>75</v>
      </c>
      <c r="C32" s="9" t="s">
        <v>3719</v>
      </c>
      <c r="D32" t="s">
        <v>3838</v>
      </c>
      <c r="E32" s="20" t="s">
        <v>3192</v>
      </c>
      <c r="F32" s="9">
        <v>25</v>
      </c>
      <c r="H32" s="9" t="s">
        <v>3839</v>
      </c>
      <c r="I32" s="9" t="s">
        <v>196</v>
      </c>
      <c r="L32" s="9" t="s">
        <v>153</v>
      </c>
      <c r="M32">
        <v>1</v>
      </c>
      <c r="N32">
        <v>-3.40282346639E+38</v>
      </c>
      <c r="O32">
        <v>3.40282346639E+38</v>
      </c>
      <c r="P32">
        <v>-3.40282346639E+38</v>
      </c>
      <c r="Q32">
        <v>3.40282346639E+38</v>
      </c>
      <c r="T32" s="9" t="s">
        <v>3807</v>
      </c>
      <c r="U32" s="9" t="s">
        <v>3815</v>
      </c>
      <c r="V32" s="9" t="s">
        <v>3840</v>
      </c>
      <c r="Y32" t="s">
        <v>3841</v>
      </c>
      <c r="Z32"/>
    </row>
    <row r="33" spans="1:34" s="9" customFormat="1" ht="15.75" customHeight="1" x14ac:dyDescent="0.15">
      <c r="A33" s="9">
        <v>27</v>
      </c>
      <c r="B33" s="9" t="s">
        <v>75</v>
      </c>
      <c r="C33" s="9" t="s">
        <v>3719</v>
      </c>
      <c r="D33" t="s">
        <v>3842</v>
      </c>
      <c r="E33" s="20" t="s">
        <v>3192</v>
      </c>
      <c r="F33" s="9">
        <v>26</v>
      </c>
      <c r="H33" s="9" t="s">
        <v>3843</v>
      </c>
      <c r="I33" s="9" t="s">
        <v>196</v>
      </c>
      <c r="L33" s="9" t="s">
        <v>153</v>
      </c>
      <c r="M33">
        <v>1</v>
      </c>
      <c r="N33">
        <v>-3.40282346639E+38</v>
      </c>
      <c r="O33">
        <v>3.40282346639E+38</v>
      </c>
      <c r="P33">
        <v>-3.40282346639E+38</v>
      </c>
      <c r="Q33">
        <v>3.40282346639E+38</v>
      </c>
      <c r="T33" s="9" t="s">
        <v>3807</v>
      </c>
      <c r="U33" s="9" t="s">
        <v>3815</v>
      </c>
      <c r="V33" s="9" t="s">
        <v>3844</v>
      </c>
      <c r="Y33" t="s">
        <v>3845</v>
      </c>
      <c r="Z33"/>
    </row>
    <row r="34" spans="1:34" s="9" customFormat="1" ht="15.75" customHeight="1" x14ac:dyDescent="0.15">
      <c r="A34" s="9">
        <v>28</v>
      </c>
      <c r="B34" s="9" t="s">
        <v>75</v>
      </c>
      <c r="C34" s="9" t="s">
        <v>3719</v>
      </c>
      <c r="D34" t="s">
        <v>3846</v>
      </c>
      <c r="E34" s="20" t="s">
        <v>107</v>
      </c>
      <c r="F34" s="9">
        <v>27</v>
      </c>
      <c r="H34" s="9" t="s">
        <v>3847</v>
      </c>
      <c r="I34" s="9" t="s">
        <v>196</v>
      </c>
      <c r="L34" s="9" t="s">
        <v>3722</v>
      </c>
      <c r="M34">
        <v>1</v>
      </c>
      <c r="N34">
        <v>-2147483648</v>
      </c>
      <c r="O34">
        <v>2147483647</v>
      </c>
      <c r="P34">
        <v>-2147483648</v>
      </c>
      <c r="Q34">
        <v>2147483647</v>
      </c>
      <c r="T34" s="9" t="s">
        <v>3723</v>
      </c>
      <c r="U34" s="9" t="s">
        <v>3815</v>
      </c>
      <c r="V34" s="9" t="s">
        <v>3848</v>
      </c>
      <c r="W34" s="9" t="s">
        <v>2351</v>
      </c>
      <c r="Y34" t="s">
        <v>3849</v>
      </c>
      <c r="Z34"/>
    </row>
    <row r="35" spans="1:34" s="9" customFormat="1" ht="15.75" customHeight="1" x14ac:dyDescent="0.15">
      <c r="A35" s="9">
        <v>29</v>
      </c>
      <c r="B35" s="9" t="s">
        <v>75</v>
      </c>
      <c r="C35" s="9" t="s">
        <v>3719</v>
      </c>
      <c r="D35" t="s">
        <v>3850</v>
      </c>
      <c r="E35" s="20" t="s">
        <v>3192</v>
      </c>
      <c r="F35" s="9">
        <v>28</v>
      </c>
      <c r="H35" s="9" t="s">
        <v>3851</v>
      </c>
      <c r="M35">
        <v>1</v>
      </c>
      <c r="N35">
        <v>-3.40282346639E+38</v>
      </c>
      <c r="O35">
        <v>3.40282346639E+38</v>
      </c>
      <c r="P35">
        <v>-3.40282346639E+38</v>
      </c>
      <c r="Q35">
        <v>3.40282346639E+38</v>
      </c>
      <c r="T35" s="9" t="s">
        <v>3852</v>
      </c>
      <c r="U35" s="9" t="s">
        <v>3853</v>
      </c>
      <c r="V35" s="9" t="s">
        <v>3854</v>
      </c>
      <c r="Y35" t="s">
        <v>3855</v>
      </c>
      <c r="Z35"/>
    </row>
    <row r="36" spans="1:34" s="9" customFormat="1" ht="15.75" customHeight="1" x14ac:dyDescent="0.15">
      <c r="A36" s="9">
        <v>30</v>
      </c>
      <c r="B36" s="9" t="s">
        <v>75</v>
      </c>
      <c r="C36" s="9" t="s">
        <v>3719</v>
      </c>
      <c r="D36" t="s">
        <v>3856</v>
      </c>
      <c r="E36" s="20" t="s">
        <v>107</v>
      </c>
      <c r="F36" s="9">
        <v>29</v>
      </c>
      <c r="H36" s="9" t="s">
        <v>3857</v>
      </c>
      <c r="L36" s="9" t="s">
        <v>2311</v>
      </c>
      <c r="M36">
        <v>1</v>
      </c>
      <c r="N36">
        <v>-2147483648</v>
      </c>
      <c r="O36">
        <v>2147483647</v>
      </c>
      <c r="P36">
        <v>-2147483648</v>
      </c>
      <c r="Q36">
        <v>2147483647</v>
      </c>
      <c r="T36" s="9" t="s">
        <v>3807</v>
      </c>
      <c r="U36" s="9" t="s">
        <v>3815</v>
      </c>
      <c r="V36" s="9" t="s">
        <v>3858</v>
      </c>
      <c r="Y36" t="s">
        <v>3859</v>
      </c>
      <c r="Z36"/>
    </row>
    <row r="37" spans="1:34" s="9" customFormat="1" ht="15.75" customHeight="1" x14ac:dyDescent="0.15">
      <c r="A37" s="9">
        <v>31</v>
      </c>
      <c r="B37" s="9" t="s">
        <v>75</v>
      </c>
      <c r="C37" s="9" t="s">
        <v>3719</v>
      </c>
      <c r="D37" t="s">
        <v>3860</v>
      </c>
      <c r="E37" s="20" t="s">
        <v>107</v>
      </c>
      <c r="F37" s="9">
        <v>30</v>
      </c>
      <c r="H37" s="9" t="s">
        <v>3861</v>
      </c>
      <c r="L37" s="9" t="s">
        <v>2311</v>
      </c>
      <c r="M37">
        <v>1</v>
      </c>
      <c r="N37">
        <v>-2147483648</v>
      </c>
      <c r="O37">
        <v>2147483647</v>
      </c>
      <c r="P37">
        <v>-2147483648</v>
      </c>
      <c r="Q37">
        <v>2147483647</v>
      </c>
      <c r="T37" s="9" t="s">
        <v>3807</v>
      </c>
      <c r="U37" s="9" t="s">
        <v>3815</v>
      </c>
      <c r="V37" s="9" t="s">
        <v>3862</v>
      </c>
      <c r="Y37" t="s">
        <v>3863</v>
      </c>
      <c r="Z37"/>
    </row>
    <row r="38" spans="1:34" s="9" customFormat="1" ht="15.75" customHeight="1" x14ac:dyDescent="0.15">
      <c r="A38" s="9">
        <v>32</v>
      </c>
      <c r="B38" s="9" t="s">
        <v>75</v>
      </c>
      <c r="C38" s="9" t="s">
        <v>3719</v>
      </c>
      <c r="D38" t="s">
        <v>3864</v>
      </c>
      <c r="E38" s="20" t="s">
        <v>107</v>
      </c>
      <c r="F38" s="9">
        <v>31</v>
      </c>
      <c r="H38" s="9" t="s">
        <v>3865</v>
      </c>
      <c r="L38" s="9" t="s">
        <v>2311</v>
      </c>
      <c r="M38">
        <v>1</v>
      </c>
      <c r="N38">
        <v>-2147483648</v>
      </c>
      <c r="O38">
        <v>2147483647</v>
      </c>
      <c r="P38">
        <v>-2147483648</v>
      </c>
      <c r="Q38">
        <v>2147483647</v>
      </c>
      <c r="T38" s="9" t="s">
        <v>3807</v>
      </c>
      <c r="U38" s="9" t="s">
        <v>3815</v>
      </c>
      <c r="V38" s="9" t="s">
        <v>3866</v>
      </c>
      <c r="Y38" t="s">
        <v>3867</v>
      </c>
      <c r="Z38"/>
    </row>
    <row r="39" spans="1:34" s="9" customFormat="1" ht="15.75" customHeight="1" x14ac:dyDescent="0.15">
      <c r="A39" s="9">
        <v>33</v>
      </c>
      <c r="B39" s="9" t="s">
        <v>75</v>
      </c>
      <c r="C39" s="9" t="s">
        <v>3719</v>
      </c>
      <c r="D39" t="s">
        <v>3868</v>
      </c>
      <c r="E39" s="20" t="s">
        <v>107</v>
      </c>
      <c r="F39" s="9">
        <v>32</v>
      </c>
      <c r="H39" s="9" t="s">
        <v>3869</v>
      </c>
      <c r="L39" s="9" t="s">
        <v>2311</v>
      </c>
      <c r="M39">
        <v>1</v>
      </c>
      <c r="N39">
        <v>-2147483648</v>
      </c>
      <c r="O39">
        <v>2147483647</v>
      </c>
      <c r="P39">
        <v>-2147483648</v>
      </c>
      <c r="Q39">
        <v>2147483647</v>
      </c>
      <c r="T39" s="9" t="s">
        <v>3807</v>
      </c>
      <c r="U39" s="9" t="s">
        <v>3815</v>
      </c>
      <c r="V39" s="9" t="s">
        <v>3870</v>
      </c>
      <c r="Y39" t="s">
        <v>3871</v>
      </c>
      <c r="Z39"/>
    </row>
    <row r="40" spans="1:34" s="9" customFormat="1" ht="15.75" customHeight="1" x14ac:dyDescent="0.15">
      <c r="A40" s="9">
        <v>34</v>
      </c>
      <c r="B40" s="9" t="s">
        <v>75</v>
      </c>
      <c r="C40" s="9" t="s">
        <v>3719</v>
      </c>
      <c r="D40" t="s">
        <v>3872</v>
      </c>
      <c r="E40" s="20" t="s">
        <v>107</v>
      </c>
      <c r="F40" s="9">
        <v>33</v>
      </c>
      <c r="H40" s="9" t="s">
        <v>3873</v>
      </c>
      <c r="L40" s="9" t="s">
        <v>2311</v>
      </c>
      <c r="M40">
        <v>1</v>
      </c>
      <c r="N40">
        <v>-2147483648</v>
      </c>
      <c r="O40">
        <v>2147483647</v>
      </c>
      <c r="P40">
        <v>-2147483648</v>
      </c>
      <c r="Q40">
        <v>2147483647</v>
      </c>
      <c r="T40" s="9" t="s">
        <v>3807</v>
      </c>
      <c r="U40" s="9" t="s">
        <v>3815</v>
      </c>
      <c r="V40" s="9" t="s">
        <v>3874</v>
      </c>
      <c r="Y40" t="s">
        <v>3875</v>
      </c>
      <c r="Z40"/>
    </row>
    <row r="41" spans="1:34" s="9" customFormat="1" ht="15.75" customHeight="1" x14ac:dyDescent="0.15">
      <c r="A41" s="9">
        <v>35</v>
      </c>
      <c r="B41" s="9" t="s">
        <v>75</v>
      </c>
      <c r="C41" s="9" t="s">
        <v>3719</v>
      </c>
      <c r="D41" t="s">
        <v>3876</v>
      </c>
      <c r="E41" s="20" t="s">
        <v>107</v>
      </c>
      <c r="F41" s="9">
        <v>34</v>
      </c>
      <c r="H41" s="9" t="s">
        <v>3877</v>
      </c>
      <c r="L41" s="9" t="s">
        <v>2311</v>
      </c>
      <c r="M41">
        <v>1</v>
      </c>
      <c r="N41">
        <v>-2147483648</v>
      </c>
      <c r="O41">
        <v>2147483647</v>
      </c>
      <c r="P41">
        <v>-2147483648</v>
      </c>
      <c r="Q41">
        <v>2147483647</v>
      </c>
      <c r="T41" s="9" t="s">
        <v>3807</v>
      </c>
      <c r="U41" s="9" t="s">
        <v>3815</v>
      </c>
      <c r="V41" s="9" t="s">
        <v>3878</v>
      </c>
      <c r="Y41" t="s">
        <v>3879</v>
      </c>
      <c r="Z41"/>
    </row>
    <row r="42" spans="1:34" s="9" customFormat="1" ht="15.75" customHeight="1" x14ac:dyDescent="0.15">
      <c r="A42" s="9">
        <v>36</v>
      </c>
      <c r="B42" s="9" t="s">
        <v>75</v>
      </c>
      <c r="C42" s="9" t="s">
        <v>3719</v>
      </c>
      <c r="D42" t="s">
        <v>3880</v>
      </c>
      <c r="E42" s="20" t="s">
        <v>107</v>
      </c>
      <c r="F42" s="9">
        <v>35</v>
      </c>
      <c r="H42" s="9" t="s">
        <v>3881</v>
      </c>
      <c r="L42" s="9" t="s">
        <v>2311</v>
      </c>
      <c r="M42">
        <v>1</v>
      </c>
      <c r="N42">
        <v>-2147483648</v>
      </c>
      <c r="O42">
        <v>2147483647</v>
      </c>
      <c r="P42">
        <v>-2147483648</v>
      </c>
      <c r="Q42">
        <v>2147483647</v>
      </c>
      <c r="T42" s="9" t="s">
        <v>3807</v>
      </c>
      <c r="U42" s="9" t="s">
        <v>3815</v>
      </c>
      <c r="V42" s="9" t="s">
        <v>3882</v>
      </c>
      <c r="Y42" t="s">
        <v>3883</v>
      </c>
      <c r="Z42"/>
    </row>
    <row r="43" spans="1:34" s="9" customFormat="1" ht="15.75" customHeight="1" x14ac:dyDescent="0.15">
      <c r="A43" s="9">
        <v>37</v>
      </c>
      <c r="B43" s="9" t="s">
        <v>75</v>
      </c>
      <c r="C43" s="9" t="s">
        <v>3719</v>
      </c>
      <c r="D43" t="s">
        <v>3884</v>
      </c>
      <c r="E43" s="20" t="s">
        <v>107</v>
      </c>
      <c r="F43" s="9">
        <v>36</v>
      </c>
      <c r="H43" s="9" t="s">
        <v>3885</v>
      </c>
      <c r="L43" s="9" t="s">
        <v>2311</v>
      </c>
      <c r="M43">
        <v>1</v>
      </c>
      <c r="N43">
        <v>-2147483648</v>
      </c>
      <c r="O43">
        <v>2147483647</v>
      </c>
      <c r="P43">
        <v>-2147483648</v>
      </c>
      <c r="Q43">
        <v>2147483647</v>
      </c>
      <c r="T43" s="9" t="s">
        <v>3807</v>
      </c>
      <c r="U43" s="9" t="s">
        <v>3815</v>
      </c>
      <c r="V43" s="9" t="s">
        <v>3886</v>
      </c>
      <c r="Y43" t="s">
        <v>3887</v>
      </c>
      <c r="Z43"/>
    </row>
    <row r="44" spans="1:34" s="9" customFormat="1" ht="15.75" customHeight="1" x14ac:dyDescent="0.15">
      <c r="A44" s="9">
        <v>38</v>
      </c>
      <c r="B44" s="9" t="s">
        <v>75</v>
      </c>
      <c r="C44" s="9" t="s">
        <v>3719</v>
      </c>
      <c r="D44" t="s">
        <v>3888</v>
      </c>
      <c r="E44" s="20" t="s">
        <v>107</v>
      </c>
      <c r="F44" s="9">
        <v>37</v>
      </c>
      <c r="H44" s="9" t="s">
        <v>3889</v>
      </c>
      <c r="L44" s="9" t="s">
        <v>2311</v>
      </c>
      <c r="M44">
        <v>1</v>
      </c>
      <c r="N44">
        <v>-2147483648</v>
      </c>
      <c r="O44">
        <v>2147483647</v>
      </c>
      <c r="P44">
        <v>-2147483648</v>
      </c>
      <c r="Q44">
        <v>2147483647</v>
      </c>
      <c r="T44" s="9" t="s">
        <v>3807</v>
      </c>
      <c r="U44" s="9" t="s">
        <v>3815</v>
      </c>
      <c r="V44" s="9" t="s">
        <v>3890</v>
      </c>
      <c r="Y44" t="s">
        <v>3891</v>
      </c>
      <c r="Z44"/>
    </row>
    <row r="45" spans="1:34" ht="15.75" customHeight="1" x14ac:dyDescent="0.15">
      <c r="A45" s="9">
        <v>39</v>
      </c>
      <c r="C45" t="s">
        <v>3719</v>
      </c>
      <c r="D45" t="s">
        <v>3892</v>
      </c>
      <c r="E45" s="9" t="s">
        <v>107</v>
      </c>
      <c r="F45" s="9">
        <v>38</v>
      </c>
      <c r="G45" s="9"/>
      <c r="H45" s="9" t="s">
        <v>3893</v>
      </c>
      <c r="L45" t="s">
        <v>2311</v>
      </c>
      <c r="M45">
        <v>1</v>
      </c>
      <c r="N45">
        <v>-2147483648</v>
      </c>
      <c r="O45">
        <v>2147483647</v>
      </c>
      <c r="P45">
        <v>-2147483648</v>
      </c>
      <c r="Q45">
        <v>2147483647</v>
      </c>
      <c r="T45" t="s">
        <v>3807</v>
      </c>
      <c r="U45" t="s">
        <v>3815</v>
      </c>
      <c r="V45" t="s">
        <v>3894</v>
      </c>
      <c r="X45"/>
      <c r="Y45"/>
      <c r="Z45"/>
      <c r="AA45"/>
      <c r="AE45"/>
      <c r="AF45"/>
      <c r="AG45"/>
      <c r="AH45"/>
    </row>
    <row r="46" spans="1:34" s="9" customFormat="1" ht="15.75" customHeight="1" x14ac:dyDescent="0.15">
      <c r="A46" s="9">
        <v>40</v>
      </c>
      <c r="C46" s="9" t="s">
        <v>3719</v>
      </c>
      <c r="D46" t="s">
        <v>3895</v>
      </c>
      <c r="E46" s="20" t="s">
        <v>107</v>
      </c>
      <c r="F46" s="9">
        <v>39</v>
      </c>
      <c r="H46" s="9" t="s">
        <v>3896</v>
      </c>
      <c r="L46" s="9" t="s">
        <v>2311</v>
      </c>
      <c r="M46">
        <v>1</v>
      </c>
      <c r="N46">
        <v>-2147483648</v>
      </c>
      <c r="O46">
        <v>2147483647</v>
      </c>
      <c r="P46">
        <v>-2147483648</v>
      </c>
      <c r="Q46">
        <v>2147483647</v>
      </c>
      <c r="T46" s="9" t="s">
        <v>3807</v>
      </c>
      <c r="U46" s="9" t="s">
        <v>3815</v>
      </c>
      <c r="V46" s="9" t="s">
        <v>3897</v>
      </c>
      <c r="Y46"/>
      <c r="Z46"/>
    </row>
    <row r="47" spans="1:34" s="9" customFormat="1" ht="15.75" customHeight="1" x14ac:dyDescent="0.15">
      <c r="A47" s="9">
        <v>41</v>
      </c>
      <c r="C47" s="9" t="s">
        <v>3719</v>
      </c>
      <c r="D47" t="s">
        <v>3898</v>
      </c>
      <c r="E47" s="20" t="s">
        <v>107</v>
      </c>
      <c r="F47" s="9">
        <v>40</v>
      </c>
      <c r="H47" s="9" t="s">
        <v>3899</v>
      </c>
      <c r="L47" s="9" t="s">
        <v>2311</v>
      </c>
      <c r="M47">
        <v>1</v>
      </c>
      <c r="N47">
        <v>-2147483648</v>
      </c>
      <c r="O47">
        <v>2147483647</v>
      </c>
      <c r="P47">
        <v>-2147483648</v>
      </c>
      <c r="Q47">
        <v>2147483647</v>
      </c>
      <c r="T47" s="9" t="s">
        <v>3807</v>
      </c>
      <c r="U47" s="9" t="s">
        <v>3815</v>
      </c>
      <c r="V47" s="9" t="s">
        <v>3900</v>
      </c>
      <c r="Y47"/>
      <c r="Z47"/>
    </row>
    <row r="48" spans="1:34" s="9" customFormat="1" ht="15.75" customHeight="1" x14ac:dyDescent="0.15">
      <c r="A48" s="9">
        <v>42</v>
      </c>
      <c r="C48" s="9" t="s">
        <v>3719</v>
      </c>
      <c r="D48" t="s">
        <v>3901</v>
      </c>
      <c r="E48" s="20" t="s">
        <v>107</v>
      </c>
      <c r="F48" s="9">
        <v>41</v>
      </c>
      <c r="H48" s="9" t="s">
        <v>3902</v>
      </c>
      <c r="L48" s="9" t="s">
        <v>2311</v>
      </c>
      <c r="M48">
        <v>1</v>
      </c>
      <c r="N48">
        <v>-2147483648</v>
      </c>
      <c r="O48">
        <v>2147483647</v>
      </c>
      <c r="P48">
        <v>-2147483648</v>
      </c>
      <c r="Q48">
        <v>2147483647</v>
      </c>
      <c r="T48" s="9" t="s">
        <v>3807</v>
      </c>
      <c r="U48" s="9" t="s">
        <v>3815</v>
      </c>
      <c r="V48" s="9" t="s">
        <v>3903</v>
      </c>
      <c r="Y48"/>
      <c r="Z48"/>
    </row>
    <row r="49" spans="1:34" s="9" customFormat="1" ht="15.75" customHeight="1" x14ac:dyDescent="0.15">
      <c r="A49" s="9">
        <v>43</v>
      </c>
      <c r="C49" s="9" t="s">
        <v>3719</v>
      </c>
      <c r="D49" t="s">
        <v>3904</v>
      </c>
      <c r="E49" s="20" t="s">
        <v>107</v>
      </c>
      <c r="F49" s="9">
        <v>42</v>
      </c>
      <c r="H49" s="9" t="s">
        <v>3905</v>
      </c>
      <c r="L49" s="9" t="s">
        <v>2311</v>
      </c>
      <c r="M49">
        <v>1</v>
      </c>
      <c r="N49">
        <v>-2147483648</v>
      </c>
      <c r="O49">
        <v>2147483647</v>
      </c>
      <c r="P49">
        <v>-2147483648</v>
      </c>
      <c r="Q49">
        <v>2147483647</v>
      </c>
      <c r="T49" s="9" t="s">
        <v>3807</v>
      </c>
      <c r="U49" s="9" t="s">
        <v>3815</v>
      </c>
      <c r="V49" s="9" t="s">
        <v>3906</v>
      </c>
      <c r="Y49"/>
      <c r="Z49"/>
    </row>
    <row r="50" spans="1:34" s="9" customFormat="1" ht="15.75" customHeight="1" x14ac:dyDescent="0.15">
      <c r="A50" s="9">
        <v>44</v>
      </c>
      <c r="C50" s="9" t="s">
        <v>3719</v>
      </c>
      <c r="D50" t="s">
        <v>3907</v>
      </c>
      <c r="E50" s="20" t="s">
        <v>107</v>
      </c>
      <c r="F50" s="9">
        <v>43</v>
      </c>
      <c r="H50" s="9" t="s">
        <v>3908</v>
      </c>
      <c r="L50" s="9" t="s">
        <v>2311</v>
      </c>
      <c r="M50">
        <v>1</v>
      </c>
      <c r="N50">
        <v>-2147483648</v>
      </c>
      <c r="O50">
        <v>2147483647</v>
      </c>
      <c r="P50">
        <v>-2147483648</v>
      </c>
      <c r="Q50">
        <v>2147483647</v>
      </c>
      <c r="T50" s="9" t="s">
        <v>3807</v>
      </c>
      <c r="U50" s="9" t="s">
        <v>3815</v>
      </c>
      <c r="V50" s="9" t="s">
        <v>3909</v>
      </c>
      <c r="Y50"/>
      <c r="Z50"/>
    </row>
    <row r="51" spans="1:34" s="9" customFormat="1" ht="15.75" customHeight="1" x14ac:dyDescent="0.15">
      <c r="A51" s="9">
        <v>45</v>
      </c>
      <c r="C51" s="9" t="s">
        <v>3719</v>
      </c>
      <c r="D51" t="s">
        <v>3910</v>
      </c>
      <c r="E51" s="20" t="s">
        <v>107</v>
      </c>
      <c r="F51" s="9">
        <v>44</v>
      </c>
      <c r="H51" s="9" t="s">
        <v>3911</v>
      </c>
      <c r="L51" s="9" t="s">
        <v>2311</v>
      </c>
      <c r="M51">
        <v>1</v>
      </c>
      <c r="N51">
        <v>-2147483648</v>
      </c>
      <c r="O51">
        <v>2147483647</v>
      </c>
      <c r="P51">
        <v>-2147483648</v>
      </c>
      <c r="Q51">
        <v>2147483647</v>
      </c>
      <c r="T51" s="9" t="s">
        <v>3807</v>
      </c>
      <c r="U51" s="9" t="s">
        <v>3815</v>
      </c>
      <c r="V51" s="9" t="s">
        <v>3912</v>
      </c>
      <c r="Y51"/>
      <c r="Z51"/>
    </row>
    <row r="52" spans="1:34" s="9" customFormat="1" ht="15.75" customHeight="1" x14ac:dyDescent="0.15">
      <c r="A52" s="9">
        <v>46</v>
      </c>
      <c r="C52" s="9" t="s">
        <v>3719</v>
      </c>
      <c r="D52" t="s">
        <v>3913</v>
      </c>
      <c r="E52" s="20" t="s">
        <v>107</v>
      </c>
      <c r="F52" s="9">
        <v>45</v>
      </c>
      <c r="H52" s="9" t="s">
        <v>3914</v>
      </c>
      <c r="L52" s="9" t="s">
        <v>2311</v>
      </c>
      <c r="M52">
        <v>1</v>
      </c>
      <c r="N52">
        <v>-2147483648</v>
      </c>
      <c r="O52">
        <v>2147483647</v>
      </c>
      <c r="P52">
        <v>-2147483648</v>
      </c>
      <c r="Q52">
        <v>2147483647</v>
      </c>
      <c r="T52" s="9" t="s">
        <v>3807</v>
      </c>
      <c r="U52" s="9" t="s">
        <v>3815</v>
      </c>
      <c r="V52" s="9" t="s">
        <v>3915</v>
      </c>
      <c r="Y52"/>
      <c r="Z52"/>
    </row>
    <row r="53" spans="1:34" s="9" customFormat="1" ht="15.75" customHeight="1" x14ac:dyDescent="0.15">
      <c r="A53" s="9">
        <v>47</v>
      </c>
      <c r="C53" s="9" t="s">
        <v>3719</v>
      </c>
      <c r="D53" t="s">
        <v>3916</v>
      </c>
      <c r="E53" s="20" t="s">
        <v>107</v>
      </c>
      <c r="F53" s="9">
        <v>46</v>
      </c>
      <c r="H53" s="9" t="s">
        <v>3917</v>
      </c>
      <c r="L53" s="9" t="s">
        <v>2311</v>
      </c>
      <c r="M53">
        <v>1</v>
      </c>
      <c r="N53">
        <v>-2147483648</v>
      </c>
      <c r="O53">
        <v>2147483647</v>
      </c>
      <c r="P53">
        <v>-2147483648</v>
      </c>
      <c r="Q53">
        <v>2147483647</v>
      </c>
      <c r="T53" s="9" t="s">
        <v>3807</v>
      </c>
      <c r="U53" s="9" t="s">
        <v>3815</v>
      </c>
      <c r="V53" s="9" t="s">
        <v>3918</v>
      </c>
      <c r="Y53"/>
      <c r="Z53"/>
    </row>
    <row r="54" spans="1:34" s="9" customFormat="1" ht="15.75" customHeight="1" x14ac:dyDescent="0.15">
      <c r="A54" s="9">
        <v>48</v>
      </c>
      <c r="C54" s="9" t="s">
        <v>3719</v>
      </c>
      <c r="D54" t="s">
        <v>3919</v>
      </c>
      <c r="E54" s="20" t="s">
        <v>107</v>
      </c>
      <c r="F54" s="9">
        <v>47</v>
      </c>
      <c r="H54" s="9" t="s">
        <v>3920</v>
      </c>
      <c r="L54" s="9" t="s">
        <v>2311</v>
      </c>
      <c r="M54">
        <v>1</v>
      </c>
      <c r="N54">
        <v>-2147483648</v>
      </c>
      <c r="O54">
        <v>2147483647</v>
      </c>
      <c r="P54">
        <v>-2147483648</v>
      </c>
      <c r="Q54">
        <v>2147483647</v>
      </c>
      <c r="T54" s="9" t="s">
        <v>3807</v>
      </c>
      <c r="U54" s="9" t="s">
        <v>3815</v>
      </c>
      <c r="V54" s="9" t="s">
        <v>3921</v>
      </c>
      <c r="Y54"/>
      <c r="Z54"/>
    </row>
    <row r="55" spans="1:34" s="9" customFormat="1" ht="15.75" customHeight="1" x14ac:dyDescent="0.15">
      <c r="A55" s="9">
        <v>49</v>
      </c>
      <c r="C55" s="9" t="s">
        <v>3719</v>
      </c>
      <c r="D55" t="s">
        <v>3922</v>
      </c>
      <c r="E55" s="20" t="s">
        <v>107</v>
      </c>
      <c r="F55" s="9">
        <v>48</v>
      </c>
      <c r="H55" s="9" t="s">
        <v>3923</v>
      </c>
      <c r="L55" s="9" t="s">
        <v>2311</v>
      </c>
      <c r="M55">
        <v>1</v>
      </c>
      <c r="N55">
        <v>-2147483648</v>
      </c>
      <c r="O55">
        <v>2147483647</v>
      </c>
      <c r="P55">
        <v>-2147483648</v>
      </c>
      <c r="Q55">
        <v>2147483647</v>
      </c>
      <c r="T55" s="9" t="s">
        <v>3807</v>
      </c>
      <c r="U55" s="9" t="s">
        <v>3815</v>
      </c>
      <c r="V55" s="9" t="s">
        <v>3924</v>
      </c>
      <c r="Y55"/>
      <c r="Z55"/>
    </row>
    <row r="56" spans="1:34" s="9" customFormat="1" ht="15.75" customHeight="1" x14ac:dyDescent="0.15">
      <c r="A56" s="9">
        <v>50</v>
      </c>
      <c r="C56" s="9" t="s">
        <v>3719</v>
      </c>
      <c r="D56" t="s">
        <v>3925</v>
      </c>
      <c r="E56" s="20" t="s">
        <v>107</v>
      </c>
      <c r="F56" s="9">
        <v>49</v>
      </c>
      <c r="H56" s="9" t="s">
        <v>3926</v>
      </c>
      <c r="L56" s="9" t="s">
        <v>2311</v>
      </c>
      <c r="M56">
        <v>1</v>
      </c>
      <c r="N56">
        <v>-2147483648</v>
      </c>
      <c r="O56">
        <v>2147483647</v>
      </c>
      <c r="P56">
        <v>-2147483648</v>
      </c>
      <c r="Q56">
        <v>2147483647</v>
      </c>
      <c r="T56" s="9" t="s">
        <v>3807</v>
      </c>
      <c r="U56" s="9" t="s">
        <v>3815</v>
      </c>
      <c r="V56" s="9" t="s">
        <v>3927</v>
      </c>
      <c r="Y56"/>
      <c r="Z56"/>
    </row>
    <row r="57" spans="1:34" s="9" customFormat="1" ht="15.75" customHeight="1" x14ac:dyDescent="0.15">
      <c r="A57" s="9">
        <v>51</v>
      </c>
      <c r="C57" s="9" t="s">
        <v>3719</v>
      </c>
      <c r="D57" t="s">
        <v>3928</v>
      </c>
      <c r="E57" s="20" t="s">
        <v>107</v>
      </c>
      <c r="F57" s="9">
        <v>50</v>
      </c>
      <c r="H57" s="9" t="s">
        <v>3929</v>
      </c>
      <c r="L57" s="9" t="s">
        <v>2311</v>
      </c>
      <c r="M57">
        <v>1</v>
      </c>
      <c r="N57">
        <v>-2147483648</v>
      </c>
      <c r="O57">
        <v>2147483647</v>
      </c>
      <c r="P57">
        <v>-2147483648</v>
      </c>
      <c r="Q57">
        <v>2147483647</v>
      </c>
      <c r="T57" s="9" t="s">
        <v>3807</v>
      </c>
      <c r="U57" s="9" t="s">
        <v>3815</v>
      </c>
      <c r="V57" s="9" t="s">
        <v>3930</v>
      </c>
      <c r="Y57"/>
      <c r="Z57"/>
    </row>
    <row r="58" spans="1:34" s="9" customFormat="1" ht="15.75" customHeight="1" x14ac:dyDescent="0.15">
      <c r="A58" s="9">
        <v>52</v>
      </c>
      <c r="C58" s="9" t="s">
        <v>3719</v>
      </c>
      <c r="D58" t="s">
        <v>3931</v>
      </c>
      <c r="E58" s="22" t="s">
        <v>107</v>
      </c>
      <c r="F58" s="9">
        <v>51</v>
      </c>
      <c r="H58" s="9" t="s">
        <v>3932</v>
      </c>
      <c r="L58" s="9" t="s">
        <v>2311</v>
      </c>
      <c r="M58">
        <v>1</v>
      </c>
      <c r="N58">
        <v>-2147483648</v>
      </c>
      <c r="O58">
        <v>2147483647</v>
      </c>
      <c r="P58">
        <v>-2147483648</v>
      </c>
      <c r="Q58">
        <v>2147483647</v>
      </c>
      <c r="T58" s="9" t="s">
        <v>3807</v>
      </c>
      <c r="U58" s="9" t="s">
        <v>3815</v>
      </c>
      <c r="V58" s="9" t="s">
        <v>3933</v>
      </c>
      <c r="Y58"/>
      <c r="Z58"/>
    </row>
    <row r="59" spans="1:34" ht="15.75" customHeight="1" x14ac:dyDescent="0.15">
      <c r="A59" s="9">
        <v>53</v>
      </c>
      <c r="C59" t="s">
        <v>3719</v>
      </c>
      <c r="D59" t="s">
        <v>3934</v>
      </c>
      <c r="E59" s="9" t="s">
        <v>107</v>
      </c>
      <c r="F59" s="9">
        <v>52</v>
      </c>
      <c r="G59" s="9"/>
      <c r="H59" s="9" t="s">
        <v>3935</v>
      </c>
      <c r="L59" t="s">
        <v>2311</v>
      </c>
      <c r="M59">
        <v>1</v>
      </c>
      <c r="N59">
        <v>-2147483648</v>
      </c>
      <c r="O59">
        <v>2147483647</v>
      </c>
      <c r="P59">
        <v>-2147483648</v>
      </c>
      <c r="Q59">
        <v>2147483647</v>
      </c>
      <c r="T59" t="s">
        <v>3807</v>
      </c>
      <c r="U59" t="s">
        <v>3815</v>
      </c>
      <c r="V59" t="s">
        <v>3936</v>
      </c>
      <c r="X59"/>
      <c r="Y59"/>
      <c r="Z59"/>
      <c r="AA59"/>
      <c r="AE59"/>
      <c r="AF59"/>
      <c r="AG59"/>
      <c r="AH59"/>
    </row>
    <row r="60" spans="1:34" ht="15.75" customHeight="1" x14ac:dyDescent="0.15">
      <c r="A60" s="9">
        <v>54</v>
      </c>
      <c r="C60" t="s">
        <v>3719</v>
      </c>
      <c r="D60" t="s">
        <v>3937</v>
      </c>
      <c r="E60" s="9" t="s">
        <v>107</v>
      </c>
      <c r="F60" s="9">
        <v>53</v>
      </c>
      <c r="G60" s="9"/>
      <c r="H60" s="9" t="s">
        <v>3938</v>
      </c>
      <c r="L60" t="s">
        <v>2311</v>
      </c>
      <c r="M60">
        <v>1</v>
      </c>
      <c r="N60">
        <v>-2147483648</v>
      </c>
      <c r="O60">
        <v>2147483647</v>
      </c>
      <c r="P60">
        <v>-2147483648</v>
      </c>
      <c r="Q60">
        <v>2147483647</v>
      </c>
      <c r="T60" t="s">
        <v>3807</v>
      </c>
      <c r="U60" t="s">
        <v>3815</v>
      </c>
      <c r="V60" t="s">
        <v>3939</v>
      </c>
      <c r="X60"/>
      <c r="Y60"/>
      <c r="Z60"/>
      <c r="AA60"/>
      <c r="AE60"/>
      <c r="AF60"/>
      <c r="AG60"/>
      <c r="AH60"/>
    </row>
    <row r="61" spans="1:34" ht="15.75" customHeight="1" x14ac:dyDescent="0.15">
      <c r="A61" s="9">
        <v>55</v>
      </c>
      <c r="C61" t="s">
        <v>3719</v>
      </c>
      <c r="D61" t="s">
        <v>3940</v>
      </c>
      <c r="E61" s="9" t="s">
        <v>107</v>
      </c>
      <c r="F61" s="9">
        <v>54</v>
      </c>
      <c r="G61" s="9"/>
      <c r="H61" s="9" t="s">
        <v>3941</v>
      </c>
      <c r="L61" t="s">
        <v>2311</v>
      </c>
      <c r="M61">
        <v>1</v>
      </c>
      <c r="N61">
        <v>-2147483648</v>
      </c>
      <c r="O61">
        <v>2147483647</v>
      </c>
      <c r="P61">
        <v>-2147483648</v>
      </c>
      <c r="Q61">
        <v>2147483647</v>
      </c>
      <c r="T61" t="s">
        <v>3807</v>
      </c>
      <c r="U61" t="s">
        <v>3815</v>
      </c>
      <c r="V61" t="s">
        <v>3942</v>
      </c>
      <c r="X61"/>
      <c r="Y61"/>
      <c r="Z61"/>
      <c r="AA61"/>
      <c r="AE61"/>
      <c r="AF61"/>
      <c r="AG61"/>
      <c r="AH61"/>
    </row>
    <row r="62" spans="1:34" ht="15.75" customHeight="1" x14ac:dyDescent="0.15">
      <c r="A62" s="9">
        <v>56</v>
      </c>
      <c r="C62" t="s">
        <v>3719</v>
      </c>
      <c r="D62" t="s">
        <v>3943</v>
      </c>
      <c r="E62" s="9" t="s">
        <v>107</v>
      </c>
      <c r="F62" s="9">
        <v>55</v>
      </c>
      <c r="G62" s="9"/>
      <c r="H62" s="9" t="s">
        <v>3944</v>
      </c>
      <c r="L62" t="s">
        <v>2311</v>
      </c>
      <c r="M62">
        <v>1</v>
      </c>
      <c r="N62">
        <v>-2147483648</v>
      </c>
      <c r="O62">
        <v>2147483647</v>
      </c>
      <c r="P62">
        <v>-2147483648</v>
      </c>
      <c r="Q62">
        <v>2147483647</v>
      </c>
      <c r="T62" t="s">
        <v>3807</v>
      </c>
      <c r="U62" t="s">
        <v>3815</v>
      </c>
      <c r="V62" t="s">
        <v>3945</v>
      </c>
      <c r="X62"/>
      <c r="Y62"/>
      <c r="Z62"/>
      <c r="AA62"/>
      <c r="AE62"/>
      <c r="AF62"/>
      <c r="AG62"/>
      <c r="AH62"/>
    </row>
    <row r="63" spans="1:34" ht="15.75" customHeight="1" x14ac:dyDescent="0.15">
      <c r="A63" s="9">
        <v>57</v>
      </c>
      <c r="C63" t="s">
        <v>3719</v>
      </c>
      <c r="D63" t="s">
        <v>3946</v>
      </c>
      <c r="E63" s="9" t="s">
        <v>107</v>
      </c>
      <c r="F63" s="9">
        <v>56</v>
      </c>
      <c r="G63" s="9"/>
      <c r="H63" s="9" t="s">
        <v>3947</v>
      </c>
      <c r="L63" t="s">
        <v>2311</v>
      </c>
      <c r="M63">
        <v>1</v>
      </c>
      <c r="N63">
        <v>-2147483648</v>
      </c>
      <c r="O63">
        <v>2147483647</v>
      </c>
      <c r="P63">
        <v>-2147483648</v>
      </c>
      <c r="Q63">
        <v>2147483647</v>
      </c>
      <c r="T63" t="s">
        <v>3807</v>
      </c>
      <c r="U63" t="s">
        <v>3815</v>
      </c>
      <c r="V63" t="s">
        <v>3948</v>
      </c>
      <c r="X63"/>
      <c r="Y63"/>
      <c r="Z63"/>
      <c r="AA63"/>
      <c r="AE63"/>
      <c r="AF63"/>
      <c r="AG63"/>
      <c r="AH63"/>
    </row>
    <row r="64" spans="1:34" ht="15.75" customHeight="1" x14ac:dyDescent="0.15">
      <c r="A64" s="9">
        <v>58</v>
      </c>
      <c r="B64" t="s">
        <v>75</v>
      </c>
      <c r="C64" t="s">
        <v>3719</v>
      </c>
      <c r="D64" t="s">
        <v>3949</v>
      </c>
      <c r="E64" s="9" t="s">
        <v>3192</v>
      </c>
      <c r="F64" s="9">
        <v>100</v>
      </c>
      <c r="G64" s="9"/>
      <c r="H64" s="9" t="s">
        <v>3721</v>
      </c>
      <c r="I64" t="s">
        <v>196</v>
      </c>
      <c r="L64" t="s">
        <v>3722</v>
      </c>
      <c r="M64">
        <v>1</v>
      </c>
      <c r="N64">
        <v>-3.40282346639E+38</v>
      </c>
      <c r="O64">
        <v>3.40282346639E+38</v>
      </c>
      <c r="P64">
        <v>-3.40282346639E+38</v>
      </c>
      <c r="Q64">
        <v>3.40282346639E+38</v>
      </c>
      <c r="T64" t="s">
        <v>3723</v>
      </c>
      <c r="U64" t="s">
        <v>3950</v>
      </c>
      <c r="V64" t="s">
        <v>3951</v>
      </c>
      <c r="W64" t="s">
        <v>3725</v>
      </c>
      <c r="X64"/>
      <c r="Y64" t="s">
        <v>3952</v>
      </c>
      <c r="Z64">
        <v>-19</v>
      </c>
      <c r="AA64"/>
      <c r="AE64"/>
      <c r="AF64"/>
      <c r="AG64"/>
      <c r="AH64"/>
    </row>
    <row r="65" spans="1:34" ht="15.75" customHeight="1" x14ac:dyDescent="0.15">
      <c r="A65" s="9">
        <v>59</v>
      </c>
      <c r="B65" t="s">
        <v>75</v>
      </c>
      <c r="C65" t="s">
        <v>3719</v>
      </c>
      <c r="D65" t="s">
        <v>3953</v>
      </c>
      <c r="E65" s="9" t="s">
        <v>3192</v>
      </c>
      <c r="F65" s="9">
        <v>101</v>
      </c>
      <c r="G65" s="9"/>
      <c r="H65" s="9" t="s">
        <v>3954</v>
      </c>
      <c r="I65" t="s">
        <v>196</v>
      </c>
      <c r="L65" t="s">
        <v>82</v>
      </c>
      <c r="M65">
        <v>1</v>
      </c>
      <c r="N65">
        <v>-3.40282346639E+38</v>
      </c>
      <c r="O65">
        <v>3.40282346639E+38</v>
      </c>
      <c r="P65">
        <v>-3.40282346639E+38</v>
      </c>
      <c r="Q65">
        <v>3.40282346639E+38</v>
      </c>
      <c r="T65" t="s">
        <v>3707</v>
      </c>
      <c r="U65" t="s">
        <v>3950</v>
      </c>
      <c r="V65" t="s">
        <v>3955</v>
      </c>
      <c r="X65"/>
      <c r="Y65" t="s">
        <v>3956</v>
      </c>
      <c r="Z65">
        <v>-18</v>
      </c>
      <c r="AA65"/>
      <c r="AE65"/>
      <c r="AF65"/>
      <c r="AG65"/>
      <c r="AH65"/>
    </row>
    <row r="66" spans="1:34" ht="15.75" customHeight="1" x14ac:dyDescent="0.15">
      <c r="A66" s="9">
        <v>60</v>
      </c>
      <c r="B66" t="s">
        <v>75</v>
      </c>
      <c r="C66" t="s">
        <v>3719</v>
      </c>
      <c r="D66" t="s">
        <v>3957</v>
      </c>
      <c r="E66" s="9" t="s">
        <v>3192</v>
      </c>
      <c r="F66" s="9">
        <v>102</v>
      </c>
      <c r="G66" s="9"/>
      <c r="H66" s="9" t="s">
        <v>3958</v>
      </c>
      <c r="I66" t="s">
        <v>196</v>
      </c>
      <c r="L66" t="s">
        <v>153</v>
      </c>
      <c r="M66">
        <v>1</v>
      </c>
      <c r="N66">
        <v>-3.40282346639E+38</v>
      </c>
      <c r="O66">
        <v>3.40282346639E+38</v>
      </c>
      <c r="P66">
        <v>-3.40282346639E+38</v>
      </c>
      <c r="Q66">
        <v>3.40282346639E+38</v>
      </c>
      <c r="T66" t="s">
        <v>3707</v>
      </c>
      <c r="U66" t="s">
        <v>3950</v>
      </c>
      <c r="V66" t="s">
        <v>3959</v>
      </c>
      <c r="X66"/>
      <c r="Y66" t="s">
        <v>3960</v>
      </c>
      <c r="Z66">
        <v>-17</v>
      </c>
      <c r="AA66"/>
      <c r="AE66"/>
      <c r="AF66"/>
      <c r="AG66"/>
      <c r="AH66"/>
    </row>
    <row r="67" spans="1:34" ht="15.75" customHeight="1" x14ac:dyDescent="0.15">
      <c r="A67" s="9">
        <v>61</v>
      </c>
      <c r="B67" t="s">
        <v>75</v>
      </c>
      <c r="C67" t="s">
        <v>3719</v>
      </c>
      <c r="D67" t="s">
        <v>3961</v>
      </c>
      <c r="E67" s="9" t="s">
        <v>3192</v>
      </c>
      <c r="F67" s="9">
        <v>103</v>
      </c>
      <c r="G67" s="9"/>
      <c r="H67" s="9" t="s">
        <v>3962</v>
      </c>
      <c r="I67" t="s">
        <v>196</v>
      </c>
      <c r="L67" t="s">
        <v>123</v>
      </c>
      <c r="M67">
        <v>1</v>
      </c>
      <c r="N67">
        <v>-3.40282346639E+38</v>
      </c>
      <c r="O67">
        <v>3.40282346639E+38</v>
      </c>
      <c r="P67">
        <v>-3.40282346639E+38</v>
      </c>
      <c r="Q67">
        <v>3.40282346639E+38</v>
      </c>
      <c r="T67" t="s">
        <v>3707</v>
      </c>
      <c r="U67" t="s">
        <v>3950</v>
      </c>
      <c r="V67" t="s">
        <v>3963</v>
      </c>
      <c r="X67"/>
      <c r="Y67" t="s">
        <v>3964</v>
      </c>
      <c r="Z67">
        <v>-16</v>
      </c>
      <c r="AA67"/>
      <c r="AE67"/>
      <c r="AF67"/>
      <c r="AG67"/>
      <c r="AH67"/>
    </row>
    <row r="68" spans="1:34" ht="15.75" customHeight="1" x14ac:dyDescent="0.15">
      <c r="A68" s="9">
        <v>62</v>
      </c>
      <c r="B68" t="s">
        <v>75</v>
      </c>
      <c r="C68" t="s">
        <v>3719</v>
      </c>
      <c r="D68" t="s">
        <v>3965</v>
      </c>
      <c r="E68" s="9" t="s">
        <v>3192</v>
      </c>
      <c r="F68" s="9">
        <v>104</v>
      </c>
      <c r="G68" s="9"/>
      <c r="H68" s="9" t="s">
        <v>3966</v>
      </c>
      <c r="I68" t="s">
        <v>196</v>
      </c>
      <c r="L68" t="s">
        <v>123</v>
      </c>
      <c r="M68">
        <v>1</v>
      </c>
      <c r="N68">
        <v>-3.40282346639E+38</v>
      </c>
      <c r="O68">
        <v>3.40282346639E+38</v>
      </c>
      <c r="P68">
        <v>-3.40282346639E+38</v>
      </c>
      <c r="Q68">
        <v>3.40282346639E+38</v>
      </c>
      <c r="T68" t="s">
        <v>3707</v>
      </c>
      <c r="U68" t="s">
        <v>3950</v>
      </c>
      <c r="V68" t="s">
        <v>3967</v>
      </c>
      <c r="X68" t="s">
        <v>3968</v>
      </c>
      <c r="Y68" t="s">
        <v>3969</v>
      </c>
      <c r="Z68">
        <v>-15</v>
      </c>
      <c r="AA68"/>
      <c r="AE68"/>
      <c r="AF68"/>
      <c r="AG68"/>
      <c r="AH68"/>
    </row>
    <row r="69" spans="1:34" ht="15.75" customHeight="1" x14ac:dyDescent="0.15">
      <c r="A69" s="9">
        <v>63</v>
      </c>
      <c r="B69" t="s">
        <v>75</v>
      </c>
      <c r="C69" t="s">
        <v>3719</v>
      </c>
      <c r="D69" t="s">
        <v>3970</v>
      </c>
      <c r="E69" s="9" t="s">
        <v>3192</v>
      </c>
      <c r="F69" s="9">
        <v>105</v>
      </c>
      <c r="G69" s="9"/>
      <c r="H69" s="9" t="s">
        <v>3971</v>
      </c>
      <c r="I69" t="s">
        <v>196</v>
      </c>
      <c r="L69" t="s">
        <v>123</v>
      </c>
      <c r="M69">
        <v>1</v>
      </c>
      <c r="N69">
        <v>-3.40282346639E+38</v>
      </c>
      <c r="O69">
        <v>3.40282346639E+38</v>
      </c>
      <c r="P69">
        <v>-3.40282346639E+38</v>
      </c>
      <c r="Q69">
        <v>3.40282346639E+38</v>
      </c>
      <c r="T69" t="s">
        <v>3707</v>
      </c>
      <c r="U69" t="s">
        <v>3950</v>
      </c>
      <c r="V69" t="s">
        <v>3972</v>
      </c>
      <c r="X69"/>
      <c r="Y69" t="s">
        <v>3973</v>
      </c>
      <c r="Z69">
        <v>-14</v>
      </c>
      <c r="AA69"/>
      <c r="AE69"/>
      <c r="AF69"/>
      <c r="AG69"/>
      <c r="AH69"/>
    </row>
    <row r="70" spans="1:34" ht="15.75" customHeight="1" x14ac:dyDescent="0.15">
      <c r="A70" s="9">
        <v>64</v>
      </c>
      <c r="B70" t="s">
        <v>75</v>
      </c>
      <c r="C70" t="s">
        <v>3719</v>
      </c>
      <c r="D70" t="s">
        <v>3974</v>
      </c>
      <c r="E70" s="9" t="s">
        <v>3192</v>
      </c>
      <c r="F70" s="9">
        <v>106</v>
      </c>
      <c r="G70" s="9"/>
      <c r="H70" s="9" t="s">
        <v>3975</v>
      </c>
      <c r="I70" t="s">
        <v>196</v>
      </c>
      <c r="L70" t="s">
        <v>113</v>
      </c>
      <c r="M70">
        <v>1</v>
      </c>
      <c r="N70">
        <v>-3.40282346639E+38</v>
      </c>
      <c r="O70">
        <v>3.40282346639E+38</v>
      </c>
      <c r="P70">
        <v>-3.40282346639E+38</v>
      </c>
      <c r="Q70">
        <v>3.40282346639E+38</v>
      </c>
      <c r="T70" t="s">
        <v>3707</v>
      </c>
      <c r="U70" t="s">
        <v>3950</v>
      </c>
      <c r="V70" t="s">
        <v>3976</v>
      </c>
      <c r="X70"/>
      <c r="Y70" t="s">
        <v>3977</v>
      </c>
      <c r="Z70">
        <v>-13</v>
      </c>
      <c r="AA70"/>
      <c r="AE70"/>
      <c r="AF70"/>
      <c r="AG70"/>
      <c r="AH70"/>
    </row>
    <row r="71" spans="1:34" ht="15.75" customHeight="1" x14ac:dyDescent="0.15">
      <c r="A71" s="9">
        <v>65</v>
      </c>
      <c r="B71" t="s">
        <v>75</v>
      </c>
      <c r="C71" t="s">
        <v>3719</v>
      </c>
      <c r="D71" t="s">
        <v>3978</v>
      </c>
      <c r="E71" s="9" t="s">
        <v>3192</v>
      </c>
      <c r="F71" s="9">
        <v>107</v>
      </c>
      <c r="G71" s="9"/>
      <c r="H71" s="9" t="s">
        <v>3979</v>
      </c>
      <c r="I71" t="s">
        <v>196</v>
      </c>
      <c r="L71" t="s">
        <v>113</v>
      </c>
      <c r="M71">
        <v>1</v>
      </c>
      <c r="N71">
        <v>-3.40282346639E+38</v>
      </c>
      <c r="O71">
        <v>3.40282346639E+38</v>
      </c>
      <c r="P71">
        <v>-3.40282346639E+38</v>
      </c>
      <c r="Q71">
        <v>3.40282346639E+38</v>
      </c>
      <c r="T71" t="s">
        <v>3707</v>
      </c>
      <c r="U71" t="s">
        <v>3950</v>
      </c>
      <c r="V71" t="s">
        <v>3980</v>
      </c>
      <c r="X71"/>
      <c r="Y71" t="s">
        <v>3981</v>
      </c>
      <c r="Z71">
        <v>-12</v>
      </c>
      <c r="AA71"/>
      <c r="AE71"/>
      <c r="AF71"/>
      <c r="AG71"/>
      <c r="AH71"/>
    </row>
    <row r="72" spans="1:34" ht="15.75" customHeight="1" x14ac:dyDescent="0.15">
      <c r="A72" s="9">
        <v>66</v>
      </c>
      <c r="B72" t="s">
        <v>75</v>
      </c>
      <c r="C72" t="s">
        <v>3719</v>
      </c>
      <c r="D72" t="s">
        <v>3982</v>
      </c>
      <c r="E72" s="9" t="s">
        <v>3192</v>
      </c>
      <c r="F72" s="9">
        <v>108</v>
      </c>
      <c r="G72" s="9"/>
      <c r="H72" s="9" t="s">
        <v>3983</v>
      </c>
      <c r="I72" t="s">
        <v>196</v>
      </c>
      <c r="L72" t="s">
        <v>113</v>
      </c>
      <c r="M72">
        <v>1</v>
      </c>
      <c r="N72">
        <v>-3.40282346639E+38</v>
      </c>
      <c r="O72">
        <v>3.40282346639E+38</v>
      </c>
      <c r="P72">
        <v>-3.40282346639E+38</v>
      </c>
      <c r="Q72">
        <v>3.40282346639E+38</v>
      </c>
      <c r="T72" t="s">
        <v>3707</v>
      </c>
      <c r="U72" t="s">
        <v>3950</v>
      </c>
      <c r="V72" t="s">
        <v>3984</v>
      </c>
      <c r="X72"/>
      <c r="Y72" t="s">
        <v>3985</v>
      </c>
      <c r="Z72">
        <v>-11</v>
      </c>
      <c r="AA72"/>
      <c r="AE72"/>
      <c r="AF72"/>
      <c r="AG72"/>
      <c r="AH72"/>
    </row>
    <row r="73" spans="1:34" ht="15.75" customHeight="1" x14ac:dyDescent="0.15">
      <c r="A73" s="9">
        <v>67</v>
      </c>
      <c r="B73" t="s">
        <v>75</v>
      </c>
      <c r="C73" t="s">
        <v>3719</v>
      </c>
      <c r="D73" t="s">
        <v>3986</v>
      </c>
      <c r="E73" s="9" t="s">
        <v>3192</v>
      </c>
      <c r="F73" s="9">
        <v>109</v>
      </c>
      <c r="G73" s="9"/>
      <c r="H73" s="9" t="s">
        <v>3987</v>
      </c>
      <c r="I73" t="s">
        <v>196</v>
      </c>
      <c r="L73" t="s">
        <v>145</v>
      </c>
      <c r="M73">
        <v>1</v>
      </c>
      <c r="N73">
        <v>-3.40282346639E+38</v>
      </c>
      <c r="O73">
        <v>3.40282346639E+38</v>
      </c>
      <c r="P73">
        <v>-3.40282346639E+38</v>
      </c>
      <c r="Q73">
        <v>3.40282346639E+38</v>
      </c>
      <c r="T73" t="s">
        <v>3707</v>
      </c>
      <c r="U73" t="s">
        <v>3950</v>
      </c>
      <c r="V73" t="s">
        <v>3988</v>
      </c>
      <c r="X73"/>
      <c r="Y73" t="s">
        <v>3989</v>
      </c>
      <c r="Z73">
        <v>-10</v>
      </c>
      <c r="AA73"/>
      <c r="AE73"/>
      <c r="AF73"/>
      <c r="AG73"/>
      <c r="AH73"/>
    </row>
    <row r="74" spans="1:34" ht="15.75" customHeight="1" x14ac:dyDescent="0.15">
      <c r="A74" s="9">
        <v>68</v>
      </c>
      <c r="B74" t="s">
        <v>75</v>
      </c>
      <c r="C74" t="s">
        <v>3719</v>
      </c>
      <c r="D74" t="s">
        <v>3990</v>
      </c>
      <c r="E74" s="9" t="s">
        <v>3192</v>
      </c>
      <c r="F74" s="9">
        <v>110</v>
      </c>
      <c r="G74" s="9"/>
      <c r="H74" s="9" t="s">
        <v>3991</v>
      </c>
      <c r="I74" t="s">
        <v>196</v>
      </c>
      <c r="L74" t="s">
        <v>149</v>
      </c>
      <c r="M74">
        <v>1</v>
      </c>
      <c r="N74">
        <v>-3.40282346639E+38</v>
      </c>
      <c r="O74">
        <v>3.40282346639E+38</v>
      </c>
      <c r="P74">
        <v>-3.40282346639E+38</v>
      </c>
      <c r="Q74">
        <v>3.40282346639E+38</v>
      </c>
      <c r="T74" t="s">
        <v>3707</v>
      </c>
      <c r="U74" t="s">
        <v>3950</v>
      </c>
      <c r="V74" t="s">
        <v>3992</v>
      </c>
      <c r="X74"/>
      <c r="Y74" t="s">
        <v>3993</v>
      </c>
      <c r="Z74">
        <v>-9</v>
      </c>
      <c r="AA74"/>
      <c r="AE74"/>
      <c r="AF74"/>
      <c r="AG74"/>
      <c r="AH74"/>
    </row>
    <row r="75" spans="1:34" ht="15.75" customHeight="1" x14ac:dyDescent="0.15">
      <c r="A75" s="9">
        <v>69</v>
      </c>
      <c r="B75" t="s">
        <v>75</v>
      </c>
      <c r="C75" t="s">
        <v>3719</v>
      </c>
      <c r="D75" t="s">
        <v>3994</v>
      </c>
      <c r="E75" s="9" t="s">
        <v>3192</v>
      </c>
      <c r="F75" s="9">
        <v>111</v>
      </c>
      <c r="G75" s="9"/>
      <c r="H75" s="9" t="s">
        <v>3995</v>
      </c>
      <c r="I75" t="s">
        <v>196</v>
      </c>
      <c r="L75" t="s">
        <v>82</v>
      </c>
      <c r="M75">
        <v>1</v>
      </c>
      <c r="N75">
        <v>-3.40282346639E+38</v>
      </c>
      <c r="O75">
        <v>3.40282346639E+38</v>
      </c>
      <c r="P75">
        <v>-3.40282346639E+38</v>
      </c>
      <c r="Q75">
        <v>3.40282346639E+38</v>
      </c>
      <c r="T75" t="s">
        <v>3707</v>
      </c>
      <c r="U75" t="s">
        <v>3950</v>
      </c>
      <c r="V75" t="s">
        <v>3996</v>
      </c>
      <c r="X75"/>
      <c r="Y75" t="s">
        <v>3997</v>
      </c>
      <c r="Z75">
        <v>-8</v>
      </c>
      <c r="AA75"/>
      <c r="AE75"/>
      <c r="AF75"/>
      <c r="AG75"/>
      <c r="AH75"/>
    </row>
    <row r="76" spans="1:34" ht="15.75" customHeight="1" x14ac:dyDescent="0.15">
      <c r="A76" s="9">
        <v>70</v>
      </c>
      <c r="B76" t="s">
        <v>75</v>
      </c>
      <c r="C76" t="s">
        <v>3719</v>
      </c>
      <c r="D76" t="s">
        <v>3998</v>
      </c>
      <c r="E76" s="9" t="s">
        <v>3192</v>
      </c>
      <c r="F76" s="9">
        <v>112</v>
      </c>
      <c r="G76" s="9"/>
      <c r="H76" s="9" t="s">
        <v>3999</v>
      </c>
      <c r="I76" t="s">
        <v>196</v>
      </c>
      <c r="L76" t="s">
        <v>123</v>
      </c>
      <c r="M76">
        <v>1</v>
      </c>
      <c r="N76">
        <v>-3.40282346639E+38</v>
      </c>
      <c r="O76">
        <v>3.40282346639E+38</v>
      </c>
      <c r="P76">
        <v>-3.40282346639E+38</v>
      </c>
      <c r="Q76">
        <v>3.40282346639E+38</v>
      </c>
      <c r="T76" t="s">
        <v>3707</v>
      </c>
      <c r="U76" t="s">
        <v>3950</v>
      </c>
      <c r="V76" t="s">
        <v>4000</v>
      </c>
      <c r="X76"/>
      <c r="Y76" t="s">
        <v>4001</v>
      </c>
      <c r="Z76">
        <v>-7</v>
      </c>
      <c r="AA76"/>
      <c r="AE76"/>
      <c r="AF76"/>
      <c r="AG76"/>
      <c r="AH76"/>
    </row>
    <row r="77" spans="1:34" ht="15.75" customHeight="1" x14ac:dyDescent="0.15">
      <c r="A77" s="9">
        <v>71</v>
      </c>
      <c r="B77" t="s">
        <v>75</v>
      </c>
      <c r="C77" t="s">
        <v>3719</v>
      </c>
      <c r="D77" t="s">
        <v>4002</v>
      </c>
      <c r="E77" s="9" t="s">
        <v>3192</v>
      </c>
      <c r="F77" s="9">
        <v>113</v>
      </c>
      <c r="G77" s="9"/>
      <c r="H77" s="9" t="s">
        <v>4003</v>
      </c>
      <c r="I77" t="s">
        <v>196</v>
      </c>
      <c r="L77" t="s">
        <v>113</v>
      </c>
      <c r="M77">
        <v>1</v>
      </c>
      <c r="N77">
        <v>-3.40282346639E+38</v>
      </c>
      <c r="O77">
        <v>3.40282346639E+38</v>
      </c>
      <c r="P77">
        <v>-3.40282346639E+38</v>
      </c>
      <c r="Q77">
        <v>3.40282346639E+38</v>
      </c>
      <c r="T77" t="s">
        <v>3707</v>
      </c>
      <c r="U77" t="s">
        <v>3950</v>
      </c>
      <c r="V77" t="s">
        <v>4004</v>
      </c>
      <c r="X77"/>
      <c r="Y77" t="s">
        <v>4005</v>
      </c>
      <c r="Z77">
        <v>-6</v>
      </c>
      <c r="AA77"/>
      <c r="AE77"/>
      <c r="AF77"/>
      <c r="AG77"/>
      <c r="AH77"/>
    </row>
    <row r="78" spans="1:34" ht="15.75" customHeight="1" x14ac:dyDescent="0.15">
      <c r="A78" s="9">
        <v>72</v>
      </c>
      <c r="B78" t="s">
        <v>75</v>
      </c>
      <c r="C78" t="s">
        <v>3719</v>
      </c>
      <c r="D78" t="s">
        <v>4006</v>
      </c>
      <c r="E78" s="9" t="s">
        <v>3192</v>
      </c>
      <c r="F78" s="9">
        <v>114</v>
      </c>
      <c r="G78" s="9"/>
      <c r="H78" s="9" t="s">
        <v>4007</v>
      </c>
      <c r="I78" t="s">
        <v>196</v>
      </c>
      <c r="L78" t="s">
        <v>123</v>
      </c>
      <c r="M78">
        <v>1</v>
      </c>
      <c r="N78">
        <v>-3.40282346639E+38</v>
      </c>
      <c r="O78">
        <v>3.40282346639E+38</v>
      </c>
      <c r="P78">
        <v>-3.40282346639E+38</v>
      </c>
      <c r="Q78">
        <v>3.40282346639E+38</v>
      </c>
      <c r="T78" t="s">
        <v>3707</v>
      </c>
      <c r="U78" t="s">
        <v>4008</v>
      </c>
      <c r="V78" t="s">
        <v>4009</v>
      </c>
      <c r="X78"/>
      <c r="Y78" t="s">
        <v>4010</v>
      </c>
      <c r="Z78"/>
      <c r="AA78"/>
      <c r="AE78"/>
      <c r="AF78"/>
      <c r="AG78"/>
      <c r="AH78"/>
    </row>
    <row r="79" spans="1:34" ht="15.75" customHeight="1" x14ac:dyDescent="0.15">
      <c r="A79" s="9">
        <v>73</v>
      </c>
      <c r="B79" t="s">
        <v>75</v>
      </c>
      <c r="C79" t="s">
        <v>3719</v>
      </c>
      <c r="D79" t="s">
        <v>4011</v>
      </c>
      <c r="E79" s="9" t="s">
        <v>3192</v>
      </c>
      <c r="F79" s="9">
        <v>115</v>
      </c>
      <c r="G79" s="9"/>
      <c r="H79" s="9" t="s">
        <v>4012</v>
      </c>
      <c r="I79" t="s">
        <v>196</v>
      </c>
      <c r="L79" t="s">
        <v>123</v>
      </c>
      <c r="M79">
        <v>1</v>
      </c>
      <c r="N79">
        <v>-3.40282346639E+38</v>
      </c>
      <c r="O79">
        <v>3.40282346639E+38</v>
      </c>
      <c r="P79">
        <v>-3.40282346639E+38</v>
      </c>
      <c r="Q79">
        <v>3.40282346639E+38</v>
      </c>
      <c r="T79" t="s">
        <v>3707</v>
      </c>
      <c r="U79" t="s">
        <v>4008</v>
      </c>
      <c r="V79" t="s">
        <v>4013</v>
      </c>
      <c r="X79"/>
      <c r="Y79" t="s">
        <v>4014</v>
      </c>
      <c r="Z79"/>
      <c r="AA79"/>
      <c r="AE79"/>
      <c r="AF79"/>
      <c r="AG79"/>
      <c r="AH79"/>
    </row>
    <row r="80" spans="1:34" ht="15.75" customHeight="1" x14ac:dyDescent="0.15">
      <c r="A80" s="9">
        <v>74</v>
      </c>
      <c r="B80" t="s">
        <v>75</v>
      </c>
      <c r="C80" t="s">
        <v>3719</v>
      </c>
      <c r="D80" t="s">
        <v>4015</v>
      </c>
      <c r="E80" s="9" t="s">
        <v>3192</v>
      </c>
      <c r="F80" s="9">
        <v>116</v>
      </c>
      <c r="G80" s="9"/>
      <c r="H80" s="9" t="s">
        <v>4016</v>
      </c>
      <c r="I80" t="s">
        <v>196</v>
      </c>
      <c r="L80" t="s">
        <v>123</v>
      </c>
      <c r="M80">
        <v>1</v>
      </c>
      <c r="N80">
        <v>-3.40282346639E+38</v>
      </c>
      <c r="O80">
        <v>3.40282346639E+38</v>
      </c>
      <c r="P80">
        <v>-3.40282346639E+38</v>
      </c>
      <c r="Q80">
        <v>3.40282346639E+38</v>
      </c>
      <c r="T80" t="s">
        <v>3707</v>
      </c>
      <c r="U80" t="s">
        <v>4008</v>
      </c>
      <c r="V80" t="s">
        <v>4017</v>
      </c>
      <c r="X80"/>
      <c r="Y80" t="s">
        <v>4018</v>
      </c>
      <c r="Z80"/>
      <c r="AA80"/>
      <c r="AE80"/>
      <c r="AF80"/>
      <c r="AG80"/>
      <c r="AH80"/>
    </row>
    <row r="81" spans="1:34" ht="15.75" customHeight="1" x14ac:dyDescent="0.15">
      <c r="A81" s="9">
        <v>75</v>
      </c>
      <c r="B81" t="s">
        <v>75</v>
      </c>
      <c r="C81" t="s">
        <v>3719</v>
      </c>
      <c r="D81" t="s">
        <v>4019</v>
      </c>
      <c r="E81" s="9" t="s">
        <v>3192</v>
      </c>
      <c r="F81" s="9">
        <v>117</v>
      </c>
      <c r="G81" s="9"/>
      <c r="H81" s="9" t="s">
        <v>4020</v>
      </c>
      <c r="I81" t="s">
        <v>196</v>
      </c>
      <c r="L81" t="s">
        <v>123</v>
      </c>
      <c r="M81">
        <v>1</v>
      </c>
      <c r="N81">
        <v>-3.40282346639E+38</v>
      </c>
      <c r="O81">
        <v>3.40282346639E+38</v>
      </c>
      <c r="P81">
        <v>-3.40282346639E+38</v>
      </c>
      <c r="Q81">
        <v>3.40282346639E+38</v>
      </c>
      <c r="T81" t="s">
        <v>3707</v>
      </c>
      <c r="U81" t="s">
        <v>4008</v>
      </c>
      <c r="V81" t="s">
        <v>4021</v>
      </c>
      <c r="X81"/>
      <c r="Y81" t="s">
        <v>4022</v>
      </c>
      <c r="Z81"/>
      <c r="AA81"/>
      <c r="AE81"/>
      <c r="AF81"/>
      <c r="AG81"/>
      <c r="AH81"/>
    </row>
    <row r="82" spans="1:34" ht="15.75" customHeight="1" x14ac:dyDescent="0.15">
      <c r="A82" s="9">
        <v>76</v>
      </c>
      <c r="B82" t="s">
        <v>75</v>
      </c>
      <c r="C82" t="s">
        <v>3719</v>
      </c>
      <c r="D82" t="s">
        <v>4023</v>
      </c>
      <c r="E82" s="9" t="s">
        <v>3192</v>
      </c>
      <c r="F82" s="9">
        <v>118</v>
      </c>
      <c r="G82" s="9"/>
      <c r="H82" s="9" t="s">
        <v>4024</v>
      </c>
      <c r="I82" t="s">
        <v>196</v>
      </c>
      <c r="L82" t="s">
        <v>123</v>
      </c>
      <c r="M82">
        <v>1</v>
      </c>
      <c r="N82">
        <v>-3.40282346639E+38</v>
      </c>
      <c r="O82">
        <v>3.40282346639E+38</v>
      </c>
      <c r="P82">
        <v>-3.40282346639E+38</v>
      </c>
      <c r="Q82">
        <v>3.40282346639E+38</v>
      </c>
      <c r="T82" t="s">
        <v>3707</v>
      </c>
      <c r="U82" t="s">
        <v>4008</v>
      </c>
      <c r="V82" t="s">
        <v>4025</v>
      </c>
      <c r="X82"/>
      <c r="Y82" t="s">
        <v>4026</v>
      </c>
      <c r="Z82"/>
      <c r="AA82"/>
      <c r="AE82"/>
      <c r="AF82"/>
      <c r="AG82"/>
      <c r="AH82"/>
    </row>
    <row r="83" spans="1:34" ht="15.75" customHeight="1" x14ac:dyDescent="0.15">
      <c r="A83" s="9">
        <v>77</v>
      </c>
      <c r="B83" t="s">
        <v>75</v>
      </c>
      <c r="C83" t="s">
        <v>3719</v>
      </c>
      <c r="D83" t="s">
        <v>4027</v>
      </c>
      <c r="E83" s="9" t="s">
        <v>3192</v>
      </c>
      <c r="F83" s="9">
        <v>119</v>
      </c>
      <c r="G83" s="9"/>
      <c r="H83" s="9" t="s">
        <v>4028</v>
      </c>
      <c r="I83" t="s">
        <v>196</v>
      </c>
      <c r="L83" t="s">
        <v>123</v>
      </c>
      <c r="M83">
        <v>1</v>
      </c>
      <c r="N83">
        <v>-3.40282346639E+38</v>
      </c>
      <c r="O83">
        <v>3.40282346639E+38</v>
      </c>
      <c r="P83">
        <v>-3.40282346639E+38</v>
      </c>
      <c r="Q83">
        <v>3.40282346639E+38</v>
      </c>
      <c r="T83" t="s">
        <v>3707</v>
      </c>
      <c r="U83" t="s">
        <v>4008</v>
      </c>
      <c r="V83" t="s">
        <v>4029</v>
      </c>
      <c r="X83"/>
      <c r="Y83" t="s">
        <v>4030</v>
      </c>
      <c r="Z83"/>
      <c r="AA83"/>
      <c r="AE83"/>
      <c r="AF83"/>
      <c r="AG83"/>
      <c r="AH83"/>
    </row>
    <row r="84" spans="1:34" ht="15.75" customHeight="1" x14ac:dyDescent="0.15">
      <c r="A84" s="9">
        <v>78</v>
      </c>
      <c r="B84" t="s">
        <v>75</v>
      </c>
      <c r="C84" t="s">
        <v>3719</v>
      </c>
      <c r="D84" t="s">
        <v>4031</v>
      </c>
      <c r="E84" s="9" t="s">
        <v>3192</v>
      </c>
      <c r="F84" s="9">
        <v>120</v>
      </c>
      <c r="G84" s="9"/>
      <c r="H84" s="9" t="s">
        <v>4032</v>
      </c>
      <c r="I84" t="s">
        <v>196</v>
      </c>
      <c r="L84" t="s">
        <v>123</v>
      </c>
      <c r="M84">
        <v>1</v>
      </c>
      <c r="N84">
        <v>-3.40282346639E+38</v>
      </c>
      <c r="O84">
        <v>3.40282346639E+38</v>
      </c>
      <c r="P84">
        <v>-3.40282346639E+38</v>
      </c>
      <c r="Q84">
        <v>3.40282346639E+38</v>
      </c>
      <c r="T84" t="s">
        <v>3707</v>
      </c>
      <c r="U84" t="s">
        <v>4008</v>
      </c>
      <c r="V84" t="s">
        <v>4033</v>
      </c>
      <c r="X84"/>
      <c r="Y84" t="s">
        <v>4034</v>
      </c>
      <c r="Z84"/>
      <c r="AA84"/>
      <c r="AE84"/>
      <c r="AF84"/>
      <c r="AG84"/>
      <c r="AH84"/>
    </row>
    <row r="85" spans="1:34" ht="15.75" customHeight="1" x14ac:dyDescent="0.15">
      <c r="A85" s="9">
        <v>79</v>
      </c>
      <c r="B85" t="s">
        <v>75</v>
      </c>
      <c r="C85" t="s">
        <v>3719</v>
      </c>
      <c r="D85" t="s">
        <v>4035</v>
      </c>
      <c r="E85" s="9" t="s">
        <v>3192</v>
      </c>
      <c r="F85" s="9">
        <v>134</v>
      </c>
      <c r="G85" s="9"/>
      <c r="H85" s="9" t="s">
        <v>4036</v>
      </c>
      <c r="I85" t="s">
        <v>196</v>
      </c>
      <c r="L85" t="s">
        <v>86</v>
      </c>
      <c r="M85">
        <v>1</v>
      </c>
      <c r="N85">
        <v>-3.40282346639E+38</v>
      </c>
      <c r="O85">
        <v>3.40282346639E+38</v>
      </c>
      <c r="P85">
        <v>-3.40282346639E+38</v>
      </c>
      <c r="Q85">
        <v>3.40282346639E+38</v>
      </c>
      <c r="T85" t="s">
        <v>3807</v>
      </c>
      <c r="U85" t="s">
        <v>3950</v>
      </c>
      <c r="V85" t="s">
        <v>4037</v>
      </c>
      <c r="X85"/>
      <c r="Y85" t="s">
        <v>4038</v>
      </c>
      <c r="Z85">
        <v>-5</v>
      </c>
      <c r="AA85"/>
      <c r="AE85"/>
      <c r="AF85"/>
      <c r="AG85"/>
      <c r="AH85"/>
    </row>
    <row r="86" spans="1:34" ht="15.75" customHeight="1" x14ac:dyDescent="0.15">
      <c r="A86" s="9">
        <v>80</v>
      </c>
      <c r="B86" t="s">
        <v>75</v>
      </c>
      <c r="C86" t="s">
        <v>3719</v>
      </c>
      <c r="D86" t="s">
        <v>4039</v>
      </c>
      <c r="E86" s="9" t="s">
        <v>3192</v>
      </c>
      <c r="F86" s="9">
        <v>135</v>
      </c>
      <c r="G86" s="9"/>
      <c r="H86" s="9" t="s">
        <v>3721</v>
      </c>
      <c r="I86" t="s">
        <v>196</v>
      </c>
      <c r="L86" t="s">
        <v>86</v>
      </c>
      <c r="M86">
        <v>1</v>
      </c>
      <c r="N86">
        <v>-3.40282346639E+38</v>
      </c>
      <c r="O86">
        <v>3.40282346639E+38</v>
      </c>
      <c r="P86">
        <v>-3.40282346639E+38</v>
      </c>
      <c r="Q86">
        <v>3.40282346639E+38</v>
      </c>
      <c r="T86" t="s">
        <v>3723</v>
      </c>
      <c r="U86" t="s">
        <v>3950</v>
      </c>
      <c r="V86" t="s">
        <v>4040</v>
      </c>
      <c r="X86"/>
      <c r="Y86" t="s">
        <v>4041</v>
      </c>
      <c r="Z86">
        <v>-4</v>
      </c>
      <c r="AA86"/>
      <c r="AE86"/>
      <c r="AF86"/>
      <c r="AG86"/>
      <c r="AH86"/>
    </row>
    <row r="87" spans="1:34" ht="15.75" customHeight="1" x14ac:dyDescent="0.15">
      <c r="A87" s="9">
        <v>81</v>
      </c>
      <c r="B87" t="s">
        <v>75</v>
      </c>
      <c r="C87" t="s">
        <v>3719</v>
      </c>
      <c r="D87" t="s">
        <v>4042</v>
      </c>
      <c r="E87" s="9" t="s">
        <v>3192</v>
      </c>
      <c r="F87" s="9">
        <v>136</v>
      </c>
      <c r="G87" s="9"/>
      <c r="H87" s="9" t="s">
        <v>4043</v>
      </c>
      <c r="I87" t="s">
        <v>196</v>
      </c>
      <c r="L87" t="s">
        <v>86</v>
      </c>
      <c r="M87">
        <v>1</v>
      </c>
      <c r="N87">
        <v>-3.40282346639E+38</v>
      </c>
      <c r="O87">
        <v>3.40282346639E+38</v>
      </c>
      <c r="P87">
        <v>-3.40282346639E+38</v>
      </c>
      <c r="Q87">
        <v>3.40282346639E+38</v>
      </c>
      <c r="T87" t="s">
        <v>3807</v>
      </c>
      <c r="U87" t="s">
        <v>3815</v>
      </c>
      <c r="V87" t="s">
        <v>4044</v>
      </c>
      <c r="X87"/>
      <c r="Y87" t="s">
        <v>4045</v>
      </c>
      <c r="Z87">
        <v>-3</v>
      </c>
      <c r="AA87"/>
      <c r="AE87"/>
      <c r="AF87"/>
      <c r="AG87"/>
      <c r="AH87"/>
    </row>
    <row r="88" spans="1:34" ht="15.75" customHeight="1" x14ac:dyDescent="0.15">
      <c r="A88" s="9">
        <v>82</v>
      </c>
      <c r="B88" t="s">
        <v>75</v>
      </c>
      <c r="C88" t="s">
        <v>3719</v>
      </c>
      <c r="D88" t="s">
        <v>4046</v>
      </c>
      <c r="E88" s="9" t="s">
        <v>3192</v>
      </c>
      <c r="F88" s="9">
        <v>137</v>
      </c>
      <c r="G88" s="9"/>
      <c r="H88" s="9" t="s">
        <v>4047</v>
      </c>
      <c r="I88" t="s">
        <v>196</v>
      </c>
      <c r="L88" t="s">
        <v>104</v>
      </c>
      <c r="M88">
        <v>1</v>
      </c>
      <c r="N88">
        <v>-3.40282346639E+38</v>
      </c>
      <c r="O88">
        <v>3.40282346639E+38</v>
      </c>
      <c r="P88">
        <v>-3.40282346639E+38</v>
      </c>
      <c r="Q88">
        <v>3.40282346639E+38</v>
      </c>
      <c r="T88" t="s">
        <v>3807</v>
      </c>
      <c r="U88" t="s">
        <v>3815</v>
      </c>
      <c r="V88" t="s">
        <v>4048</v>
      </c>
      <c r="X88"/>
      <c r="Y88" t="s">
        <v>4049</v>
      </c>
      <c r="Z88">
        <v>-2</v>
      </c>
      <c r="AA88"/>
      <c r="AE88"/>
      <c r="AF88"/>
      <c r="AG88"/>
      <c r="AH88"/>
    </row>
    <row r="89" spans="1:34" ht="15.75" customHeight="1" x14ac:dyDescent="0.15">
      <c r="A89" s="9">
        <v>83</v>
      </c>
      <c r="B89" t="s">
        <v>75</v>
      </c>
      <c r="C89" t="s">
        <v>3719</v>
      </c>
      <c r="D89" t="s">
        <v>4050</v>
      </c>
      <c r="E89" s="9" t="s">
        <v>3192</v>
      </c>
      <c r="F89" s="9">
        <v>138</v>
      </c>
      <c r="G89" s="9"/>
      <c r="H89" s="9" t="s">
        <v>4051</v>
      </c>
      <c r="I89" t="s">
        <v>3729</v>
      </c>
      <c r="L89" t="s">
        <v>266</v>
      </c>
      <c r="M89">
        <v>1</v>
      </c>
      <c r="N89">
        <v>-3.40282346639E+38</v>
      </c>
      <c r="O89">
        <v>3.40282346639E+38</v>
      </c>
      <c r="P89">
        <v>-3.40282346639E+38</v>
      </c>
      <c r="Q89">
        <v>3.40282346639E+38</v>
      </c>
      <c r="S89" t="s">
        <v>3793</v>
      </c>
      <c r="T89" t="s">
        <v>3807</v>
      </c>
      <c r="U89" t="s">
        <v>3815</v>
      </c>
      <c r="V89" t="s">
        <v>4052</v>
      </c>
      <c r="X89"/>
      <c r="Y89" t="s">
        <v>4053</v>
      </c>
      <c r="Z89">
        <v>-1</v>
      </c>
      <c r="AA89"/>
      <c r="AE89"/>
      <c r="AF89"/>
      <c r="AG89"/>
      <c r="AH89"/>
    </row>
    <row r="90" spans="1:34" ht="15.75" customHeight="1" x14ac:dyDescent="0.15">
      <c r="A90" s="9">
        <v>84</v>
      </c>
      <c r="C90" t="s">
        <v>3719</v>
      </c>
      <c r="D90" t="s">
        <v>4054</v>
      </c>
      <c r="E90" s="9" t="s">
        <v>3192</v>
      </c>
      <c r="F90" s="9">
        <v>139</v>
      </c>
      <c r="G90" s="9"/>
      <c r="H90" s="9" t="s">
        <v>4047</v>
      </c>
      <c r="I90" t="s">
        <v>196</v>
      </c>
      <c r="L90" t="s">
        <v>100</v>
      </c>
      <c r="M90">
        <v>1</v>
      </c>
      <c r="N90">
        <v>-3.40282346639E+38</v>
      </c>
      <c r="O90">
        <v>3.40282346639E+38</v>
      </c>
      <c r="P90">
        <v>-3.40282346639E+38</v>
      </c>
      <c r="Q90">
        <v>3.40282346639E+38</v>
      </c>
      <c r="T90" t="s">
        <v>3723</v>
      </c>
      <c r="U90" t="s">
        <v>3815</v>
      </c>
      <c r="V90" t="s">
        <v>4055</v>
      </c>
      <c r="X90"/>
      <c r="Y90"/>
      <c r="Z90"/>
      <c r="AA90"/>
      <c r="AE90"/>
      <c r="AF90"/>
      <c r="AG90"/>
      <c r="AH90"/>
    </row>
    <row r="91" spans="1:34" ht="15.75" customHeight="1" x14ac:dyDescent="0.15">
      <c r="A91" s="9">
        <v>85</v>
      </c>
      <c r="B91" t="s">
        <v>75</v>
      </c>
      <c r="C91" t="s">
        <v>3719</v>
      </c>
      <c r="D91" t="s">
        <v>4056</v>
      </c>
      <c r="E91" s="9" t="s">
        <v>3192</v>
      </c>
      <c r="F91" s="9">
        <v>140</v>
      </c>
      <c r="G91" s="9"/>
      <c r="H91" s="9" t="s">
        <v>3721</v>
      </c>
      <c r="I91" t="s">
        <v>196</v>
      </c>
      <c r="L91" t="s">
        <v>100</v>
      </c>
      <c r="M91">
        <v>1</v>
      </c>
      <c r="N91">
        <v>-3.40282346639E+38</v>
      </c>
      <c r="O91">
        <v>3.40282346639E+38</v>
      </c>
      <c r="P91">
        <v>-3.40282346639E+38</v>
      </c>
      <c r="Q91">
        <v>3.40282346639E+38</v>
      </c>
      <c r="T91" t="s">
        <v>3723</v>
      </c>
      <c r="U91" t="s">
        <v>3815</v>
      </c>
      <c r="V91" t="s">
        <v>4057</v>
      </c>
      <c r="X91"/>
      <c r="Y91" t="s">
        <v>4058</v>
      </c>
      <c r="Z91">
        <v>0</v>
      </c>
      <c r="AA91"/>
      <c r="AE91"/>
      <c r="AF91"/>
      <c r="AG91"/>
      <c r="AH91"/>
    </row>
    <row r="92" spans="1:34" ht="15.75" customHeight="1" x14ac:dyDescent="0.15">
      <c r="A92" s="9">
        <v>86</v>
      </c>
      <c r="B92" t="s">
        <v>75</v>
      </c>
      <c r="C92" t="s">
        <v>3719</v>
      </c>
      <c r="D92" t="s">
        <v>4059</v>
      </c>
      <c r="E92" s="9" t="s">
        <v>3192</v>
      </c>
      <c r="F92" s="9">
        <v>141</v>
      </c>
      <c r="G92" s="9"/>
      <c r="H92" s="9" t="s">
        <v>4060</v>
      </c>
      <c r="I92" t="s">
        <v>196</v>
      </c>
      <c r="L92" t="s">
        <v>560</v>
      </c>
      <c r="M92">
        <v>1</v>
      </c>
      <c r="N92">
        <v>-3.40282346639E+38</v>
      </c>
      <c r="O92">
        <v>3.40282346639E+38</v>
      </c>
      <c r="P92">
        <v>-3.40282346639E+38</v>
      </c>
      <c r="Q92">
        <v>3.40282346639E+38</v>
      </c>
      <c r="T92" t="s">
        <v>3807</v>
      </c>
      <c r="U92" t="s">
        <v>3950</v>
      </c>
      <c r="V92" t="s">
        <v>4061</v>
      </c>
      <c r="X92"/>
      <c r="Y92" t="s">
        <v>4062</v>
      </c>
      <c r="Z92">
        <v>1</v>
      </c>
      <c r="AA92"/>
      <c r="AE92"/>
      <c r="AF92"/>
      <c r="AG92"/>
      <c r="AH92"/>
    </row>
    <row r="93" spans="1:34" ht="15.75" customHeight="1" x14ac:dyDescent="0.15">
      <c r="A93" s="9">
        <v>87</v>
      </c>
      <c r="B93" t="s">
        <v>75</v>
      </c>
      <c r="C93" t="s">
        <v>3719</v>
      </c>
      <c r="D93" t="s">
        <v>4063</v>
      </c>
      <c r="E93" s="9" t="s">
        <v>3192</v>
      </c>
      <c r="F93" s="9">
        <v>142</v>
      </c>
      <c r="G93" s="9"/>
      <c r="H93" s="9" t="s">
        <v>4064</v>
      </c>
      <c r="I93" t="s">
        <v>196</v>
      </c>
      <c r="L93" t="s">
        <v>781</v>
      </c>
      <c r="M93">
        <v>1</v>
      </c>
      <c r="N93">
        <v>-3.40282346639E+38</v>
      </c>
      <c r="O93">
        <v>3.40282346639E+38</v>
      </c>
      <c r="P93">
        <v>-3.40282346639E+38</v>
      </c>
      <c r="Q93">
        <v>3.40282346639E+38</v>
      </c>
      <c r="T93" t="s">
        <v>3807</v>
      </c>
      <c r="U93" t="s">
        <v>3815</v>
      </c>
      <c r="V93" t="s">
        <v>4065</v>
      </c>
      <c r="X93"/>
      <c r="Y93" t="s">
        <v>4066</v>
      </c>
      <c r="Z93">
        <v>2</v>
      </c>
      <c r="AA93"/>
      <c r="AE93"/>
      <c r="AF93"/>
      <c r="AG93"/>
      <c r="AH93"/>
    </row>
    <row r="94" spans="1:34" ht="15.75" customHeight="1" x14ac:dyDescent="0.15">
      <c r="A94" s="9">
        <v>88</v>
      </c>
      <c r="B94" t="s">
        <v>75</v>
      </c>
      <c r="C94" t="s">
        <v>3719</v>
      </c>
      <c r="D94" t="s">
        <v>4067</v>
      </c>
      <c r="E94" s="9" t="s">
        <v>3192</v>
      </c>
      <c r="F94" s="9">
        <v>143</v>
      </c>
      <c r="G94" s="9"/>
      <c r="H94" s="9" t="s">
        <v>4068</v>
      </c>
      <c r="I94" t="s">
        <v>196</v>
      </c>
      <c r="L94" t="s">
        <v>781</v>
      </c>
      <c r="M94">
        <v>1</v>
      </c>
      <c r="N94">
        <v>-3.40282346639E+38</v>
      </c>
      <c r="O94">
        <v>3.40282346639E+38</v>
      </c>
      <c r="P94">
        <v>-3.40282346639E+38</v>
      </c>
      <c r="Q94">
        <v>3.40282346639E+38</v>
      </c>
      <c r="T94" t="s">
        <v>3807</v>
      </c>
      <c r="U94" t="s">
        <v>3815</v>
      </c>
      <c r="V94" t="s">
        <v>4069</v>
      </c>
      <c r="X94"/>
      <c r="Y94" t="s">
        <v>4070</v>
      </c>
      <c r="Z94">
        <v>3</v>
      </c>
      <c r="AA94"/>
      <c r="AE94"/>
      <c r="AF94"/>
      <c r="AG94"/>
      <c r="AH94"/>
    </row>
    <row r="95" spans="1:34" ht="15.75" customHeight="1" x14ac:dyDescent="0.15">
      <c r="A95" s="9">
        <v>89</v>
      </c>
      <c r="B95" t="s">
        <v>75</v>
      </c>
      <c r="C95" t="s">
        <v>3719</v>
      </c>
      <c r="D95" t="s">
        <v>4071</v>
      </c>
      <c r="E95" s="9" t="s">
        <v>3192</v>
      </c>
      <c r="F95" s="9">
        <v>144</v>
      </c>
      <c r="G95" s="9"/>
      <c r="H95" s="9" t="s">
        <v>4072</v>
      </c>
      <c r="I95" t="s">
        <v>196</v>
      </c>
      <c r="L95" t="s">
        <v>113</v>
      </c>
      <c r="M95">
        <v>1</v>
      </c>
      <c r="N95">
        <v>-3.40282346639E+38</v>
      </c>
      <c r="O95">
        <v>3.40282346639E+38</v>
      </c>
      <c r="P95">
        <v>-3.40282346639E+38</v>
      </c>
      <c r="Q95">
        <v>3.40282346639E+38</v>
      </c>
      <c r="T95" t="s">
        <v>3807</v>
      </c>
      <c r="U95" t="s">
        <v>3815</v>
      </c>
      <c r="V95" t="s">
        <v>4073</v>
      </c>
      <c r="X95"/>
      <c r="Y95" t="s">
        <v>4074</v>
      </c>
      <c r="Z95">
        <v>4</v>
      </c>
      <c r="AA95"/>
      <c r="AE95"/>
      <c r="AF95"/>
      <c r="AG95"/>
      <c r="AH95"/>
    </row>
    <row r="96" spans="1:34" ht="15.75" customHeight="1" x14ac:dyDescent="0.15">
      <c r="A96" s="9">
        <v>90</v>
      </c>
      <c r="B96" t="s">
        <v>75</v>
      </c>
      <c r="C96" t="s">
        <v>3719</v>
      </c>
      <c r="D96" t="s">
        <v>4075</v>
      </c>
      <c r="E96" s="9" t="s">
        <v>3192</v>
      </c>
      <c r="F96" s="9">
        <v>145</v>
      </c>
      <c r="G96" s="9"/>
      <c r="H96" s="9" t="s">
        <v>4076</v>
      </c>
      <c r="I96" t="s">
        <v>196</v>
      </c>
      <c r="L96" t="s">
        <v>2311</v>
      </c>
      <c r="M96">
        <v>1</v>
      </c>
      <c r="N96">
        <v>-3.40282346639E+38</v>
      </c>
      <c r="O96">
        <v>3.40282346639E+38</v>
      </c>
      <c r="P96">
        <v>-3.40282346639E+38</v>
      </c>
      <c r="Q96">
        <v>3.40282346639E+38</v>
      </c>
      <c r="T96" t="s">
        <v>3723</v>
      </c>
      <c r="U96" t="s">
        <v>3815</v>
      </c>
      <c r="V96" t="s">
        <v>4077</v>
      </c>
      <c r="X96"/>
      <c r="Y96" t="s">
        <v>4078</v>
      </c>
      <c r="Z96">
        <v>21</v>
      </c>
      <c r="AA96"/>
      <c r="AE96"/>
      <c r="AF96"/>
      <c r="AG96"/>
      <c r="AH96"/>
    </row>
    <row r="97" spans="1:34" ht="15.75" customHeight="1" x14ac:dyDescent="0.15">
      <c r="A97" s="9">
        <v>91</v>
      </c>
      <c r="B97" t="s">
        <v>75</v>
      </c>
      <c r="C97" t="s">
        <v>3719</v>
      </c>
      <c r="D97" t="s">
        <v>4079</v>
      </c>
      <c r="E97" s="9" t="s">
        <v>3192</v>
      </c>
      <c r="F97" s="9">
        <v>146</v>
      </c>
      <c r="G97" s="9"/>
      <c r="H97" s="9" t="s">
        <v>4080</v>
      </c>
      <c r="I97" t="s">
        <v>196</v>
      </c>
      <c r="L97" t="s">
        <v>266</v>
      </c>
      <c r="M97">
        <v>1</v>
      </c>
      <c r="N97">
        <v>-3.40282346639E+38</v>
      </c>
      <c r="O97">
        <v>3.40282346639E+38</v>
      </c>
      <c r="P97">
        <v>-3.40282346639E+38</v>
      </c>
      <c r="Q97">
        <v>3.40282346639E+38</v>
      </c>
      <c r="T97" t="s">
        <v>3807</v>
      </c>
      <c r="U97" t="s">
        <v>3815</v>
      </c>
      <c r="V97" t="s">
        <v>4081</v>
      </c>
      <c r="X97"/>
      <c r="Y97" t="s">
        <v>4082</v>
      </c>
      <c r="Z97">
        <v>22</v>
      </c>
      <c r="AA97"/>
      <c r="AE97"/>
      <c r="AF97"/>
      <c r="AG97"/>
      <c r="AH97"/>
    </row>
    <row r="98" spans="1:34" ht="15.75" customHeight="1" x14ac:dyDescent="0.15">
      <c r="A98" s="9">
        <v>92</v>
      </c>
      <c r="B98" t="s">
        <v>75</v>
      </c>
      <c r="C98" t="s">
        <v>3719</v>
      </c>
      <c r="D98" t="s">
        <v>4083</v>
      </c>
      <c r="E98" s="9" t="s">
        <v>3192</v>
      </c>
      <c r="F98" s="9">
        <v>147</v>
      </c>
      <c r="G98" s="9"/>
      <c r="H98" s="9" t="s">
        <v>4084</v>
      </c>
      <c r="I98" t="s">
        <v>196</v>
      </c>
      <c r="L98" t="s">
        <v>266</v>
      </c>
      <c r="M98">
        <v>1</v>
      </c>
      <c r="N98">
        <v>-3.40282346639E+38</v>
      </c>
      <c r="O98">
        <v>3.40282346639E+38</v>
      </c>
      <c r="P98">
        <v>-3.40282346639E+38</v>
      </c>
      <c r="Q98">
        <v>3.40282346639E+38</v>
      </c>
      <c r="T98" t="s">
        <v>3807</v>
      </c>
      <c r="U98" t="s">
        <v>3815</v>
      </c>
      <c r="V98" t="s">
        <v>4085</v>
      </c>
      <c r="X98"/>
      <c r="Y98" t="s">
        <v>4086</v>
      </c>
      <c r="Z98">
        <v>23</v>
      </c>
      <c r="AA98"/>
      <c r="AE98"/>
      <c r="AF98"/>
      <c r="AG98"/>
      <c r="AH98"/>
    </row>
    <row r="99" spans="1:34" ht="15.75" customHeight="1" x14ac:dyDescent="0.15">
      <c r="A99" s="9">
        <v>93</v>
      </c>
      <c r="B99" t="s">
        <v>75</v>
      </c>
      <c r="C99" t="s">
        <v>3719</v>
      </c>
      <c r="D99" t="s">
        <v>4087</v>
      </c>
      <c r="E99" s="9" t="s">
        <v>3192</v>
      </c>
      <c r="F99" s="9">
        <v>148</v>
      </c>
      <c r="G99" s="9"/>
      <c r="H99" s="9" t="s">
        <v>4088</v>
      </c>
      <c r="I99" t="s">
        <v>196</v>
      </c>
      <c r="L99" t="s">
        <v>266</v>
      </c>
      <c r="M99">
        <v>1</v>
      </c>
      <c r="N99">
        <v>-3.40282346639E+38</v>
      </c>
      <c r="O99">
        <v>3.40282346639E+38</v>
      </c>
      <c r="P99">
        <v>-3.40282346639E+38</v>
      </c>
      <c r="Q99">
        <v>3.40282346639E+38</v>
      </c>
      <c r="T99" t="s">
        <v>3807</v>
      </c>
      <c r="U99" t="s">
        <v>3815</v>
      </c>
      <c r="V99" t="s">
        <v>4089</v>
      </c>
      <c r="X99"/>
      <c r="Y99" t="s">
        <v>4090</v>
      </c>
      <c r="Z99">
        <v>24</v>
      </c>
      <c r="AA99"/>
      <c r="AE99"/>
      <c r="AF99"/>
      <c r="AG99"/>
      <c r="AH99"/>
    </row>
    <row r="100" spans="1:34" ht="15.75" customHeight="1" x14ac:dyDescent="0.15">
      <c r="A100" s="9">
        <v>94</v>
      </c>
      <c r="C100" t="s">
        <v>3719</v>
      </c>
      <c r="D100" t="s">
        <v>4091</v>
      </c>
      <c r="E100" s="9" t="s">
        <v>3192</v>
      </c>
      <c r="F100" s="9">
        <v>149</v>
      </c>
      <c r="G100" s="9"/>
      <c r="H100" s="9" t="s">
        <v>4076</v>
      </c>
      <c r="I100" t="s">
        <v>196</v>
      </c>
      <c r="L100" t="s">
        <v>2311</v>
      </c>
      <c r="M100">
        <v>1</v>
      </c>
      <c r="N100">
        <v>-3.40282346639E+38</v>
      </c>
      <c r="O100">
        <v>3.40282346639E+38</v>
      </c>
      <c r="P100">
        <v>-3.40282346639E+38</v>
      </c>
      <c r="Q100">
        <v>3.40282346639E+38</v>
      </c>
      <c r="T100" t="s">
        <v>3723</v>
      </c>
      <c r="U100" t="s">
        <v>3815</v>
      </c>
      <c r="V100" t="s">
        <v>4092</v>
      </c>
      <c r="X100"/>
      <c r="Y100"/>
      <c r="Z100"/>
      <c r="AA100"/>
      <c r="AE100"/>
      <c r="AF100"/>
      <c r="AG100"/>
      <c r="AH100"/>
    </row>
    <row r="101" spans="1:34" ht="15.75" customHeight="1" x14ac:dyDescent="0.15">
      <c r="A101" s="9">
        <v>95</v>
      </c>
      <c r="C101" t="s">
        <v>3719</v>
      </c>
      <c r="D101" t="s">
        <v>4093</v>
      </c>
      <c r="E101" s="9" t="s">
        <v>3192</v>
      </c>
      <c r="F101" s="9">
        <v>200</v>
      </c>
      <c r="G101" s="9"/>
      <c r="H101" s="9" t="s">
        <v>3721</v>
      </c>
      <c r="I101" t="s">
        <v>196</v>
      </c>
      <c r="L101" t="s">
        <v>3722</v>
      </c>
      <c r="M101">
        <v>1</v>
      </c>
      <c r="N101">
        <v>-3.40282346639E+38</v>
      </c>
      <c r="O101">
        <v>3.40282346639E+38</v>
      </c>
      <c r="P101">
        <v>-3.40282346639E+38</v>
      </c>
      <c r="Q101">
        <v>3.40282346639E+38</v>
      </c>
      <c r="T101" t="s">
        <v>3723</v>
      </c>
      <c r="U101" t="s">
        <v>3950</v>
      </c>
      <c r="V101"/>
      <c r="X101"/>
      <c r="Y101"/>
      <c r="Z101"/>
      <c r="AA101"/>
      <c r="AE101"/>
      <c r="AF101"/>
      <c r="AG101"/>
      <c r="AH101"/>
    </row>
    <row r="102" spans="1:34" ht="15.75" customHeight="1" x14ac:dyDescent="0.15">
      <c r="A102" s="9">
        <v>96</v>
      </c>
      <c r="C102" t="s">
        <v>3719</v>
      </c>
      <c r="D102" t="s">
        <v>4094</v>
      </c>
      <c r="E102" s="9" t="s">
        <v>3192</v>
      </c>
      <c r="F102" s="9">
        <v>201</v>
      </c>
      <c r="G102" s="9"/>
      <c r="H102" s="9" t="s">
        <v>3954</v>
      </c>
      <c r="I102" t="s">
        <v>196</v>
      </c>
      <c r="L102" t="s">
        <v>82</v>
      </c>
      <c r="M102">
        <v>1</v>
      </c>
      <c r="N102">
        <v>-3.40282346639E+38</v>
      </c>
      <c r="O102">
        <v>3.40282346639E+38</v>
      </c>
      <c r="P102">
        <v>-3.40282346639E+38</v>
      </c>
      <c r="Q102">
        <v>3.40282346639E+38</v>
      </c>
      <c r="T102" t="s">
        <v>3707</v>
      </c>
      <c r="U102" t="s">
        <v>3950</v>
      </c>
      <c r="V102"/>
      <c r="X102"/>
      <c r="Y102"/>
      <c r="Z102"/>
      <c r="AA102"/>
      <c r="AE102"/>
      <c r="AF102"/>
      <c r="AG102"/>
      <c r="AH102"/>
    </row>
    <row r="103" spans="1:34" ht="15.75" customHeight="1" x14ac:dyDescent="0.15">
      <c r="A103" s="9">
        <v>97</v>
      </c>
      <c r="C103" t="s">
        <v>3719</v>
      </c>
      <c r="D103" t="s">
        <v>4095</v>
      </c>
      <c r="E103" s="9" t="s">
        <v>3192</v>
      </c>
      <c r="F103" s="9">
        <v>202</v>
      </c>
      <c r="G103" s="9"/>
      <c r="H103" s="9" t="s">
        <v>3958</v>
      </c>
      <c r="I103" t="s">
        <v>196</v>
      </c>
      <c r="L103" t="s">
        <v>153</v>
      </c>
      <c r="M103">
        <v>1</v>
      </c>
      <c r="N103">
        <v>-3.40282346639E+38</v>
      </c>
      <c r="O103">
        <v>3.40282346639E+38</v>
      </c>
      <c r="P103">
        <v>-3.40282346639E+38</v>
      </c>
      <c r="Q103">
        <v>3.40282346639E+38</v>
      </c>
      <c r="T103" t="s">
        <v>3707</v>
      </c>
      <c r="U103" t="s">
        <v>3950</v>
      </c>
      <c r="V103"/>
      <c r="X103"/>
      <c r="Y103"/>
      <c r="Z103"/>
      <c r="AA103"/>
      <c r="AE103"/>
      <c r="AF103"/>
      <c r="AG103"/>
      <c r="AH103"/>
    </row>
    <row r="104" spans="1:34" ht="15.75" customHeight="1" x14ac:dyDescent="0.15">
      <c r="A104" s="9">
        <v>98</v>
      </c>
      <c r="C104" t="s">
        <v>3719</v>
      </c>
      <c r="D104" t="s">
        <v>4096</v>
      </c>
      <c r="E104" s="9" t="s">
        <v>3192</v>
      </c>
      <c r="F104" s="9">
        <v>203</v>
      </c>
      <c r="G104" s="9"/>
      <c r="H104" s="9" t="s">
        <v>3962</v>
      </c>
      <c r="I104" t="s">
        <v>196</v>
      </c>
      <c r="L104" t="s">
        <v>123</v>
      </c>
      <c r="M104">
        <v>1</v>
      </c>
      <c r="N104">
        <v>-3.40282346639E+38</v>
      </c>
      <c r="O104">
        <v>3.40282346639E+38</v>
      </c>
      <c r="P104">
        <v>-3.40282346639E+38</v>
      </c>
      <c r="Q104">
        <v>3.40282346639E+38</v>
      </c>
      <c r="T104" t="s">
        <v>3707</v>
      </c>
      <c r="U104" t="s">
        <v>3950</v>
      </c>
      <c r="V104"/>
      <c r="X104"/>
      <c r="Y104"/>
      <c r="Z104"/>
      <c r="AA104"/>
      <c r="AE104"/>
      <c r="AF104"/>
      <c r="AG104"/>
      <c r="AH104"/>
    </row>
    <row r="105" spans="1:34" ht="15.75" customHeight="1" x14ac:dyDescent="0.15">
      <c r="A105" s="9">
        <v>99</v>
      </c>
      <c r="C105" t="s">
        <v>3719</v>
      </c>
      <c r="D105" t="s">
        <v>4097</v>
      </c>
      <c r="E105" s="9" t="s">
        <v>3192</v>
      </c>
      <c r="F105" s="9">
        <v>204</v>
      </c>
      <c r="G105" s="9"/>
      <c r="H105" s="9" t="s">
        <v>3966</v>
      </c>
      <c r="I105" t="s">
        <v>196</v>
      </c>
      <c r="L105" t="s">
        <v>123</v>
      </c>
      <c r="M105">
        <v>1</v>
      </c>
      <c r="N105">
        <v>-3.40282346639E+38</v>
      </c>
      <c r="O105">
        <v>3.40282346639E+38</v>
      </c>
      <c r="P105">
        <v>-3.40282346639E+38</v>
      </c>
      <c r="Q105">
        <v>3.40282346639E+38</v>
      </c>
      <c r="T105" t="s">
        <v>3707</v>
      </c>
      <c r="U105" t="s">
        <v>3950</v>
      </c>
      <c r="V105"/>
      <c r="X105"/>
      <c r="Y105"/>
      <c r="Z105"/>
      <c r="AA105"/>
      <c r="AE105"/>
      <c r="AF105"/>
      <c r="AG105"/>
      <c r="AH105"/>
    </row>
    <row r="106" spans="1:34" ht="15.75" customHeight="1" x14ac:dyDescent="0.15">
      <c r="A106" s="9">
        <v>100</v>
      </c>
      <c r="C106" t="s">
        <v>3719</v>
      </c>
      <c r="D106" t="s">
        <v>4098</v>
      </c>
      <c r="E106" s="9" t="s">
        <v>3192</v>
      </c>
      <c r="F106" s="9">
        <v>205</v>
      </c>
      <c r="G106" s="9"/>
      <c r="H106" s="9" t="s">
        <v>3971</v>
      </c>
      <c r="I106" t="s">
        <v>196</v>
      </c>
      <c r="L106" t="s">
        <v>123</v>
      </c>
      <c r="M106">
        <v>1</v>
      </c>
      <c r="N106">
        <v>-3.40282346639E+38</v>
      </c>
      <c r="O106">
        <v>3.40282346639E+38</v>
      </c>
      <c r="P106">
        <v>-3.40282346639E+38</v>
      </c>
      <c r="Q106">
        <v>3.40282346639E+38</v>
      </c>
      <c r="T106" t="s">
        <v>3707</v>
      </c>
      <c r="U106" t="s">
        <v>3950</v>
      </c>
      <c r="V106"/>
      <c r="X106"/>
      <c r="Y106"/>
      <c r="Z106"/>
      <c r="AA106"/>
      <c r="AE106"/>
      <c r="AF106"/>
      <c r="AG106"/>
      <c r="AH106"/>
    </row>
    <row r="107" spans="1:34" ht="15.75" customHeight="1" x14ac:dyDescent="0.15">
      <c r="A107" s="9">
        <v>101</v>
      </c>
      <c r="C107" t="s">
        <v>3719</v>
      </c>
      <c r="D107" t="s">
        <v>4099</v>
      </c>
      <c r="E107" s="9" t="s">
        <v>3192</v>
      </c>
      <c r="F107" s="9">
        <v>206</v>
      </c>
      <c r="G107" s="9"/>
      <c r="H107" s="9" t="s">
        <v>3975</v>
      </c>
      <c r="I107" t="s">
        <v>196</v>
      </c>
      <c r="L107" t="s">
        <v>113</v>
      </c>
      <c r="M107">
        <v>1</v>
      </c>
      <c r="N107">
        <v>-3.40282346639E+38</v>
      </c>
      <c r="O107">
        <v>3.40282346639E+38</v>
      </c>
      <c r="P107">
        <v>-3.40282346639E+38</v>
      </c>
      <c r="Q107">
        <v>3.40282346639E+38</v>
      </c>
      <c r="T107" t="s">
        <v>3707</v>
      </c>
      <c r="U107" t="s">
        <v>3950</v>
      </c>
      <c r="V107"/>
      <c r="X107"/>
      <c r="Y107"/>
      <c r="Z107"/>
      <c r="AA107"/>
      <c r="AE107"/>
      <c r="AF107"/>
      <c r="AG107"/>
      <c r="AH107"/>
    </row>
    <row r="108" spans="1:34" ht="15.75" customHeight="1" x14ac:dyDescent="0.15">
      <c r="A108" s="9">
        <v>102</v>
      </c>
      <c r="C108" t="s">
        <v>3719</v>
      </c>
      <c r="D108" t="s">
        <v>4100</v>
      </c>
      <c r="E108" s="9" t="s">
        <v>3192</v>
      </c>
      <c r="F108" s="9">
        <v>207</v>
      </c>
      <c r="G108" s="9"/>
      <c r="H108" s="9" t="s">
        <v>3979</v>
      </c>
      <c r="I108" t="s">
        <v>196</v>
      </c>
      <c r="L108" t="s">
        <v>113</v>
      </c>
      <c r="M108">
        <v>1</v>
      </c>
      <c r="N108">
        <v>-3.40282346639E+38</v>
      </c>
      <c r="O108">
        <v>3.40282346639E+38</v>
      </c>
      <c r="P108">
        <v>-3.40282346639E+38</v>
      </c>
      <c r="Q108">
        <v>3.40282346639E+38</v>
      </c>
      <c r="T108" t="s">
        <v>3707</v>
      </c>
      <c r="U108" t="s">
        <v>3950</v>
      </c>
      <c r="V108"/>
      <c r="X108"/>
      <c r="Y108"/>
      <c r="Z108"/>
      <c r="AA108"/>
      <c r="AE108"/>
      <c r="AF108"/>
      <c r="AG108"/>
      <c r="AH108"/>
    </row>
    <row r="109" spans="1:34" ht="15.75" customHeight="1" x14ac:dyDescent="0.15">
      <c r="A109" s="9">
        <v>103</v>
      </c>
      <c r="C109" t="s">
        <v>3719</v>
      </c>
      <c r="D109" t="s">
        <v>4101</v>
      </c>
      <c r="E109" s="9" t="s">
        <v>3192</v>
      </c>
      <c r="F109" s="9">
        <v>208</v>
      </c>
      <c r="G109" s="9"/>
      <c r="H109" s="9" t="s">
        <v>3983</v>
      </c>
      <c r="I109" t="s">
        <v>196</v>
      </c>
      <c r="L109" t="s">
        <v>113</v>
      </c>
      <c r="M109">
        <v>1</v>
      </c>
      <c r="N109">
        <v>-3.40282346639E+38</v>
      </c>
      <c r="O109">
        <v>3.40282346639E+38</v>
      </c>
      <c r="P109">
        <v>-3.40282346639E+38</v>
      </c>
      <c r="Q109">
        <v>3.40282346639E+38</v>
      </c>
      <c r="T109" t="s">
        <v>3707</v>
      </c>
      <c r="U109" t="s">
        <v>3950</v>
      </c>
      <c r="V109"/>
      <c r="X109"/>
      <c r="Y109"/>
      <c r="Z109"/>
      <c r="AA109"/>
      <c r="AE109"/>
      <c r="AF109"/>
      <c r="AG109"/>
      <c r="AH109"/>
    </row>
    <row r="110" spans="1:34" ht="15.75" customHeight="1" x14ac:dyDescent="0.15">
      <c r="A110" s="9">
        <v>104</v>
      </c>
      <c r="C110" t="s">
        <v>3719</v>
      </c>
      <c r="D110" t="s">
        <v>4102</v>
      </c>
      <c r="E110" s="9" t="s">
        <v>3192</v>
      </c>
      <c r="F110" s="9">
        <v>209</v>
      </c>
      <c r="G110" s="9"/>
      <c r="H110" s="9" t="s">
        <v>3987</v>
      </c>
      <c r="I110" t="s">
        <v>196</v>
      </c>
      <c r="L110" t="s">
        <v>145</v>
      </c>
      <c r="M110">
        <v>1</v>
      </c>
      <c r="N110">
        <v>-3.40282346639E+38</v>
      </c>
      <c r="O110">
        <v>3.40282346639E+38</v>
      </c>
      <c r="P110">
        <v>-3.40282346639E+38</v>
      </c>
      <c r="Q110">
        <v>3.40282346639E+38</v>
      </c>
      <c r="T110" t="s">
        <v>3707</v>
      </c>
      <c r="U110" t="s">
        <v>3950</v>
      </c>
      <c r="V110"/>
      <c r="X110"/>
      <c r="Y110"/>
      <c r="Z110"/>
      <c r="AA110"/>
      <c r="AE110"/>
      <c r="AF110"/>
      <c r="AG110"/>
      <c r="AH110"/>
    </row>
    <row r="111" spans="1:34" ht="15.75" customHeight="1" x14ac:dyDescent="0.15">
      <c r="A111" s="9">
        <v>105</v>
      </c>
      <c r="C111" t="s">
        <v>3719</v>
      </c>
      <c r="D111" t="s">
        <v>4103</v>
      </c>
      <c r="E111" s="9" t="s">
        <v>3192</v>
      </c>
      <c r="F111" s="9">
        <v>210</v>
      </c>
      <c r="G111" s="9"/>
      <c r="H111" s="9" t="s">
        <v>3991</v>
      </c>
      <c r="I111" t="s">
        <v>196</v>
      </c>
      <c r="L111" t="s">
        <v>149</v>
      </c>
      <c r="M111">
        <v>1</v>
      </c>
      <c r="N111">
        <v>-3.40282346639E+38</v>
      </c>
      <c r="O111">
        <v>3.40282346639E+38</v>
      </c>
      <c r="P111">
        <v>-3.40282346639E+38</v>
      </c>
      <c r="Q111">
        <v>3.40282346639E+38</v>
      </c>
      <c r="T111" t="s">
        <v>3707</v>
      </c>
      <c r="U111" t="s">
        <v>3950</v>
      </c>
      <c r="V111"/>
      <c r="X111"/>
      <c r="Y111"/>
      <c r="Z111"/>
      <c r="AA111"/>
      <c r="AE111"/>
      <c r="AF111"/>
      <c r="AG111"/>
      <c r="AH111"/>
    </row>
    <row r="112" spans="1:34" ht="15.75" customHeight="1" x14ac:dyDescent="0.15">
      <c r="A112" s="9">
        <v>106</v>
      </c>
      <c r="C112" t="s">
        <v>3719</v>
      </c>
      <c r="D112" t="s">
        <v>4104</v>
      </c>
      <c r="E112" s="9" t="s">
        <v>3192</v>
      </c>
      <c r="F112" s="9">
        <v>211</v>
      </c>
      <c r="G112" s="9"/>
      <c r="H112" s="9" t="s">
        <v>3995</v>
      </c>
      <c r="I112" t="s">
        <v>196</v>
      </c>
      <c r="L112" t="s">
        <v>82</v>
      </c>
      <c r="M112">
        <v>1</v>
      </c>
      <c r="N112">
        <v>-3.40282346639E+38</v>
      </c>
      <c r="O112">
        <v>3.40282346639E+38</v>
      </c>
      <c r="P112">
        <v>-3.40282346639E+38</v>
      </c>
      <c r="Q112">
        <v>3.40282346639E+38</v>
      </c>
      <c r="T112" t="s">
        <v>3707</v>
      </c>
      <c r="U112" t="s">
        <v>3950</v>
      </c>
      <c r="V112"/>
      <c r="X112"/>
      <c r="Y112"/>
      <c r="Z112"/>
      <c r="AA112"/>
      <c r="AE112"/>
      <c r="AF112"/>
      <c r="AG112"/>
      <c r="AH112"/>
    </row>
    <row r="113" spans="1:34" ht="15.75" customHeight="1" x14ac:dyDescent="0.15">
      <c r="A113" s="9">
        <v>107</v>
      </c>
      <c r="C113" t="s">
        <v>3719</v>
      </c>
      <c r="D113" t="s">
        <v>4105</v>
      </c>
      <c r="E113" s="9" t="s">
        <v>3192</v>
      </c>
      <c r="F113" s="9">
        <v>212</v>
      </c>
      <c r="G113" s="9"/>
      <c r="H113" s="9" t="s">
        <v>3999</v>
      </c>
      <c r="I113" t="s">
        <v>196</v>
      </c>
      <c r="L113" t="s">
        <v>123</v>
      </c>
      <c r="M113">
        <v>1</v>
      </c>
      <c r="N113">
        <v>-3.40282346639E+38</v>
      </c>
      <c r="O113">
        <v>3.40282346639E+38</v>
      </c>
      <c r="P113">
        <v>-3.40282346639E+38</v>
      </c>
      <c r="Q113">
        <v>3.40282346639E+38</v>
      </c>
      <c r="T113" t="s">
        <v>3707</v>
      </c>
      <c r="U113" t="s">
        <v>3950</v>
      </c>
      <c r="V113"/>
      <c r="X113"/>
      <c r="Y113"/>
      <c r="Z113"/>
      <c r="AA113"/>
      <c r="AE113"/>
      <c r="AF113"/>
      <c r="AG113"/>
      <c r="AH113"/>
    </row>
    <row r="114" spans="1:34" ht="15.75" customHeight="1" x14ac:dyDescent="0.15">
      <c r="A114" s="9">
        <v>108</v>
      </c>
      <c r="C114" t="s">
        <v>3719</v>
      </c>
      <c r="D114" t="s">
        <v>4106</v>
      </c>
      <c r="E114" s="9" t="s">
        <v>3192</v>
      </c>
      <c r="F114" s="9">
        <v>213</v>
      </c>
      <c r="G114" s="9"/>
      <c r="H114" s="9" t="s">
        <v>4003</v>
      </c>
      <c r="I114" t="s">
        <v>196</v>
      </c>
      <c r="L114" t="s">
        <v>113</v>
      </c>
      <c r="M114">
        <v>1</v>
      </c>
      <c r="N114">
        <v>-3.40282346639E+38</v>
      </c>
      <c r="O114">
        <v>3.40282346639E+38</v>
      </c>
      <c r="P114">
        <v>-3.40282346639E+38</v>
      </c>
      <c r="Q114">
        <v>3.40282346639E+38</v>
      </c>
      <c r="T114" t="s">
        <v>3707</v>
      </c>
      <c r="U114" t="s">
        <v>3950</v>
      </c>
      <c r="V114"/>
      <c r="X114"/>
      <c r="Y114"/>
      <c r="Z114"/>
      <c r="AA114"/>
      <c r="AE114"/>
      <c r="AF114"/>
      <c r="AG114"/>
      <c r="AH114"/>
    </row>
    <row r="115" spans="1:34" ht="15.75" customHeight="1" x14ac:dyDescent="0.15">
      <c r="A115" s="9">
        <v>109</v>
      </c>
      <c r="C115" t="s">
        <v>3719</v>
      </c>
      <c r="D115" t="s">
        <v>4107</v>
      </c>
      <c r="E115" s="9" t="s">
        <v>3192</v>
      </c>
      <c r="F115" s="9">
        <v>214</v>
      </c>
      <c r="G115" s="9"/>
      <c r="H115" s="9" t="s">
        <v>4007</v>
      </c>
      <c r="I115" t="s">
        <v>196</v>
      </c>
      <c r="L115" t="s">
        <v>123</v>
      </c>
      <c r="M115">
        <v>1</v>
      </c>
      <c r="N115">
        <v>-3.40282346639E+38</v>
      </c>
      <c r="O115">
        <v>3.40282346639E+38</v>
      </c>
      <c r="P115">
        <v>-3.40282346639E+38</v>
      </c>
      <c r="Q115">
        <v>3.40282346639E+38</v>
      </c>
      <c r="T115" t="s">
        <v>3707</v>
      </c>
      <c r="U115" t="s">
        <v>4008</v>
      </c>
      <c r="V115"/>
      <c r="X115"/>
      <c r="Y115"/>
      <c r="Z115"/>
      <c r="AA115"/>
      <c r="AE115"/>
      <c r="AF115"/>
      <c r="AG115"/>
      <c r="AH115"/>
    </row>
    <row r="116" spans="1:34" ht="15.75" customHeight="1" x14ac:dyDescent="0.15">
      <c r="A116" s="9">
        <v>110</v>
      </c>
      <c r="C116" t="s">
        <v>3719</v>
      </c>
      <c r="D116" t="s">
        <v>4108</v>
      </c>
      <c r="E116" s="9" t="s">
        <v>3192</v>
      </c>
      <c r="F116" s="9">
        <v>215</v>
      </c>
      <c r="G116" s="9"/>
      <c r="H116" s="9" t="s">
        <v>4012</v>
      </c>
      <c r="I116" t="s">
        <v>196</v>
      </c>
      <c r="L116" t="s">
        <v>123</v>
      </c>
      <c r="M116">
        <v>1</v>
      </c>
      <c r="N116">
        <v>-3.40282346639E+38</v>
      </c>
      <c r="O116">
        <v>3.40282346639E+38</v>
      </c>
      <c r="P116">
        <v>-3.40282346639E+38</v>
      </c>
      <c r="Q116">
        <v>3.40282346639E+38</v>
      </c>
      <c r="T116" t="s">
        <v>3707</v>
      </c>
      <c r="U116" t="s">
        <v>4008</v>
      </c>
      <c r="V116"/>
      <c r="X116"/>
      <c r="Y116"/>
      <c r="Z116"/>
      <c r="AA116"/>
      <c r="AE116"/>
      <c r="AF116"/>
      <c r="AG116"/>
      <c r="AH116"/>
    </row>
    <row r="117" spans="1:34" ht="15.75" customHeight="1" x14ac:dyDescent="0.15">
      <c r="A117" s="9">
        <v>111</v>
      </c>
      <c r="C117" t="s">
        <v>3719</v>
      </c>
      <c r="D117" t="s">
        <v>4109</v>
      </c>
      <c r="E117" s="9" t="s">
        <v>3192</v>
      </c>
      <c r="F117" s="9">
        <v>216</v>
      </c>
      <c r="G117" s="9"/>
      <c r="H117" s="9" t="s">
        <v>4016</v>
      </c>
      <c r="I117" t="s">
        <v>196</v>
      </c>
      <c r="L117" t="s">
        <v>123</v>
      </c>
      <c r="M117">
        <v>1</v>
      </c>
      <c r="N117">
        <v>-3.40282346639E+38</v>
      </c>
      <c r="O117">
        <v>3.40282346639E+38</v>
      </c>
      <c r="P117">
        <v>-3.40282346639E+38</v>
      </c>
      <c r="Q117">
        <v>3.40282346639E+38</v>
      </c>
      <c r="T117" t="s">
        <v>3707</v>
      </c>
      <c r="U117" t="s">
        <v>4008</v>
      </c>
      <c r="V117"/>
      <c r="X117"/>
      <c r="Y117"/>
      <c r="Z117"/>
      <c r="AA117"/>
      <c r="AE117"/>
      <c r="AF117"/>
      <c r="AG117"/>
      <c r="AH117"/>
    </row>
    <row r="118" spans="1:34" ht="15.75" customHeight="1" x14ac:dyDescent="0.15">
      <c r="A118" s="9">
        <v>112</v>
      </c>
      <c r="C118" t="s">
        <v>3719</v>
      </c>
      <c r="D118" t="s">
        <v>4110</v>
      </c>
      <c r="E118" s="9" t="s">
        <v>3192</v>
      </c>
      <c r="F118" s="9">
        <v>217</v>
      </c>
      <c r="G118" s="9"/>
      <c r="H118" s="9" t="s">
        <v>4020</v>
      </c>
      <c r="I118" t="s">
        <v>196</v>
      </c>
      <c r="L118" t="s">
        <v>123</v>
      </c>
      <c r="M118">
        <v>1</v>
      </c>
      <c r="N118">
        <v>-3.40282346639E+38</v>
      </c>
      <c r="O118">
        <v>3.40282346639E+38</v>
      </c>
      <c r="P118">
        <v>-3.40282346639E+38</v>
      </c>
      <c r="Q118">
        <v>3.40282346639E+38</v>
      </c>
      <c r="T118" t="s">
        <v>3707</v>
      </c>
      <c r="U118" t="s">
        <v>4008</v>
      </c>
      <c r="V118"/>
      <c r="X118"/>
      <c r="Y118"/>
      <c r="Z118"/>
      <c r="AA118"/>
      <c r="AE118"/>
      <c r="AF118"/>
      <c r="AG118"/>
      <c r="AH118"/>
    </row>
    <row r="119" spans="1:34" ht="15.75" customHeight="1" x14ac:dyDescent="0.15">
      <c r="A119" s="9">
        <v>113</v>
      </c>
      <c r="C119" t="s">
        <v>3719</v>
      </c>
      <c r="D119" t="s">
        <v>4111</v>
      </c>
      <c r="E119" s="9" t="s">
        <v>3192</v>
      </c>
      <c r="F119" s="9">
        <v>218</v>
      </c>
      <c r="G119" s="9"/>
      <c r="H119" s="9" t="s">
        <v>4024</v>
      </c>
      <c r="I119" t="s">
        <v>196</v>
      </c>
      <c r="L119" t="s">
        <v>123</v>
      </c>
      <c r="M119">
        <v>1</v>
      </c>
      <c r="N119">
        <v>-3.40282346639E+38</v>
      </c>
      <c r="O119">
        <v>3.40282346639E+38</v>
      </c>
      <c r="P119">
        <v>-3.40282346639E+38</v>
      </c>
      <c r="Q119">
        <v>3.40282346639E+38</v>
      </c>
      <c r="T119" t="s">
        <v>3707</v>
      </c>
      <c r="U119" t="s">
        <v>4008</v>
      </c>
      <c r="V119"/>
      <c r="X119"/>
      <c r="Y119"/>
      <c r="Z119"/>
      <c r="AA119"/>
      <c r="AE119"/>
      <c r="AF119"/>
      <c r="AG119"/>
      <c r="AH119"/>
    </row>
    <row r="120" spans="1:34" ht="15.75" customHeight="1" x14ac:dyDescent="0.15">
      <c r="A120" s="9">
        <v>114</v>
      </c>
      <c r="C120" t="s">
        <v>3719</v>
      </c>
      <c r="D120" t="s">
        <v>4112</v>
      </c>
      <c r="E120" s="9" t="s">
        <v>3192</v>
      </c>
      <c r="F120" s="9">
        <v>219</v>
      </c>
      <c r="G120" s="9"/>
      <c r="H120" s="9" t="s">
        <v>4028</v>
      </c>
      <c r="I120" t="s">
        <v>196</v>
      </c>
      <c r="L120" t="s">
        <v>123</v>
      </c>
      <c r="M120">
        <v>1</v>
      </c>
      <c r="N120">
        <v>-3.40282346639E+38</v>
      </c>
      <c r="O120">
        <v>3.40282346639E+38</v>
      </c>
      <c r="P120">
        <v>-3.40282346639E+38</v>
      </c>
      <c r="Q120">
        <v>3.40282346639E+38</v>
      </c>
      <c r="T120" t="s">
        <v>3707</v>
      </c>
      <c r="U120" t="s">
        <v>4008</v>
      </c>
      <c r="V120"/>
      <c r="X120"/>
      <c r="Y120"/>
      <c r="Z120"/>
      <c r="AA120"/>
      <c r="AE120"/>
      <c r="AF120"/>
      <c r="AG120"/>
      <c r="AH120"/>
    </row>
    <row r="121" spans="1:34" ht="15.75" customHeight="1" x14ac:dyDescent="0.15">
      <c r="A121" s="9">
        <v>115</v>
      </c>
      <c r="C121" t="s">
        <v>3719</v>
      </c>
      <c r="D121" t="s">
        <v>4113</v>
      </c>
      <c r="E121" s="9" t="s">
        <v>3192</v>
      </c>
      <c r="F121" s="9">
        <v>220</v>
      </c>
      <c r="G121" s="9"/>
      <c r="H121" s="9" t="s">
        <v>4032</v>
      </c>
      <c r="I121" t="s">
        <v>196</v>
      </c>
      <c r="L121" t="s">
        <v>123</v>
      </c>
      <c r="M121">
        <v>1</v>
      </c>
      <c r="N121">
        <v>-3.40282346639E+38</v>
      </c>
      <c r="O121">
        <v>3.40282346639E+38</v>
      </c>
      <c r="P121">
        <v>-3.40282346639E+38</v>
      </c>
      <c r="Q121">
        <v>3.40282346639E+38</v>
      </c>
      <c r="T121" t="s">
        <v>3707</v>
      </c>
      <c r="U121" t="s">
        <v>4008</v>
      </c>
      <c r="V121"/>
      <c r="X121"/>
      <c r="Y121"/>
      <c r="Z121"/>
      <c r="AA121"/>
      <c r="AE121"/>
      <c r="AF121"/>
      <c r="AG121"/>
      <c r="AH121"/>
    </row>
    <row r="122" spans="1:34" ht="15.75" customHeight="1" x14ac:dyDescent="0.15">
      <c r="A122" s="9">
        <v>116</v>
      </c>
      <c r="C122" t="s">
        <v>3719</v>
      </c>
      <c r="D122" t="s">
        <v>4114</v>
      </c>
      <c r="E122" s="9" t="s">
        <v>3192</v>
      </c>
      <c r="F122" s="9">
        <v>234</v>
      </c>
      <c r="G122" s="9"/>
      <c r="H122" s="9" t="s">
        <v>4036</v>
      </c>
      <c r="I122" t="s">
        <v>196</v>
      </c>
      <c r="L122" t="s">
        <v>86</v>
      </c>
      <c r="M122">
        <v>1</v>
      </c>
      <c r="N122">
        <v>-3.40282346639E+38</v>
      </c>
      <c r="O122">
        <v>3.40282346639E+38</v>
      </c>
      <c r="P122">
        <v>-3.40282346639E+38</v>
      </c>
      <c r="Q122">
        <v>3.40282346639E+38</v>
      </c>
      <c r="T122" t="s">
        <v>3807</v>
      </c>
      <c r="U122" t="s">
        <v>3950</v>
      </c>
      <c r="V122"/>
      <c r="X122"/>
      <c r="Y122"/>
      <c r="Z122"/>
      <c r="AA122"/>
      <c r="AE122"/>
      <c r="AF122"/>
      <c r="AG122"/>
      <c r="AH122"/>
    </row>
    <row r="123" spans="1:34" ht="15.75" customHeight="1" x14ac:dyDescent="0.15">
      <c r="A123" s="9">
        <v>117</v>
      </c>
      <c r="C123" t="s">
        <v>3719</v>
      </c>
      <c r="D123" t="s">
        <v>4115</v>
      </c>
      <c r="E123" s="9" t="s">
        <v>3192</v>
      </c>
      <c r="F123" s="9">
        <v>235</v>
      </c>
      <c r="G123" s="9"/>
      <c r="H123" s="9" t="s">
        <v>3721</v>
      </c>
      <c r="I123" t="s">
        <v>196</v>
      </c>
      <c r="L123" t="s">
        <v>86</v>
      </c>
      <c r="M123">
        <v>1</v>
      </c>
      <c r="N123">
        <v>-3.40282346639E+38</v>
      </c>
      <c r="O123">
        <v>3.40282346639E+38</v>
      </c>
      <c r="P123">
        <v>-3.40282346639E+38</v>
      </c>
      <c r="Q123">
        <v>3.40282346639E+38</v>
      </c>
      <c r="T123" t="s">
        <v>3723</v>
      </c>
      <c r="U123" t="s">
        <v>3950</v>
      </c>
      <c r="V123"/>
      <c r="X123"/>
      <c r="Y123"/>
      <c r="Z123"/>
      <c r="AA123"/>
      <c r="AE123"/>
      <c r="AF123"/>
      <c r="AG123"/>
      <c r="AH123"/>
    </row>
    <row r="124" spans="1:34" ht="15.75" customHeight="1" x14ac:dyDescent="0.15">
      <c r="A124" s="9">
        <v>118</v>
      </c>
      <c r="C124" t="s">
        <v>3719</v>
      </c>
      <c r="D124" t="s">
        <v>4116</v>
      </c>
      <c r="E124" s="9" t="s">
        <v>3192</v>
      </c>
      <c r="F124" s="9">
        <v>236</v>
      </c>
      <c r="G124" s="9"/>
      <c r="H124" s="9" t="s">
        <v>4043</v>
      </c>
      <c r="I124" t="s">
        <v>196</v>
      </c>
      <c r="L124" t="s">
        <v>86</v>
      </c>
      <c r="M124">
        <v>1</v>
      </c>
      <c r="N124">
        <v>-3.40282346639E+38</v>
      </c>
      <c r="O124">
        <v>3.40282346639E+38</v>
      </c>
      <c r="P124">
        <v>-3.40282346639E+38</v>
      </c>
      <c r="Q124">
        <v>3.40282346639E+38</v>
      </c>
      <c r="T124" t="s">
        <v>3807</v>
      </c>
      <c r="U124" t="s">
        <v>3815</v>
      </c>
      <c r="V124"/>
      <c r="X124"/>
      <c r="Y124"/>
      <c r="Z124"/>
      <c r="AA124"/>
      <c r="AE124"/>
      <c r="AF124"/>
      <c r="AG124"/>
      <c r="AH124"/>
    </row>
    <row r="125" spans="1:34" ht="15.75" customHeight="1" x14ac:dyDescent="0.15">
      <c r="A125" s="9">
        <v>119</v>
      </c>
      <c r="C125" t="s">
        <v>3719</v>
      </c>
      <c r="D125" t="s">
        <v>4117</v>
      </c>
      <c r="E125" s="9" t="s">
        <v>3192</v>
      </c>
      <c r="F125" s="9">
        <v>237</v>
      </c>
      <c r="G125" s="9"/>
      <c r="H125" s="9" t="s">
        <v>4047</v>
      </c>
      <c r="I125" t="s">
        <v>196</v>
      </c>
      <c r="L125" t="s">
        <v>104</v>
      </c>
      <c r="M125">
        <v>1</v>
      </c>
      <c r="N125">
        <v>-3.40282346639E+38</v>
      </c>
      <c r="O125">
        <v>3.40282346639E+38</v>
      </c>
      <c r="P125">
        <v>-3.40282346639E+38</v>
      </c>
      <c r="Q125">
        <v>3.40282346639E+38</v>
      </c>
      <c r="T125" t="s">
        <v>3807</v>
      </c>
      <c r="U125" t="s">
        <v>3815</v>
      </c>
      <c r="V125"/>
      <c r="X125"/>
      <c r="Y125"/>
      <c r="Z125"/>
      <c r="AA125"/>
      <c r="AE125"/>
      <c r="AF125"/>
      <c r="AG125"/>
      <c r="AH125"/>
    </row>
    <row r="126" spans="1:34" ht="15.75" customHeight="1" x14ac:dyDescent="0.15">
      <c r="A126" s="9">
        <v>120</v>
      </c>
      <c r="C126" t="s">
        <v>3719</v>
      </c>
      <c r="D126" t="s">
        <v>4118</v>
      </c>
      <c r="E126" s="9" t="s">
        <v>3192</v>
      </c>
      <c r="F126" s="9">
        <v>238</v>
      </c>
      <c r="G126" s="9"/>
      <c r="H126" s="9" t="s">
        <v>4051</v>
      </c>
      <c r="I126" t="s">
        <v>3729</v>
      </c>
      <c r="L126" t="s">
        <v>266</v>
      </c>
      <c r="M126">
        <v>1</v>
      </c>
      <c r="N126">
        <v>-3.40282346639E+38</v>
      </c>
      <c r="O126">
        <v>3.40282346639E+38</v>
      </c>
      <c r="P126">
        <v>-3.40282346639E+38</v>
      </c>
      <c r="Q126">
        <v>3.40282346639E+38</v>
      </c>
      <c r="S126" t="s">
        <v>3793</v>
      </c>
      <c r="T126" t="s">
        <v>3807</v>
      </c>
      <c r="U126" t="s">
        <v>3815</v>
      </c>
      <c r="V126"/>
      <c r="X126"/>
      <c r="Y126"/>
      <c r="Z126"/>
      <c r="AA126"/>
      <c r="AE126"/>
      <c r="AF126"/>
      <c r="AG126"/>
      <c r="AH126"/>
    </row>
    <row r="127" spans="1:34" ht="15.75" customHeight="1" x14ac:dyDescent="0.15">
      <c r="A127" s="9">
        <v>121</v>
      </c>
      <c r="C127" t="s">
        <v>3719</v>
      </c>
      <c r="D127" t="s">
        <v>4119</v>
      </c>
      <c r="E127" s="9" t="s">
        <v>3192</v>
      </c>
      <c r="F127" s="9">
        <v>239</v>
      </c>
      <c r="G127" s="9"/>
      <c r="H127" s="9" t="s">
        <v>4047</v>
      </c>
      <c r="I127" t="s">
        <v>196</v>
      </c>
      <c r="L127" t="s">
        <v>100</v>
      </c>
      <c r="M127">
        <v>1</v>
      </c>
      <c r="N127">
        <v>-3.40282346639E+38</v>
      </c>
      <c r="O127">
        <v>3.40282346639E+38</v>
      </c>
      <c r="P127">
        <v>-3.40282346639E+38</v>
      </c>
      <c r="Q127">
        <v>3.40282346639E+38</v>
      </c>
      <c r="T127" t="s">
        <v>3723</v>
      </c>
      <c r="U127" t="s">
        <v>3815</v>
      </c>
      <c r="V127"/>
      <c r="X127"/>
      <c r="Y127"/>
      <c r="Z127"/>
      <c r="AA127"/>
      <c r="AE127"/>
      <c r="AF127"/>
      <c r="AG127"/>
      <c r="AH127"/>
    </row>
    <row r="128" spans="1:34" ht="15.75" customHeight="1" x14ac:dyDescent="0.15">
      <c r="A128" s="9">
        <v>122</v>
      </c>
      <c r="C128" t="s">
        <v>3719</v>
      </c>
      <c r="D128" t="s">
        <v>4120</v>
      </c>
      <c r="E128" s="9" t="s">
        <v>3192</v>
      </c>
      <c r="F128" s="9">
        <v>240</v>
      </c>
      <c r="G128" s="9"/>
      <c r="H128" s="9" t="s">
        <v>3721</v>
      </c>
      <c r="I128" t="s">
        <v>196</v>
      </c>
      <c r="L128" t="s">
        <v>100</v>
      </c>
      <c r="M128">
        <v>1</v>
      </c>
      <c r="N128">
        <v>-3.40282346639E+38</v>
      </c>
      <c r="O128">
        <v>3.40282346639E+38</v>
      </c>
      <c r="P128">
        <v>-3.40282346639E+38</v>
      </c>
      <c r="Q128">
        <v>3.40282346639E+38</v>
      </c>
      <c r="T128" t="s">
        <v>3723</v>
      </c>
      <c r="U128" t="s">
        <v>3815</v>
      </c>
      <c r="V128"/>
      <c r="X128"/>
      <c r="Y128"/>
      <c r="Z128"/>
      <c r="AA128"/>
      <c r="AE128"/>
      <c r="AF128"/>
      <c r="AG128"/>
      <c r="AH128"/>
    </row>
    <row r="129" spans="1:34" ht="15.75" customHeight="1" x14ac:dyDescent="0.15">
      <c r="A129" s="9">
        <v>123</v>
      </c>
      <c r="C129" t="s">
        <v>3719</v>
      </c>
      <c r="D129" t="s">
        <v>4121</v>
      </c>
      <c r="E129" s="9" t="s">
        <v>3192</v>
      </c>
      <c r="F129" s="9">
        <v>241</v>
      </c>
      <c r="G129" s="9"/>
      <c r="H129" s="9" t="s">
        <v>4060</v>
      </c>
      <c r="I129" t="s">
        <v>196</v>
      </c>
      <c r="L129" t="s">
        <v>560</v>
      </c>
      <c r="M129">
        <v>1</v>
      </c>
      <c r="N129">
        <v>-3.40282346639E+38</v>
      </c>
      <c r="O129">
        <v>3.40282346639E+38</v>
      </c>
      <c r="P129">
        <v>-3.40282346639E+38</v>
      </c>
      <c r="Q129">
        <v>3.40282346639E+38</v>
      </c>
      <c r="T129" t="s">
        <v>3807</v>
      </c>
      <c r="U129" t="s">
        <v>3950</v>
      </c>
      <c r="V129"/>
      <c r="X129"/>
      <c r="Y129"/>
      <c r="Z129"/>
      <c r="AA129"/>
      <c r="AE129"/>
      <c r="AF129"/>
      <c r="AG129"/>
      <c r="AH129"/>
    </row>
    <row r="130" spans="1:34" ht="15.75" customHeight="1" x14ac:dyDescent="0.15">
      <c r="A130" s="9">
        <v>124</v>
      </c>
      <c r="C130" t="s">
        <v>3719</v>
      </c>
      <c r="D130" t="s">
        <v>4122</v>
      </c>
      <c r="E130" s="9" t="s">
        <v>3192</v>
      </c>
      <c r="F130" s="9">
        <v>242</v>
      </c>
      <c r="G130" s="9"/>
      <c r="H130" s="9" t="s">
        <v>4064</v>
      </c>
      <c r="I130" t="s">
        <v>196</v>
      </c>
      <c r="L130" t="s">
        <v>781</v>
      </c>
      <c r="M130">
        <v>1</v>
      </c>
      <c r="N130">
        <v>-3.40282346639E+38</v>
      </c>
      <c r="O130">
        <v>3.40282346639E+38</v>
      </c>
      <c r="P130">
        <v>-3.40282346639E+38</v>
      </c>
      <c r="Q130">
        <v>3.40282346639E+38</v>
      </c>
      <c r="T130" t="s">
        <v>3807</v>
      </c>
      <c r="U130" t="s">
        <v>3815</v>
      </c>
      <c r="V130"/>
      <c r="X130"/>
      <c r="Y130"/>
      <c r="Z130"/>
      <c r="AA130"/>
      <c r="AE130"/>
      <c r="AF130"/>
      <c r="AG130"/>
      <c r="AH130"/>
    </row>
    <row r="131" spans="1:34" ht="15.75" customHeight="1" x14ac:dyDescent="0.15">
      <c r="A131" s="9">
        <v>125</v>
      </c>
      <c r="C131" t="s">
        <v>3719</v>
      </c>
      <c r="D131" t="s">
        <v>4123</v>
      </c>
      <c r="E131" s="9" t="s">
        <v>3192</v>
      </c>
      <c r="F131" s="9">
        <v>243</v>
      </c>
      <c r="G131" s="9"/>
      <c r="H131" s="9" t="s">
        <v>4068</v>
      </c>
      <c r="I131" t="s">
        <v>196</v>
      </c>
      <c r="L131" t="s">
        <v>781</v>
      </c>
      <c r="M131">
        <v>1</v>
      </c>
      <c r="N131">
        <v>-3.40282346639E+38</v>
      </c>
      <c r="O131">
        <v>3.40282346639E+38</v>
      </c>
      <c r="P131">
        <v>-3.40282346639E+38</v>
      </c>
      <c r="Q131">
        <v>3.40282346639E+38</v>
      </c>
      <c r="T131" t="s">
        <v>3807</v>
      </c>
      <c r="U131" t="s">
        <v>3815</v>
      </c>
      <c r="V131"/>
      <c r="X131"/>
      <c r="Y131"/>
      <c r="Z131"/>
      <c r="AA131"/>
      <c r="AE131"/>
      <c r="AF131"/>
      <c r="AG131"/>
      <c r="AH131"/>
    </row>
    <row r="132" spans="1:34" ht="15.75" customHeight="1" x14ac:dyDescent="0.15">
      <c r="A132" s="9">
        <v>126</v>
      </c>
      <c r="C132" t="s">
        <v>3719</v>
      </c>
      <c r="D132" t="s">
        <v>4124</v>
      </c>
      <c r="E132" s="9" t="s">
        <v>3192</v>
      </c>
      <c r="F132" s="9">
        <v>244</v>
      </c>
      <c r="G132" s="9"/>
      <c r="H132" s="9" t="s">
        <v>4072</v>
      </c>
      <c r="I132" t="s">
        <v>196</v>
      </c>
      <c r="L132" t="s">
        <v>113</v>
      </c>
      <c r="M132">
        <v>1</v>
      </c>
      <c r="N132">
        <v>-3.40282346639E+38</v>
      </c>
      <c r="O132">
        <v>3.40282346639E+38</v>
      </c>
      <c r="P132">
        <v>-3.40282346639E+38</v>
      </c>
      <c r="Q132">
        <v>3.40282346639E+38</v>
      </c>
      <c r="T132" t="s">
        <v>3807</v>
      </c>
      <c r="U132" t="s">
        <v>3815</v>
      </c>
      <c r="V132"/>
      <c r="X132"/>
      <c r="Y132"/>
      <c r="Z132"/>
      <c r="AA132"/>
      <c r="AE132"/>
      <c r="AF132"/>
      <c r="AG132"/>
      <c r="AH132"/>
    </row>
    <row r="133" spans="1:34" ht="15.75" customHeight="1" x14ac:dyDescent="0.15">
      <c r="A133" s="9">
        <v>127</v>
      </c>
      <c r="C133" t="s">
        <v>3719</v>
      </c>
      <c r="D133" t="s">
        <v>4125</v>
      </c>
      <c r="E133" s="9" t="s">
        <v>3192</v>
      </c>
      <c r="F133" s="9">
        <v>245</v>
      </c>
      <c r="G133" s="9"/>
      <c r="H133" s="9" t="s">
        <v>4076</v>
      </c>
      <c r="I133" t="s">
        <v>196</v>
      </c>
      <c r="L133" t="s">
        <v>2311</v>
      </c>
      <c r="M133">
        <v>1</v>
      </c>
      <c r="N133">
        <v>-3.40282346639E+38</v>
      </c>
      <c r="O133">
        <v>3.40282346639E+38</v>
      </c>
      <c r="P133">
        <v>-3.40282346639E+38</v>
      </c>
      <c r="Q133">
        <v>3.40282346639E+38</v>
      </c>
      <c r="T133" t="s">
        <v>3723</v>
      </c>
      <c r="U133" t="s">
        <v>3815</v>
      </c>
      <c r="V133"/>
      <c r="X133"/>
      <c r="Y133"/>
      <c r="Z133"/>
      <c r="AA133"/>
      <c r="AE133"/>
      <c r="AF133"/>
      <c r="AG133"/>
      <c r="AH133"/>
    </row>
    <row r="134" spans="1:34" ht="15.75" customHeight="1" x14ac:dyDescent="0.15">
      <c r="A134" s="9">
        <v>128</v>
      </c>
      <c r="C134" t="s">
        <v>3719</v>
      </c>
      <c r="D134" t="s">
        <v>4126</v>
      </c>
      <c r="E134" s="9" t="s">
        <v>3192</v>
      </c>
      <c r="F134" s="9">
        <v>246</v>
      </c>
      <c r="G134" s="9"/>
      <c r="H134" s="9" t="s">
        <v>4080</v>
      </c>
      <c r="I134" t="s">
        <v>196</v>
      </c>
      <c r="L134" t="s">
        <v>266</v>
      </c>
      <c r="M134">
        <v>1</v>
      </c>
      <c r="N134">
        <v>-3.40282346639E+38</v>
      </c>
      <c r="O134">
        <v>3.40282346639E+38</v>
      </c>
      <c r="P134">
        <v>-3.40282346639E+38</v>
      </c>
      <c r="Q134">
        <v>3.40282346639E+38</v>
      </c>
      <c r="T134" t="s">
        <v>3807</v>
      </c>
      <c r="U134" t="s">
        <v>3815</v>
      </c>
      <c r="V134"/>
      <c r="X134"/>
      <c r="Y134"/>
      <c r="Z134"/>
      <c r="AA134"/>
      <c r="AE134"/>
      <c r="AF134"/>
      <c r="AG134"/>
      <c r="AH134"/>
    </row>
    <row r="135" spans="1:34" ht="15.75" customHeight="1" x14ac:dyDescent="0.15">
      <c r="A135" s="9">
        <v>129</v>
      </c>
      <c r="C135" t="s">
        <v>3719</v>
      </c>
      <c r="D135" t="s">
        <v>4127</v>
      </c>
      <c r="E135" s="9" t="s">
        <v>3192</v>
      </c>
      <c r="F135" s="9">
        <v>247</v>
      </c>
      <c r="G135" s="9"/>
      <c r="H135" s="9" t="s">
        <v>4084</v>
      </c>
      <c r="I135" t="s">
        <v>196</v>
      </c>
      <c r="L135" t="s">
        <v>266</v>
      </c>
      <c r="M135">
        <v>1</v>
      </c>
      <c r="N135">
        <v>-3.40282346639E+38</v>
      </c>
      <c r="O135">
        <v>3.40282346639E+38</v>
      </c>
      <c r="P135">
        <v>-3.40282346639E+38</v>
      </c>
      <c r="Q135">
        <v>3.40282346639E+38</v>
      </c>
      <c r="T135" t="s">
        <v>3807</v>
      </c>
      <c r="U135" t="s">
        <v>3815</v>
      </c>
      <c r="V135"/>
      <c r="X135"/>
      <c r="Y135"/>
      <c r="Z135"/>
      <c r="AA135"/>
      <c r="AE135"/>
      <c r="AF135"/>
      <c r="AG135"/>
      <c r="AH135"/>
    </row>
    <row r="136" spans="1:34" ht="15.75" customHeight="1" x14ac:dyDescent="0.15">
      <c r="A136" s="9">
        <v>130</v>
      </c>
      <c r="C136" t="s">
        <v>3719</v>
      </c>
      <c r="D136" t="s">
        <v>4128</v>
      </c>
      <c r="E136" s="9" t="s">
        <v>3192</v>
      </c>
      <c r="F136" s="9">
        <v>248</v>
      </c>
      <c r="G136" s="9"/>
      <c r="H136" s="9" t="s">
        <v>4088</v>
      </c>
      <c r="I136" t="s">
        <v>196</v>
      </c>
      <c r="L136" t="s">
        <v>266</v>
      </c>
      <c r="M136">
        <v>1</v>
      </c>
      <c r="N136">
        <v>-3.40282346639E+38</v>
      </c>
      <c r="O136">
        <v>3.40282346639E+38</v>
      </c>
      <c r="P136">
        <v>-3.40282346639E+38</v>
      </c>
      <c r="Q136">
        <v>3.40282346639E+38</v>
      </c>
      <c r="T136" t="s">
        <v>3807</v>
      </c>
      <c r="U136" t="s">
        <v>3815</v>
      </c>
      <c r="V136"/>
      <c r="X136"/>
      <c r="Y136"/>
      <c r="Z136"/>
      <c r="AA136"/>
      <c r="AE136"/>
      <c r="AF136"/>
      <c r="AG136"/>
      <c r="AH136"/>
    </row>
    <row r="137" spans="1:34" ht="15.75" customHeight="1" x14ac:dyDescent="0.15">
      <c r="A137" s="9">
        <v>131</v>
      </c>
      <c r="C137" t="s">
        <v>3719</v>
      </c>
      <c r="D137" t="s">
        <v>4129</v>
      </c>
      <c r="E137" s="9" t="s">
        <v>3192</v>
      </c>
      <c r="F137" s="9">
        <v>149</v>
      </c>
      <c r="G137" s="9"/>
      <c r="H137" s="9" t="s">
        <v>4130</v>
      </c>
      <c r="I137" t="s">
        <v>196</v>
      </c>
      <c r="L137" t="s">
        <v>2311</v>
      </c>
      <c r="M137">
        <v>1</v>
      </c>
      <c r="N137">
        <v>-3.40282346639E+38</v>
      </c>
      <c r="O137">
        <v>3.40282346639E+38</v>
      </c>
      <c r="P137">
        <v>-3.40282346639E+38</v>
      </c>
      <c r="Q137">
        <v>3.40282346639E+38</v>
      </c>
      <c r="T137" t="s">
        <v>3723</v>
      </c>
      <c r="U137" t="s">
        <v>3815</v>
      </c>
      <c r="V137" t="s">
        <v>4131</v>
      </c>
      <c r="X137"/>
      <c r="Y137"/>
      <c r="Z137"/>
      <c r="AA137"/>
      <c r="AE137"/>
      <c r="AF137"/>
      <c r="AG137"/>
      <c r="AH137"/>
    </row>
    <row r="138" spans="1:34" ht="15.75" customHeight="1" x14ac:dyDescent="0.15">
      <c r="A138" s="9">
        <v>132</v>
      </c>
      <c r="C138" t="s">
        <v>3719</v>
      </c>
      <c r="D138" t="s">
        <v>4132</v>
      </c>
      <c r="E138" s="9" t="s">
        <v>3192</v>
      </c>
      <c r="F138" s="9">
        <v>300</v>
      </c>
      <c r="G138" s="9"/>
      <c r="H138" s="9" t="s">
        <v>3721</v>
      </c>
      <c r="I138" t="s">
        <v>196</v>
      </c>
      <c r="L138" t="s">
        <v>3722</v>
      </c>
      <c r="M138">
        <v>1</v>
      </c>
      <c r="N138">
        <v>-3.40282346639E+38</v>
      </c>
      <c r="O138">
        <v>3.40282346639E+38</v>
      </c>
      <c r="P138">
        <v>-3.40282346639E+38</v>
      </c>
      <c r="Q138">
        <v>3.40282346639E+38</v>
      </c>
      <c r="T138" t="s">
        <v>3723</v>
      </c>
      <c r="U138" t="s">
        <v>3950</v>
      </c>
      <c r="V138"/>
      <c r="X138"/>
      <c r="Y138"/>
      <c r="Z138"/>
      <c r="AA138"/>
      <c r="AE138"/>
      <c r="AF138"/>
      <c r="AG138"/>
      <c r="AH138"/>
    </row>
    <row r="139" spans="1:34" ht="15.75" customHeight="1" x14ac:dyDescent="0.15">
      <c r="A139" s="9">
        <v>133</v>
      </c>
      <c r="C139" t="s">
        <v>3719</v>
      </c>
      <c r="D139" t="s">
        <v>4133</v>
      </c>
      <c r="E139" s="9" t="s">
        <v>3192</v>
      </c>
      <c r="F139" s="9">
        <v>301</v>
      </c>
      <c r="G139" s="9"/>
      <c r="H139" s="9" t="s">
        <v>3954</v>
      </c>
      <c r="I139" t="s">
        <v>196</v>
      </c>
      <c r="L139" t="s">
        <v>82</v>
      </c>
      <c r="M139">
        <v>1</v>
      </c>
      <c r="N139">
        <v>-3.40282346639E+38</v>
      </c>
      <c r="O139">
        <v>3.40282346639E+38</v>
      </c>
      <c r="P139">
        <v>-3.40282346639E+38</v>
      </c>
      <c r="Q139">
        <v>3.40282346639E+38</v>
      </c>
      <c r="T139" t="s">
        <v>3707</v>
      </c>
      <c r="U139" t="s">
        <v>3950</v>
      </c>
      <c r="V139" t="s">
        <v>4134</v>
      </c>
      <c r="X139"/>
      <c r="Y139"/>
      <c r="Z139"/>
      <c r="AA139"/>
      <c r="AE139"/>
      <c r="AF139"/>
      <c r="AG139"/>
      <c r="AH139"/>
    </row>
    <row r="140" spans="1:34" ht="15.75" customHeight="1" x14ac:dyDescent="0.15">
      <c r="A140" s="9">
        <v>134</v>
      </c>
      <c r="C140" t="s">
        <v>3719</v>
      </c>
      <c r="D140" t="s">
        <v>4135</v>
      </c>
      <c r="E140" s="9" t="s">
        <v>3192</v>
      </c>
      <c r="F140" s="9">
        <v>302</v>
      </c>
      <c r="G140" s="9"/>
      <c r="H140" s="9" t="s">
        <v>3958</v>
      </c>
      <c r="I140" t="s">
        <v>196</v>
      </c>
      <c r="L140" t="s">
        <v>153</v>
      </c>
      <c r="M140">
        <v>1</v>
      </c>
      <c r="N140">
        <v>-3.40282346639E+38</v>
      </c>
      <c r="O140">
        <v>3.40282346639E+38</v>
      </c>
      <c r="P140">
        <v>-3.40282346639E+38</v>
      </c>
      <c r="Q140">
        <v>3.40282346639E+38</v>
      </c>
      <c r="T140" t="s">
        <v>3707</v>
      </c>
      <c r="U140" t="s">
        <v>3950</v>
      </c>
      <c r="V140" t="s">
        <v>4136</v>
      </c>
      <c r="X140"/>
      <c r="Y140"/>
      <c r="Z140"/>
      <c r="AA140"/>
      <c r="AE140"/>
      <c r="AF140"/>
      <c r="AG140"/>
      <c r="AH140"/>
    </row>
    <row r="141" spans="1:34" ht="15.75" customHeight="1" x14ac:dyDescent="0.15">
      <c r="A141" s="9">
        <v>135</v>
      </c>
      <c r="C141" t="s">
        <v>3719</v>
      </c>
      <c r="D141" t="s">
        <v>4137</v>
      </c>
      <c r="E141" s="9" t="s">
        <v>3192</v>
      </c>
      <c r="F141" s="9">
        <v>303</v>
      </c>
      <c r="G141" s="9"/>
      <c r="H141" s="9" t="s">
        <v>3962</v>
      </c>
      <c r="I141" t="s">
        <v>196</v>
      </c>
      <c r="L141" t="s">
        <v>123</v>
      </c>
      <c r="M141">
        <v>1</v>
      </c>
      <c r="N141">
        <v>-3.40282346639E+38</v>
      </c>
      <c r="O141">
        <v>3.40282346639E+38</v>
      </c>
      <c r="P141">
        <v>-3.40282346639E+38</v>
      </c>
      <c r="Q141">
        <v>3.40282346639E+38</v>
      </c>
      <c r="T141" t="s">
        <v>3707</v>
      </c>
      <c r="U141" t="s">
        <v>3950</v>
      </c>
      <c r="V141" t="s">
        <v>4138</v>
      </c>
      <c r="X141"/>
      <c r="Y141"/>
      <c r="Z141"/>
      <c r="AA141"/>
      <c r="AE141"/>
      <c r="AF141"/>
      <c r="AG141"/>
      <c r="AH141"/>
    </row>
    <row r="142" spans="1:34" ht="15.75" customHeight="1" x14ac:dyDescent="0.15">
      <c r="A142" s="9">
        <v>136</v>
      </c>
      <c r="C142" t="s">
        <v>3719</v>
      </c>
      <c r="D142" t="s">
        <v>4139</v>
      </c>
      <c r="E142" s="9" t="s">
        <v>3192</v>
      </c>
      <c r="F142" s="9">
        <v>304</v>
      </c>
      <c r="G142" s="9"/>
      <c r="H142" s="9" t="s">
        <v>3966</v>
      </c>
      <c r="I142" t="s">
        <v>196</v>
      </c>
      <c r="L142" t="s">
        <v>123</v>
      </c>
      <c r="M142">
        <v>1</v>
      </c>
      <c r="N142">
        <v>-3.40282346639E+38</v>
      </c>
      <c r="O142">
        <v>3.40282346639E+38</v>
      </c>
      <c r="P142">
        <v>-3.40282346639E+38</v>
      </c>
      <c r="Q142">
        <v>3.40282346639E+38</v>
      </c>
      <c r="T142" t="s">
        <v>3707</v>
      </c>
      <c r="U142" t="s">
        <v>3950</v>
      </c>
      <c r="V142" t="s">
        <v>4140</v>
      </c>
      <c r="X142"/>
      <c r="Y142"/>
      <c r="Z142"/>
      <c r="AA142"/>
      <c r="AE142"/>
      <c r="AF142"/>
      <c r="AG142"/>
      <c r="AH142"/>
    </row>
    <row r="143" spans="1:34" ht="15.75" customHeight="1" x14ac:dyDescent="0.15">
      <c r="A143" s="9">
        <v>137</v>
      </c>
      <c r="C143" t="s">
        <v>3719</v>
      </c>
      <c r="D143" t="s">
        <v>4141</v>
      </c>
      <c r="E143" s="9" t="s">
        <v>3192</v>
      </c>
      <c r="F143" s="9">
        <v>305</v>
      </c>
      <c r="G143" s="9"/>
      <c r="H143" s="9" t="s">
        <v>3971</v>
      </c>
      <c r="I143" t="s">
        <v>196</v>
      </c>
      <c r="L143" t="s">
        <v>123</v>
      </c>
      <c r="M143">
        <v>1</v>
      </c>
      <c r="N143">
        <v>-3.40282346639E+38</v>
      </c>
      <c r="O143">
        <v>3.40282346639E+38</v>
      </c>
      <c r="P143">
        <v>-3.40282346639E+38</v>
      </c>
      <c r="Q143">
        <v>3.40282346639E+38</v>
      </c>
      <c r="T143" t="s">
        <v>3707</v>
      </c>
      <c r="U143" t="s">
        <v>3950</v>
      </c>
      <c r="V143" t="s">
        <v>4142</v>
      </c>
      <c r="X143"/>
      <c r="Y143"/>
      <c r="Z143"/>
      <c r="AA143"/>
      <c r="AE143"/>
      <c r="AF143"/>
      <c r="AG143"/>
      <c r="AH143"/>
    </row>
    <row r="144" spans="1:34" ht="15.75" customHeight="1" x14ac:dyDescent="0.15">
      <c r="A144" s="9">
        <v>138</v>
      </c>
      <c r="C144" t="s">
        <v>3719</v>
      </c>
      <c r="D144" t="s">
        <v>4143</v>
      </c>
      <c r="E144" s="9" t="s">
        <v>3192</v>
      </c>
      <c r="F144" s="9">
        <v>306</v>
      </c>
      <c r="G144" s="9"/>
      <c r="H144" s="9" t="s">
        <v>3975</v>
      </c>
      <c r="I144" t="s">
        <v>196</v>
      </c>
      <c r="L144" t="s">
        <v>113</v>
      </c>
      <c r="M144">
        <v>1</v>
      </c>
      <c r="N144">
        <v>-3.40282346639E+38</v>
      </c>
      <c r="O144">
        <v>3.40282346639E+38</v>
      </c>
      <c r="P144">
        <v>-3.40282346639E+38</v>
      </c>
      <c r="Q144">
        <v>3.40282346639E+38</v>
      </c>
      <c r="T144" t="s">
        <v>3707</v>
      </c>
      <c r="U144" t="s">
        <v>3950</v>
      </c>
      <c r="V144" t="s">
        <v>4144</v>
      </c>
      <c r="X144"/>
      <c r="Y144"/>
      <c r="Z144"/>
      <c r="AA144"/>
      <c r="AE144"/>
      <c r="AF144"/>
      <c r="AG144"/>
      <c r="AH144"/>
    </row>
    <row r="145" spans="1:34" ht="15.75" customHeight="1" x14ac:dyDescent="0.15">
      <c r="A145" s="9">
        <v>139</v>
      </c>
      <c r="C145" t="s">
        <v>3719</v>
      </c>
      <c r="D145" t="s">
        <v>4145</v>
      </c>
      <c r="E145" s="9" t="s">
        <v>3192</v>
      </c>
      <c r="F145" s="9">
        <v>307</v>
      </c>
      <c r="G145" s="9"/>
      <c r="H145" s="9" t="s">
        <v>3979</v>
      </c>
      <c r="I145" t="s">
        <v>196</v>
      </c>
      <c r="L145" t="s">
        <v>113</v>
      </c>
      <c r="M145">
        <v>1</v>
      </c>
      <c r="N145">
        <v>-3.40282346639E+38</v>
      </c>
      <c r="O145">
        <v>3.40282346639E+38</v>
      </c>
      <c r="P145">
        <v>-3.40282346639E+38</v>
      </c>
      <c r="Q145">
        <v>3.40282346639E+38</v>
      </c>
      <c r="T145" t="s">
        <v>3707</v>
      </c>
      <c r="U145" t="s">
        <v>3950</v>
      </c>
      <c r="V145" t="s">
        <v>4146</v>
      </c>
      <c r="X145"/>
      <c r="Y145"/>
      <c r="Z145"/>
      <c r="AA145"/>
      <c r="AE145"/>
      <c r="AF145"/>
      <c r="AG145"/>
      <c r="AH145"/>
    </row>
    <row r="146" spans="1:34" ht="15.75" customHeight="1" x14ac:dyDescent="0.15">
      <c r="A146" s="9">
        <v>140</v>
      </c>
      <c r="C146" t="s">
        <v>3719</v>
      </c>
      <c r="D146" t="s">
        <v>4147</v>
      </c>
      <c r="E146" s="9" t="s">
        <v>3192</v>
      </c>
      <c r="F146" s="9">
        <v>308</v>
      </c>
      <c r="G146" s="9"/>
      <c r="H146" s="9" t="s">
        <v>3983</v>
      </c>
      <c r="I146" t="s">
        <v>196</v>
      </c>
      <c r="L146" t="s">
        <v>113</v>
      </c>
      <c r="M146">
        <v>1</v>
      </c>
      <c r="N146">
        <v>-3.40282346639E+38</v>
      </c>
      <c r="O146">
        <v>3.40282346639E+38</v>
      </c>
      <c r="P146">
        <v>-3.40282346639E+38</v>
      </c>
      <c r="Q146">
        <v>3.40282346639E+38</v>
      </c>
      <c r="T146" t="s">
        <v>3707</v>
      </c>
      <c r="U146" t="s">
        <v>3950</v>
      </c>
      <c r="V146" t="s">
        <v>4148</v>
      </c>
      <c r="X146"/>
      <c r="Y146"/>
      <c r="Z146"/>
      <c r="AA146"/>
      <c r="AE146"/>
      <c r="AF146"/>
      <c r="AG146"/>
      <c r="AH146"/>
    </row>
    <row r="147" spans="1:34" ht="15.75" customHeight="1" x14ac:dyDescent="0.15">
      <c r="A147" s="9">
        <v>141</v>
      </c>
      <c r="C147" t="s">
        <v>3719</v>
      </c>
      <c r="D147" t="s">
        <v>4149</v>
      </c>
      <c r="E147" s="9" t="s">
        <v>3192</v>
      </c>
      <c r="F147" s="9">
        <v>309</v>
      </c>
      <c r="G147" s="9"/>
      <c r="H147" s="9" t="s">
        <v>3987</v>
      </c>
      <c r="I147" t="s">
        <v>196</v>
      </c>
      <c r="L147" t="s">
        <v>145</v>
      </c>
      <c r="M147">
        <v>1</v>
      </c>
      <c r="N147">
        <v>-3.40282346639E+38</v>
      </c>
      <c r="O147">
        <v>3.40282346639E+38</v>
      </c>
      <c r="P147">
        <v>-3.40282346639E+38</v>
      </c>
      <c r="Q147">
        <v>3.40282346639E+38</v>
      </c>
      <c r="T147" t="s">
        <v>3707</v>
      </c>
      <c r="U147" t="s">
        <v>3950</v>
      </c>
      <c r="V147" t="s">
        <v>4150</v>
      </c>
      <c r="X147"/>
      <c r="Y147"/>
      <c r="Z147"/>
      <c r="AA147"/>
      <c r="AE147"/>
      <c r="AF147"/>
      <c r="AG147"/>
      <c r="AH147"/>
    </row>
    <row r="148" spans="1:34" ht="15.75" customHeight="1" x14ac:dyDescent="0.15">
      <c r="A148" s="9">
        <v>142</v>
      </c>
      <c r="C148" t="s">
        <v>3719</v>
      </c>
      <c r="D148" t="s">
        <v>4151</v>
      </c>
      <c r="E148" s="9" t="s">
        <v>3192</v>
      </c>
      <c r="F148" s="9">
        <v>310</v>
      </c>
      <c r="G148" s="9"/>
      <c r="H148" s="9" t="s">
        <v>3991</v>
      </c>
      <c r="I148" t="s">
        <v>196</v>
      </c>
      <c r="L148" t="s">
        <v>149</v>
      </c>
      <c r="M148">
        <v>1</v>
      </c>
      <c r="N148">
        <v>-3.40282346639E+38</v>
      </c>
      <c r="O148">
        <v>3.40282346639E+38</v>
      </c>
      <c r="P148">
        <v>-3.40282346639E+38</v>
      </c>
      <c r="Q148">
        <v>3.40282346639E+38</v>
      </c>
      <c r="T148" t="s">
        <v>3707</v>
      </c>
      <c r="U148" t="s">
        <v>3950</v>
      </c>
      <c r="V148" t="s">
        <v>4152</v>
      </c>
      <c r="X148"/>
      <c r="Y148"/>
      <c r="Z148"/>
      <c r="AA148"/>
      <c r="AE148"/>
      <c r="AF148"/>
      <c r="AG148"/>
      <c r="AH148"/>
    </row>
    <row r="149" spans="1:34" ht="15.75" customHeight="1" x14ac:dyDescent="0.15">
      <c r="A149" s="9">
        <v>143</v>
      </c>
      <c r="C149" t="s">
        <v>3719</v>
      </c>
      <c r="D149" t="s">
        <v>4153</v>
      </c>
      <c r="E149" s="9" t="s">
        <v>3192</v>
      </c>
      <c r="F149" s="9">
        <v>311</v>
      </c>
      <c r="G149" s="9"/>
      <c r="H149" s="9" t="s">
        <v>3995</v>
      </c>
      <c r="I149" t="s">
        <v>196</v>
      </c>
      <c r="L149" t="s">
        <v>82</v>
      </c>
      <c r="M149">
        <v>1</v>
      </c>
      <c r="N149">
        <v>-3.40282346639E+38</v>
      </c>
      <c r="O149">
        <v>3.40282346639E+38</v>
      </c>
      <c r="P149">
        <v>-3.40282346639E+38</v>
      </c>
      <c r="Q149">
        <v>3.40282346639E+38</v>
      </c>
      <c r="T149" t="s">
        <v>3707</v>
      </c>
      <c r="U149" t="s">
        <v>3950</v>
      </c>
      <c r="V149" t="s">
        <v>4154</v>
      </c>
      <c r="X149"/>
      <c r="Y149"/>
      <c r="Z149"/>
      <c r="AA149"/>
      <c r="AE149"/>
      <c r="AF149"/>
      <c r="AG149"/>
      <c r="AH149"/>
    </row>
    <row r="150" spans="1:34" ht="15.75" customHeight="1" x14ac:dyDescent="0.15">
      <c r="A150" s="9">
        <v>144</v>
      </c>
      <c r="C150" t="s">
        <v>3719</v>
      </c>
      <c r="D150" t="s">
        <v>4155</v>
      </c>
      <c r="E150" s="9" t="s">
        <v>3192</v>
      </c>
      <c r="F150" s="9">
        <v>312</v>
      </c>
      <c r="G150" s="9"/>
      <c r="H150" s="9" t="s">
        <v>3999</v>
      </c>
      <c r="I150" t="s">
        <v>196</v>
      </c>
      <c r="L150" t="s">
        <v>123</v>
      </c>
      <c r="M150">
        <v>1</v>
      </c>
      <c r="N150">
        <v>-3.40282346639E+38</v>
      </c>
      <c r="O150">
        <v>3.40282346639E+38</v>
      </c>
      <c r="P150">
        <v>-3.40282346639E+38</v>
      </c>
      <c r="Q150">
        <v>3.40282346639E+38</v>
      </c>
      <c r="T150" t="s">
        <v>3707</v>
      </c>
      <c r="U150" t="s">
        <v>3950</v>
      </c>
      <c r="V150" t="s">
        <v>4156</v>
      </c>
      <c r="X150"/>
      <c r="Y150"/>
      <c r="Z150"/>
      <c r="AA150"/>
      <c r="AE150"/>
      <c r="AF150"/>
      <c r="AG150"/>
      <c r="AH150"/>
    </row>
    <row r="151" spans="1:34" ht="15.75" customHeight="1" x14ac:dyDescent="0.15">
      <c r="A151" s="9">
        <v>145</v>
      </c>
      <c r="C151" t="s">
        <v>3719</v>
      </c>
      <c r="D151" t="s">
        <v>4157</v>
      </c>
      <c r="E151" s="9" t="s">
        <v>3192</v>
      </c>
      <c r="F151" s="9">
        <v>313</v>
      </c>
      <c r="G151" s="9"/>
      <c r="H151" s="9" t="s">
        <v>4003</v>
      </c>
      <c r="I151" t="s">
        <v>196</v>
      </c>
      <c r="L151" t="s">
        <v>113</v>
      </c>
      <c r="M151">
        <v>1</v>
      </c>
      <c r="N151">
        <v>-3.40282346639E+38</v>
      </c>
      <c r="O151">
        <v>3.40282346639E+38</v>
      </c>
      <c r="P151">
        <v>-3.40282346639E+38</v>
      </c>
      <c r="Q151">
        <v>3.40282346639E+38</v>
      </c>
      <c r="T151" t="s">
        <v>3707</v>
      </c>
      <c r="U151" t="s">
        <v>3950</v>
      </c>
      <c r="V151" t="s">
        <v>4158</v>
      </c>
      <c r="X151"/>
      <c r="Y151"/>
      <c r="Z151"/>
      <c r="AA151"/>
      <c r="AE151"/>
      <c r="AF151"/>
      <c r="AG151"/>
      <c r="AH151"/>
    </row>
    <row r="152" spans="1:34" ht="15.75" customHeight="1" x14ac:dyDescent="0.15">
      <c r="A152" s="9">
        <v>146</v>
      </c>
      <c r="C152" t="s">
        <v>3719</v>
      </c>
      <c r="D152" t="s">
        <v>4159</v>
      </c>
      <c r="E152" s="9" t="s">
        <v>3192</v>
      </c>
      <c r="F152" s="9">
        <v>314</v>
      </c>
      <c r="G152" s="9"/>
      <c r="H152" s="9" t="s">
        <v>4007</v>
      </c>
      <c r="I152" t="s">
        <v>196</v>
      </c>
      <c r="L152" t="s">
        <v>123</v>
      </c>
      <c r="M152">
        <v>1</v>
      </c>
      <c r="N152">
        <v>-3.40282346639E+38</v>
      </c>
      <c r="O152">
        <v>3.40282346639E+38</v>
      </c>
      <c r="P152">
        <v>-3.40282346639E+38</v>
      </c>
      <c r="Q152">
        <v>3.40282346639E+38</v>
      </c>
      <c r="T152" t="s">
        <v>3707</v>
      </c>
      <c r="U152" t="s">
        <v>4008</v>
      </c>
      <c r="V152" t="s">
        <v>4160</v>
      </c>
      <c r="X152"/>
      <c r="Y152"/>
      <c r="Z152"/>
      <c r="AA152"/>
      <c r="AE152"/>
      <c r="AF152"/>
      <c r="AG152"/>
      <c r="AH152"/>
    </row>
    <row r="153" spans="1:34" ht="15.75" customHeight="1" x14ac:dyDescent="0.15">
      <c r="A153" s="9">
        <v>147</v>
      </c>
      <c r="C153" t="s">
        <v>3719</v>
      </c>
      <c r="D153" t="s">
        <v>4161</v>
      </c>
      <c r="E153" s="9" t="s">
        <v>3192</v>
      </c>
      <c r="F153" s="9">
        <v>315</v>
      </c>
      <c r="G153" s="9"/>
      <c r="H153" s="9" t="s">
        <v>4012</v>
      </c>
      <c r="I153" t="s">
        <v>196</v>
      </c>
      <c r="L153" t="s">
        <v>123</v>
      </c>
      <c r="M153">
        <v>1</v>
      </c>
      <c r="N153">
        <v>-3.40282346639E+38</v>
      </c>
      <c r="O153">
        <v>3.40282346639E+38</v>
      </c>
      <c r="P153">
        <v>-3.40282346639E+38</v>
      </c>
      <c r="Q153">
        <v>3.40282346639E+38</v>
      </c>
      <c r="T153" t="s">
        <v>3707</v>
      </c>
      <c r="U153" t="s">
        <v>4008</v>
      </c>
      <c r="V153" t="s">
        <v>4162</v>
      </c>
      <c r="X153"/>
      <c r="Y153"/>
      <c r="Z153"/>
      <c r="AA153"/>
      <c r="AE153"/>
      <c r="AF153"/>
      <c r="AG153"/>
      <c r="AH153"/>
    </row>
    <row r="154" spans="1:34" ht="15.75" customHeight="1" x14ac:dyDescent="0.15">
      <c r="A154" s="9">
        <v>148</v>
      </c>
      <c r="C154" t="s">
        <v>3719</v>
      </c>
      <c r="D154" t="s">
        <v>4163</v>
      </c>
      <c r="E154" s="9" t="s">
        <v>3192</v>
      </c>
      <c r="F154" s="9">
        <v>316</v>
      </c>
      <c r="G154" s="9"/>
      <c r="H154" s="9" t="s">
        <v>4016</v>
      </c>
      <c r="I154" t="s">
        <v>196</v>
      </c>
      <c r="L154" t="s">
        <v>123</v>
      </c>
      <c r="M154">
        <v>1</v>
      </c>
      <c r="N154">
        <v>-3.40282346639E+38</v>
      </c>
      <c r="O154">
        <v>3.40282346639E+38</v>
      </c>
      <c r="P154">
        <v>-3.40282346639E+38</v>
      </c>
      <c r="Q154">
        <v>3.40282346639E+38</v>
      </c>
      <c r="T154" t="s">
        <v>3707</v>
      </c>
      <c r="U154" t="s">
        <v>4008</v>
      </c>
      <c r="V154" t="s">
        <v>4164</v>
      </c>
      <c r="X154"/>
      <c r="Y154"/>
      <c r="Z154"/>
      <c r="AA154"/>
      <c r="AE154"/>
      <c r="AF154"/>
      <c r="AG154"/>
      <c r="AH154"/>
    </row>
    <row r="155" spans="1:34" ht="15.75" customHeight="1" x14ac:dyDescent="0.15">
      <c r="A155" s="9">
        <v>149</v>
      </c>
      <c r="C155" t="s">
        <v>3719</v>
      </c>
      <c r="D155" t="s">
        <v>4165</v>
      </c>
      <c r="E155" s="9" t="s">
        <v>3192</v>
      </c>
      <c r="F155" s="9">
        <v>317</v>
      </c>
      <c r="G155" s="9"/>
      <c r="H155" s="9" t="s">
        <v>4020</v>
      </c>
      <c r="I155" t="s">
        <v>196</v>
      </c>
      <c r="L155" t="s">
        <v>123</v>
      </c>
      <c r="M155">
        <v>1</v>
      </c>
      <c r="N155">
        <v>-3.40282346639E+38</v>
      </c>
      <c r="O155">
        <v>3.40282346639E+38</v>
      </c>
      <c r="P155">
        <v>-3.40282346639E+38</v>
      </c>
      <c r="Q155">
        <v>3.40282346639E+38</v>
      </c>
      <c r="T155" t="s">
        <v>3707</v>
      </c>
      <c r="U155" t="s">
        <v>4008</v>
      </c>
      <c r="V155" t="s">
        <v>4166</v>
      </c>
      <c r="X155"/>
      <c r="Y155"/>
      <c r="Z155"/>
      <c r="AA155"/>
      <c r="AE155"/>
      <c r="AF155"/>
      <c r="AG155"/>
      <c r="AH155"/>
    </row>
    <row r="156" spans="1:34" ht="15.75" customHeight="1" x14ac:dyDescent="0.15">
      <c r="A156" s="9">
        <v>150</v>
      </c>
      <c r="C156" t="s">
        <v>3719</v>
      </c>
      <c r="D156" t="s">
        <v>4167</v>
      </c>
      <c r="E156" s="9" t="s">
        <v>3192</v>
      </c>
      <c r="F156" s="9">
        <v>318</v>
      </c>
      <c r="G156" s="9"/>
      <c r="H156" s="9" t="s">
        <v>4024</v>
      </c>
      <c r="I156" t="s">
        <v>196</v>
      </c>
      <c r="L156" t="s">
        <v>123</v>
      </c>
      <c r="M156">
        <v>1</v>
      </c>
      <c r="N156">
        <v>-3.40282346639E+38</v>
      </c>
      <c r="O156">
        <v>3.40282346639E+38</v>
      </c>
      <c r="P156">
        <v>-3.40282346639E+38</v>
      </c>
      <c r="Q156">
        <v>3.40282346639E+38</v>
      </c>
      <c r="T156" t="s">
        <v>3707</v>
      </c>
      <c r="U156" t="s">
        <v>4008</v>
      </c>
      <c r="V156" t="s">
        <v>4168</v>
      </c>
      <c r="X156"/>
      <c r="Y156"/>
      <c r="Z156"/>
      <c r="AA156"/>
      <c r="AE156"/>
      <c r="AF156"/>
      <c r="AG156"/>
      <c r="AH156"/>
    </row>
    <row r="157" spans="1:34" ht="15.75" customHeight="1" x14ac:dyDescent="0.15">
      <c r="A157" s="9">
        <v>151</v>
      </c>
      <c r="C157" t="s">
        <v>3719</v>
      </c>
      <c r="D157" t="s">
        <v>4169</v>
      </c>
      <c r="E157" s="9" t="s">
        <v>3192</v>
      </c>
      <c r="F157" s="9">
        <v>319</v>
      </c>
      <c r="G157" s="9"/>
      <c r="H157" s="9" t="s">
        <v>4028</v>
      </c>
      <c r="I157" t="s">
        <v>196</v>
      </c>
      <c r="L157" t="s">
        <v>123</v>
      </c>
      <c r="M157">
        <v>1</v>
      </c>
      <c r="N157">
        <v>-3.40282346639E+38</v>
      </c>
      <c r="O157">
        <v>3.40282346639E+38</v>
      </c>
      <c r="P157">
        <v>-3.40282346639E+38</v>
      </c>
      <c r="Q157">
        <v>3.40282346639E+38</v>
      </c>
      <c r="T157" t="s">
        <v>3707</v>
      </c>
      <c r="U157" t="s">
        <v>4008</v>
      </c>
      <c r="V157" t="s">
        <v>4170</v>
      </c>
      <c r="X157"/>
      <c r="Y157"/>
      <c r="Z157"/>
      <c r="AA157"/>
      <c r="AE157"/>
      <c r="AF157"/>
      <c r="AG157"/>
      <c r="AH157"/>
    </row>
    <row r="158" spans="1:34" ht="15.75" customHeight="1" x14ac:dyDescent="0.15">
      <c r="A158" s="9">
        <v>152</v>
      </c>
      <c r="C158" t="s">
        <v>3719</v>
      </c>
      <c r="D158" t="s">
        <v>4171</v>
      </c>
      <c r="E158" s="9" t="s">
        <v>3192</v>
      </c>
      <c r="F158" s="9">
        <v>320</v>
      </c>
      <c r="G158" s="9"/>
      <c r="H158" s="9" t="s">
        <v>4032</v>
      </c>
      <c r="I158" t="s">
        <v>196</v>
      </c>
      <c r="L158" t="s">
        <v>123</v>
      </c>
      <c r="M158">
        <v>1</v>
      </c>
      <c r="N158">
        <v>-3.40282346639E+38</v>
      </c>
      <c r="O158">
        <v>3.40282346639E+38</v>
      </c>
      <c r="P158">
        <v>-3.40282346639E+38</v>
      </c>
      <c r="Q158">
        <v>3.40282346639E+38</v>
      </c>
      <c r="T158" t="s">
        <v>3707</v>
      </c>
      <c r="U158" t="s">
        <v>4008</v>
      </c>
      <c r="V158" t="s">
        <v>4172</v>
      </c>
      <c r="X158"/>
      <c r="Y158"/>
      <c r="Z158"/>
      <c r="AA158"/>
      <c r="AE158"/>
      <c r="AF158"/>
      <c r="AG158"/>
      <c r="AH158"/>
    </row>
    <row r="159" spans="1:34" ht="15.75" customHeight="1" x14ac:dyDescent="0.15">
      <c r="A159" s="9">
        <v>153</v>
      </c>
      <c r="C159" t="s">
        <v>3719</v>
      </c>
      <c r="D159" t="s">
        <v>4173</v>
      </c>
      <c r="E159" s="9" t="s">
        <v>3192</v>
      </c>
      <c r="F159" s="9">
        <v>334</v>
      </c>
      <c r="G159" s="9"/>
      <c r="H159" s="9" t="s">
        <v>4036</v>
      </c>
      <c r="I159" t="s">
        <v>196</v>
      </c>
      <c r="L159" t="s">
        <v>86</v>
      </c>
      <c r="M159">
        <v>1</v>
      </c>
      <c r="N159">
        <v>-3.40282346639E+38</v>
      </c>
      <c r="O159">
        <v>3.40282346639E+38</v>
      </c>
      <c r="P159">
        <v>-3.40282346639E+38</v>
      </c>
      <c r="Q159">
        <v>3.40282346639E+38</v>
      </c>
      <c r="T159" t="s">
        <v>3807</v>
      </c>
      <c r="U159" t="s">
        <v>3950</v>
      </c>
      <c r="V159" t="s">
        <v>4174</v>
      </c>
      <c r="X159"/>
      <c r="Y159"/>
      <c r="Z159"/>
      <c r="AA159"/>
      <c r="AE159"/>
      <c r="AF159"/>
      <c r="AG159"/>
      <c r="AH159"/>
    </row>
    <row r="160" spans="1:34" ht="15.75" customHeight="1" x14ac:dyDescent="0.15">
      <c r="A160" s="9">
        <v>154</v>
      </c>
      <c r="C160" t="s">
        <v>3719</v>
      </c>
      <c r="D160" t="s">
        <v>4175</v>
      </c>
      <c r="E160" s="9" t="s">
        <v>3192</v>
      </c>
      <c r="F160" s="9">
        <v>335</v>
      </c>
      <c r="G160" s="9"/>
      <c r="H160" s="9" t="s">
        <v>3721</v>
      </c>
      <c r="I160" t="s">
        <v>196</v>
      </c>
      <c r="L160" t="s">
        <v>86</v>
      </c>
      <c r="M160">
        <v>1</v>
      </c>
      <c r="N160">
        <v>-3.40282346639E+38</v>
      </c>
      <c r="O160">
        <v>3.40282346639E+38</v>
      </c>
      <c r="P160">
        <v>-3.40282346639E+38</v>
      </c>
      <c r="Q160">
        <v>3.40282346639E+38</v>
      </c>
      <c r="T160" t="s">
        <v>3723</v>
      </c>
      <c r="U160" t="s">
        <v>3950</v>
      </c>
      <c r="V160" t="s">
        <v>4176</v>
      </c>
      <c r="X160"/>
      <c r="Y160"/>
      <c r="Z160"/>
      <c r="AA160"/>
      <c r="AE160"/>
      <c r="AF160"/>
      <c r="AG160"/>
      <c r="AH160"/>
    </row>
    <row r="161" spans="1:34" ht="15.75" customHeight="1" x14ac:dyDescent="0.15">
      <c r="A161" s="9">
        <v>155</v>
      </c>
      <c r="C161" t="s">
        <v>3719</v>
      </c>
      <c r="D161" t="s">
        <v>4177</v>
      </c>
      <c r="E161" s="9" t="s">
        <v>3192</v>
      </c>
      <c r="F161" s="9">
        <v>336</v>
      </c>
      <c r="G161" s="9"/>
      <c r="H161" s="9" t="s">
        <v>4043</v>
      </c>
      <c r="I161" t="s">
        <v>196</v>
      </c>
      <c r="L161" t="s">
        <v>86</v>
      </c>
      <c r="M161">
        <v>1</v>
      </c>
      <c r="N161">
        <v>-3.40282346639E+38</v>
      </c>
      <c r="O161">
        <v>3.40282346639E+38</v>
      </c>
      <c r="P161">
        <v>-3.40282346639E+38</v>
      </c>
      <c r="Q161">
        <v>3.40282346639E+38</v>
      </c>
      <c r="T161" t="s">
        <v>3807</v>
      </c>
      <c r="U161" t="s">
        <v>3815</v>
      </c>
      <c r="V161" t="s">
        <v>4178</v>
      </c>
      <c r="X161"/>
      <c r="Y161"/>
      <c r="Z161"/>
      <c r="AA161"/>
      <c r="AE161"/>
      <c r="AF161"/>
      <c r="AG161"/>
      <c r="AH161"/>
    </row>
    <row r="162" spans="1:34" ht="15.75" customHeight="1" x14ac:dyDescent="0.15">
      <c r="A162" s="9">
        <v>156</v>
      </c>
      <c r="C162" t="s">
        <v>3719</v>
      </c>
      <c r="D162" t="s">
        <v>4179</v>
      </c>
      <c r="E162" s="9" t="s">
        <v>3192</v>
      </c>
      <c r="F162" s="9">
        <v>337</v>
      </c>
      <c r="G162" s="9"/>
      <c r="H162" s="9" t="s">
        <v>4047</v>
      </c>
      <c r="I162" t="s">
        <v>196</v>
      </c>
      <c r="L162" t="s">
        <v>104</v>
      </c>
      <c r="M162">
        <v>1</v>
      </c>
      <c r="N162">
        <v>-3.40282346639E+38</v>
      </c>
      <c r="O162">
        <v>3.40282346639E+38</v>
      </c>
      <c r="P162">
        <v>-3.40282346639E+38</v>
      </c>
      <c r="Q162">
        <v>3.40282346639E+38</v>
      </c>
      <c r="T162" t="s">
        <v>3807</v>
      </c>
      <c r="U162" t="s">
        <v>3815</v>
      </c>
      <c r="V162" t="s">
        <v>4180</v>
      </c>
      <c r="X162"/>
      <c r="Y162"/>
      <c r="Z162"/>
      <c r="AA162"/>
      <c r="AE162"/>
      <c r="AF162"/>
      <c r="AG162"/>
      <c r="AH162"/>
    </row>
    <row r="163" spans="1:34" ht="15.75" customHeight="1" x14ac:dyDescent="0.15">
      <c r="A163" s="9">
        <v>157</v>
      </c>
      <c r="C163" t="s">
        <v>3719</v>
      </c>
      <c r="D163" t="s">
        <v>4181</v>
      </c>
      <c r="E163" s="9" t="s">
        <v>3192</v>
      </c>
      <c r="F163" s="9">
        <v>338</v>
      </c>
      <c r="G163" s="9"/>
      <c r="H163" s="9" t="s">
        <v>4051</v>
      </c>
      <c r="I163" t="s">
        <v>3729</v>
      </c>
      <c r="L163" t="s">
        <v>266</v>
      </c>
      <c r="M163">
        <v>1</v>
      </c>
      <c r="N163">
        <v>-3.40282346639E+38</v>
      </c>
      <c r="O163">
        <v>3.40282346639E+38</v>
      </c>
      <c r="P163">
        <v>-3.40282346639E+38</v>
      </c>
      <c r="Q163">
        <v>3.40282346639E+38</v>
      </c>
      <c r="S163" t="s">
        <v>3793</v>
      </c>
      <c r="T163" t="s">
        <v>3807</v>
      </c>
      <c r="U163" t="s">
        <v>3815</v>
      </c>
      <c r="V163" t="s">
        <v>4182</v>
      </c>
      <c r="X163"/>
      <c r="Y163"/>
      <c r="Z163"/>
      <c r="AA163"/>
      <c r="AE163"/>
      <c r="AF163"/>
      <c r="AG163"/>
      <c r="AH163"/>
    </row>
    <row r="164" spans="1:34" ht="15.75" customHeight="1" x14ac:dyDescent="0.15">
      <c r="A164" s="9">
        <v>158</v>
      </c>
      <c r="C164" t="s">
        <v>3719</v>
      </c>
      <c r="D164" t="s">
        <v>4183</v>
      </c>
      <c r="E164" s="9" t="s">
        <v>3192</v>
      </c>
      <c r="F164" s="9">
        <v>339</v>
      </c>
      <c r="G164" s="9"/>
      <c r="H164" s="9" t="s">
        <v>4047</v>
      </c>
      <c r="I164" t="s">
        <v>196</v>
      </c>
      <c r="L164" t="s">
        <v>100</v>
      </c>
      <c r="M164">
        <v>1</v>
      </c>
      <c r="N164">
        <v>-3.40282346639E+38</v>
      </c>
      <c r="O164">
        <v>3.40282346639E+38</v>
      </c>
      <c r="P164">
        <v>-3.40282346639E+38</v>
      </c>
      <c r="Q164">
        <v>3.40282346639E+38</v>
      </c>
      <c r="T164" t="s">
        <v>3723</v>
      </c>
      <c r="U164" t="s">
        <v>3815</v>
      </c>
      <c r="V164" t="s">
        <v>4184</v>
      </c>
      <c r="X164"/>
      <c r="Y164"/>
      <c r="Z164"/>
      <c r="AA164"/>
      <c r="AE164"/>
      <c r="AF164"/>
      <c r="AG164"/>
      <c r="AH164"/>
    </row>
    <row r="165" spans="1:34" ht="15.75" customHeight="1" x14ac:dyDescent="0.15">
      <c r="A165" s="9">
        <v>159</v>
      </c>
      <c r="C165" t="s">
        <v>3719</v>
      </c>
      <c r="D165" t="s">
        <v>4185</v>
      </c>
      <c r="E165" s="9" t="s">
        <v>3192</v>
      </c>
      <c r="F165" s="9">
        <v>340</v>
      </c>
      <c r="G165" s="9"/>
      <c r="H165" s="9" t="s">
        <v>3721</v>
      </c>
      <c r="I165" t="s">
        <v>196</v>
      </c>
      <c r="L165" t="s">
        <v>100</v>
      </c>
      <c r="M165">
        <v>1</v>
      </c>
      <c r="N165">
        <v>-3.40282346639E+38</v>
      </c>
      <c r="O165">
        <v>3.40282346639E+38</v>
      </c>
      <c r="P165">
        <v>-3.40282346639E+38</v>
      </c>
      <c r="Q165">
        <v>3.40282346639E+38</v>
      </c>
      <c r="T165" t="s">
        <v>3723</v>
      </c>
      <c r="U165" t="s">
        <v>3815</v>
      </c>
      <c r="V165" t="s">
        <v>4186</v>
      </c>
      <c r="X165"/>
      <c r="Y165"/>
      <c r="Z165"/>
      <c r="AA165"/>
      <c r="AE165"/>
      <c r="AF165"/>
      <c r="AG165"/>
      <c r="AH165"/>
    </row>
    <row r="166" spans="1:34" ht="15.75" customHeight="1" x14ac:dyDescent="0.15">
      <c r="A166" s="9">
        <v>160</v>
      </c>
      <c r="C166" t="s">
        <v>3719</v>
      </c>
      <c r="D166" t="s">
        <v>4187</v>
      </c>
      <c r="E166" s="9" t="s">
        <v>3192</v>
      </c>
      <c r="F166" s="9">
        <v>341</v>
      </c>
      <c r="G166" s="9"/>
      <c r="H166" s="9" t="s">
        <v>4060</v>
      </c>
      <c r="I166" t="s">
        <v>196</v>
      </c>
      <c r="L166" t="s">
        <v>560</v>
      </c>
      <c r="M166">
        <v>1</v>
      </c>
      <c r="N166">
        <v>-3.40282346639E+38</v>
      </c>
      <c r="O166">
        <v>3.40282346639E+38</v>
      </c>
      <c r="P166">
        <v>-3.40282346639E+38</v>
      </c>
      <c r="Q166">
        <v>3.40282346639E+38</v>
      </c>
      <c r="T166" t="s">
        <v>3807</v>
      </c>
      <c r="U166" t="s">
        <v>3950</v>
      </c>
      <c r="V166" t="s">
        <v>4188</v>
      </c>
      <c r="X166"/>
      <c r="Y166"/>
      <c r="Z166"/>
      <c r="AA166"/>
      <c r="AE166"/>
      <c r="AF166"/>
      <c r="AG166"/>
      <c r="AH166"/>
    </row>
    <row r="167" spans="1:34" ht="15.75" customHeight="1" x14ac:dyDescent="0.15">
      <c r="A167" s="9">
        <v>161</v>
      </c>
      <c r="C167" t="s">
        <v>3719</v>
      </c>
      <c r="D167" t="s">
        <v>4189</v>
      </c>
      <c r="E167" s="9" t="s">
        <v>3192</v>
      </c>
      <c r="F167" s="9">
        <v>342</v>
      </c>
      <c r="G167" s="9"/>
      <c r="H167" s="9" t="s">
        <v>4064</v>
      </c>
      <c r="I167" t="s">
        <v>196</v>
      </c>
      <c r="L167" t="s">
        <v>781</v>
      </c>
      <c r="M167">
        <v>1</v>
      </c>
      <c r="N167">
        <v>-3.40282346639E+38</v>
      </c>
      <c r="O167">
        <v>3.40282346639E+38</v>
      </c>
      <c r="P167">
        <v>-3.40282346639E+38</v>
      </c>
      <c r="Q167">
        <v>3.40282346639E+38</v>
      </c>
      <c r="T167" t="s">
        <v>3807</v>
      </c>
      <c r="U167" t="s">
        <v>3815</v>
      </c>
      <c r="V167" t="s">
        <v>4190</v>
      </c>
      <c r="X167"/>
      <c r="Y167"/>
      <c r="Z167"/>
      <c r="AA167"/>
      <c r="AE167"/>
      <c r="AF167"/>
      <c r="AG167"/>
      <c r="AH167"/>
    </row>
    <row r="168" spans="1:34" ht="15.75" customHeight="1" x14ac:dyDescent="0.15">
      <c r="A168" s="9">
        <v>162</v>
      </c>
      <c r="C168" t="s">
        <v>3719</v>
      </c>
      <c r="D168" t="s">
        <v>4191</v>
      </c>
      <c r="E168" s="9" t="s">
        <v>3192</v>
      </c>
      <c r="F168" s="9">
        <v>343</v>
      </c>
      <c r="G168" s="9"/>
      <c r="H168" s="9" t="s">
        <v>4068</v>
      </c>
      <c r="I168" t="s">
        <v>196</v>
      </c>
      <c r="L168" t="s">
        <v>781</v>
      </c>
      <c r="M168">
        <v>1</v>
      </c>
      <c r="N168">
        <v>-3.40282346639E+38</v>
      </c>
      <c r="O168">
        <v>3.40282346639E+38</v>
      </c>
      <c r="P168">
        <v>-3.40282346639E+38</v>
      </c>
      <c r="Q168">
        <v>3.40282346639E+38</v>
      </c>
      <c r="T168" t="s">
        <v>3807</v>
      </c>
      <c r="U168" t="s">
        <v>3815</v>
      </c>
      <c r="V168" t="s">
        <v>4192</v>
      </c>
      <c r="X168"/>
      <c r="Y168"/>
      <c r="Z168"/>
      <c r="AA168"/>
      <c r="AE168"/>
      <c r="AF168"/>
      <c r="AG168"/>
      <c r="AH168"/>
    </row>
    <row r="169" spans="1:34" ht="15.75" customHeight="1" x14ac:dyDescent="0.15">
      <c r="A169" s="9">
        <v>163</v>
      </c>
      <c r="C169" t="s">
        <v>3719</v>
      </c>
      <c r="D169" t="s">
        <v>4193</v>
      </c>
      <c r="E169" s="9" t="s">
        <v>3192</v>
      </c>
      <c r="F169" s="9">
        <v>344</v>
      </c>
      <c r="G169" s="9"/>
      <c r="H169" s="9" t="s">
        <v>4072</v>
      </c>
      <c r="I169" t="s">
        <v>196</v>
      </c>
      <c r="L169" t="s">
        <v>113</v>
      </c>
      <c r="M169">
        <v>1</v>
      </c>
      <c r="N169">
        <v>-3.40282346639E+38</v>
      </c>
      <c r="O169">
        <v>3.40282346639E+38</v>
      </c>
      <c r="P169">
        <v>-3.40282346639E+38</v>
      </c>
      <c r="Q169">
        <v>3.40282346639E+38</v>
      </c>
      <c r="T169" t="s">
        <v>3807</v>
      </c>
      <c r="U169" t="s">
        <v>3815</v>
      </c>
      <c r="V169" t="s">
        <v>4194</v>
      </c>
      <c r="X169"/>
      <c r="Y169"/>
      <c r="Z169"/>
      <c r="AA169"/>
      <c r="AE169"/>
      <c r="AF169"/>
      <c r="AG169"/>
      <c r="AH169"/>
    </row>
    <row r="170" spans="1:34" ht="15.75" customHeight="1" x14ac:dyDescent="0.15">
      <c r="A170" s="9">
        <v>164</v>
      </c>
      <c r="C170" t="s">
        <v>3719</v>
      </c>
      <c r="D170" t="s">
        <v>4195</v>
      </c>
      <c r="E170" s="9" t="s">
        <v>3192</v>
      </c>
      <c r="F170" s="9">
        <v>345</v>
      </c>
      <c r="G170" s="9"/>
      <c r="H170" s="9" t="s">
        <v>4076</v>
      </c>
      <c r="I170" t="s">
        <v>196</v>
      </c>
      <c r="L170" t="s">
        <v>2311</v>
      </c>
      <c r="M170">
        <v>1</v>
      </c>
      <c r="N170">
        <v>-3.40282346639E+38</v>
      </c>
      <c r="O170">
        <v>3.40282346639E+38</v>
      </c>
      <c r="P170">
        <v>-3.40282346639E+38</v>
      </c>
      <c r="Q170">
        <v>3.40282346639E+38</v>
      </c>
      <c r="T170" t="s">
        <v>3723</v>
      </c>
      <c r="U170" t="s">
        <v>3815</v>
      </c>
      <c r="V170" t="s">
        <v>4196</v>
      </c>
      <c r="X170"/>
      <c r="Y170"/>
      <c r="Z170"/>
      <c r="AA170"/>
      <c r="AE170"/>
      <c r="AF170"/>
      <c r="AG170"/>
      <c r="AH170"/>
    </row>
    <row r="171" spans="1:34" ht="15.75" customHeight="1" x14ac:dyDescent="0.15">
      <c r="A171" s="9">
        <v>165</v>
      </c>
      <c r="C171" t="s">
        <v>3719</v>
      </c>
      <c r="D171" t="s">
        <v>4197</v>
      </c>
      <c r="E171" s="9" t="s">
        <v>3192</v>
      </c>
      <c r="F171" s="9">
        <v>346</v>
      </c>
      <c r="G171" s="9"/>
      <c r="H171" s="9" t="s">
        <v>4080</v>
      </c>
      <c r="I171" t="s">
        <v>196</v>
      </c>
      <c r="L171" t="s">
        <v>266</v>
      </c>
      <c r="M171">
        <v>1</v>
      </c>
      <c r="N171">
        <v>-3.40282346639E+38</v>
      </c>
      <c r="O171">
        <v>3.40282346639E+38</v>
      </c>
      <c r="P171">
        <v>-3.40282346639E+38</v>
      </c>
      <c r="Q171">
        <v>3.40282346639E+38</v>
      </c>
      <c r="T171" t="s">
        <v>3807</v>
      </c>
      <c r="U171" t="s">
        <v>3815</v>
      </c>
      <c r="V171" t="s">
        <v>4198</v>
      </c>
      <c r="X171"/>
      <c r="Y171"/>
      <c r="Z171"/>
      <c r="AA171"/>
      <c r="AE171"/>
      <c r="AF171"/>
      <c r="AG171"/>
      <c r="AH171"/>
    </row>
    <row r="172" spans="1:34" ht="15.75" customHeight="1" x14ac:dyDescent="0.15">
      <c r="A172" s="9">
        <v>166</v>
      </c>
      <c r="C172" t="s">
        <v>3719</v>
      </c>
      <c r="D172" t="s">
        <v>4199</v>
      </c>
      <c r="E172" s="9" t="s">
        <v>3192</v>
      </c>
      <c r="F172" s="9">
        <v>347</v>
      </c>
      <c r="G172" s="9"/>
      <c r="H172" s="9" t="s">
        <v>4084</v>
      </c>
      <c r="I172" t="s">
        <v>196</v>
      </c>
      <c r="L172" t="s">
        <v>266</v>
      </c>
      <c r="M172">
        <v>1</v>
      </c>
      <c r="N172">
        <v>-3.40282346639E+38</v>
      </c>
      <c r="O172">
        <v>3.40282346639E+38</v>
      </c>
      <c r="P172">
        <v>-3.40282346639E+38</v>
      </c>
      <c r="Q172">
        <v>3.40282346639E+38</v>
      </c>
      <c r="T172" t="s">
        <v>3807</v>
      </c>
      <c r="U172" t="s">
        <v>3815</v>
      </c>
      <c r="V172" t="s">
        <v>4200</v>
      </c>
      <c r="X172"/>
      <c r="Y172"/>
      <c r="Z172"/>
      <c r="AA172"/>
      <c r="AE172"/>
      <c r="AF172"/>
      <c r="AG172"/>
      <c r="AH172"/>
    </row>
    <row r="173" spans="1:34" ht="15.75" customHeight="1" x14ac:dyDescent="0.15">
      <c r="A173" s="9">
        <v>167</v>
      </c>
      <c r="C173" t="s">
        <v>3719</v>
      </c>
      <c r="D173" t="s">
        <v>4201</v>
      </c>
      <c r="E173" s="9" t="s">
        <v>3192</v>
      </c>
      <c r="F173" s="9">
        <v>348</v>
      </c>
      <c r="G173" s="9"/>
      <c r="H173" s="9" t="s">
        <v>4088</v>
      </c>
      <c r="I173" t="s">
        <v>196</v>
      </c>
      <c r="L173" t="s">
        <v>266</v>
      </c>
      <c r="M173">
        <v>1</v>
      </c>
      <c r="N173">
        <v>-3.40282346639E+38</v>
      </c>
      <c r="O173">
        <v>3.40282346639E+38</v>
      </c>
      <c r="P173">
        <v>-3.40282346639E+38</v>
      </c>
      <c r="Q173">
        <v>3.40282346639E+38</v>
      </c>
      <c r="T173" t="s">
        <v>3807</v>
      </c>
      <c r="U173" t="s">
        <v>3815</v>
      </c>
      <c r="V173" t="s">
        <v>4202</v>
      </c>
      <c r="X173"/>
      <c r="Y173"/>
      <c r="Z173"/>
      <c r="AA173"/>
      <c r="AE173"/>
      <c r="AF173"/>
      <c r="AG173"/>
      <c r="AH173"/>
    </row>
    <row r="174" spans="1:34" ht="15.75" customHeight="1" x14ac:dyDescent="0.15">
      <c r="A174" s="9">
        <v>168</v>
      </c>
      <c r="C174" t="s">
        <v>3719</v>
      </c>
      <c r="D174" t="s">
        <v>4203</v>
      </c>
      <c r="E174" s="9" t="s">
        <v>3192</v>
      </c>
      <c r="F174" s="9">
        <v>149</v>
      </c>
      <c r="G174" s="9"/>
      <c r="H174" s="9" t="s">
        <v>4204</v>
      </c>
      <c r="I174" t="s">
        <v>196</v>
      </c>
      <c r="L174" t="s">
        <v>2311</v>
      </c>
      <c r="M174">
        <v>1</v>
      </c>
      <c r="N174">
        <v>-3.40282346639E+38</v>
      </c>
      <c r="O174">
        <v>3.40282346639E+38</v>
      </c>
      <c r="P174">
        <v>-3.40282346639E+38</v>
      </c>
      <c r="Q174">
        <v>3.40282346639E+38</v>
      </c>
      <c r="T174" t="s">
        <v>3723</v>
      </c>
      <c r="U174" t="s">
        <v>3815</v>
      </c>
      <c r="V174" t="s">
        <v>4205</v>
      </c>
      <c r="X174"/>
      <c r="Y174"/>
      <c r="Z174"/>
      <c r="AA174"/>
      <c r="AE174"/>
      <c r="AF174"/>
      <c r="AG174"/>
      <c r="AH174"/>
    </row>
    <row r="175" spans="1:34" ht="15.75" customHeight="1" x14ac:dyDescent="0.15">
      <c r="A175" s="9">
        <v>169</v>
      </c>
      <c r="C175" t="s">
        <v>3719</v>
      </c>
      <c r="D175" t="s">
        <v>4206</v>
      </c>
      <c r="E175" s="9" t="s">
        <v>3192</v>
      </c>
      <c r="F175" s="9">
        <v>400</v>
      </c>
      <c r="G175" s="9"/>
      <c r="H175" s="9" t="s">
        <v>3721</v>
      </c>
      <c r="I175" t="s">
        <v>196</v>
      </c>
      <c r="L175" t="s">
        <v>3722</v>
      </c>
      <c r="M175">
        <v>1</v>
      </c>
      <c r="N175">
        <v>-3.40282346639E+38</v>
      </c>
      <c r="O175">
        <v>3.40282346639E+38</v>
      </c>
      <c r="P175">
        <v>-3.40282346639E+38</v>
      </c>
      <c r="Q175">
        <v>3.40282346639E+38</v>
      </c>
      <c r="T175" t="s">
        <v>3723</v>
      </c>
      <c r="U175" t="s">
        <v>3950</v>
      </c>
      <c r="V175" t="s">
        <v>4207</v>
      </c>
      <c r="X175"/>
      <c r="Y175"/>
      <c r="Z175"/>
      <c r="AA175"/>
      <c r="AE175"/>
      <c r="AF175"/>
      <c r="AG175"/>
      <c r="AH175"/>
    </row>
    <row r="176" spans="1:34" ht="15.75" customHeight="1" x14ac:dyDescent="0.15">
      <c r="A176" s="9">
        <v>170</v>
      </c>
      <c r="C176" t="s">
        <v>3719</v>
      </c>
      <c r="D176" t="s">
        <v>4208</v>
      </c>
      <c r="E176" s="9" t="s">
        <v>3192</v>
      </c>
      <c r="F176" s="9">
        <v>401</v>
      </c>
      <c r="G176" s="9"/>
      <c r="H176" s="9" t="s">
        <v>3954</v>
      </c>
      <c r="I176" t="s">
        <v>196</v>
      </c>
      <c r="L176" t="s">
        <v>82</v>
      </c>
      <c r="M176">
        <v>1</v>
      </c>
      <c r="N176">
        <v>-3.40282346639E+38</v>
      </c>
      <c r="O176">
        <v>3.40282346639E+38</v>
      </c>
      <c r="P176">
        <v>-3.40282346639E+38</v>
      </c>
      <c r="Q176">
        <v>3.40282346639E+38</v>
      </c>
      <c r="T176" t="s">
        <v>3707</v>
      </c>
      <c r="U176" t="s">
        <v>3950</v>
      </c>
      <c r="V176" t="s">
        <v>4209</v>
      </c>
      <c r="X176"/>
      <c r="Y176"/>
      <c r="Z176"/>
      <c r="AA176"/>
      <c r="AE176"/>
      <c r="AF176"/>
      <c r="AG176"/>
      <c r="AH176"/>
    </row>
    <row r="177" spans="1:34" ht="15.75" customHeight="1" x14ac:dyDescent="0.15">
      <c r="A177" s="9">
        <v>171</v>
      </c>
      <c r="C177" t="s">
        <v>3719</v>
      </c>
      <c r="D177" t="s">
        <v>4210</v>
      </c>
      <c r="E177" s="9" t="s">
        <v>3192</v>
      </c>
      <c r="F177" s="9">
        <v>402</v>
      </c>
      <c r="G177" s="9"/>
      <c r="H177" s="9" t="s">
        <v>3958</v>
      </c>
      <c r="I177" t="s">
        <v>196</v>
      </c>
      <c r="L177" t="s">
        <v>153</v>
      </c>
      <c r="M177">
        <v>1</v>
      </c>
      <c r="N177">
        <v>-3.40282346639E+38</v>
      </c>
      <c r="O177">
        <v>3.40282346639E+38</v>
      </c>
      <c r="P177">
        <v>-3.40282346639E+38</v>
      </c>
      <c r="Q177">
        <v>3.40282346639E+38</v>
      </c>
      <c r="T177" t="s">
        <v>3707</v>
      </c>
      <c r="U177" t="s">
        <v>3950</v>
      </c>
      <c r="V177" t="s">
        <v>4211</v>
      </c>
      <c r="X177"/>
      <c r="Y177"/>
      <c r="Z177"/>
      <c r="AA177"/>
      <c r="AE177"/>
      <c r="AF177"/>
      <c r="AG177"/>
      <c r="AH177"/>
    </row>
    <row r="178" spans="1:34" ht="15.75" customHeight="1" x14ac:dyDescent="0.15">
      <c r="A178" s="9">
        <v>172</v>
      </c>
      <c r="C178" t="s">
        <v>3719</v>
      </c>
      <c r="D178" t="s">
        <v>4212</v>
      </c>
      <c r="E178" s="9" t="s">
        <v>3192</v>
      </c>
      <c r="F178" s="9">
        <v>403</v>
      </c>
      <c r="G178" s="9"/>
      <c r="H178" s="9" t="s">
        <v>3962</v>
      </c>
      <c r="I178" t="s">
        <v>196</v>
      </c>
      <c r="L178" t="s">
        <v>123</v>
      </c>
      <c r="M178">
        <v>1</v>
      </c>
      <c r="N178">
        <v>-3.40282346639E+38</v>
      </c>
      <c r="O178">
        <v>3.40282346639E+38</v>
      </c>
      <c r="P178">
        <v>-3.40282346639E+38</v>
      </c>
      <c r="Q178">
        <v>3.40282346639E+38</v>
      </c>
      <c r="T178" t="s">
        <v>3707</v>
      </c>
      <c r="U178" t="s">
        <v>3950</v>
      </c>
      <c r="V178" t="s">
        <v>4213</v>
      </c>
      <c r="X178"/>
      <c r="Y178"/>
      <c r="Z178"/>
      <c r="AA178"/>
      <c r="AE178"/>
      <c r="AF178"/>
      <c r="AG178"/>
      <c r="AH178"/>
    </row>
    <row r="179" spans="1:34" ht="15.75" customHeight="1" x14ac:dyDescent="0.15">
      <c r="A179" s="9">
        <v>173</v>
      </c>
      <c r="C179" t="s">
        <v>3719</v>
      </c>
      <c r="D179" t="s">
        <v>4214</v>
      </c>
      <c r="E179" s="9" t="s">
        <v>3192</v>
      </c>
      <c r="F179" s="9">
        <v>404</v>
      </c>
      <c r="G179" s="9"/>
      <c r="H179" s="9" t="s">
        <v>3966</v>
      </c>
      <c r="I179" t="s">
        <v>196</v>
      </c>
      <c r="L179" t="s">
        <v>123</v>
      </c>
      <c r="M179">
        <v>1</v>
      </c>
      <c r="N179">
        <v>-3.40282346639E+38</v>
      </c>
      <c r="O179">
        <v>3.40282346639E+38</v>
      </c>
      <c r="P179">
        <v>-3.40282346639E+38</v>
      </c>
      <c r="Q179">
        <v>3.40282346639E+38</v>
      </c>
      <c r="T179" t="s">
        <v>3707</v>
      </c>
      <c r="U179" t="s">
        <v>3950</v>
      </c>
      <c r="V179" t="s">
        <v>4215</v>
      </c>
      <c r="X179"/>
      <c r="Y179"/>
      <c r="Z179"/>
      <c r="AA179"/>
      <c r="AE179"/>
      <c r="AF179"/>
      <c r="AG179"/>
      <c r="AH179"/>
    </row>
    <row r="180" spans="1:34" ht="15.75" customHeight="1" x14ac:dyDescent="0.15">
      <c r="A180" s="9">
        <v>174</v>
      </c>
      <c r="C180" t="s">
        <v>3719</v>
      </c>
      <c r="D180" t="s">
        <v>4216</v>
      </c>
      <c r="E180" s="9" t="s">
        <v>3192</v>
      </c>
      <c r="F180" s="9">
        <v>405</v>
      </c>
      <c r="G180" s="9"/>
      <c r="H180" s="9" t="s">
        <v>3971</v>
      </c>
      <c r="I180" t="s">
        <v>196</v>
      </c>
      <c r="L180" t="s">
        <v>123</v>
      </c>
      <c r="M180">
        <v>1</v>
      </c>
      <c r="N180">
        <v>-3.40282346639E+38</v>
      </c>
      <c r="O180">
        <v>3.40282346639E+38</v>
      </c>
      <c r="P180">
        <v>-3.40282346639E+38</v>
      </c>
      <c r="Q180">
        <v>3.40282346639E+38</v>
      </c>
      <c r="T180" t="s">
        <v>3707</v>
      </c>
      <c r="U180" t="s">
        <v>3950</v>
      </c>
      <c r="V180" t="s">
        <v>4217</v>
      </c>
      <c r="X180"/>
      <c r="Y180"/>
      <c r="Z180"/>
      <c r="AA180"/>
      <c r="AE180"/>
      <c r="AF180"/>
      <c r="AG180"/>
      <c r="AH180"/>
    </row>
    <row r="181" spans="1:34" ht="15.75" customHeight="1" x14ac:dyDescent="0.15">
      <c r="A181" s="9">
        <v>175</v>
      </c>
      <c r="C181" t="s">
        <v>3719</v>
      </c>
      <c r="D181" t="s">
        <v>4218</v>
      </c>
      <c r="E181" s="9" t="s">
        <v>3192</v>
      </c>
      <c r="F181" s="9">
        <v>406</v>
      </c>
      <c r="G181" s="9"/>
      <c r="H181" s="9" t="s">
        <v>3975</v>
      </c>
      <c r="I181" t="s">
        <v>196</v>
      </c>
      <c r="L181" t="s">
        <v>113</v>
      </c>
      <c r="M181">
        <v>1</v>
      </c>
      <c r="N181">
        <v>-3.40282346639E+38</v>
      </c>
      <c r="O181">
        <v>3.40282346639E+38</v>
      </c>
      <c r="P181">
        <v>-3.40282346639E+38</v>
      </c>
      <c r="Q181">
        <v>3.40282346639E+38</v>
      </c>
      <c r="T181" t="s">
        <v>3707</v>
      </c>
      <c r="U181" t="s">
        <v>3950</v>
      </c>
      <c r="V181" t="s">
        <v>4219</v>
      </c>
      <c r="X181"/>
      <c r="Y181"/>
      <c r="Z181"/>
      <c r="AA181"/>
      <c r="AE181"/>
      <c r="AF181"/>
      <c r="AG181"/>
      <c r="AH181"/>
    </row>
    <row r="182" spans="1:34" ht="15.75" customHeight="1" x14ac:dyDescent="0.15">
      <c r="A182" s="9">
        <v>176</v>
      </c>
      <c r="C182" t="s">
        <v>3719</v>
      </c>
      <c r="D182" t="s">
        <v>4220</v>
      </c>
      <c r="E182" s="9" t="s">
        <v>3192</v>
      </c>
      <c r="F182" s="9">
        <v>407</v>
      </c>
      <c r="G182" s="9"/>
      <c r="H182" s="9" t="s">
        <v>3979</v>
      </c>
      <c r="I182" t="s">
        <v>196</v>
      </c>
      <c r="L182" t="s">
        <v>113</v>
      </c>
      <c r="M182">
        <v>1</v>
      </c>
      <c r="N182">
        <v>-3.40282346639E+38</v>
      </c>
      <c r="O182">
        <v>3.40282346639E+38</v>
      </c>
      <c r="P182">
        <v>-3.40282346639E+38</v>
      </c>
      <c r="Q182">
        <v>3.40282346639E+38</v>
      </c>
      <c r="T182" t="s">
        <v>3707</v>
      </c>
      <c r="U182" t="s">
        <v>3950</v>
      </c>
      <c r="V182" t="s">
        <v>4221</v>
      </c>
      <c r="X182"/>
      <c r="Y182"/>
      <c r="Z182"/>
      <c r="AA182"/>
      <c r="AE182"/>
      <c r="AF182"/>
      <c r="AG182"/>
      <c r="AH182"/>
    </row>
    <row r="183" spans="1:34" ht="15.75" customHeight="1" x14ac:dyDescent="0.15">
      <c r="A183" s="9">
        <v>177</v>
      </c>
      <c r="C183" t="s">
        <v>3719</v>
      </c>
      <c r="D183" t="s">
        <v>4222</v>
      </c>
      <c r="E183" s="9" t="s">
        <v>3192</v>
      </c>
      <c r="F183" s="9">
        <v>408</v>
      </c>
      <c r="G183" s="9"/>
      <c r="H183" s="9" t="s">
        <v>3983</v>
      </c>
      <c r="I183" t="s">
        <v>196</v>
      </c>
      <c r="L183" t="s">
        <v>113</v>
      </c>
      <c r="M183">
        <v>1</v>
      </c>
      <c r="N183">
        <v>-3.40282346639E+38</v>
      </c>
      <c r="O183">
        <v>3.40282346639E+38</v>
      </c>
      <c r="P183">
        <v>-3.40282346639E+38</v>
      </c>
      <c r="Q183">
        <v>3.40282346639E+38</v>
      </c>
      <c r="T183" t="s">
        <v>3707</v>
      </c>
      <c r="U183" t="s">
        <v>3950</v>
      </c>
      <c r="V183" t="s">
        <v>4223</v>
      </c>
      <c r="X183"/>
      <c r="Y183"/>
      <c r="Z183"/>
      <c r="AA183"/>
      <c r="AE183"/>
      <c r="AF183"/>
      <c r="AG183"/>
      <c r="AH183"/>
    </row>
    <row r="184" spans="1:34" ht="15.75" customHeight="1" x14ac:dyDescent="0.15">
      <c r="A184" s="9">
        <v>178</v>
      </c>
      <c r="C184" t="s">
        <v>3719</v>
      </c>
      <c r="D184" t="s">
        <v>4224</v>
      </c>
      <c r="E184" s="9" t="s">
        <v>3192</v>
      </c>
      <c r="F184" s="9">
        <v>409</v>
      </c>
      <c r="G184" s="9"/>
      <c r="H184" s="9" t="s">
        <v>3987</v>
      </c>
      <c r="I184" t="s">
        <v>196</v>
      </c>
      <c r="L184" t="s">
        <v>145</v>
      </c>
      <c r="M184">
        <v>1</v>
      </c>
      <c r="N184">
        <v>-3.40282346639E+38</v>
      </c>
      <c r="O184">
        <v>3.40282346639E+38</v>
      </c>
      <c r="P184">
        <v>-3.40282346639E+38</v>
      </c>
      <c r="Q184">
        <v>3.40282346639E+38</v>
      </c>
      <c r="T184" t="s">
        <v>3707</v>
      </c>
      <c r="U184" t="s">
        <v>3950</v>
      </c>
      <c r="V184" t="s">
        <v>4225</v>
      </c>
      <c r="X184"/>
      <c r="Y184"/>
      <c r="Z184"/>
      <c r="AA184"/>
      <c r="AE184"/>
      <c r="AF184"/>
      <c r="AG184"/>
      <c r="AH184"/>
    </row>
    <row r="185" spans="1:34" ht="15.75" customHeight="1" x14ac:dyDescent="0.15">
      <c r="A185" s="9">
        <v>179</v>
      </c>
      <c r="C185" t="s">
        <v>3719</v>
      </c>
      <c r="D185" t="s">
        <v>4226</v>
      </c>
      <c r="E185" s="9" t="s">
        <v>3192</v>
      </c>
      <c r="F185" s="9">
        <v>410</v>
      </c>
      <c r="G185" s="9"/>
      <c r="H185" s="9" t="s">
        <v>3991</v>
      </c>
      <c r="I185" t="s">
        <v>196</v>
      </c>
      <c r="L185" t="s">
        <v>149</v>
      </c>
      <c r="M185">
        <v>1</v>
      </c>
      <c r="N185">
        <v>-3.40282346639E+38</v>
      </c>
      <c r="O185">
        <v>3.40282346639E+38</v>
      </c>
      <c r="P185">
        <v>-3.40282346639E+38</v>
      </c>
      <c r="Q185">
        <v>3.40282346639E+38</v>
      </c>
      <c r="T185" t="s">
        <v>3707</v>
      </c>
      <c r="U185" t="s">
        <v>3950</v>
      </c>
      <c r="V185" t="s">
        <v>4227</v>
      </c>
      <c r="X185"/>
      <c r="Y185"/>
      <c r="Z185"/>
      <c r="AA185"/>
      <c r="AE185"/>
      <c r="AF185"/>
      <c r="AG185"/>
      <c r="AH185"/>
    </row>
    <row r="186" spans="1:34" ht="15.75" customHeight="1" x14ac:dyDescent="0.15">
      <c r="A186" s="9">
        <v>180</v>
      </c>
      <c r="C186" t="s">
        <v>3719</v>
      </c>
      <c r="D186" t="s">
        <v>4228</v>
      </c>
      <c r="E186" s="9" t="s">
        <v>3192</v>
      </c>
      <c r="F186" s="9">
        <v>411</v>
      </c>
      <c r="G186" s="9"/>
      <c r="H186" s="9" t="s">
        <v>3995</v>
      </c>
      <c r="I186" t="s">
        <v>196</v>
      </c>
      <c r="L186" t="s">
        <v>82</v>
      </c>
      <c r="M186">
        <v>1</v>
      </c>
      <c r="N186">
        <v>-3.40282346639E+38</v>
      </c>
      <c r="O186">
        <v>3.40282346639E+38</v>
      </c>
      <c r="P186">
        <v>-3.40282346639E+38</v>
      </c>
      <c r="Q186">
        <v>3.40282346639E+38</v>
      </c>
      <c r="T186" t="s">
        <v>3707</v>
      </c>
      <c r="U186" t="s">
        <v>3950</v>
      </c>
      <c r="V186" t="s">
        <v>4229</v>
      </c>
      <c r="X186"/>
      <c r="Y186"/>
      <c r="Z186"/>
      <c r="AA186"/>
      <c r="AE186"/>
      <c r="AF186"/>
      <c r="AG186"/>
      <c r="AH186"/>
    </row>
    <row r="187" spans="1:34" ht="15.75" customHeight="1" x14ac:dyDescent="0.15">
      <c r="A187" s="9">
        <v>181</v>
      </c>
      <c r="C187" t="s">
        <v>3719</v>
      </c>
      <c r="D187" t="s">
        <v>4230</v>
      </c>
      <c r="E187" s="9" t="s">
        <v>3192</v>
      </c>
      <c r="F187" s="9">
        <v>412</v>
      </c>
      <c r="G187" s="9"/>
      <c r="H187" s="9" t="s">
        <v>3999</v>
      </c>
      <c r="I187" t="s">
        <v>196</v>
      </c>
      <c r="L187" t="s">
        <v>123</v>
      </c>
      <c r="M187">
        <v>1</v>
      </c>
      <c r="N187">
        <v>-3.40282346639E+38</v>
      </c>
      <c r="O187">
        <v>3.40282346639E+38</v>
      </c>
      <c r="P187">
        <v>-3.40282346639E+38</v>
      </c>
      <c r="Q187">
        <v>3.40282346639E+38</v>
      </c>
      <c r="T187" t="s">
        <v>3707</v>
      </c>
      <c r="U187" t="s">
        <v>3950</v>
      </c>
      <c r="V187" t="s">
        <v>4231</v>
      </c>
      <c r="X187"/>
      <c r="Y187"/>
      <c r="Z187"/>
      <c r="AA187"/>
      <c r="AE187"/>
      <c r="AF187"/>
      <c r="AG187"/>
      <c r="AH187"/>
    </row>
    <row r="188" spans="1:34" ht="15.75" customHeight="1" x14ac:dyDescent="0.15">
      <c r="A188" s="9">
        <v>182</v>
      </c>
      <c r="C188" t="s">
        <v>3719</v>
      </c>
      <c r="D188" t="s">
        <v>4232</v>
      </c>
      <c r="E188" s="9" t="s">
        <v>3192</v>
      </c>
      <c r="F188" s="9">
        <v>413</v>
      </c>
      <c r="G188" s="9"/>
      <c r="H188" s="9" t="s">
        <v>4003</v>
      </c>
      <c r="I188" t="s">
        <v>196</v>
      </c>
      <c r="L188" t="s">
        <v>113</v>
      </c>
      <c r="M188">
        <v>1</v>
      </c>
      <c r="N188">
        <v>-3.40282346639E+38</v>
      </c>
      <c r="O188">
        <v>3.40282346639E+38</v>
      </c>
      <c r="P188">
        <v>-3.40282346639E+38</v>
      </c>
      <c r="Q188">
        <v>3.40282346639E+38</v>
      </c>
      <c r="T188" t="s">
        <v>3707</v>
      </c>
      <c r="U188" t="s">
        <v>3950</v>
      </c>
      <c r="V188" t="s">
        <v>4233</v>
      </c>
      <c r="X188"/>
      <c r="Y188"/>
      <c r="Z188"/>
      <c r="AA188"/>
      <c r="AE188"/>
      <c r="AF188"/>
      <c r="AG188"/>
      <c r="AH188"/>
    </row>
    <row r="189" spans="1:34" ht="15.75" customHeight="1" x14ac:dyDescent="0.15">
      <c r="A189" s="9">
        <v>183</v>
      </c>
      <c r="C189" t="s">
        <v>3719</v>
      </c>
      <c r="D189" t="s">
        <v>4234</v>
      </c>
      <c r="E189" s="9" t="s">
        <v>3192</v>
      </c>
      <c r="F189" s="9">
        <v>414</v>
      </c>
      <c r="G189" s="9"/>
      <c r="H189" s="9" t="s">
        <v>4007</v>
      </c>
      <c r="I189" t="s">
        <v>196</v>
      </c>
      <c r="L189" t="s">
        <v>123</v>
      </c>
      <c r="M189">
        <v>1</v>
      </c>
      <c r="N189">
        <v>-3.40282346639E+38</v>
      </c>
      <c r="O189">
        <v>3.40282346639E+38</v>
      </c>
      <c r="P189">
        <v>-3.40282346639E+38</v>
      </c>
      <c r="Q189">
        <v>3.40282346639E+38</v>
      </c>
      <c r="T189" t="s">
        <v>3707</v>
      </c>
      <c r="U189" t="s">
        <v>4008</v>
      </c>
      <c r="V189" t="s">
        <v>4235</v>
      </c>
      <c r="X189"/>
      <c r="Y189"/>
      <c r="Z189"/>
      <c r="AA189"/>
      <c r="AE189"/>
      <c r="AF189"/>
      <c r="AG189"/>
      <c r="AH189"/>
    </row>
    <row r="190" spans="1:34" ht="15.75" customHeight="1" x14ac:dyDescent="0.15">
      <c r="A190" s="9">
        <v>184</v>
      </c>
      <c r="C190" t="s">
        <v>3719</v>
      </c>
      <c r="D190" t="s">
        <v>4236</v>
      </c>
      <c r="E190" s="9" t="s">
        <v>3192</v>
      </c>
      <c r="F190" s="9">
        <v>415</v>
      </c>
      <c r="G190" s="9"/>
      <c r="H190" s="9" t="s">
        <v>4012</v>
      </c>
      <c r="I190" t="s">
        <v>196</v>
      </c>
      <c r="L190" t="s">
        <v>123</v>
      </c>
      <c r="M190">
        <v>1</v>
      </c>
      <c r="N190">
        <v>-3.40282346639E+38</v>
      </c>
      <c r="O190">
        <v>3.40282346639E+38</v>
      </c>
      <c r="P190">
        <v>-3.40282346639E+38</v>
      </c>
      <c r="Q190">
        <v>3.40282346639E+38</v>
      </c>
      <c r="T190" t="s">
        <v>3707</v>
      </c>
      <c r="U190" t="s">
        <v>4008</v>
      </c>
      <c r="V190" t="s">
        <v>4237</v>
      </c>
      <c r="X190"/>
      <c r="Y190"/>
      <c r="Z190"/>
      <c r="AA190"/>
      <c r="AE190"/>
      <c r="AF190"/>
      <c r="AG190"/>
      <c r="AH190"/>
    </row>
    <row r="191" spans="1:34" ht="15.75" customHeight="1" x14ac:dyDescent="0.15">
      <c r="A191" s="9">
        <v>185</v>
      </c>
      <c r="C191" t="s">
        <v>3719</v>
      </c>
      <c r="D191" t="s">
        <v>4238</v>
      </c>
      <c r="E191" s="9" t="s">
        <v>3192</v>
      </c>
      <c r="F191" s="9">
        <v>416</v>
      </c>
      <c r="G191" s="9"/>
      <c r="H191" s="9" t="s">
        <v>4016</v>
      </c>
      <c r="I191" t="s">
        <v>196</v>
      </c>
      <c r="L191" t="s">
        <v>123</v>
      </c>
      <c r="M191">
        <v>1</v>
      </c>
      <c r="N191">
        <v>-3.40282346639E+38</v>
      </c>
      <c r="O191">
        <v>3.40282346639E+38</v>
      </c>
      <c r="P191">
        <v>-3.40282346639E+38</v>
      </c>
      <c r="Q191">
        <v>3.40282346639E+38</v>
      </c>
      <c r="T191" t="s">
        <v>3707</v>
      </c>
      <c r="U191" t="s">
        <v>4008</v>
      </c>
      <c r="V191" t="s">
        <v>4239</v>
      </c>
      <c r="X191"/>
      <c r="Y191"/>
      <c r="Z191"/>
      <c r="AA191"/>
      <c r="AE191"/>
      <c r="AF191"/>
      <c r="AG191"/>
      <c r="AH191"/>
    </row>
    <row r="192" spans="1:34" ht="15.75" customHeight="1" x14ac:dyDescent="0.15">
      <c r="A192" s="9">
        <v>186</v>
      </c>
      <c r="C192" t="s">
        <v>3719</v>
      </c>
      <c r="D192" t="s">
        <v>4240</v>
      </c>
      <c r="E192" s="9" t="s">
        <v>3192</v>
      </c>
      <c r="F192" s="9">
        <v>417</v>
      </c>
      <c r="G192" s="9"/>
      <c r="H192" s="9" t="s">
        <v>4020</v>
      </c>
      <c r="I192" t="s">
        <v>196</v>
      </c>
      <c r="L192" t="s">
        <v>123</v>
      </c>
      <c r="M192">
        <v>1</v>
      </c>
      <c r="N192">
        <v>-3.40282346639E+38</v>
      </c>
      <c r="O192">
        <v>3.40282346639E+38</v>
      </c>
      <c r="P192">
        <v>-3.40282346639E+38</v>
      </c>
      <c r="Q192">
        <v>3.40282346639E+38</v>
      </c>
      <c r="T192" t="s">
        <v>3707</v>
      </c>
      <c r="U192" t="s">
        <v>4008</v>
      </c>
      <c r="V192" t="s">
        <v>4241</v>
      </c>
      <c r="X192"/>
      <c r="Y192"/>
      <c r="Z192"/>
      <c r="AA192"/>
      <c r="AE192"/>
      <c r="AF192"/>
      <c r="AG192"/>
      <c r="AH192"/>
    </row>
    <row r="193" spans="1:34" ht="15.75" customHeight="1" x14ac:dyDescent="0.15">
      <c r="A193" s="9">
        <v>187</v>
      </c>
      <c r="C193" t="s">
        <v>3719</v>
      </c>
      <c r="D193" t="s">
        <v>4242</v>
      </c>
      <c r="E193" s="9" t="s">
        <v>3192</v>
      </c>
      <c r="F193" s="9">
        <v>418</v>
      </c>
      <c r="G193" s="9"/>
      <c r="H193" s="9" t="s">
        <v>4024</v>
      </c>
      <c r="I193" t="s">
        <v>196</v>
      </c>
      <c r="L193" t="s">
        <v>123</v>
      </c>
      <c r="M193">
        <v>1</v>
      </c>
      <c r="N193">
        <v>-3.40282346639E+38</v>
      </c>
      <c r="O193">
        <v>3.40282346639E+38</v>
      </c>
      <c r="P193">
        <v>-3.40282346639E+38</v>
      </c>
      <c r="Q193">
        <v>3.40282346639E+38</v>
      </c>
      <c r="T193" t="s">
        <v>3707</v>
      </c>
      <c r="U193" t="s">
        <v>4008</v>
      </c>
      <c r="V193" t="s">
        <v>4243</v>
      </c>
      <c r="X193"/>
      <c r="Y193"/>
      <c r="Z193"/>
      <c r="AA193"/>
      <c r="AE193"/>
      <c r="AF193"/>
      <c r="AG193"/>
      <c r="AH193"/>
    </row>
    <row r="194" spans="1:34" ht="15.75" customHeight="1" x14ac:dyDescent="0.15">
      <c r="A194" s="9">
        <v>188</v>
      </c>
      <c r="C194" t="s">
        <v>3719</v>
      </c>
      <c r="D194" t="s">
        <v>4244</v>
      </c>
      <c r="E194" s="9" t="s">
        <v>3192</v>
      </c>
      <c r="F194" s="9">
        <v>419</v>
      </c>
      <c r="G194" s="9"/>
      <c r="H194" s="9" t="s">
        <v>4028</v>
      </c>
      <c r="I194" t="s">
        <v>196</v>
      </c>
      <c r="L194" t="s">
        <v>123</v>
      </c>
      <c r="M194">
        <v>1</v>
      </c>
      <c r="N194">
        <v>-3.40282346639E+38</v>
      </c>
      <c r="O194">
        <v>3.40282346639E+38</v>
      </c>
      <c r="P194">
        <v>-3.40282346639E+38</v>
      </c>
      <c r="Q194">
        <v>3.40282346639E+38</v>
      </c>
      <c r="T194" t="s">
        <v>3707</v>
      </c>
      <c r="U194" t="s">
        <v>4008</v>
      </c>
      <c r="V194" t="s">
        <v>4245</v>
      </c>
      <c r="X194"/>
      <c r="Y194"/>
      <c r="Z194"/>
      <c r="AA194"/>
      <c r="AE194"/>
      <c r="AF194"/>
      <c r="AG194"/>
      <c r="AH194"/>
    </row>
    <row r="195" spans="1:34" ht="15.75" customHeight="1" x14ac:dyDescent="0.15">
      <c r="A195" s="9">
        <v>189</v>
      </c>
      <c r="C195" t="s">
        <v>3719</v>
      </c>
      <c r="D195" t="s">
        <v>4246</v>
      </c>
      <c r="E195" s="9" t="s">
        <v>3192</v>
      </c>
      <c r="F195" s="9">
        <v>420</v>
      </c>
      <c r="G195" s="9"/>
      <c r="H195" s="9" t="s">
        <v>4032</v>
      </c>
      <c r="I195" t="s">
        <v>196</v>
      </c>
      <c r="L195" t="s">
        <v>123</v>
      </c>
      <c r="M195">
        <v>1</v>
      </c>
      <c r="N195">
        <v>-3.40282346639E+38</v>
      </c>
      <c r="O195">
        <v>3.40282346639E+38</v>
      </c>
      <c r="P195">
        <v>-3.40282346639E+38</v>
      </c>
      <c r="Q195">
        <v>3.40282346639E+38</v>
      </c>
      <c r="T195" t="s">
        <v>3707</v>
      </c>
      <c r="U195" t="s">
        <v>4008</v>
      </c>
      <c r="V195" t="s">
        <v>4247</v>
      </c>
      <c r="X195"/>
      <c r="Y195"/>
      <c r="Z195"/>
      <c r="AA195"/>
      <c r="AE195"/>
      <c r="AF195"/>
      <c r="AG195"/>
      <c r="AH195"/>
    </row>
    <row r="196" spans="1:34" ht="15.75" customHeight="1" x14ac:dyDescent="0.15">
      <c r="A196" s="9">
        <v>190</v>
      </c>
      <c r="C196" t="s">
        <v>3719</v>
      </c>
      <c r="D196" t="s">
        <v>4248</v>
      </c>
      <c r="E196" s="9" t="s">
        <v>3192</v>
      </c>
      <c r="F196" s="9">
        <v>434</v>
      </c>
      <c r="G196" s="9"/>
      <c r="H196" s="9" t="s">
        <v>4036</v>
      </c>
      <c r="I196" t="s">
        <v>196</v>
      </c>
      <c r="L196" t="s">
        <v>86</v>
      </c>
      <c r="M196">
        <v>1</v>
      </c>
      <c r="N196">
        <v>-3.40282346639E+38</v>
      </c>
      <c r="O196">
        <v>3.40282346639E+38</v>
      </c>
      <c r="P196">
        <v>-3.40282346639E+38</v>
      </c>
      <c r="Q196">
        <v>3.40282346639E+38</v>
      </c>
      <c r="T196" t="s">
        <v>3807</v>
      </c>
      <c r="U196" t="s">
        <v>3950</v>
      </c>
      <c r="V196" t="s">
        <v>4249</v>
      </c>
      <c r="X196"/>
      <c r="Y196"/>
      <c r="Z196"/>
      <c r="AA196"/>
      <c r="AE196"/>
      <c r="AF196"/>
      <c r="AG196"/>
      <c r="AH196"/>
    </row>
    <row r="197" spans="1:34" ht="15.75" customHeight="1" x14ac:dyDescent="0.15">
      <c r="A197" s="9">
        <v>191</v>
      </c>
      <c r="C197" t="s">
        <v>3719</v>
      </c>
      <c r="D197" t="s">
        <v>4250</v>
      </c>
      <c r="E197" s="9" t="s">
        <v>3192</v>
      </c>
      <c r="F197" s="9">
        <v>435</v>
      </c>
      <c r="G197" s="9"/>
      <c r="H197" s="9" t="s">
        <v>3721</v>
      </c>
      <c r="I197" t="s">
        <v>196</v>
      </c>
      <c r="L197" t="s">
        <v>86</v>
      </c>
      <c r="M197">
        <v>1</v>
      </c>
      <c r="N197">
        <v>-3.40282346639E+38</v>
      </c>
      <c r="O197">
        <v>3.40282346639E+38</v>
      </c>
      <c r="P197">
        <v>-3.40282346639E+38</v>
      </c>
      <c r="Q197">
        <v>3.40282346639E+38</v>
      </c>
      <c r="T197" t="s">
        <v>3723</v>
      </c>
      <c r="U197" t="s">
        <v>3950</v>
      </c>
      <c r="V197"/>
      <c r="X197"/>
      <c r="Y197"/>
      <c r="Z197"/>
      <c r="AA197"/>
      <c r="AE197"/>
      <c r="AF197"/>
      <c r="AG197"/>
      <c r="AH197"/>
    </row>
    <row r="198" spans="1:34" ht="15.75" customHeight="1" x14ac:dyDescent="0.15">
      <c r="A198" s="9">
        <v>192</v>
      </c>
      <c r="C198" t="s">
        <v>3719</v>
      </c>
      <c r="D198" t="s">
        <v>4251</v>
      </c>
      <c r="E198" s="9" t="s">
        <v>3192</v>
      </c>
      <c r="F198" s="9">
        <v>436</v>
      </c>
      <c r="G198" s="9"/>
      <c r="H198" s="9" t="s">
        <v>4043</v>
      </c>
      <c r="I198" t="s">
        <v>196</v>
      </c>
      <c r="L198" t="s">
        <v>86</v>
      </c>
      <c r="M198">
        <v>1</v>
      </c>
      <c r="N198">
        <v>-3.40282346639E+38</v>
      </c>
      <c r="O198">
        <v>3.40282346639E+38</v>
      </c>
      <c r="P198">
        <v>-3.40282346639E+38</v>
      </c>
      <c r="Q198">
        <v>3.40282346639E+38</v>
      </c>
      <c r="T198" t="s">
        <v>3807</v>
      </c>
      <c r="U198" t="s">
        <v>3815</v>
      </c>
      <c r="V198"/>
      <c r="X198"/>
      <c r="Y198"/>
      <c r="Z198"/>
      <c r="AA198"/>
      <c r="AE198"/>
      <c r="AF198"/>
      <c r="AG198"/>
      <c r="AH198"/>
    </row>
    <row r="199" spans="1:34" ht="15.75" customHeight="1" x14ac:dyDescent="0.15">
      <c r="A199" s="9">
        <v>193</v>
      </c>
      <c r="C199" t="s">
        <v>3719</v>
      </c>
      <c r="D199" t="s">
        <v>4252</v>
      </c>
      <c r="E199" s="9" t="s">
        <v>3192</v>
      </c>
      <c r="F199" s="9">
        <v>437</v>
      </c>
      <c r="G199" s="9"/>
      <c r="H199" s="9" t="s">
        <v>4047</v>
      </c>
      <c r="I199" t="s">
        <v>196</v>
      </c>
      <c r="L199" t="s">
        <v>104</v>
      </c>
      <c r="M199">
        <v>1</v>
      </c>
      <c r="N199">
        <v>-3.40282346639E+38</v>
      </c>
      <c r="O199">
        <v>3.40282346639E+38</v>
      </c>
      <c r="P199">
        <v>-3.40282346639E+38</v>
      </c>
      <c r="Q199">
        <v>3.40282346639E+38</v>
      </c>
      <c r="T199" t="s">
        <v>3807</v>
      </c>
      <c r="U199" t="s">
        <v>3815</v>
      </c>
      <c r="V199"/>
      <c r="X199"/>
      <c r="Y199"/>
      <c r="Z199"/>
      <c r="AA199"/>
      <c r="AE199"/>
      <c r="AF199"/>
      <c r="AG199"/>
      <c r="AH199"/>
    </row>
    <row r="200" spans="1:34" ht="15.75" customHeight="1" x14ac:dyDescent="0.15">
      <c r="A200" s="9">
        <v>194</v>
      </c>
      <c r="C200" t="s">
        <v>3719</v>
      </c>
      <c r="D200" t="s">
        <v>4253</v>
      </c>
      <c r="E200" s="9" t="s">
        <v>3192</v>
      </c>
      <c r="F200" s="9">
        <v>438</v>
      </c>
      <c r="G200" s="9"/>
      <c r="H200" s="9" t="s">
        <v>4051</v>
      </c>
      <c r="I200" t="s">
        <v>3729</v>
      </c>
      <c r="L200" t="s">
        <v>266</v>
      </c>
      <c r="M200">
        <v>1</v>
      </c>
      <c r="N200">
        <v>-3.40282346639E+38</v>
      </c>
      <c r="O200">
        <v>3.40282346639E+38</v>
      </c>
      <c r="P200">
        <v>-3.40282346639E+38</v>
      </c>
      <c r="Q200">
        <v>3.40282346639E+38</v>
      </c>
      <c r="S200" t="s">
        <v>3793</v>
      </c>
      <c r="T200" t="s">
        <v>3807</v>
      </c>
      <c r="U200" t="s">
        <v>3815</v>
      </c>
      <c r="V200"/>
      <c r="X200"/>
      <c r="Y200"/>
      <c r="Z200"/>
      <c r="AA200"/>
      <c r="AE200"/>
      <c r="AF200"/>
      <c r="AG200"/>
      <c r="AH200"/>
    </row>
    <row r="201" spans="1:34" ht="15.75" customHeight="1" x14ac:dyDescent="0.15">
      <c r="A201" s="9">
        <v>195</v>
      </c>
      <c r="C201" t="s">
        <v>3719</v>
      </c>
      <c r="D201" t="s">
        <v>4254</v>
      </c>
      <c r="E201" s="9" t="s">
        <v>3192</v>
      </c>
      <c r="F201" s="9">
        <v>439</v>
      </c>
      <c r="G201" s="9"/>
      <c r="H201" s="9" t="s">
        <v>4047</v>
      </c>
      <c r="I201" t="s">
        <v>196</v>
      </c>
      <c r="L201" t="s">
        <v>100</v>
      </c>
      <c r="M201">
        <v>1</v>
      </c>
      <c r="N201">
        <v>-3.40282346639E+38</v>
      </c>
      <c r="O201">
        <v>3.40282346639E+38</v>
      </c>
      <c r="P201">
        <v>-3.40282346639E+38</v>
      </c>
      <c r="Q201">
        <v>3.40282346639E+38</v>
      </c>
      <c r="T201" t="s">
        <v>3723</v>
      </c>
      <c r="U201" t="s">
        <v>3815</v>
      </c>
      <c r="V201"/>
      <c r="X201"/>
      <c r="Y201"/>
      <c r="Z201"/>
      <c r="AA201"/>
      <c r="AE201"/>
      <c r="AF201"/>
      <c r="AG201"/>
      <c r="AH201"/>
    </row>
    <row r="202" spans="1:34" ht="15.75" customHeight="1" x14ac:dyDescent="0.15">
      <c r="A202" s="9">
        <v>196</v>
      </c>
      <c r="C202" t="s">
        <v>3719</v>
      </c>
      <c r="D202" t="s">
        <v>4255</v>
      </c>
      <c r="E202" s="9" t="s">
        <v>3192</v>
      </c>
      <c r="F202" s="9">
        <v>440</v>
      </c>
      <c r="G202" s="9"/>
      <c r="H202" s="9" t="s">
        <v>3721</v>
      </c>
      <c r="I202" t="s">
        <v>196</v>
      </c>
      <c r="L202" t="s">
        <v>100</v>
      </c>
      <c r="M202">
        <v>1</v>
      </c>
      <c r="N202">
        <v>-3.40282346639E+38</v>
      </c>
      <c r="O202">
        <v>3.40282346639E+38</v>
      </c>
      <c r="P202">
        <v>-3.40282346639E+38</v>
      </c>
      <c r="Q202">
        <v>3.40282346639E+38</v>
      </c>
      <c r="T202" t="s">
        <v>3723</v>
      </c>
      <c r="U202" t="s">
        <v>3815</v>
      </c>
      <c r="V202"/>
      <c r="X202"/>
      <c r="Y202"/>
      <c r="Z202"/>
      <c r="AA202"/>
      <c r="AE202"/>
      <c r="AF202"/>
      <c r="AG202"/>
      <c r="AH202"/>
    </row>
    <row r="203" spans="1:34" ht="15.75" customHeight="1" x14ac:dyDescent="0.15">
      <c r="A203" s="9">
        <v>197</v>
      </c>
      <c r="C203" t="s">
        <v>3719</v>
      </c>
      <c r="D203" t="s">
        <v>4256</v>
      </c>
      <c r="E203" s="9" t="s">
        <v>3192</v>
      </c>
      <c r="F203" s="9">
        <v>441</v>
      </c>
      <c r="G203" s="9"/>
      <c r="H203" s="9" t="s">
        <v>4060</v>
      </c>
      <c r="I203" t="s">
        <v>196</v>
      </c>
      <c r="L203" t="s">
        <v>560</v>
      </c>
      <c r="M203">
        <v>1</v>
      </c>
      <c r="N203">
        <v>-3.40282346639E+38</v>
      </c>
      <c r="O203">
        <v>3.40282346639E+38</v>
      </c>
      <c r="P203">
        <v>-3.40282346639E+38</v>
      </c>
      <c r="Q203">
        <v>3.40282346639E+38</v>
      </c>
      <c r="T203" t="s">
        <v>3807</v>
      </c>
      <c r="U203" t="s">
        <v>3950</v>
      </c>
      <c r="V203"/>
      <c r="X203"/>
      <c r="Y203"/>
      <c r="Z203"/>
      <c r="AA203"/>
      <c r="AE203"/>
      <c r="AF203"/>
      <c r="AG203"/>
      <c r="AH203"/>
    </row>
    <row r="204" spans="1:34" ht="15.75" customHeight="1" x14ac:dyDescent="0.15">
      <c r="A204" s="9">
        <v>198</v>
      </c>
      <c r="C204" t="s">
        <v>3719</v>
      </c>
      <c r="D204" t="s">
        <v>4257</v>
      </c>
      <c r="E204" s="9" t="s">
        <v>3192</v>
      </c>
      <c r="F204" s="9">
        <v>442</v>
      </c>
      <c r="G204" s="9"/>
      <c r="H204" s="9" t="s">
        <v>4064</v>
      </c>
      <c r="I204" t="s">
        <v>196</v>
      </c>
      <c r="L204" t="s">
        <v>781</v>
      </c>
      <c r="M204">
        <v>1</v>
      </c>
      <c r="N204">
        <v>-3.40282346639E+38</v>
      </c>
      <c r="O204">
        <v>3.40282346639E+38</v>
      </c>
      <c r="P204">
        <v>-3.40282346639E+38</v>
      </c>
      <c r="Q204">
        <v>3.40282346639E+38</v>
      </c>
      <c r="T204" t="s">
        <v>3807</v>
      </c>
      <c r="U204" t="s">
        <v>3815</v>
      </c>
      <c r="V204"/>
      <c r="X204"/>
      <c r="Y204"/>
      <c r="Z204"/>
      <c r="AA204"/>
      <c r="AE204"/>
      <c r="AF204"/>
      <c r="AG204"/>
      <c r="AH204"/>
    </row>
    <row r="205" spans="1:34" ht="15.75" customHeight="1" x14ac:dyDescent="0.15">
      <c r="A205" s="9">
        <v>199</v>
      </c>
      <c r="C205" t="s">
        <v>3719</v>
      </c>
      <c r="D205" t="s">
        <v>4258</v>
      </c>
      <c r="E205" s="9" t="s">
        <v>3192</v>
      </c>
      <c r="F205" s="9">
        <v>443</v>
      </c>
      <c r="G205" s="9"/>
      <c r="H205" s="9" t="s">
        <v>4068</v>
      </c>
      <c r="I205" t="s">
        <v>196</v>
      </c>
      <c r="L205" t="s">
        <v>781</v>
      </c>
      <c r="M205">
        <v>1</v>
      </c>
      <c r="N205">
        <v>-3.40282346639E+38</v>
      </c>
      <c r="O205">
        <v>3.40282346639E+38</v>
      </c>
      <c r="P205">
        <v>-3.40282346639E+38</v>
      </c>
      <c r="Q205">
        <v>3.40282346639E+38</v>
      </c>
      <c r="T205" t="s">
        <v>3807</v>
      </c>
      <c r="U205" t="s">
        <v>3815</v>
      </c>
      <c r="V205"/>
      <c r="X205"/>
      <c r="Y205"/>
      <c r="Z205"/>
      <c r="AA205"/>
      <c r="AE205"/>
      <c r="AF205"/>
      <c r="AG205"/>
      <c r="AH205"/>
    </row>
    <row r="206" spans="1:34" ht="15.75" customHeight="1" x14ac:dyDescent="0.15">
      <c r="A206" s="9">
        <v>200</v>
      </c>
      <c r="C206" t="s">
        <v>3719</v>
      </c>
      <c r="D206" t="s">
        <v>4259</v>
      </c>
      <c r="E206" s="9" t="s">
        <v>3192</v>
      </c>
      <c r="F206" s="9">
        <v>444</v>
      </c>
      <c r="G206" s="9"/>
      <c r="H206" s="9" t="s">
        <v>4072</v>
      </c>
      <c r="I206" t="s">
        <v>196</v>
      </c>
      <c r="L206" t="s">
        <v>113</v>
      </c>
      <c r="M206">
        <v>1</v>
      </c>
      <c r="N206">
        <v>-3.40282346639E+38</v>
      </c>
      <c r="O206">
        <v>3.40282346639E+38</v>
      </c>
      <c r="P206">
        <v>-3.40282346639E+38</v>
      </c>
      <c r="Q206">
        <v>3.40282346639E+38</v>
      </c>
      <c r="T206" t="s">
        <v>3807</v>
      </c>
      <c r="U206" t="s">
        <v>3815</v>
      </c>
      <c r="V206"/>
      <c r="X206"/>
      <c r="Y206"/>
      <c r="Z206"/>
      <c r="AA206"/>
      <c r="AE206"/>
      <c r="AF206"/>
      <c r="AG206"/>
      <c r="AH206"/>
    </row>
    <row r="207" spans="1:34" ht="15.75" customHeight="1" x14ac:dyDescent="0.15">
      <c r="A207" s="9">
        <v>201</v>
      </c>
      <c r="C207" t="s">
        <v>3719</v>
      </c>
      <c r="D207" t="s">
        <v>4260</v>
      </c>
      <c r="E207" s="9" t="s">
        <v>3192</v>
      </c>
      <c r="F207" s="9">
        <v>445</v>
      </c>
      <c r="G207" s="9"/>
      <c r="H207" s="9" t="s">
        <v>4076</v>
      </c>
      <c r="I207" t="s">
        <v>196</v>
      </c>
      <c r="L207" t="s">
        <v>2311</v>
      </c>
      <c r="M207">
        <v>1</v>
      </c>
      <c r="N207">
        <v>-3.40282346639E+38</v>
      </c>
      <c r="O207">
        <v>3.40282346639E+38</v>
      </c>
      <c r="P207">
        <v>-3.40282346639E+38</v>
      </c>
      <c r="Q207">
        <v>3.40282346639E+38</v>
      </c>
      <c r="T207" t="s">
        <v>3723</v>
      </c>
      <c r="U207" t="s">
        <v>3815</v>
      </c>
      <c r="V207"/>
      <c r="X207"/>
      <c r="Y207"/>
      <c r="Z207"/>
      <c r="AA207"/>
      <c r="AE207"/>
      <c r="AF207"/>
      <c r="AG207"/>
      <c r="AH207"/>
    </row>
    <row r="208" spans="1:34" ht="15.75" customHeight="1" x14ac:dyDescent="0.15">
      <c r="A208" s="9">
        <v>202</v>
      </c>
      <c r="C208" t="s">
        <v>3719</v>
      </c>
      <c r="D208" t="s">
        <v>4261</v>
      </c>
      <c r="E208" s="9" t="s">
        <v>3192</v>
      </c>
      <c r="F208" s="9">
        <v>446</v>
      </c>
      <c r="G208" s="9"/>
      <c r="H208" s="9" t="s">
        <v>4080</v>
      </c>
      <c r="I208" t="s">
        <v>196</v>
      </c>
      <c r="L208" t="s">
        <v>266</v>
      </c>
      <c r="M208">
        <v>1</v>
      </c>
      <c r="N208">
        <v>-3.40282346639E+38</v>
      </c>
      <c r="O208">
        <v>3.40282346639E+38</v>
      </c>
      <c r="P208">
        <v>-3.40282346639E+38</v>
      </c>
      <c r="Q208">
        <v>3.40282346639E+38</v>
      </c>
      <c r="T208" t="s">
        <v>3807</v>
      </c>
      <c r="U208" t="s">
        <v>3815</v>
      </c>
      <c r="V208"/>
      <c r="X208"/>
      <c r="Y208"/>
      <c r="Z208"/>
      <c r="AA208"/>
      <c r="AE208"/>
      <c r="AF208"/>
      <c r="AG208"/>
      <c r="AH208"/>
    </row>
    <row r="209" spans="1:34" ht="15.75" customHeight="1" x14ac:dyDescent="0.15">
      <c r="A209" s="9">
        <v>203</v>
      </c>
      <c r="C209" t="s">
        <v>3719</v>
      </c>
      <c r="D209" t="s">
        <v>4262</v>
      </c>
      <c r="E209" s="9" t="s">
        <v>3192</v>
      </c>
      <c r="F209" s="9">
        <v>447</v>
      </c>
      <c r="G209" s="9"/>
      <c r="H209" s="9" t="s">
        <v>4084</v>
      </c>
      <c r="I209" t="s">
        <v>196</v>
      </c>
      <c r="L209" t="s">
        <v>266</v>
      </c>
      <c r="M209">
        <v>1</v>
      </c>
      <c r="N209">
        <v>-3.40282346639E+38</v>
      </c>
      <c r="O209">
        <v>3.40282346639E+38</v>
      </c>
      <c r="P209">
        <v>-3.40282346639E+38</v>
      </c>
      <c r="Q209">
        <v>3.40282346639E+38</v>
      </c>
      <c r="T209" t="s">
        <v>3807</v>
      </c>
      <c r="U209" t="s">
        <v>3815</v>
      </c>
      <c r="V209"/>
      <c r="X209"/>
      <c r="Y209"/>
      <c r="Z209"/>
      <c r="AA209"/>
      <c r="AE209"/>
      <c r="AF209"/>
      <c r="AG209"/>
      <c r="AH209"/>
    </row>
    <row r="210" spans="1:34" ht="15.75" customHeight="1" x14ac:dyDescent="0.15">
      <c r="A210" s="9">
        <v>204</v>
      </c>
      <c r="C210" t="s">
        <v>3719</v>
      </c>
      <c r="D210" t="s">
        <v>4263</v>
      </c>
      <c r="E210" s="9" t="s">
        <v>3192</v>
      </c>
      <c r="F210" s="9">
        <v>448</v>
      </c>
      <c r="G210" s="9"/>
      <c r="H210" s="9" t="s">
        <v>4088</v>
      </c>
      <c r="I210" t="s">
        <v>196</v>
      </c>
      <c r="L210" t="s">
        <v>266</v>
      </c>
      <c r="M210">
        <v>1</v>
      </c>
      <c r="N210">
        <v>-3.40282346639E+38</v>
      </c>
      <c r="O210">
        <v>3.40282346639E+38</v>
      </c>
      <c r="P210">
        <v>-3.40282346639E+38</v>
      </c>
      <c r="Q210">
        <v>3.40282346639E+38</v>
      </c>
      <c r="T210" t="s">
        <v>3807</v>
      </c>
      <c r="U210" t="s">
        <v>3815</v>
      </c>
      <c r="V210"/>
      <c r="X210"/>
      <c r="Y210"/>
      <c r="Z210"/>
      <c r="AA210"/>
      <c r="AE210"/>
      <c r="AF210"/>
      <c r="AG210"/>
      <c r="AH210"/>
    </row>
    <row r="211" spans="1:34" ht="15.75" customHeight="1" x14ac:dyDescent="0.15">
      <c r="A211" s="9">
        <v>205</v>
      </c>
      <c r="C211" t="s">
        <v>3719</v>
      </c>
      <c r="D211" t="s">
        <v>4264</v>
      </c>
      <c r="E211" s="9" t="s">
        <v>3192</v>
      </c>
      <c r="F211" s="9">
        <v>149</v>
      </c>
      <c r="G211" s="9"/>
      <c r="H211" s="9" t="s">
        <v>4265</v>
      </c>
      <c r="I211" t="s">
        <v>196</v>
      </c>
      <c r="L211" t="s">
        <v>2311</v>
      </c>
      <c r="M211">
        <v>1</v>
      </c>
      <c r="N211">
        <v>-3.40282346639E+38</v>
      </c>
      <c r="O211">
        <v>3.40282346639E+38</v>
      </c>
      <c r="P211">
        <v>-3.40282346639E+38</v>
      </c>
      <c r="Q211">
        <v>3.40282346639E+38</v>
      </c>
      <c r="T211" t="s">
        <v>3723</v>
      </c>
      <c r="U211" t="s">
        <v>3815</v>
      </c>
      <c r="V211" t="s">
        <v>4266</v>
      </c>
      <c r="X211"/>
      <c r="Y211"/>
      <c r="Z211"/>
      <c r="AA211"/>
      <c r="AE211"/>
      <c r="AF211"/>
      <c r="AG211"/>
      <c r="AH211"/>
    </row>
    <row r="212" spans="1:34" ht="15.75" customHeight="1" x14ac:dyDescent="0.15">
      <c r="A212" s="9">
        <v>206</v>
      </c>
      <c r="B212" t="s">
        <v>75</v>
      </c>
      <c r="C212" t="s">
        <v>4267</v>
      </c>
      <c r="D212" t="s">
        <v>4268</v>
      </c>
      <c r="E212" s="9" t="s">
        <v>219</v>
      </c>
      <c r="F212" s="9">
        <v>0</v>
      </c>
      <c r="G212" s="9"/>
      <c r="H212" s="9" t="s">
        <v>3721</v>
      </c>
      <c r="I212" t="s">
        <v>196</v>
      </c>
      <c r="L212" t="s">
        <v>61</v>
      </c>
      <c r="M212">
        <v>1</v>
      </c>
      <c r="T212" t="s">
        <v>3723</v>
      </c>
      <c r="U212" t="s">
        <v>3853</v>
      </c>
      <c r="V212" t="s">
        <v>4269</v>
      </c>
      <c r="X212"/>
      <c r="Y212"/>
      <c r="Z212"/>
      <c r="AA212"/>
      <c r="AE212"/>
      <c r="AF212"/>
      <c r="AG212"/>
      <c r="AH212"/>
    </row>
    <row r="213" spans="1:34" ht="15.75" customHeight="1" x14ac:dyDescent="0.15">
      <c r="A213" s="9">
        <v>207</v>
      </c>
      <c r="B213" t="s">
        <v>75</v>
      </c>
      <c r="C213" t="s">
        <v>4267</v>
      </c>
      <c r="D213" t="s">
        <v>4270</v>
      </c>
      <c r="E213" s="9" t="s">
        <v>219</v>
      </c>
      <c r="F213" s="9">
        <v>0</v>
      </c>
      <c r="G213" s="9">
        <v>0</v>
      </c>
      <c r="H213" s="9" t="s">
        <v>4271</v>
      </c>
      <c r="I213" t="s">
        <v>196</v>
      </c>
      <c r="J213" t="s">
        <v>197</v>
      </c>
      <c r="K213" t="s">
        <v>198</v>
      </c>
      <c r="T213" t="s">
        <v>3723</v>
      </c>
      <c r="V213" t="s">
        <v>4272</v>
      </c>
      <c r="X213"/>
      <c r="Y213"/>
      <c r="Z213"/>
      <c r="AA213"/>
      <c r="AE213"/>
      <c r="AF213"/>
      <c r="AG213"/>
      <c r="AH213"/>
    </row>
    <row r="214" spans="1:34" ht="15.75" customHeight="1" x14ac:dyDescent="0.15">
      <c r="A214" s="9">
        <v>208</v>
      </c>
      <c r="B214" t="s">
        <v>75</v>
      </c>
      <c r="C214" t="s">
        <v>4267</v>
      </c>
      <c r="D214" t="s">
        <v>4273</v>
      </c>
      <c r="E214" s="9" t="s">
        <v>219</v>
      </c>
      <c r="F214" s="9">
        <v>0</v>
      </c>
      <c r="G214" s="9">
        <v>1</v>
      </c>
      <c r="H214" s="9" t="s">
        <v>4274</v>
      </c>
      <c r="I214" t="s">
        <v>196</v>
      </c>
      <c r="J214" t="s">
        <v>285</v>
      </c>
      <c r="K214" t="s">
        <v>286</v>
      </c>
      <c r="T214" t="s">
        <v>3723</v>
      </c>
      <c r="V214" t="s">
        <v>4275</v>
      </c>
      <c r="X214"/>
      <c r="Y214"/>
      <c r="Z214"/>
      <c r="AA214"/>
      <c r="AE214"/>
      <c r="AF214"/>
      <c r="AG214"/>
      <c r="AH214"/>
    </row>
    <row r="215" spans="1:34" ht="15.75" customHeight="1" x14ac:dyDescent="0.15">
      <c r="A215" s="9">
        <v>209</v>
      </c>
      <c r="B215" t="s">
        <v>75</v>
      </c>
      <c r="C215" t="s">
        <v>4267</v>
      </c>
      <c r="D215" t="s">
        <v>4276</v>
      </c>
      <c r="E215" s="9" t="s">
        <v>219</v>
      </c>
      <c r="F215" s="9">
        <v>0</v>
      </c>
      <c r="G215" s="9">
        <v>2</v>
      </c>
      <c r="H215" s="9" t="s">
        <v>4277</v>
      </c>
      <c r="I215" t="s">
        <v>196</v>
      </c>
      <c r="J215" t="s">
        <v>222</v>
      </c>
      <c r="K215" t="s">
        <v>226</v>
      </c>
      <c r="T215" t="s">
        <v>3723</v>
      </c>
      <c r="V215" t="s">
        <v>4278</v>
      </c>
      <c r="X215"/>
      <c r="Y215"/>
      <c r="Z215"/>
      <c r="AA215"/>
      <c r="AE215"/>
      <c r="AF215"/>
      <c r="AG215"/>
      <c r="AH215"/>
    </row>
    <row r="216" spans="1:34" ht="15.75" customHeight="1" x14ac:dyDescent="0.15">
      <c r="A216" s="9">
        <v>210</v>
      </c>
      <c r="C216" t="s">
        <v>4267</v>
      </c>
      <c r="D216" t="s">
        <v>4279</v>
      </c>
      <c r="E216" s="9" t="s">
        <v>219</v>
      </c>
      <c r="F216" s="9">
        <v>0</v>
      </c>
      <c r="G216" s="9">
        <v>3</v>
      </c>
      <c r="H216" s="9" t="s">
        <v>4280</v>
      </c>
      <c r="I216" t="s">
        <v>196</v>
      </c>
      <c r="J216" t="s">
        <v>226</v>
      </c>
      <c r="K216" t="s">
        <v>222</v>
      </c>
      <c r="T216" t="s">
        <v>3723</v>
      </c>
      <c r="V216" t="s">
        <v>4281</v>
      </c>
      <c r="X216"/>
      <c r="Y216"/>
      <c r="Z216"/>
      <c r="AA216"/>
      <c r="AE216"/>
      <c r="AF216"/>
      <c r="AG216"/>
      <c r="AH216"/>
    </row>
    <row r="217" spans="1:34" ht="15.75" customHeight="1" x14ac:dyDescent="0.15">
      <c r="A217" s="9">
        <v>211</v>
      </c>
      <c r="B217" t="s">
        <v>75</v>
      </c>
      <c r="C217" t="s">
        <v>4267</v>
      </c>
      <c r="D217" t="s">
        <v>4282</v>
      </c>
      <c r="E217" s="9" t="s">
        <v>219</v>
      </c>
      <c r="F217" s="9">
        <v>0</v>
      </c>
      <c r="G217" s="9">
        <v>4</v>
      </c>
      <c r="H217" s="9" t="s">
        <v>4283</v>
      </c>
      <c r="I217" t="s">
        <v>171</v>
      </c>
      <c r="J217" t="s">
        <v>177</v>
      </c>
      <c r="K217" t="s">
        <v>173</v>
      </c>
      <c r="T217" t="s">
        <v>3723</v>
      </c>
      <c r="V217" t="s">
        <v>4284</v>
      </c>
      <c r="X217"/>
      <c r="Y217"/>
      <c r="Z217"/>
      <c r="AA217"/>
      <c r="AE217"/>
      <c r="AF217"/>
      <c r="AG217"/>
      <c r="AH217"/>
    </row>
    <row r="218" spans="1:34" ht="15.75" customHeight="1" x14ac:dyDescent="0.15">
      <c r="A218" s="9">
        <v>212</v>
      </c>
      <c r="B218" t="s">
        <v>75</v>
      </c>
      <c r="C218" t="s">
        <v>4267</v>
      </c>
      <c r="D218" t="s">
        <v>4285</v>
      </c>
      <c r="E218" s="9" t="s">
        <v>219</v>
      </c>
      <c r="F218" s="9">
        <v>0</v>
      </c>
      <c r="G218" s="9">
        <v>5</v>
      </c>
      <c r="H218" s="9" t="s">
        <v>4286</v>
      </c>
      <c r="I218" t="s">
        <v>171</v>
      </c>
      <c r="J218" t="s">
        <v>177</v>
      </c>
      <c r="K218" t="s">
        <v>173</v>
      </c>
      <c r="T218" t="s">
        <v>3723</v>
      </c>
      <c r="V218" t="s">
        <v>4287</v>
      </c>
      <c r="X218"/>
      <c r="Y218"/>
      <c r="Z218"/>
      <c r="AA218"/>
      <c r="AE218"/>
      <c r="AF218"/>
      <c r="AG218"/>
      <c r="AH218"/>
    </row>
    <row r="219" spans="1:34" ht="15.75" customHeight="1" x14ac:dyDescent="0.15">
      <c r="A219" s="9">
        <v>213</v>
      </c>
      <c r="B219" t="s">
        <v>75</v>
      </c>
      <c r="C219" t="s">
        <v>4267</v>
      </c>
      <c r="D219" t="s">
        <v>4288</v>
      </c>
      <c r="E219" s="9" t="s">
        <v>219</v>
      </c>
      <c r="F219" s="9">
        <v>0</v>
      </c>
      <c r="G219" s="9">
        <v>6</v>
      </c>
      <c r="H219" s="9" t="s">
        <v>4289</v>
      </c>
      <c r="I219" t="s">
        <v>196</v>
      </c>
      <c r="J219" t="s">
        <v>940</v>
      </c>
      <c r="K219" t="s">
        <v>941</v>
      </c>
      <c r="T219" t="s">
        <v>3723</v>
      </c>
      <c r="V219" t="s">
        <v>4290</v>
      </c>
      <c r="X219"/>
      <c r="Y219"/>
      <c r="Z219"/>
      <c r="AA219"/>
      <c r="AE219"/>
      <c r="AF219"/>
      <c r="AG219"/>
      <c r="AH219"/>
    </row>
    <row r="220" spans="1:34" ht="15.75" customHeight="1" x14ac:dyDescent="0.15">
      <c r="A220" s="9">
        <v>214</v>
      </c>
      <c r="C220" t="s">
        <v>4267</v>
      </c>
      <c r="D220" t="s">
        <v>4291</v>
      </c>
      <c r="E220" s="9" t="s">
        <v>219</v>
      </c>
      <c r="F220" s="9">
        <v>0</v>
      </c>
      <c r="G220" s="9">
        <v>7</v>
      </c>
      <c r="H220" s="9" t="s">
        <v>4292</v>
      </c>
      <c r="I220" t="s">
        <v>171</v>
      </c>
      <c r="J220" t="s">
        <v>940</v>
      </c>
      <c r="K220" t="s">
        <v>941</v>
      </c>
      <c r="T220" t="s">
        <v>3723</v>
      </c>
      <c r="V220" t="s">
        <v>4293</v>
      </c>
      <c r="X220"/>
      <c r="Y220"/>
      <c r="Z220"/>
      <c r="AA220"/>
      <c r="AE220"/>
      <c r="AF220"/>
      <c r="AG220"/>
      <c r="AH220"/>
    </row>
    <row r="221" spans="1:34" ht="15.75" customHeight="1" x14ac:dyDescent="0.15">
      <c r="A221" s="9">
        <v>215</v>
      </c>
      <c r="C221" t="s">
        <v>4267</v>
      </c>
      <c r="D221" t="s">
        <v>4294</v>
      </c>
      <c r="E221" s="9" t="s">
        <v>219</v>
      </c>
      <c r="F221" s="9">
        <v>0</v>
      </c>
      <c r="G221" s="9">
        <v>8</v>
      </c>
      <c r="H221" s="9" t="s">
        <v>4295</v>
      </c>
      <c r="I221" t="s">
        <v>171</v>
      </c>
      <c r="J221" t="s">
        <v>940</v>
      </c>
      <c r="K221" t="s">
        <v>941</v>
      </c>
      <c r="T221" t="s">
        <v>3723</v>
      </c>
      <c r="V221" t="s">
        <v>4296</v>
      </c>
      <c r="X221"/>
      <c r="Y221"/>
      <c r="Z221"/>
      <c r="AA221"/>
      <c r="AE221"/>
      <c r="AF221"/>
      <c r="AG221"/>
      <c r="AH221"/>
    </row>
    <row r="222" spans="1:34" ht="15.75" customHeight="1" x14ac:dyDescent="0.15">
      <c r="A222" s="9">
        <v>216</v>
      </c>
      <c r="C222" t="s">
        <v>4267</v>
      </c>
      <c r="D222" t="s">
        <v>4297</v>
      </c>
      <c r="E222" s="9" t="s">
        <v>219</v>
      </c>
      <c r="F222" s="9">
        <v>0</v>
      </c>
      <c r="G222" s="9">
        <v>9</v>
      </c>
      <c r="H222" s="9" t="s">
        <v>4298</v>
      </c>
      <c r="I222" t="s">
        <v>196</v>
      </c>
      <c r="J222" t="s">
        <v>940</v>
      </c>
      <c r="K222" t="s">
        <v>941</v>
      </c>
      <c r="T222" t="s">
        <v>3723</v>
      </c>
      <c r="V222" t="s">
        <v>4299</v>
      </c>
      <c r="X222"/>
      <c r="Y222"/>
      <c r="Z222"/>
      <c r="AA222"/>
      <c r="AE222"/>
      <c r="AF222"/>
      <c r="AG222"/>
      <c r="AH222"/>
    </row>
    <row r="223" spans="1:34" ht="15.75" customHeight="1" x14ac:dyDescent="0.15">
      <c r="A223" s="9">
        <v>217</v>
      </c>
      <c r="C223" t="s">
        <v>4267</v>
      </c>
      <c r="D223" t="s">
        <v>4300</v>
      </c>
      <c r="E223" s="9" t="s">
        <v>219</v>
      </c>
      <c r="F223" s="9">
        <v>0</v>
      </c>
      <c r="G223" s="9">
        <v>10</v>
      </c>
      <c r="H223" s="9" t="s">
        <v>4301</v>
      </c>
      <c r="I223" t="s">
        <v>171</v>
      </c>
      <c r="J223" t="s">
        <v>198</v>
      </c>
      <c r="K223" t="s">
        <v>197</v>
      </c>
      <c r="T223" t="s">
        <v>3723</v>
      </c>
      <c r="V223" t="s">
        <v>4302</v>
      </c>
      <c r="X223"/>
      <c r="Y223"/>
      <c r="Z223"/>
      <c r="AA223"/>
      <c r="AE223"/>
      <c r="AF223"/>
      <c r="AG223"/>
      <c r="AH223"/>
    </row>
    <row r="224" spans="1:34" ht="15.75" customHeight="1" x14ac:dyDescent="0.15">
      <c r="A224" s="9">
        <v>218</v>
      </c>
      <c r="C224" t="s">
        <v>4267</v>
      </c>
      <c r="D224" t="s">
        <v>4303</v>
      </c>
      <c r="E224" s="9" t="s">
        <v>219</v>
      </c>
      <c r="F224" s="9">
        <v>0</v>
      </c>
      <c r="G224" s="9">
        <v>11</v>
      </c>
      <c r="H224" s="9" t="s">
        <v>4304</v>
      </c>
      <c r="I224" t="s">
        <v>171</v>
      </c>
      <c r="J224" t="s">
        <v>177</v>
      </c>
      <c r="K224" t="s">
        <v>173</v>
      </c>
      <c r="T224" t="s">
        <v>3723</v>
      </c>
      <c r="V224" t="s">
        <v>4305</v>
      </c>
      <c r="X224"/>
      <c r="Y224"/>
      <c r="Z224"/>
      <c r="AA224"/>
      <c r="AE224"/>
      <c r="AF224"/>
      <c r="AG224"/>
      <c r="AH224"/>
    </row>
    <row r="225" spans="1:34" ht="15.75" customHeight="1" x14ac:dyDescent="0.15">
      <c r="A225" s="9">
        <v>219</v>
      </c>
      <c r="C225" t="s">
        <v>4267</v>
      </c>
      <c r="D225" t="s">
        <v>4306</v>
      </c>
      <c r="E225" s="9" t="s">
        <v>219</v>
      </c>
      <c r="F225" s="9">
        <v>0</v>
      </c>
      <c r="G225" s="9">
        <v>12</v>
      </c>
      <c r="H225" s="9" t="s">
        <v>4307</v>
      </c>
      <c r="I225" t="s">
        <v>196</v>
      </c>
      <c r="J225" t="s">
        <v>839</v>
      </c>
      <c r="K225" t="s">
        <v>173</v>
      </c>
      <c r="T225" t="s">
        <v>3723</v>
      </c>
      <c r="V225" t="s">
        <v>4308</v>
      </c>
      <c r="X225"/>
      <c r="Y225"/>
      <c r="Z225"/>
      <c r="AA225"/>
      <c r="AE225"/>
      <c r="AF225"/>
      <c r="AG225"/>
      <c r="AH225"/>
    </row>
    <row r="226" spans="1:34" ht="15.75" customHeight="1" x14ac:dyDescent="0.15">
      <c r="A226" s="9">
        <v>220</v>
      </c>
      <c r="C226" t="s">
        <v>4267</v>
      </c>
      <c r="D226" t="s">
        <v>4309</v>
      </c>
      <c r="E226" s="9" t="s">
        <v>219</v>
      </c>
      <c r="F226" s="9">
        <v>0</v>
      </c>
      <c r="G226" s="9">
        <v>13</v>
      </c>
      <c r="H226" s="9" t="s">
        <v>4310</v>
      </c>
      <c r="I226" t="s">
        <v>196</v>
      </c>
      <c r="J226" t="s">
        <v>839</v>
      </c>
      <c r="K226" t="s">
        <v>173</v>
      </c>
      <c r="T226" t="s">
        <v>3723</v>
      </c>
      <c r="V226" t="s">
        <v>4311</v>
      </c>
      <c r="X226"/>
      <c r="Y226"/>
      <c r="Z226"/>
      <c r="AA226"/>
      <c r="AE226"/>
      <c r="AF226"/>
      <c r="AG226"/>
      <c r="AH226"/>
    </row>
    <row r="227" spans="1:34" ht="15.75" customHeight="1" x14ac:dyDescent="0.15">
      <c r="A227" s="9">
        <v>221</v>
      </c>
      <c r="C227" t="s">
        <v>4267</v>
      </c>
      <c r="D227" t="s">
        <v>4312</v>
      </c>
      <c r="E227" s="9" t="s">
        <v>219</v>
      </c>
      <c r="F227" s="9">
        <v>0</v>
      </c>
      <c r="G227" s="9">
        <v>14</v>
      </c>
      <c r="H227" s="9" t="s">
        <v>4313</v>
      </c>
      <c r="I227" t="s">
        <v>171</v>
      </c>
      <c r="J227" t="s">
        <v>198</v>
      </c>
      <c r="K227" t="s">
        <v>197</v>
      </c>
      <c r="T227" t="s">
        <v>3723</v>
      </c>
      <c r="V227" t="s">
        <v>4314</v>
      </c>
      <c r="X227"/>
      <c r="Y227"/>
      <c r="Z227"/>
      <c r="AA227"/>
      <c r="AE227"/>
      <c r="AF227"/>
      <c r="AG227"/>
      <c r="AH227"/>
    </row>
    <row r="228" spans="1:34" ht="15.75" customHeight="1" x14ac:dyDescent="0.15">
      <c r="A228" s="9">
        <v>222</v>
      </c>
      <c r="C228" t="s">
        <v>4267</v>
      </c>
      <c r="D228" t="s">
        <v>4315</v>
      </c>
      <c r="E228" s="9" t="s">
        <v>219</v>
      </c>
      <c r="F228" s="9">
        <v>0</v>
      </c>
      <c r="G228" s="9">
        <v>15</v>
      </c>
      <c r="H228" s="9" t="s">
        <v>4316</v>
      </c>
      <c r="I228" t="s">
        <v>171</v>
      </c>
      <c r="J228" t="s">
        <v>197</v>
      </c>
      <c r="K228" t="s">
        <v>198</v>
      </c>
      <c r="T228" t="s">
        <v>3723</v>
      </c>
      <c r="V228" t="s">
        <v>4317</v>
      </c>
      <c r="X228"/>
      <c r="Y228"/>
      <c r="Z228"/>
      <c r="AA228"/>
      <c r="AE228"/>
      <c r="AF228"/>
      <c r="AG228"/>
      <c r="AH228"/>
    </row>
    <row r="229" spans="1:34" ht="15.75" customHeight="1" x14ac:dyDescent="0.15">
      <c r="A229" s="9">
        <v>223</v>
      </c>
      <c r="C229" t="s">
        <v>4267</v>
      </c>
      <c r="D229" t="s">
        <v>4318</v>
      </c>
      <c r="E229" s="9" t="s">
        <v>219</v>
      </c>
      <c r="F229" s="9">
        <v>0</v>
      </c>
      <c r="G229" s="9">
        <v>16</v>
      </c>
      <c r="H229" s="9" t="s">
        <v>4319</v>
      </c>
      <c r="I229" t="s">
        <v>171</v>
      </c>
      <c r="J229" t="s">
        <v>197</v>
      </c>
      <c r="K229" t="s">
        <v>198</v>
      </c>
      <c r="T229" t="s">
        <v>3723</v>
      </c>
      <c r="V229" t="s">
        <v>4320</v>
      </c>
      <c r="X229"/>
      <c r="Y229"/>
      <c r="Z229"/>
      <c r="AA229"/>
      <c r="AE229"/>
      <c r="AF229"/>
      <c r="AG229"/>
      <c r="AH229"/>
    </row>
    <row r="230" spans="1:34" ht="15.75" customHeight="1" x14ac:dyDescent="0.15">
      <c r="A230" s="9">
        <v>224</v>
      </c>
      <c r="C230" t="s">
        <v>4267</v>
      </c>
      <c r="D230" t="s">
        <v>4321</v>
      </c>
      <c r="E230" s="9" t="s">
        <v>219</v>
      </c>
      <c r="F230" s="9">
        <v>0</v>
      </c>
      <c r="G230" s="9">
        <v>17</v>
      </c>
      <c r="H230" s="9" t="s">
        <v>4322</v>
      </c>
      <c r="I230" t="s">
        <v>171</v>
      </c>
      <c r="J230" t="s">
        <v>197</v>
      </c>
      <c r="K230" t="s">
        <v>198</v>
      </c>
      <c r="T230" t="s">
        <v>3723</v>
      </c>
      <c r="V230" t="s">
        <v>4323</v>
      </c>
      <c r="X230"/>
      <c r="Y230"/>
      <c r="Z230"/>
      <c r="AA230"/>
      <c r="AE230"/>
      <c r="AF230"/>
      <c r="AG230"/>
      <c r="AH230"/>
    </row>
    <row r="231" spans="1:34" ht="15.75" customHeight="1" x14ac:dyDescent="0.15">
      <c r="A231" s="9">
        <v>225</v>
      </c>
      <c r="C231" t="s">
        <v>4267</v>
      </c>
      <c r="D231" t="s">
        <v>4324</v>
      </c>
      <c r="E231" s="9" t="s">
        <v>219</v>
      </c>
      <c r="F231" s="9">
        <v>0</v>
      </c>
      <c r="G231" s="9">
        <v>18</v>
      </c>
      <c r="H231" s="9" t="s">
        <v>4325</v>
      </c>
      <c r="I231" t="s">
        <v>171</v>
      </c>
      <c r="J231" t="s">
        <v>197</v>
      </c>
      <c r="K231" t="s">
        <v>198</v>
      </c>
      <c r="T231" t="s">
        <v>3723</v>
      </c>
      <c r="V231" t="s">
        <v>4326</v>
      </c>
      <c r="X231"/>
      <c r="Y231"/>
      <c r="Z231"/>
      <c r="AA231"/>
      <c r="AE231"/>
      <c r="AF231"/>
      <c r="AG231"/>
      <c r="AH231"/>
    </row>
    <row r="232" spans="1:34" ht="15.75" customHeight="1" x14ac:dyDescent="0.15">
      <c r="A232" s="9">
        <v>226</v>
      </c>
      <c r="C232" t="s">
        <v>4267</v>
      </c>
      <c r="D232" t="s">
        <v>4327</v>
      </c>
      <c r="E232" s="9" t="s">
        <v>219</v>
      </c>
      <c r="F232" s="9">
        <v>0</v>
      </c>
      <c r="G232" s="9">
        <v>19</v>
      </c>
      <c r="H232" s="9" t="s">
        <v>4328</v>
      </c>
      <c r="I232" t="s">
        <v>196</v>
      </c>
      <c r="J232" t="s">
        <v>197</v>
      </c>
      <c r="K232" t="s">
        <v>198</v>
      </c>
      <c r="T232" t="s">
        <v>3723</v>
      </c>
      <c r="V232" t="s">
        <v>4329</v>
      </c>
      <c r="X232"/>
      <c r="Y232"/>
      <c r="Z232"/>
      <c r="AA232"/>
      <c r="AE232"/>
      <c r="AF232"/>
      <c r="AG232"/>
      <c r="AH232"/>
    </row>
    <row r="233" spans="1:34" ht="15.75" customHeight="1" x14ac:dyDescent="0.15">
      <c r="A233" s="9">
        <v>227</v>
      </c>
      <c r="C233" t="s">
        <v>4267</v>
      </c>
      <c r="D233" t="s">
        <v>4330</v>
      </c>
      <c r="E233" s="9" t="s">
        <v>219</v>
      </c>
      <c r="F233" s="9">
        <v>0</v>
      </c>
      <c r="G233" s="9">
        <v>20</v>
      </c>
      <c r="H233" s="9" t="s">
        <v>4331</v>
      </c>
      <c r="I233" t="s">
        <v>196</v>
      </c>
      <c r="J233" t="s">
        <v>197</v>
      </c>
      <c r="K233" t="s">
        <v>198</v>
      </c>
      <c r="T233" t="s">
        <v>3723</v>
      </c>
      <c r="V233" t="s">
        <v>4332</v>
      </c>
      <c r="X233"/>
      <c r="Y233"/>
      <c r="Z233"/>
      <c r="AA233"/>
      <c r="AE233"/>
      <c r="AF233"/>
      <c r="AG233"/>
      <c r="AH233"/>
    </row>
    <row r="234" spans="1:34" ht="15.75" customHeight="1" x14ac:dyDescent="0.15">
      <c r="A234" s="9">
        <v>228</v>
      </c>
      <c r="C234" t="s">
        <v>4267</v>
      </c>
      <c r="D234" t="s">
        <v>4333</v>
      </c>
      <c r="E234" s="9" t="s">
        <v>219</v>
      </c>
      <c r="F234" s="9">
        <v>0</v>
      </c>
      <c r="G234" s="9">
        <v>21</v>
      </c>
      <c r="H234" s="9" t="s">
        <v>4334</v>
      </c>
      <c r="I234" t="s">
        <v>196</v>
      </c>
      <c r="J234" t="s">
        <v>197</v>
      </c>
      <c r="K234" t="s">
        <v>198</v>
      </c>
      <c r="T234" t="s">
        <v>3723</v>
      </c>
      <c r="V234" t="s">
        <v>4335</v>
      </c>
      <c r="X234"/>
      <c r="Y234"/>
      <c r="Z234"/>
      <c r="AA234"/>
      <c r="AE234"/>
      <c r="AF234"/>
      <c r="AG234"/>
      <c r="AH234"/>
    </row>
    <row r="235" spans="1:34" ht="15.75" customHeight="1" x14ac:dyDescent="0.15">
      <c r="A235" s="9">
        <v>229</v>
      </c>
      <c r="C235" t="s">
        <v>4267</v>
      </c>
      <c r="D235" t="s">
        <v>4336</v>
      </c>
      <c r="E235" s="9" t="s">
        <v>219</v>
      </c>
      <c r="F235" s="9">
        <v>0</v>
      </c>
      <c r="G235" s="9">
        <v>22</v>
      </c>
      <c r="H235" s="9" t="s">
        <v>4337</v>
      </c>
      <c r="I235" t="s">
        <v>196</v>
      </c>
      <c r="J235" t="s">
        <v>197</v>
      </c>
      <c r="K235" t="s">
        <v>198</v>
      </c>
      <c r="T235" t="s">
        <v>3723</v>
      </c>
      <c r="V235" t="s">
        <v>4338</v>
      </c>
      <c r="X235"/>
      <c r="Y235"/>
      <c r="Z235"/>
      <c r="AA235"/>
      <c r="AE235"/>
      <c r="AF235"/>
      <c r="AG235"/>
      <c r="AH235"/>
    </row>
    <row r="236" spans="1:34" ht="15.75" customHeight="1" x14ac:dyDescent="0.15">
      <c r="A236" s="9">
        <v>230</v>
      </c>
      <c r="C236" t="s">
        <v>4267</v>
      </c>
      <c r="D236" t="s">
        <v>4339</v>
      </c>
      <c r="E236" s="9" t="s">
        <v>219</v>
      </c>
      <c r="F236" s="9">
        <v>1</v>
      </c>
      <c r="G236" s="9"/>
      <c r="H236" s="9" t="s">
        <v>3721</v>
      </c>
      <c r="I236" t="s">
        <v>196</v>
      </c>
      <c r="L236" t="s">
        <v>61</v>
      </c>
      <c r="M236">
        <v>1</v>
      </c>
      <c r="T236" t="s">
        <v>3723</v>
      </c>
      <c r="U236" t="s">
        <v>3853</v>
      </c>
      <c r="V236" t="s">
        <v>4340</v>
      </c>
      <c r="X236"/>
      <c r="Y236"/>
      <c r="Z236"/>
      <c r="AA236"/>
      <c r="AE236"/>
      <c r="AF236"/>
      <c r="AG236"/>
      <c r="AH236"/>
    </row>
    <row r="237" spans="1:34" ht="15.75" customHeight="1" x14ac:dyDescent="0.15">
      <c r="A237" s="9">
        <v>231</v>
      </c>
      <c r="C237" t="s">
        <v>4267</v>
      </c>
      <c r="D237" t="s">
        <v>4341</v>
      </c>
      <c r="E237" s="9" t="s">
        <v>219</v>
      </c>
      <c r="F237" s="9">
        <v>1</v>
      </c>
      <c r="G237" s="9">
        <v>0</v>
      </c>
      <c r="H237" s="9" t="s">
        <v>4342</v>
      </c>
      <c r="I237" t="s">
        <v>171</v>
      </c>
      <c r="J237" t="s">
        <v>177</v>
      </c>
      <c r="K237" t="s">
        <v>173</v>
      </c>
      <c r="T237" t="s">
        <v>3723</v>
      </c>
      <c r="U237" t="s">
        <v>4343</v>
      </c>
      <c r="V237" t="s">
        <v>4344</v>
      </c>
      <c r="X237"/>
      <c r="Y237"/>
      <c r="Z237"/>
      <c r="AA237"/>
      <c r="AE237"/>
      <c r="AF237"/>
      <c r="AG237"/>
      <c r="AH237"/>
    </row>
    <row r="238" spans="1:34" ht="15.75" customHeight="1" x14ac:dyDescent="0.15">
      <c r="A238" s="9">
        <v>232</v>
      </c>
      <c r="C238" t="s">
        <v>4267</v>
      </c>
      <c r="D238" t="s">
        <v>4345</v>
      </c>
      <c r="E238" s="9" t="s">
        <v>219</v>
      </c>
      <c r="F238" s="9">
        <v>1</v>
      </c>
      <c r="G238" s="9">
        <v>1</v>
      </c>
      <c r="H238" s="9" t="s">
        <v>4346</v>
      </c>
      <c r="I238" t="s">
        <v>171</v>
      </c>
      <c r="J238" t="s">
        <v>177</v>
      </c>
      <c r="K238" t="s">
        <v>173</v>
      </c>
      <c r="T238" t="s">
        <v>3723</v>
      </c>
      <c r="U238" t="s">
        <v>4343</v>
      </c>
      <c r="V238" t="s">
        <v>4347</v>
      </c>
      <c r="X238"/>
      <c r="Y238"/>
      <c r="Z238"/>
      <c r="AA238"/>
      <c r="AE238"/>
      <c r="AF238"/>
      <c r="AG238"/>
      <c r="AH238"/>
    </row>
    <row r="239" spans="1:34" ht="15.75" customHeight="1" x14ac:dyDescent="0.15">
      <c r="A239" s="9">
        <v>233</v>
      </c>
      <c r="C239" t="s">
        <v>4267</v>
      </c>
      <c r="D239" t="s">
        <v>4348</v>
      </c>
      <c r="E239" s="9" t="s">
        <v>219</v>
      </c>
      <c r="F239" s="9">
        <v>1</v>
      </c>
      <c r="G239" s="9">
        <v>2</v>
      </c>
      <c r="H239" s="9" t="s">
        <v>4349</v>
      </c>
      <c r="I239" t="s">
        <v>171</v>
      </c>
      <c r="J239" t="s">
        <v>177</v>
      </c>
      <c r="K239" t="s">
        <v>173</v>
      </c>
      <c r="T239" t="s">
        <v>3723</v>
      </c>
      <c r="U239" t="s">
        <v>4343</v>
      </c>
      <c r="V239" t="s">
        <v>4350</v>
      </c>
      <c r="X239"/>
      <c r="Y239"/>
      <c r="Z239"/>
      <c r="AA239"/>
      <c r="AE239"/>
      <c r="AF239"/>
      <c r="AG239"/>
      <c r="AH239"/>
    </row>
    <row r="240" spans="1:34" ht="15.75" customHeight="1" x14ac:dyDescent="0.15">
      <c r="A240" s="9">
        <v>234</v>
      </c>
      <c r="C240" t="s">
        <v>4267</v>
      </c>
      <c r="D240" t="s">
        <v>4351</v>
      </c>
      <c r="E240" s="9" t="s">
        <v>219</v>
      </c>
      <c r="F240" s="9">
        <v>1</v>
      </c>
      <c r="G240" s="9">
        <v>3</v>
      </c>
      <c r="H240" s="9" t="s">
        <v>4352</v>
      </c>
      <c r="I240" t="s">
        <v>171</v>
      </c>
      <c r="J240" t="s">
        <v>177</v>
      </c>
      <c r="K240" t="s">
        <v>173</v>
      </c>
      <c r="T240" t="s">
        <v>3723</v>
      </c>
      <c r="U240" t="s">
        <v>4343</v>
      </c>
      <c r="V240" t="s">
        <v>4353</v>
      </c>
      <c r="X240"/>
      <c r="Y240"/>
      <c r="Z240"/>
      <c r="AA240"/>
      <c r="AE240"/>
      <c r="AF240"/>
      <c r="AG240"/>
      <c r="AH240"/>
    </row>
    <row r="241" spans="1:34" ht="15.75" customHeight="1" x14ac:dyDescent="0.15">
      <c r="A241" s="9">
        <v>235</v>
      </c>
      <c r="C241" t="s">
        <v>4267</v>
      </c>
      <c r="D241" t="s">
        <v>4354</v>
      </c>
      <c r="E241" s="9" t="s">
        <v>219</v>
      </c>
      <c r="F241" s="9">
        <v>1</v>
      </c>
      <c r="G241" s="9">
        <v>4</v>
      </c>
      <c r="H241" s="9" t="s">
        <v>4355</v>
      </c>
      <c r="I241" t="s">
        <v>171</v>
      </c>
      <c r="J241" t="s">
        <v>177</v>
      </c>
      <c r="K241" t="s">
        <v>173</v>
      </c>
      <c r="T241" t="s">
        <v>3723</v>
      </c>
      <c r="U241" t="s">
        <v>4343</v>
      </c>
      <c r="V241" t="s">
        <v>4356</v>
      </c>
      <c r="X241"/>
      <c r="Y241"/>
      <c r="Z241"/>
      <c r="AA241"/>
      <c r="AE241"/>
      <c r="AF241"/>
      <c r="AG241"/>
      <c r="AH241"/>
    </row>
    <row r="242" spans="1:34" ht="15.75" customHeight="1" x14ac:dyDescent="0.15">
      <c r="A242" s="9">
        <v>236</v>
      </c>
      <c r="C242" t="s">
        <v>4267</v>
      </c>
      <c r="D242" t="s">
        <v>4357</v>
      </c>
      <c r="E242" s="9" t="s">
        <v>219</v>
      </c>
      <c r="F242" s="9">
        <v>1</v>
      </c>
      <c r="G242" s="9">
        <v>5</v>
      </c>
      <c r="H242" s="9" t="s">
        <v>4358</v>
      </c>
      <c r="I242" t="s">
        <v>171</v>
      </c>
      <c r="J242" t="s">
        <v>177</v>
      </c>
      <c r="K242" t="s">
        <v>173</v>
      </c>
      <c r="T242" t="s">
        <v>3723</v>
      </c>
      <c r="U242" t="s">
        <v>4343</v>
      </c>
      <c r="V242" t="s">
        <v>4359</v>
      </c>
      <c r="X242"/>
      <c r="Y242"/>
      <c r="Z242"/>
      <c r="AA242"/>
      <c r="AE242"/>
      <c r="AF242"/>
      <c r="AG242"/>
      <c r="AH242"/>
    </row>
    <row r="243" spans="1:34" ht="15.75" customHeight="1" x14ac:dyDescent="0.15">
      <c r="A243" s="9">
        <v>237</v>
      </c>
      <c r="C243" t="s">
        <v>4267</v>
      </c>
      <c r="D243" t="s">
        <v>4360</v>
      </c>
      <c r="E243" s="9" t="s">
        <v>219</v>
      </c>
      <c r="F243" s="9">
        <v>1</v>
      </c>
      <c r="G243" s="9">
        <v>6</v>
      </c>
      <c r="H243" s="9" t="s">
        <v>4361</v>
      </c>
      <c r="I243" t="s">
        <v>171</v>
      </c>
      <c r="J243" t="s">
        <v>177</v>
      </c>
      <c r="K243" t="s">
        <v>173</v>
      </c>
      <c r="T243" t="s">
        <v>3723</v>
      </c>
      <c r="U243" t="s">
        <v>4343</v>
      </c>
      <c r="V243" t="s">
        <v>4362</v>
      </c>
      <c r="X243"/>
      <c r="Y243"/>
      <c r="Z243"/>
      <c r="AA243"/>
      <c r="AE243"/>
      <c r="AF243"/>
      <c r="AG243"/>
      <c r="AH243"/>
    </row>
    <row r="244" spans="1:34" ht="15.75" customHeight="1" x14ac:dyDescent="0.15">
      <c r="A244" s="9">
        <v>238</v>
      </c>
      <c r="C244" t="s">
        <v>4267</v>
      </c>
      <c r="D244" t="s">
        <v>4363</v>
      </c>
      <c r="E244" s="9" t="s">
        <v>219</v>
      </c>
      <c r="F244" s="9">
        <v>1</v>
      </c>
      <c r="G244" s="9">
        <v>7</v>
      </c>
      <c r="H244" s="9" t="s">
        <v>4364</v>
      </c>
      <c r="I244" t="s">
        <v>171</v>
      </c>
      <c r="J244" t="s">
        <v>177</v>
      </c>
      <c r="K244" t="s">
        <v>173</v>
      </c>
      <c r="T244" t="s">
        <v>3723</v>
      </c>
      <c r="U244" t="s">
        <v>4343</v>
      </c>
      <c r="V244" t="s">
        <v>4365</v>
      </c>
      <c r="X244"/>
      <c r="Y244"/>
      <c r="Z244"/>
      <c r="AA244"/>
      <c r="AE244"/>
      <c r="AF244"/>
      <c r="AG244"/>
      <c r="AH244"/>
    </row>
    <row r="245" spans="1:34" ht="15.75" customHeight="1" x14ac:dyDescent="0.15">
      <c r="A245" s="9">
        <v>239</v>
      </c>
      <c r="C245" t="s">
        <v>4267</v>
      </c>
      <c r="D245" t="s">
        <v>4366</v>
      </c>
      <c r="E245" s="9" t="s">
        <v>219</v>
      </c>
      <c r="F245" s="9">
        <v>1</v>
      </c>
      <c r="G245" s="9">
        <v>8</v>
      </c>
      <c r="H245" s="9" t="s">
        <v>4367</v>
      </c>
      <c r="I245" t="s">
        <v>171</v>
      </c>
      <c r="J245" t="s">
        <v>177</v>
      </c>
      <c r="K245" t="s">
        <v>173</v>
      </c>
      <c r="T245" t="s">
        <v>3723</v>
      </c>
      <c r="U245" t="s">
        <v>4343</v>
      </c>
      <c r="V245" t="s">
        <v>4368</v>
      </c>
      <c r="X245"/>
      <c r="Y245"/>
      <c r="Z245"/>
      <c r="AA245"/>
      <c r="AE245"/>
      <c r="AF245"/>
      <c r="AG245"/>
      <c r="AH245"/>
    </row>
    <row r="246" spans="1:34" ht="15.75" customHeight="1" x14ac:dyDescent="0.15">
      <c r="A246" s="9">
        <v>240</v>
      </c>
      <c r="C246" t="s">
        <v>4267</v>
      </c>
      <c r="D246" t="s">
        <v>4369</v>
      </c>
      <c r="E246" s="9" t="s">
        <v>219</v>
      </c>
      <c r="F246" s="9">
        <v>1</v>
      </c>
      <c r="G246" s="9">
        <v>9</v>
      </c>
      <c r="H246" s="9" t="s">
        <v>4370</v>
      </c>
      <c r="I246" t="s">
        <v>171</v>
      </c>
      <c r="J246" t="s">
        <v>177</v>
      </c>
      <c r="K246" t="s">
        <v>173</v>
      </c>
      <c r="T246" t="s">
        <v>3723</v>
      </c>
      <c r="U246" t="s">
        <v>4343</v>
      </c>
      <c r="V246" t="s">
        <v>4371</v>
      </c>
      <c r="X246"/>
      <c r="Y246"/>
      <c r="Z246"/>
      <c r="AA246"/>
      <c r="AE246"/>
      <c r="AF246"/>
      <c r="AG246"/>
      <c r="AH246"/>
    </row>
    <row r="247" spans="1:34" ht="15.75" customHeight="1" x14ac:dyDescent="0.15">
      <c r="A247" s="9">
        <v>241</v>
      </c>
      <c r="C247" t="s">
        <v>4267</v>
      </c>
      <c r="D247" t="s">
        <v>4372</v>
      </c>
      <c r="E247" s="9" t="s">
        <v>219</v>
      </c>
      <c r="F247" s="9">
        <v>2</v>
      </c>
      <c r="G247" s="9"/>
      <c r="H247" s="9" t="s">
        <v>3721</v>
      </c>
      <c r="I247" t="s">
        <v>171</v>
      </c>
      <c r="J247" t="s">
        <v>177</v>
      </c>
      <c r="K247" t="s">
        <v>173</v>
      </c>
      <c r="T247" t="s">
        <v>3723</v>
      </c>
      <c r="U247" t="s">
        <v>4343</v>
      </c>
      <c r="V247" t="s">
        <v>4373</v>
      </c>
      <c r="X247"/>
      <c r="Y247"/>
      <c r="Z247"/>
      <c r="AA247"/>
      <c r="AE247"/>
      <c r="AF247"/>
      <c r="AG247"/>
      <c r="AH247"/>
    </row>
    <row r="248" spans="1:34" ht="15.75" customHeight="1" x14ac:dyDescent="0.15">
      <c r="A248" s="9">
        <v>242</v>
      </c>
      <c r="C248" t="s">
        <v>4267</v>
      </c>
      <c r="D248" t="s">
        <v>4374</v>
      </c>
      <c r="E248" s="9" t="s">
        <v>219</v>
      </c>
      <c r="F248" s="9">
        <v>2</v>
      </c>
      <c r="G248" s="9">
        <v>0</v>
      </c>
      <c r="H248" s="9" t="s">
        <v>4375</v>
      </c>
      <c r="I248" t="s">
        <v>171</v>
      </c>
      <c r="J248" t="s">
        <v>177</v>
      </c>
      <c r="K248" t="s">
        <v>173</v>
      </c>
      <c r="T248" t="s">
        <v>3723</v>
      </c>
      <c r="U248" t="s">
        <v>4343</v>
      </c>
      <c r="V248" t="s">
        <v>4376</v>
      </c>
      <c r="X248"/>
      <c r="Y248"/>
      <c r="Z248"/>
      <c r="AA248"/>
      <c r="AE248"/>
      <c r="AF248"/>
      <c r="AG248"/>
      <c r="AH248"/>
    </row>
    <row r="249" spans="1:34" ht="15.75" customHeight="1" x14ac:dyDescent="0.15">
      <c r="A249" s="9">
        <v>243</v>
      </c>
      <c r="C249" t="s">
        <v>4267</v>
      </c>
      <c r="D249" t="s">
        <v>4377</v>
      </c>
      <c r="E249" s="9" t="s">
        <v>219</v>
      </c>
      <c r="F249" s="9">
        <v>2</v>
      </c>
      <c r="G249" s="9">
        <v>1</v>
      </c>
      <c r="H249" s="9" t="s">
        <v>4378</v>
      </c>
      <c r="I249" t="s">
        <v>171</v>
      </c>
      <c r="J249" t="s">
        <v>177</v>
      </c>
      <c r="K249" t="s">
        <v>173</v>
      </c>
      <c r="T249" t="s">
        <v>3723</v>
      </c>
      <c r="U249" t="s">
        <v>4343</v>
      </c>
      <c r="V249" t="s">
        <v>4379</v>
      </c>
      <c r="X249"/>
      <c r="Y249"/>
      <c r="Z249"/>
      <c r="AA249"/>
      <c r="AE249"/>
      <c r="AF249"/>
      <c r="AG249"/>
      <c r="AH249"/>
    </row>
    <row r="250" spans="1:34" ht="15.75" customHeight="1" x14ac:dyDescent="0.15">
      <c r="A250" s="9">
        <v>244</v>
      </c>
      <c r="C250" t="s">
        <v>4267</v>
      </c>
      <c r="D250" t="s">
        <v>4380</v>
      </c>
      <c r="E250" s="9" t="s">
        <v>219</v>
      </c>
      <c r="F250" s="9">
        <v>2</v>
      </c>
      <c r="G250" s="9">
        <v>2</v>
      </c>
      <c r="H250" s="9" t="s">
        <v>4381</v>
      </c>
      <c r="I250" t="s">
        <v>171</v>
      </c>
      <c r="J250" t="s">
        <v>177</v>
      </c>
      <c r="K250" t="s">
        <v>173</v>
      </c>
      <c r="T250" t="s">
        <v>3723</v>
      </c>
      <c r="U250" t="s">
        <v>4343</v>
      </c>
      <c r="V250" t="s">
        <v>4382</v>
      </c>
      <c r="X250"/>
      <c r="Y250"/>
      <c r="Z250"/>
      <c r="AA250"/>
      <c r="AE250"/>
      <c r="AF250"/>
      <c r="AG250"/>
      <c r="AH250"/>
    </row>
    <row r="251" spans="1:34" ht="15.75" customHeight="1" x14ac:dyDescent="0.15">
      <c r="A251" s="9">
        <v>245</v>
      </c>
      <c r="C251" t="s">
        <v>4267</v>
      </c>
      <c r="D251" t="s">
        <v>4383</v>
      </c>
      <c r="E251" s="9" t="s">
        <v>219</v>
      </c>
      <c r="F251" s="9">
        <v>2</v>
      </c>
      <c r="G251" s="9">
        <v>3</v>
      </c>
      <c r="H251" s="9" t="s">
        <v>4384</v>
      </c>
      <c r="I251" t="s">
        <v>171</v>
      </c>
      <c r="J251" t="s">
        <v>177</v>
      </c>
      <c r="K251" t="s">
        <v>173</v>
      </c>
      <c r="T251" t="s">
        <v>3723</v>
      </c>
      <c r="U251" t="s">
        <v>4343</v>
      </c>
      <c r="V251" t="s">
        <v>4385</v>
      </c>
      <c r="X251"/>
      <c r="Y251"/>
      <c r="Z251"/>
      <c r="AA251"/>
      <c r="AE251"/>
      <c r="AF251"/>
      <c r="AG251"/>
      <c r="AH251"/>
    </row>
    <row r="252" spans="1:34" ht="15.75" customHeight="1" x14ac:dyDescent="0.15">
      <c r="A252" s="9">
        <v>246</v>
      </c>
      <c r="C252" t="s">
        <v>4267</v>
      </c>
      <c r="D252" t="s">
        <v>4386</v>
      </c>
      <c r="E252" s="9" t="s">
        <v>219</v>
      </c>
      <c r="F252" s="9">
        <v>2</v>
      </c>
      <c r="G252" s="9">
        <v>4</v>
      </c>
      <c r="H252" s="9" t="s">
        <v>4387</v>
      </c>
      <c r="I252" t="s">
        <v>171</v>
      </c>
      <c r="J252" t="s">
        <v>177</v>
      </c>
      <c r="K252" t="s">
        <v>173</v>
      </c>
      <c r="T252" t="s">
        <v>3723</v>
      </c>
      <c r="U252" t="s">
        <v>4343</v>
      </c>
      <c r="V252" t="s">
        <v>4388</v>
      </c>
      <c r="X252"/>
      <c r="Y252"/>
      <c r="Z252"/>
      <c r="AA252"/>
      <c r="AE252"/>
      <c r="AF252"/>
      <c r="AG252"/>
      <c r="AH252"/>
    </row>
    <row r="253" spans="1:34" ht="15.75" customHeight="1" x14ac:dyDescent="0.15">
      <c r="A253" s="9">
        <v>247</v>
      </c>
      <c r="C253" t="s">
        <v>4267</v>
      </c>
      <c r="D253" t="s">
        <v>4389</v>
      </c>
      <c r="E253" s="9" t="s">
        <v>219</v>
      </c>
      <c r="F253" s="9">
        <v>2</v>
      </c>
      <c r="G253" s="9">
        <v>5</v>
      </c>
      <c r="H253" s="9" t="s">
        <v>4390</v>
      </c>
      <c r="I253" t="s">
        <v>171</v>
      </c>
      <c r="J253" t="s">
        <v>177</v>
      </c>
      <c r="K253" t="s">
        <v>173</v>
      </c>
      <c r="T253" t="s">
        <v>3723</v>
      </c>
      <c r="U253" t="s">
        <v>4343</v>
      </c>
      <c r="V253" t="s">
        <v>4391</v>
      </c>
      <c r="X253"/>
      <c r="Y253"/>
      <c r="Z253"/>
      <c r="AA253"/>
      <c r="AE253"/>
      <c r="AF253"/>
      <c r="AG253"/>
      <c r="AH253"/>
    </row>
    <row r="254" spans="1:34" ht="15.75" customHeight="1" x14ac:dyDescent="0.15">
      <c r="A254" s="9">
        <v>248</v>
      </c>
      <c r="C254" t="s">
        <v>4267</v>
      </c>
      <c r="D254" t="s">
        <v>4392</v>
      </c>
      <c r="E254" s="9" t="s">
        <v>219</v>
      </c>
      <c r="F254" s="9">
        <v>2</v>
      </c>
      <c r="G254" s="9">
        <v>6</v>
      </c>
      <c r="H254" s="9" t="s">
        <v>4393</v>
      </c>
      <c r="I254" t="s">
        <v>171</v>
      </c>
      <c r="J254" t="s">
        <v>177</v>
      </c>
      <c r="K254" t="s">
        <v>173</v>
      </c>
      <c r="T254" t="s">
        <v>3723</v>
      </c>
      <c r="U254" t="s">
        <v>4343</v>
      </c>
      <c r="V254" t="s">
        <v>4394</v>
      </c>
      <c r="X254"/>
      <c r="Y254"/>
      <c r="Z254"/>
      <c r="AA254"/>
      <c r="AE254"/>
      <c r="AF254"/>
      <c r="AG254"/>
      <c r="AH254"/>
    </row>
    <row r="255" spans="1:34" ht="15.75" customHeight="1" x14ac:dyDescent="0.15">
      <c r="A255" s="9">
        <v>249</v>
      </c>
      <c r="C255" t="s">
        <v>4267</v>
      </c>
      <c r="D255" t="s">
        <v>4395</v>
      </c>
      <c r="E255" s="9" t="s">
        <v>219</v>
      </c>
      <c r="F255" s="9">
        <v>2</v>
      </c>
      <c r="G255" s="9">
        <v>7</v>
      </c>
      <c r="H255" s="9" t="s">
        <v>4396</v>
      </c>
      <c r="I255" t="s">
        <v>171</v>
      </c>
      <c r="J255" t="s">
        <v>177</v>
      </c>
      <c r="K255" t="s">
        <v>173</v>
      </c>
      <c r="T255" t="s">
        <v>3723</v>
      </c>
      <c r="U255" t="s">
        <v>4343</v>
      </c>
      <c r="V255" t="s">
        <v>4397</v>
      </c>
      <c r="X255"/>
      <c r="Y255"/>
      <c r="Z255"/>
      <c r="AA255"/>
      <c r="AE255"/>
      <c r="AF255"/>
      <c r="AG255"/>
      <c r="AH255"/>
    </row>
    <row r="256" spans="1:34" ht="15.75" customHeight="1" x14ac:dyDescent="0.15">
      <c r="A256" s="9">
        <v>250</v>
      </c>
      <c r="C256" t="s">
        <v>4267</v>
      </c>
      <c r="D256" t="s">
        <v>4398</v>
      </c>
      <c r="E256" s="9" t="s">
        <v>219</v>
      </c>
      <c r="F256" s="9">
        <v>2</v>
      </c>
      <c r="G256" s="9">
        <v>8</v>
      </c>
      <c r="H256" s="9" t="s">
        <v>4399</v>
      </c>
      <c r="I256" t="s">
        <v>171</v>
      </c>
      <c r="J256" t="s">
        <v>177</v>
      </c>
      <c r="K256" t="s">
        <v>173</v>
      </c>
      <c r="T256" t="s">
        <v>3723</v>
      </c>
      <c r="U256" t="s">
        <v>4343</v>
      </c>
      <c r="V256" t="s">
        <v>4400</v>
      </c>
      <c r="X256"/>
      <c r="Y256"/>
      <c r="Z256"/>
      <c r="AA256"/>
      <c r="AE256"/>
      <c r="AF256"/>
      <c r="AG256"/>
      <c r="AH256"/>
    </row>
    <row r="257" spans="1:34" ht="15.75" customHeight="1" x14ac:dyDescent="0.15">
      <c r="A257" s="9">
        <v>251</v>
      </c>
      <c r="C257" t="s">
        <v>4267</v>
      </c>
      <c r="D257" t="s">
        <v>4401</v>
      </c>
      <c r="E257" s="9" t="s">
        <v>219</v>
      </c>
      <c r="F257" s="9">
        <v>2</v>
      </c>
      <c r="G257" s="9">
        <v>9</v>
      </c>
      <c r="H257" s="9" t="s">
        <v>4402</v>
      </c>
      <c r="I257" t="s">
        <v>171</v>
      </c>
      <c r="J257" t="s">
        <v>177</v>
      </c>
      <c r="K257" t="s">
        <v>173</v>
      </c>
      <c r="T257" t="s">
        <v>3723</v>
      </c>
      <c r="U257" t="s">
        <v>4343</v>
      </c>
      <c r="V257" t="s">
        <v>4403</v>
      </c>
      <c r="X257"/>
      <c r="Y257"/>
      <c r="Z257"/>
      <c r="AA257"/>
      <c r="AE257"/>
      <c r="AF257"/>
      <c r="AG257"/>
      <c r="AH257"/>
    </row>
    <row r="258" spans="1:34" ht="15.75" customHeight="1" x14ac:dyDescent="0.15">
      <c r="A258" s="9">
        <v>252</v>
      </c>
      <c r="C258" t="s">
        <v>4267</v>
      </c>
      <c r="D258" t="s">
        <v>4404</v>
      </c>
      <c r="E258" s="9" t="s">
        <v>219</v>
      </c>
      <c r="F258" s="9">
        <v>2</v>
      </c>
      <c r="G258" s="9">
        <v>10</v>
      </c>
      <c r="H258" s="9" t="s">
        <v>4405</v>
      </c>
      <c r="I258" t="s">
        <v>171</v>
      </c>
      <c r="J258" t="s">
        <v>177</v>
      </c>
      <c r="K258" t="s">
        <v>173</v>
      </c>
      <c r="T258" t="s">
        <v>3723</v>
      </c>
      <c r="U258" t="s">
        <v>4343</v>
      </c>
      <c r="V258" t="s">
        <v>4406</v>
      </c>
      <c r="X258"/>
      <c r="Y258"/>
      <c r="Z258"/>
      <c r="AA258"/>
      <c r="AE258"/>
      <c r="AF258"/>
      <c r="AG258"/>
      <c r="AH258"/>
    </row>
    <row r="259" spans="1:34" ht="15.75" customHeight="1" x14ac:dyDescent="0.15">
      <c r="A259" s="9">
        <v>253</v>
      </c>
      <c r="C259" t="s">
        <v>4267</v>
      </c>
      <c r="D259" t="s">
        <v>4407</v>
      </c>
      <c r="E259" s="9" t="s">
        <v>219</v>
      </c>
      <c r="F259" s="9">
        <v>2</v>
      </c>
      <c r="G259" s="9">
        <v>11</v>
      </c>
      <c r="H259" s="9" t="s">
        <v>4408</v>
      </c>
      <c r="I259" t="s">
        <v>171</v>
      </c>
      <c r="J259" t="s">
        <v>177</v>
      </c>
      <c r="K259" t="s">
        <v>173</v>
      </c>
      <c r="T259" t="s">
        <v>3723</v>
      </c>
      <c r="U259" t="s">
        <v>4343</v>
      </c>
      <c r="V259" t="s">
        <v>4409</v>
      </c>
      <c r="X259"/>
      <c r="Y259"/>
      <c r="Z259"/>
      <c r="AA259"/>
      <c r="AE259"/>
      <c r="AF259"/>
      <c r="AG259"/>
      <c r="AH259"/>
    </row>
    <row r="260" spans="1:34" ht="15.75" customHeight="1" x14ac:dyDescent="0.15">
      <c r="A260" s="9">
        <v>254</v>
      </c>
      <c r="C260" t="s">
        <v>4267</v>
      </c>
      <c r="D260" t="s">
        <v>4410</v>
      </c>
      <c r="E260" s="9" t="s">
        <v>219</v>
      </c>
      <c r="F260" s="9">
        <v>2</v>
      </c>
      <c r="G260" s="9">
        <v>12</v>
      </c>
      <c r="H260" s="9" t="s">
        <v>4411</v>
      </c>
      <c r="I260" t="s">
        <v>171</v>
      </c>
      <c r="J260" t="s">
        <v>177</v>
      </c>
      <c r="K260" t="s">
        <v>173</v>
      </c>
      <c r="T260" t="s">
        <v>3723</v>
      </c>
      <c r="U260" t="s">
        <v>4343</v>
      </c>
      <c r="V260" t="s">
        <v>4412</v>
      </c>
      <c r="X260"/>
      <c r="Y260"/>
      <c r="Z260"/>
      <c r="AA260"/>
      <c r="AE260"/>
      <c r="AF260"/>
      <c r="AG260"/>
      <c r="AH260"/>
    </row>
    <row r="261" spans="1:34" ht="15.75" customHeight="1" x14ac:dyDescent="0.15">
      <c r="A261" s="9">
        <v>255</v>
      </c>
      <c r="C261" t="s">
        <v>4267</v>
      </c>
      <c r="D261" t="s">
        <v>4413</v>
      </c>
      <c r="E261" s="9" t="s">
        <v>219</v>
      </c>
      <c r="F261" s="9">
        <v>2</v>
      </c>
      <c r="G261" s="9">
        <v>13</v>
      </c>
      <c r="H261" s="9" t="s">
        <v>4414</v>
      </c>
      <c r="I261" t="s">
        <v>171</v>
      </c>
      <c r="J261" t="s">
        <v>177</v>
      </c>
      <c r="K261" t="s">
        <v>173</v>
      </c>
      <c r="T261" t="s">
        <v>3723</v>
      </c>
      <c r="U261" t="s">
        <v>4343</v>
      </c>
      <c r="V261" t="s">
        <v>4415</v>
      </c>
      <c r="X261"/>
      <c r="Y261"/>
      <c r="Z261"/>
      <c r="AA261"/>
      <c r="AE261"/>
      <c r="AF261"/>
      <c r="AG261"/>
      <c r="AH261"/>
    </row>
    <row r="262" spans="1:34" ht="15.75" customHeight="1" x14ac:dyDescent="0.15">
      <c r="A262" s="9">
        <v>256</v>
      </c>
      <c r="C262" t="s">
        <v>4267</v>
      </c>
      <c r="D262" t="s">
        <v>4416</v>
      </c>
      <c r="E262" s="9" t="s">
        <v>219</v>
      </c>
      <c r="F262" s="9">
        <v>2</v>
      </c>
      <c r="G262" s="9">
        <v>14</v>
      </c>
      <c r="H262" s="9" t="s">
        <v>4417</v>
      </c>
      <c r="I262" t="s">
        <v>171</v>
      </c>
      <c r="J262" t="s">
        <v>177</v>
      </c>
      <c r="K262" t="s">
        <v>173</v>
      </c>
      <c r="T262" t="s">
        <v>3723</v>
      </c>
      <c r="U262" t="s">
        <v>4343</v>
      </c>
      <c r="V262" t="s">
        <v>4418</v>
      </c>
      <c r="X262"/>
      <c r="Y262"/>
      <c r="Z262"/>
      <c r="AA262"/>
      <c r="AE262"/>
      <c r="AF262"/>
      <c r="AG262"/>
      <c r="AH262"/>
    </row>
    <row r="263" spans="1:34" ht="15.75" customHeight="1" x14ac:dyDescent="0.15">
      <c r="A263" s="9">
        <v>257</v>
      </c>
      <c r="C263" t="s">
        <v>4267</v>
      </c>
      <c r="D263" t="s">
        <v>4419</v>
      </c>
      <c r="E263" s="9" t="s">
        <v>219</v>
      </c>
      <c r="F263" s="9">
        <v>2</v>
      </c>
      <c r="G263" s="9">
        <v>15</v>
      </c>
      <c r="H263" s="9" t="s">
        <v>4420</v>
      </c>
      <c r="I263" t="s">
        <v>171</v>
      </c>
      <c r="J263" t="s">
        <v>177</v>
      </c>
      <c r="K263" t="s">
        <v>173</v>
      </c>
      <c r="T263" t="s">
        <v>3723</v>
      </c>
      <c r="U263" t="s">
        <v>4343</v>
      </c>
      <c r="V263" t="s">
        <v>4421</v>
      </c>
      <c r="X263"/>
      <c r="Y263"/>
      <c r="Z263"/>
      <c r="AA263"/>
      <c r="AE263"/>
      <c r="AF263"/>
      <c r="AG263"/>
      <c r="AH263"/>
    </row>
    <row r="264" spans="1:34" ht="15.75" customHeight="1" x14ac:dyDescent="0.15">
      <c r="A264" s="9">
        <v>258</v>
      </c>
      <c r="C264" t="s">
        <v>4267</v>
      </c>
      <c r="D264" t="s">
        <v>4422</v>
      </c>
      <c r="E264" s="9" t="s">
        <v>219</v>
      </c>
      <c r="F264" s="9">
        <v>2</v>
      </c>
      <c r="G264" s="9">
        <v>16</v>
      </c>
      <c r="H264" s="9" t="s">
        <v>4423</v>
      </c>
      <c r="I264" t="s">
        <v>171</v>
      </c>
      <c r="J264" t="s">
        <v>177</v>
      </c>
      <c r="K264" t="s">
        <v>173</v>
      </c>
      <c r="T264" t="s">
        <v>3723</v>
      </c>
      <c r="U264" t="s">
        <v>4343</v>
      </c>
      <c r="V264" t="s">
        <v>4424</v>
      </c>
      <c r="X264"/>
      <c r="Y264"/>
      <c r="Z264"/>
      <c r="AA264"/>
      <c r="AE264"/>
      <c r="AF264"/>
      <c r="AG264"/>
      <c r="AH264"/>
    </row>
    <row r="265" spans="1:34" ht="15.75" customHeight="1" x14ac:dyDescent="0.15">
      <c r="A265" s="9">
        <v>259</v>
      </c>
      <c r="C265" t="s">
        <v>4267</v>
      </c>
      <c r="D265" t="s">
        <v>4425</v>
      </c>
      <c r="E265" s="9" t="s">
        <v>219</v>
      </c>
      <c r="F265" s="9">
        <v>2</v>
      </c>
      <c r="G265" s="9">
        <v>17</v>
      </c>
      <c r="H265" s="9" t="s">
        <v>4426</v>
      </c>
      <c r="I265" t="s">
        <v>171</v>
      </c>
      <c r="J265" t="s">
        <v>177</v>
      </c>
      <c r="K265" t="s">
        <v>173</v>
      </c>
      <c r="T265" t="s">
        <v>3723</v>
      </c>
      <c r="U265" t="s">
        <v>4343</v>
      </c>
      <c r="V265" t="s">
        <v>4427</v>
      </c>
      <c r="X265"/>
      <c r="Y265"/>
      <c r="Z265"/>
      <c r="AA265"/>
      <c r="AE265"/>
      <c r="AF265"/>
      <c r="AG265"/>
      <c r="AH265"/>
    </row>
    <row r="266" spans="1:34" ht="15.75" customHeight="1" x14ac:dyDescent="0.15">
      <c r="A266" s="9">
        <v>260</v>
      </c>
      <c r="C266" t="s">
        <v>4267</v>
      </c>
      <c r="D266" t="s">
        <v>4428</v>
      </c>
      <c r="E266" s="9" t="s">
        <v>219</v>
      </c>
      <c r="F266" s="9">
        <v>2</v>
      </c>
      <c r="G266" s="9">
        <v>18</v>
      </c>
      <c r="H266" s="9" t="s">
        <v>4429</v>
      </c>
      <c r="I266" t="s">
        <v>171</v>
      </c>
      <c r="J266" t="s">
        <v>177</v>
      </c>
      <c r="K266" t="s">
        <v>173</v>
      </c>
      <c r="T266" t="s">
        <v>3723</v>
      </c>
      <c r="U266" t="s">
        <v>4343</v>
      </c>
      <c r="V266" t="s">
        <v>4430</v>
      </c>
      <c r="X266"/>
      <c r="Y266"/>
      <c r="Z266"/>
      <c r="AA266"/>
      <c r="AE266"/>
      <c r="AF266"/>
      <c r="AG266"/>
      <c r="AH266"/>
    </row>
    <row r="267" spans="1:34" ht="15.75" customHeight="1" x14ac:dyDescent="0.15">
      <c r="A267" s="9">
        <v>261</v>
      </c>
      <c r="C267" t="s">
        <v>4267</v>
      </c>
      <c r="D267" t="s">
        <v>4431</v>
      </c>
      <c r="E267" s="9" t="s">
        <v>219</v>
      </c>
      <c r="F267" s="9">
        <v>2</v>
      </c>
      <c r="G267" s="9">
        <v>19</v>
      </c>
      <c r="H267" s="9" t="s">
        <v>4432</v>
      </c>
      <c r="I267" t="s">
        <v>171</v>
      </c>
      <c r="J267" t="s">
        <v>177</v>
      </c>
      <c r="K267" t="s">
        <v>173</v>
      </c>
      <c r="T267" t="s">
        <v>3723</v>
      </c>
      <c r="U267" t="s">
        <v>4343</v>
      </c>
      <c r="V267" t="s">
        <v>4433</v>
      </c>
      <c r="X267" t="s">
        <v>4434</v>
      </c>
      <c r="Y267"/>
      <c r="Z267"/>
      <c r="AA267"/>
      <c r="AE267"/>
      <c r="AF267"/>
      <c r="AG267"/>
      <c r="AH267"/>
    </row>
    <row r="268" spans="1:34" ht="15.75" customHeight="1" x14ac:dyDescent="0.15">
      <c r="A268" s="9">
        <v>262</v>
      </c>
      <c r="C268" t="s">
        <v>4267</v>
      </c>
      <c r="D268" t="s">
        <v>4435</v>
      </c>
      <c r="E268" s="9" t="s">
        <v>219</v>
      </c>
      <c r="F268" s="9">
        <v>2</v>
      </c>
      <c r="G268" s="9">
        <v>20</v>
      </c>
      <c r="H268" s="9" t="s">
        <v>4436</v>
      </c>
      <c r="I268" t="s">
        <v>171</v>
      </c>
      <c r="J268" t="s">
        <v>177</v>
      </c>
      <c r="K268" t="s">
        <v>173</v>
      </c>
      <c r="T268" t="s">
        <v>3723</v>
      </c>
      <c r="U268" t="s">
        <v>4343</v>
      </c>
      <c r="V268" t="s">
        <v>4437</v>
      </c>
      <c r="X268" t="s">
        <v>4434</v>
      </c>
      <c r="Y268"/>
      <c r="Z268"/>
      <c r="AA268"/>
      <c r="AE268"/>
      <c r="AF268"/>
      <c r="AG268"/>
      <c r="AH268"/>
    </row>
    <row r="269" spans="1:34" ht="15.75" customHeight="1" x14ac:dyDescent="0.15">
      <c r="A269" s="9">
        <v>263</v>
      </c>
      <c r="C269" t="s">
        <v>4267</v>
      </c>
      <c r="D269" t="s">
        <v>4438</v>
      </c>
      <c r="E269" s="9" t="s">
        <v>219</v>
      </c>
      <c r="F269" s="9">
        <v>3</v>
      </c>
      <c r="G269" s="9"/>
      <c r="H269" s="9" t="s">
        <v>3721</v>
      </c>
      <c r="I269" t="s">
        <v>196</v>
      </c>
      <c r="L269" t="s">
        <v>61</v>
      </c>
      <c r="M269">
        <v>1</v>
      </c>
      <c r="T269" t="s">
        <v>3723</v>
      </c>
      <c r="U269" t="s">
        <v>3853</v>
      </c>
      <c r="V269" t="s">
        <v>4439</v>
      </c>
      <c r="X269"/>
      <c r="Y269"/>
      <c r="Z269"/>
      <c r="AA269"/>
      <c r="AE269"/>
      <c r="AF269"/>
      <c r="AG269"/>
      <c r="AH269"/>
    </row>
    <row r="270" spans="1:34" ht="15.75" customHeight="1" x14ac:dyDescent="0.15">
      <c r="A270" s="9">
        <v>264</v>
      </c>
      <c r="C270" t="s">
        <v>4267</v>
      </c>
      <c r="D270" t="s">
        <v>4440</v>
      </c>
      <c r="E270" s="9" t="s">
        <v>219</v>
      </c>
      <c r="F270" s="9">
        <v>3</v>
      </c>
      <c r="G270" s="9">
        <v>3</v>
      </c>
      <c r="H270" s="9" t="s">
        <v>4441</v>
      </c>
      <c r="I270" t="s">
        <v>171</v>
      </c>
      <c r="J270" t="s">
        <v>177</v>
      </c>
      <c r="K270" t="s">
        <v>173</v>
      </c>
      <c r="T270" t="s">
        <v>3723</v>
      </c>
      <c r="U270" t="s">
        <v>4343</v>
      </c>
      <c r="V270" t="s">
        <v>4442</v>
      </c>
      <c r="X270" t="s">
        <v>4434</v>
      </c>
      <c r="Y270"/>
      <c r="Z270"/>
      <c r="AA270"/>
      <c r="AE270"/>
      <c r="AF270"/>
      <c r="AG270"/>
      <c r="AH270"/>
    </row>
    <row r="271" spans="1:34" ht="15.75" customHeight="1" x14ac:dyDescent="0.15">
      <c r="A271" s="9">
        <v>265</v>
      </c>
      <c r="C271" t="s">
        <v>4267</v>
      </c>
      <c r="D271" t="s">
        <v>4443</v>
      </c>
      <c r="E271" s="9" t="s">
        <v>219</v>
      </c>
      <c r="F271" s="9">
        <v>3</v>
      </c>
      <c r="G271" s="9">
        <v>4</v>
      </c>
      <c r="H271" s="9" t="s">
        <v>4444</v>
      </c>
      <c r="I271" t="s">
        <v>171</v>
      </c>
      <c r="J271" t="s">
        <v>177</v>
      </c>
      <c r="K271" t="s">
        <v>173</v>
      </c>
      <c r="T271" t="s">
        <v>3723</v>
      </c>
      <c r="U271" t="s">
        <v>4343</v>
      </c>
      <c r="V271" t="s">
        <v>4445</v>
      </c>
      <c r="X271" t="s">
        <v>4434</v>
      </c>
      <c r="Y271"/>
      <c r="Z271"/>
      <c r="AA271"/>
      <c r="AE271"/>
      <c r="AF271"/>
      <c r="AG271"/>
      <c r="AH271"/>
    </row>
    <row r="272" spans="1:34" ht="15.75" customHeight="1" x14ac:dyDescent="0.15">
      <c r="A272" s="9">
        <v>266</v>
      </c>
      <c r="C272" t="s">
        <v>4267</v>
      </c>
      <c r="D272" t="s">
        <v>4446</v>
      </c>
      <c r="E272" s="9" t="s">
        <v>219</v>
      </c>
      <c r="F272" s="9">
        <v>3</v>
      </c>
      <c r="G272" s="9">
        <v>5</v>
      </c>
      <c r="H272" s="9" t="s">
        <v>4447</v>
      </c>
      <c r="I272" t="s">
        <v>171</v>
      </c>
      <c r="J272" t="s">
        <v>177</v>
      </c>
      <c r="K272" t="s">
        <v>173</v>
      </c>
      <c r="T272" t="s">
        <v>3723</v>
      </c>
      <c r="U272" t="s">
        <v>4343</v>
      </c>
      <c r="V272" t="s">
        <v>4448</v>
      </c>
      <c r="X272" t="s">
        <v>4434</v>
      </c>
      <c r="Y272"/>
      <c r="Z272"/>
      <c r="AA272"/>
      <c r="AE272"/>
      <c r="AF272"/>
      <c r="AG272"/>
      <c r="AH272"/>
    </row>
    <row r="273" spans="1:34" ht="15.75" customHeight="1" x14ac:dyDescent="0.15">
      <c r="A273" s="9">
        <v>267</v>
      </c>
      <c r="C273" t="s">
        <v>4267</v>
      </c>
      <c r="D273" t="s">
        <v>4449</v>
      </c>
      <c r="E273" s="9" t="s">
        <v>219</v>
      </c>
      <c r="F273" s="9">
        <v>3</v>
      </c>
      <c r="G273" s="9">
        <v>6</v>
      </c>
      <c r="H273" s="9" t="s">
        <v>4450</v>
      </c>
      <c r="I273" t="s">
        <v>171</v>
      </c>
      <c r="J273" t="s">
        <v>177</v>
      </c>
      <c r="K273" t="s">
        <v>173</v>
      </c>
      <c r="T273" t="s">
        <v>3723</v>
      </c>
      <c r="U273" t="s">
        <v>4343</v>
      </c>
      <c r="V273" t="s">
        <v>4451</v>
      </c>
      <c r="X273" t="s">
        <v>4434</v>
      </c>
      <c r="Y273"/>
      <c r="Z273"/>
      <c r="AA273"/>
      <c r="AE273"/>
      <c r="AF273"/>
      <c r="AG273"/>
      <c r="AH273"/>
    </row>
    <row r="274" spans="1:34" ht="15.75" customHeight="1" x14ac:dyDescent="0.15">
      <c r="A274" s="9">
        <v>268</v>
      </c>
      <c r="C274" t="s">
        <v>4267</v>
      </c>
      <c r="D274" t="s">
        <v>4452</v>
      </c>
      <c r="E274" s="9" t="s">
        <v>219</v>
      </c>
      <c r="F274" s="9">
        <v>3</v>
      </c>
      <c r="G274" s="9">
        <v>7</v>
      </c>
      <c r="H274" s="9" t="s">
        <v>4453</v>
      </c>
      <c r="I274" t="s">
        <v>171</v>
      </c>
      <c r="J274" t="s">
        <v>177</v>
      </c>
      <c r="K274" t="s">
        <v>173</v>
      </c>
      <c r="T274" t="s">
        <v>3723</v>
      </c>
      <c r="U274" t="s">
        <v>4343</v>
      </c>
      <c r="V274" t="s">
        <v>4454</v>
      </c>
      <c r="X274" t="s">
        <v>4434</v>
      </c>
      <c r="Y274"/>
      <c r="Z274"/>
      <c r="AA274"/>
      <c r="AE274"/>
      <c r="AF274"/>
      <c r="AG274"/>
      <c r="AH274"/>
    </row>
    <row r="275" spans="1:34" ht="15.75" customHeight="1" x14ac:dyDescent="0.15">
      <c r="A275" s="9">
        <v>269</v>
      </c>
      <c r="C275" t="s">
        <v>4267</v>
      </c>
      <c r="D275" t="s">
        <v>4455</v>
      </c>
      <c r="E275" s="9" t="s">
        <v>219</v>
      </c>
      <c r="F275" s="9">
        <v>3</v>
      </c>
      <c r="G275" s="9">
        <v>8</v>
      </c>
      <c r="H275" s="9" t="s">
        <v>4456</v>
      </c>
      <c r="I275" t="s">
        <v>171</v>
      </c>
      <c r="J275" t="s">
        <v>177</v>
      </c>
      <c r="K275" t="s">
        <v>173</v>
      </c>
      <c r="T275" t="s">
        <v>3723</v>
      </c>
      <c r="U275" t="s">
        <v>4343</v>
      </c>
      <c r="V275" t="s">
        <v>4457</v>
      </c>
      <c r="X275" t="s">
        <v>4434</v>
      </c>
      <c r="Y275"/>
      <c r="Z275"/>
      <c r="AA275"/>
      <c r="AE275"/>
      <c r="AF275"/>
      <c r="AG275"/>
      <c r="AH275"/>
    </row>
    <row r="276" spans="1:34" ht="15.75" customHeight="1" x14ac:dyDescent="0.15">
      <c r="A276" s="9">
        <v>270</v>
      </c>
      <c r="C276" t="s">
        <v>4267</v>
      </c>
      <c r="D276" t="s">
        <v>4458</v>
      </c>
      <c r="E276" s="9" t="s">
        <v>219</v>
      </c>
      <c r="F276" s="9">
        <v>3</v>
      </c>
      <c r="G276" s="9">
        <v>9</v>
      </c>
      <c r="H276" s="9" t="s">
        <v>4459</v>
      </c>
      <c r="I276" t="s">
        <v>171</v>
      </c>
      <c r="J276" t="s">
        <v>177</v>
      </c>
      <c r="K276" t="s">
        <v>173</v>
      </c>
      <c r="T276" t="s">
        <v>3723</v>
      </c>
      <c r="U276" t="s">
        <v>4343</v>
      </c>
      <c r="V276" t="s">
        <v>4460</v>
      </c>
      <c r="X276" t="s">
        <v>4434</v>
      </c>
      <c r="Y276"/>
      <c r="Z276"/>
      <c r="AA276"/>
      <c r="AE276"/>
      <c r="AF276"/>
      <c r="AG276"/>
      <c r="AH276"/>
    </row>
    <row r="277" spans="1:34" ht="15.75" customHeight="1" x14ac:dyDescent="0.15">
      <c r="A277" s="9">
        <v>271</v>
      </c>
      <c r="C277" t="s">
        <v>4267</v>
      </c>
      <c r="D277" t="s">
        <v>4461</v>
      </c>
      <c r="E277" s="9" t="s">
        <v>219</v>
      </c>
      <c r="F277" s="9">
        <v>3</v>
      </c>
      <c r="G277" s="9">
        <v>10</v>
      </c>
      <c r="H277" s="9" t="s">
        <v>4462</v>
      </c>
      <c r="I277" t="s">
        <v>171</v>
      </c>
      <c r="J277" t="s">
        <v>177</v>
      </c>
      <c r="K277" t="s">
        <v>173</v>
      </c>
      <c r="T277" t="s">
        <v>3723</v>
      </c>
      <c r="U277" t="s">
        <v>4343</v>
      </c>
      <c r="V277" t="s">
        <v>4463</v>
      </c>
      <c r="X277" t="s">
        <v>4434</v>
      </c>
      <c r="Y277"/>
      <c r="Z277"/>
      <c r="AA277"/>
      <c r="AE277"/>
      <c r="AF277"/>
      <c r="AG277"/>
      <c r="AH277"/>
    </row>
    <row r="278" spans="1:34" ht="15.75" customHeight="1" x14ac:dyDescent="0.15">
      <c r="A278" s="9">
        <v>272</v>
      </c>
      <c r="C278" t="s">
        <v>4267</v>
      </c>
      <c r="D278" t="s">
        <v>4464</v>
      </c>
      <c r="E278" s="9" t="s">
        <v>219</v>
      </c>
      <c r="F278" s="9">
        <v>3</v>
      </c>
      <c r="G278" s="9">
        <v>11</v>
      </c>
      <c r="H278" s="9" t="s">
        <v>4465</v>
      </c>
      <c r="I278" t="s">
        <v>171</v>
      </c>
      <c r="J278" t="s">
        <v>177</v>
      </c>
      <c r="K278" t="s">
        <v>173</v>
      </c>
      <c r="T278" t="s">
        <v>3723</v>
      </c>
      <c r="U278" t="s">
        <v>4343</v>
      </c>
      <c r="V278" t="s">
        <v>4466</v>
      </c>
      <c r="X278" t="s">
        <v>4434</v>
      </c>
      <c r="Y278"/>
      <c r="Z278"/>
      <c r="AA278"/>
      <c r="AE278"/>
      <c r="AF278"/>
      <c r="AG278"/>
      <c r="AH278"/>
    </row>
    <row r="279" spans="1:34" ht="15.75" customHeight="1" x14ac:dyDescent="0.15">
      <c r="A279" s="9">
        <v>273</v>
      </c>
      <c r="C279" t="s">
        <v>4267</v>
      </c>
      <c r="D279" t="s">
        <v>4467</v>
      </c>
      <c r="E279" s="9" t="s">
        <v>219</v>
      </c>
      <c r="F279" s="9">
        <v>3</v>
      </c>
      <c r="G279" s="9">
        <v>12</v>
      </c>
      <c r="H279" s="9" t="s">
        <v>4468</v>
      </c>
      <c r="I279" t="s">
        <v>171</v>
      </c>
      <c r="J279" t="s">
        <v>177</v>
      </c>
      <c r="K279" t="s">
        <v>173</v>
      </c>
      <c r="T279" t="s">
        <v>3723</v>
      </c>
      <c r="U279" t="s">
        <v>4343</v>
      </c>
      <c r="V279" t="s">
        <v>4469</v>
      </c>
      <c r="X279" t="s">
        <v>4434</v>
      </c>
      <c r="Y279"/>
      <c r="Z279"/>
      <c r="AA279"/>
      <c r="AE279"/>
      <c r="AF279"/>
      <c r="AG279"/>
      <c r="AH279"/>
    </row>
    <row r="280" spans="1:34" ht="15.75" customHeight="1" x14ac:dyDescent="0.15">
      <c r="A280" s="9">
        <v>274</v>
      </c>
      <c r="C280" t="s">
        <v>4267</v>
      </c>
      <c r="D280" t="s">
        <v>4470</v>
      </c>
      <c r="E280" s="9" t="s">
        <v>219</v>
      </c>
      <c r="F280" s="9">
        <v>3</v>
      </c>
      <c r="G280" s="9">
        <v>13</v>
      </c>
      <c r="H280" s="9" t="s">
        <v>4471</v>
      </c>
      <c r="I280" t="s">
        <v>171</v>
      </c>
      <c r="J280" t="s">
        <v>177</v>
      </c>
      <c r="K280" t="s">
        <v>173</v>
      </c>
      <c r="T280" t="s">
        <v>3723</v>
      </c>
      <c r="U280" t="s">
        <v>4343</v>
      </c>
      <c r="V280" t="s">
        <v>4472</v>
      </c>
      <c r="X280" t="s">
        <v>4434</v>
      </c>
      <c r="Y280"/>
      <c r="Z280"/>
      <c r="AA280"/>
      <c r="AE280"/>
      <c r="AF280"/>
      <c r="AG280"/>
      <c r="AH280"/>
    </row>
    <row r="281" spans="1:34" ht="15.75" customHeight="1" x14ac:dyDescent="0.15">
      <c r="A281" s="9">
        <v>275</v>
      </c>
      <c r="C281" t="s">
        <v>4267</v>
      </c>
      <c r="D281" t="s">
        <v>4473</v>
      </c>
      <c r="E281" s="9" t="s">
        <v>219</v>
      </c>
      <c r="F281" s="9">
        <v>3</v>
      </c>
      <c r="G281" s="9">
        <v>14</v>
      </c>
      <c r="H281" s="9" t="s">
        <v>4474</v>
      </c>
      <c r="I281" t="s">
        <v>171</v>
      </c>
      <c r="J281" t="s">
        <v>177</v>
      </c>
      <c r="K281" t="s">
        <v>173</v>
      </c>
      <c r="T281" t="s">
        <v>3723</v>
      </c>
      <c r="U281" t="s">
        <v>4343</v>
      </c>
      <c r="V281" t="s">
        <v>4475</v>
      </c>
      <c r="X281" t="s">
        <v>4434</v>
      </c>
      <c r="Y281"/>
      <c r="Z281"/>
      <c r="AA281"/>
      <c r="AE281"/>
      <c r="AF281"/>
      <c r="AG281"/>
      <c r="AH281"/>
    </row>
    <row r="282" spans="1:34" ht="15.75" customHeight="1" x14ac:dyDescent="0.15">
      <c r="A282" s="9">
        <v>276</v>
      </c>
      <c r="C282" t="s">
        <v>4267</v>
      </c>
      <c r="D282" t="s">
        <v>4476</v>
      </c>
      <c r="E282" s="9" t="s">
        <v>219</v>
      </c>
      <c r="F282" s="9">
        <v>3</v>
      </c>
      <c r="G282" s="9">
        <v>15</v>
      </c>
      <c r="H282" s="9" t="s">
        <v>4477</v>
      </c>
      <c r="I282" t="s">
        <v>171</v>
      </c>
      <c r="J282" t="s">
        <v>177</v>
      </c>
      <c r="K282" t="s">
        <v>173</v>
      </c>
      <c r="T282" t="s">
        <v>3723</v>
      </c>
      <c r="U282" t="s">
        <v>4343</v>
      </c>
      <c r="V282" t="s">
        <v>4478</v>
      </c>
      <c r="X282" t="s">
        <v>4434</v>
      </c>
      <c r="Y282"/>
      <c r="Z282"/>
      <c r="AA282"/>
      <c r="AE282"/>
      <c r="AF282"/>
      <c r="AG282"/>
      <c r="AH282"/>
    </row>
    <row r="283" spans="1:34" ht="15.75" customHeight="1" x14ac:dyDescent="0.15">
      <c r="A283" s="9">
        <v>277</v>
      </c>
      <c r="C283" t="s">
        <v>4267</v>
      </c>
      <c r="D283" t="s">
        <v>4479</v>
      </c>
      <c r="E283" s="9" t="s">
        <v>219</v>
      </c>
      <c r="F283" s="9">
        <v>4</v>
      </c>
      <c r="G283" s="9"/>
      <c r="H283" s="9" t="s">
        <v>3721</v>
      </c>
      <c r="I283" t="s">
        <v>196</v>
      </c>
      <c r="L283" t="s">
        <v>61</v>
      </c>
      <c r="M283">
        <v>1</v>
      </c>
      <c r="T283" t="s">
        <v>3723</v>
      </c>
      <c r="U283" t="s">
        <v>3853</v>
      </c>
      <c r="V283" t="s">
        <v>4480</v>
      </c>
      <c r="X283"/>
      <c r="Y283"/>
      <c r="Z283"/>
      <c r="AA283"/>
      <c r="AE283"/>
      <c r="AF283"/>
      <c r="AG283"/>
      <c r="AH283"/>
    </row>
    <row r="284" spans="1:34" ht="15.75" customHeight="1" x14ac:dyDescent="0.15">
      <c r="A284" s="9">
        <v>278</v>
      </c>
      <c r="C284" t="s">
        <v>4267</v>
      </c>
      <c r="D284" t="s">
        <v>4481</v>
      </c>
      <c r="E284" s="9" t="s">
        <v>219</v>
      </c>
      <c r="F284" s="9">
        <v>4</v>
      </c>
      <c r="G284" s="9">
        <v>0</v>
      </c>
      <c r="H284" s="9" t="s">
        <v>4482</v>
      </c>
      <c r="I284" t="s">
        <v>196</v>
      </c>
      <c r="J284" t="s">
        <v>940</v>
      </c>
      <c r="K284" t="s">
        <v>941</v>
      </c>
      <c r="T284" t="s">
        <v>3723</v>
      </c>
      <c r="U284" t="s">
        <v>3815</v>
      </c>
      <c r="V284" t="s">
        <v>4483</v>
      </c>
      <c r="X284" t="s">
        <v>4434</v>
      </c>
      <c r="Y284"/>
      <c r="Z284"/>
      <c r="AA284"/>
      <c r="AE284"/>
      <c r="AF284"/>
      <c r="AG284"/>
      <c r="AH284"/>
    </row>
    <row r="285" spans="1:34" ht="15.75" customHeight="1" x14ac:dyDescent="0.15">
      <c r="A285" s="9">
        <v>279</v>
      </c>
      <c r="C285" t="s">
        <v>4267</v>
      </c>
      <c r="D285" t="s">
        <v>4484</v>
      </c>
      <c r="E285" s="9" t="s">
        <v>219</v>
      </c>
      <c r="F285" s="9">
        <v>4</v>
      </c>
      <c r="G285" s="9">
        <v>1</v>
      </c>
      <c r="H285" s="9" t="s">
        <v>4485</v>
      </c>
      <c r="I285" t="s">
        <v>196</v>
      </c>
      <c r="J285" t="s">
        <v>940</v>
      </c>
      <c r="K285" t="s">
        <v>941</v>
      </c>
      <c r="T285" t="s">
        <v>3723</v>
      </c>
      <c r="U285" t="s">
        <v>3815</v>
      </c>
      <c r="V285" t="s">
        <v>4486</v>
      </c>
      <c r="X285" t="s">
        <v>4434</v>
      </c>
      <c r="Y285"/>
      <c r="Z285"/>
      <c r="AA285"/>
      <c r="AE285"/>
      <c r="AF285"/>
      <c r="AG285"/>
      <c r="AH285"/>
    </row>
    <row r="286" spans="1:34" ht="15.75" customHeight="1" x14ac:dyDescent="0.15">
      <c r="A286" s="9">
        <v>280</v>
      </c>
      <c r="C286" t="s">
        <v>4267</v>
      </c>
      <c r="D286" t="s">
        <v>4487</v>
      </c>
      <c r="E286" s="9" t="s">
        <v>219</v>
      </c>
      <c r="F286" s="9">
        <v>4</v>
      </c>
      <c r="G286" s="9">
        <v>2</v>
      </c>
      <c r="H286" s="9" t="s">
        <v>4488</v>
      </c>
      <c r="I286" t="s">
        <v>196</v>
      </c>
      <c r="J286" t="s">
        <v>940</v>
      </c>
      <c r="K286" t="s">
        <v>941</v>
      </c>
      <c r="T286" t="s">
        <v>3723</v>
      </c>
      <c r="U286" t="s">
        <v>3815</v>
      </c>
      <c r="V286" t="s">
        <v>4489</v>
      </c>
      <c r="X286" t="s">
        <v>4434</v>
      </c>
      <c r="Y286"/>
      <c r="Z286"/>
      <c r="AA286"/>
      <c r="AE286"/>
      <c r="AF286"/>
      <c r="AG286"/>
      <c r="AH286"/>
    </row>
    <row r="287" spans="1:34" ht="15.75" customHeight="1" x14ac:dyDescent="0.15">
      <c r="A287" s="9">
        <v>281</v>
      </c>
      <c r="C287" t="s">
        <v>4267</v>
      </c>
      <c r="D287" t="s">
        <v>4490</v>
      </c>
      <c r="E287" s="9" t="s">
        <v>219</v>
      </c>
      <c r="F287" s="9">
        <v>4</v>
      </c>
      <c r="G287" s="9">
        <v>3</v>
      </c>
      <c r="H287" s="9" t="s">
        <v>4491</v>
      </c>
      <c r="I287" t="s">
        <v>196</v>
      </c>
      <c r="J287" t="s">
        <v>940</v>
      </c>
      <c r="K287" t="s">
        <v>941</v>
      </c>
      <c r="T287" t="s">
        <v>3723</v>
      </c>
      <c r="U287" t="s">
        <v>3815</v>
      </c>
      <c r="V287" t="s">
        <v>4492</v>
      </c>
      <c r="X287" t="s">
        <v>4434</v>
      </c>
      <c r="Y287"/>
      <c r="Z287"/>
      <c r="AA287"/>
      <c r="AE287"/>
      <c r="AF287"/>
      <c r="AG287"/>
      <c r="AH287"/>
    </row>
    <row r="288" spans="1:34" ht="15.75" customHeight="1" x14ac:dyDescent="0.15">
      <c r="A288" s="9">
        <v>282</v>
      </c>
      <c r="C288" t="s">
        <v>4267</v>
      </c>
      <c r="D288" t="s">
        <v>4493</v>
      </c>
      <c r="E288" s="9" t="s">
        <v>219</v>
      </c>
      <c r="F288" s="9">
        <v>4</v>
      </c>
      <c r="G288" s="9">
        <v>4</v>
      </c>
      <c r="H288" s="9" t="s">
        <v>4494</v>
      </c>
      <c r="I288" t="s">
        <v>196</v>
      </c>
      <c r="J288" t="s">
        <v>940</v>
      </c>
      <c r="K288" t="s">
        <v>941</v>
      </c>
      <c r="T288" t="s">
        <v>3723</v>
      </c>
      <c r="U288" t="s">
        <v>3815</v>
      </c>
      <c r="V288" t="s">
        <v>4495</v>
      </c>
      <c r="X288"/>
      <c r="Y288"/>
      <c r="Z288"/>
      <c r="AA288"/>
      <c r="AE288"/>
      <c r="AF288"/>
      <c r="AG288"/>
      <c r="AH288"/>
    </row>
    <row r="289" spans="1:34" ht="15.75" customHeight="1" x14ac:dyDescent="0.15">
      <c r="A289" s="9">
        <v>283</v>
      </c>
      <c r="C289" t="s">
        <v>4267</v>
      </c>
      <c r="D289" t="s">
        <v>4496</v>
      </c>
      <c r="E289" s="9" t="s">
        <v>219</v>
      </c>
      <c r="F289" s="9">
        <v>4</v>
      </c>
      <c r="G289" s="9">
        <v>5</v>
      </c>
      <c r="H289" s="9" t="s">
        <v>4497</v>
      </c>
      <c r="I289" t="s">
        <v>196</v>
      </c>
      <c r="J289" t="s">
        <v>940</v>
      </c>
      <c r="K289" t="s">
        <v>941</v>
      </c>
      <c r="T289" t="s">
        <v>3723</v>
      </c>
      <c r="U289" t="s">
        <v>3815</v>
      </c>
      <c r="V289" t="s">
        <v>4498</v>
      </c>
      <c r="X289"/>
      <c r="Y289"/>
      <c r="Z289"/>
      <c r="AA289"/>
      <c r="AE289"/>
      <c r="AF289"/>
      <c r="AG289"/>
      <c r="AH289"/>
    </row>
    <row r="290" spans="1:34" ht="15.75" customHeight="1" x14ac:dyDescent="0.15">
      <c r="A290" s="9">
        <v>284</v>
      </c>
      <c r="C290" t="s">
        <v>4267</v>
      </c>
      <c r="D290" t="s">
        <v>4499</v>
      </c>
      <c r="E290" s="9" t="s">
        <v>219</v>
      </c>
      <c r="F290" s="9">
        <v>4</v>
      </c>
      <c r="G290" s="9">
        <v>6</v>
      </c>
      <c r="H290" s="9" t="s">
        <v>4500</v>
      </c>
      <c r="I290" t="s">
        <v>196</v>
      </c>
      <c r="J290" t="s">
        <v>940</v>
      </c>
      <c r="K290" t="s">
        <v>941</v>
      </c>
      <c r="T290" t="s">
        <v>3723</v>
      </c>
      <c r="U290" t="s">
        <v>3815</v>
      </c>
      <c r="V290" t="s">
        <v>4501</v>
      </c>
      <c r="X290"/>
      <c r="Y290"/>
      <c r="Z290"/>
      <c r="AA290"/>
      <c r="AE290"/>
      <c r="AF290"/>
      <c r="AG290"/>
      <c r="AH290"/>
    </row>
    <row r="291" spans="1:34" ht="15.75" customHeight="1" x14ac:dyDescent="0.15">
      <c r="A291" s="9">
        <v>285</v>
      </c>
      <c r="C291" t="s">
        <v>4267</v>
      </c>
      <c r="D291" t="s">
        <v>4502</v>
      </c>
      <c r="E291" s="9" t="s">
        <v>219</v>
      </c>
      <c r="F291" s="9">
        <v>4</v>
      </c>
      <c r="G291" s="9">
        <v>7</v>
      </c>
      <c r="H291" s="9" t="s">
        <v>4503</v>
      </c>
      <c r="I291" t="s">
        <v>196</v>
      </c>
      <c r="J291" t="s">
        <v>940</v>
      </c>
      <c r="K291" t="s">
        <v>941</v>
      </c>
      <c r="T291" t="s">
        <v>3723</v>
      </c>
      <c r="U291" t="s">
        <v>3815</v>
      </c>
      <c r="V291" t="s">
        <v>4504</v>
      </c>
      <c r="X291"/>
      <c r="Y291"/>
      <c r="Z291"/>
      <c r="AA291"/>
      <c r="AE291"/>
      <c r="AF291"/>
      <c r="AG291"/>
      <c r="AH291"/>
    </row>
    <row r="292" spans="1:34" ht="15.75" customHeight="1" x14ac:dyDescent="0.15">
      <c r="A292" s="9">
        <v>286</v>
      </c>
      <c r="C292" t="s">
        <v>4267</v>
      </c>
      <c r="D292" t="s">
        <v>4505</v>
      </c>
      <c r="E292" s="9" t="s">
        <v>219</v>
      </c>
      <c r="F292" s="9">
        <v>4</v>
      </c>
      <c r="G292" s="9">
        <v>8</v>
      </c>
      <c r="H292" s="9" t="s">
        <v>4506</v>
      </c>
      <c r="I292" t="s">
        <v>196</v>
      </c>
      <c r="J292" t="s">
        <v>940</v>
      </c>
      <c r="K292" t="s">
        <v>941</v>
      </c>
      <c r="T292" t="s">
        <v>3723</v>
      </c>
      <c r="U292" t="s">
        <v>3815</v>
      </c>
      <c r="V292" t="s">
        <v>4507</v>
      </c>
      <c r="X292"/>
      <c r="Y292"/>
      <c r="Z292"/>
      <c r="AA292"/>
      <c r="AE292"/>
      <c r="AF292"/>
      <c r="AG292"/>
      <c r="AH292"/>
    </row>
    <row r="293" spans="1:34" ht="15.75" customHeight="1" x14ac:dyDescent="0.15">
      <c r="A293" s="9">
        <v>287</v>
      </c>
      <c r="C293" t="s">
        <v>4267</v>
      </c>
      <c r="D293" t="s">
        <v>4508</v>
      </c>
      <c r="E293" s="9" t="s">
        <v>219</v>
      </c>
      <c r="F293" s="9">
        <v>4</v>
      </c>
      <c r="G293" s="9">
        <v>9</v>
      </c>
      <c r="H293" s="9" t="s">
        <v>4509</v>
      </c>
      <c r="I293" t="s">
        <v>196</v>
      </c>
      <c r="J293" t="s">
        <v>940</v>
      </c>
      <c r="K293" t="s">
        <v>941</v>
      </c>
      <c r="T293" t="s">
        <v>3723</v>
      </c>
      <c r="U293" t="s">
        <v>3815</v>
      </c>
      <c r="V293" t="s">
        <v>4510</v>
      </c>
      <c r="X293"/>
      <c r="Y293"/>
      <c r="Z293"/>
      <c r="AA293"/>
      <c r="AE293"/>
      <c r="AF293"/>
      <c r="AG293"/>
      <c r="AH293"/>
    </row>
    <row r="294" spans="1:34" ht="15.75" customHeight="1" x14ac:dyDescent="0.15">
      <c r="A294" s="9">
        <v>288</v>
      </c>
      <c r="C294" t="s">
        <v>4267</v>
      </c>
      <c r="D294" t="s">
        <v>4511</v>
      </c>
      <c r="E294" s="9" t="s">
        <v>219</v>
      </c>
      <c r="F294" s="9">
        <v>4</v>
      </c>
      <c r="G294" s="9">
        <v>10</v>
      </c>
      <c r="H294" s="9" t="s">
        <v>4512</v>
      </c>
      <c r="I294" t="s">
        <v>196</v>
      </c>
      <c r="J294" t="s">
        <v>940</v>
      </c>
      <c r="K294" t="s">
        <v>941</v>
      </c>
      <c r="T294" t="s">
        <v>3723</v>
      </c>
      <c r="U294" t="s">
        <v>3815</v>
      </c>
      <c r="V294" t="s">
        <v>4513</v>
      </c>
      <c r="X294"/>
      <c r="Y294"/>
      <c r="Z294"/>
      <c r="AA294"/>
      <c r="AE294"/>
      <c r="AF294"/>
      <c r="AG294"/>
      <c r="AH294"/>
    </row>
    <row r="295" spans="1:34" ht="15.75" customHeight="1" x14ac:dyDescent="0.15">
      <c r="A295" s="9">
        <v>289</v>
      </c>
      <c r="C295" t="s">
        <v>4267</v>
      </c>
      <c r="D295" t="s">
        <v>4514</v>
      </c>
      <c r="E295" s="9" t="s">
        <v>219</v>
      </c>
      <c r="F295" s="9">
        <v>4</v>
      </c>
      <c r="G295" s="9">
        <v>11</v>
      </c>
      <c r="H295" s="9" t="s">
        <v>4515</v>
      </c>
      <c r="I295" t="s">
        <v>196</v>
      </c>
      <c r="J295" t="s">
        <v>940</v>
      </c>
      <c r="K295" t="s">
        <v>941</v>
      </c>
      <c r="T295" t="s">
        <v>3723</v>
      </c>
      <c r="U295" t="s">
        <v>3815</v>
      </c>
      <c r="V295" t="s">
        <v>4516</v>
      </c>
      <c r="X295"/>
      <c r="Y295"/>
      <c r="Z295"/>
      <c r="AA295"/>
      <c r="AE295"/>
      <c r="AF295"/>
      <c r="AG295"/>
      <c r="AH295"/>
    </row>
    <row r="296" spans="1:34" ht="15.75" customHeight="1" x14ac:dyDescent="0.15">
      <c r="A296" s="9">
        <v>290</v>
      </c>
      <c r="C296" t="s">
        <v>4267</v>
      </c>
      <c r="D296" t="s">
        <v>4517</v>
      </c>
      <c r="E296" s="9" t="s">
        <v>219</v>
      </c>
      <c r="F296" s="9">
        <v>4</v>
      </c>
      <c r="G296" s="9">
        <v>12</v>
      </c>
      <c r="H296" s="9" t="s">
        <v>4518</v>
      </c>
      <c r="I296" t="s">
        <v>196</v>
      </c>
      <c r="J296" t="s">
        <v>940</v>
      </c>
      <c r="K296" t="s">
        <v>941</v>
      </c>
      <c r="T296" t="s">
        <v>3723</v>
      </c>
      <c r="U296" t="s">
        <v>3815</v>
      </c>
      <c r="V296" t="s">
        <v>4519</v>
      </c>
      <c r="X296"/>
      <c r="Y296"/>
      <c r="Z296"/>
      <c r="AA296"/>
      <c r="AE296"/>
      <c r="AF296"/>
      <c r="AG296"/>
      <c r="AH296"/>
    </row>
    <row r="297" spans="1:34" ht="15.75" customHeight="1" x14ac:dyDescent="0.15">
      <c r="A297" s="9">
        <v>291</v>
      </c>
      <c r="C297" t="s">
        <v>4267</v>
      </c>
      <c r="D297" t="s">
        <v>4520</v>
      </c>
      <c r="E297" s="9" t="s">
        <v>219</v>
      </c>
      <c r="F297" s="9">
        <v>4</v>
      </c>
      <c r="G297" s="9">
        <v>13</v>
      </c>
      <c r="H297" s="9" t="s">
        <v>4521</v>
      </c>
      <c r="I297" t="s">
        <v>196</v>
      </c>
      <c r="J297" t="s">
        <v>940</v>
      </c>
      <c r="K297" t="s">
        <v>941</v>
      </c>
      <c r="T297" t="s">
        <v>3723</v>
      </c>
      <c r="U297" t="s">
        <v>3815</v>
      </c>
      <c r="V297" t="s">
        <v>4522</v>
      </c>
      <c r="X297"/>
      <c r="Y297"/>
      <c r="Z297"/>
      <c r="AA297"/>
      <c r="AE297"/>
      <c r="AF297"/>
      <c r="AG297"/>
      <c r="AH297"/>
    </row>
    <row r="298" spans="1:34" ht="15.75" customHeight="1" x14ac:dyDescent="0.15">
      <c r="A298" s="9">
        <v>292</v>
      </c>
      <c r="C298" t="s">
        <v>4267</v>
      </c>
      <c r="D298" t="s">
        <v>4523</v>
      </c>
      <c r="E298" s="9" t="s">
        <v>219</v>
      </c>
      <c r="F298" s="9">
        <v>4</v>
      </c>
      <c r="G298" s="9">
        <v>14</v>
      </c>
      <c r="H298" s="9" t="s">
        <v>4524</v>
      </c>
      <c r="I298" t="s">
        <v>196</v>
      </c>
      <c r="J298" t="s">
        <v>940</v>
      </c>
      <c r="K298" t="s">
        <v>941</v>
      </c>
      <c r="T298" t="s">
        <v>3723</v>
      </c>
      <c r="U298" t="s">
        <v>3815</v>
      </c>
      <c r="V298" t="s">
        <v>4525</v>
      </c>
      <c r="X298"/>
      <c r="Y298"/>
      <c r="Z298"/>
      <c r="AA298"/>
      <c r="AE298"/>
      <c r="AF298"/>
      <c r="AG298"/>
      <c r="AH298"/>
    </row>
    <row r="299" spans="1:34" ht="15.75" customHeight="1" x14ac:dyDescent="0.15">
      <c r="A299" s="9">
        <v>293</v>
      </c>
      <c r="C299" t="s">
        <v>4267</v>
      </c>
      <c r="D299" t="s">
        <v>4526</v>
      </c>
      <c r="E299" s="9" t="s">
        <v>219</v>
      </c>
      <c r="F299" s="9">
        <v>4</v>
      </c>
      <c r="G299" s="9">
        <v>15</v>
      </c>
      <c r="H299" s="9" t="s">
        <v>4527</v>
      </c>
      <c r="I299" t="s">
        <v>196</v>
      </c>
      <c r="J299" t="s">
        <v>940</v>
      </c>
      <c r="K299" t="s">
        <v>941</v>
      </c>
      <c r="T299" t="s">
        <v>3723</v>
      </c>
      <c r="U299" t="s">
        <v>3815</v>
      </c>
      <c r="V299" t="s">
        <v>4528</v>
      </c>
      <c r="X299"/>
      <c r="Y299"/>
      <c r="Z299"/>
      <c r="AA299"/>
      <c r="AE299"/>
      <c r="AF299"/>
      <c r="AG299"/>
      <c r="AH299"/>
    </row>
    <row r="300" spans="1:34" ht="15.75" customHeight="1" x14ac:dyDescent="0.15">
      <c r="A300" s="9">
        <v>294</v>
      </c>
      <c r="C300" t="s">
        <v>4267</v>
      </c>
      <c r="D300" t="s">
        <v>4529</v>
      </c>
      <c r="E300" s="9" t="s">
        <v>219</v>
      </c>
      <c r="F300" s="9">
        <v>4</v>
      </c>
      <c r="G300" s="9">
        <v>16</v>
      </c>
      <c r="H300" s="9" t="s">
        <v>4530</v>
      </c>
      <c r="I300" t="s">
        <v>196</v>
      </c>
      <c r="J300" t="s">
        <v>940</v>
      </c>
      <c r="K300" t="s">
        <v>941</v>
      </c>
      <c r="T300" t="s">
        <v>3723</v>
      </c>
      <c r="U300" t="s">
        <v>3815</v>
      </c>
      <c r="V300" t="s">
        <v>4531</v>
      </c>
      <c r="X300"/>
      <c r="Y300"/>
      <c r="Z300"/>
      <c r="AA300"/>
      <c r="AE300"/>
      <c r="AF300"/>
      <c r="AG300"/>
      <c r="AH300"/>
    </row>
    <row r="301" spans="1:34" ht="15.75" customHeight="1" x14ac:dyDescent="0.15">
      <c r="A301" s="9">
        <v>295</v>
      </c>
      <c r="C301" t="s">
        <v>4267</v>
      </c>
      <c r="D301" t="s">
        <v>4532</v>
      </c>
      <c r="E301" s="9" t="s">
        <v>219</v>
      </c>
      <c r="F301" s="9">
        <v>4</v>
      </c>
      <c r="G301" s="9">
        <v>17</v>
      </c>
      <c r="H301" s="9" t="s">
        <v>4533</v>
      </c>
      <c r="I301" t="s">
        <v>196</v>
      </c>
      <c r="J301" t="s">
        <v>940</v>
      </c>
      <c r="K301" t="s">
        <v>941</v>
      </c>
      <c r="T301" t="s">
        <v>3723</v>
      </c>
      <c r="U301" t="s">
        <v>3815</v>
      </c>
      <c r="V301" t="s">
        <v>4534</v>
      </c>
      <c r="X301"/>
      <c r="Y301"/>
      <c r="Z301"/>
      <c r="AA301"/>
      <c r="AE301"/>
      <c r="AF301"/>
      <c r="AG301"/>
      <c r="AH301"/>
    </row>
    <row r="302" spans="1:34" ht="15.75" customHeight="1" x14ac:dyDescent="0.15">
      <c r="A302" s="9">
        <v>296</v>
      </c>
      <c r="C302" t="s">
        <v>4267</v>
      </c>
      <c r="D302" t="s">
        <v>4535</v>
      </c>
      <c r="E302" s="9" t="s">
        <v>219</v>
      </c>
      <c r="F302" s="9">
        <v>4</v>
      </c>
      <c r="G302" s="9">
        <v>18</v>
      </c>
      <c r="H302" s="9" t="s">
        <v>4536</v>
      </c>
      <c r="I302" t="s">
        <v>196</v>
      </c>
      <c r="J302" t="s">
        <v>940</v>
      </c>
      <c r="K302" t="s">
        <v>941</v>
      </c>
      <c r="T302" t="s">
        <v>3723</v>
      </c>
      <c r="U302" t="s">
        <v>3815</v>
      </c>
      <c r="V302" t="s">
        <v>4537</v>
      </c>
      <c r="X302"/>
      <c r="Y302"/>
      <c r="Z302"/>
      <c r="AA302"/>
      <c r="AE302"/>
      <c r="AF302"/>
      <c r="AG302"/>
      <c r="AH302"/>
    </row>
    <row r="303" spans="1:34" ht="15.75" customHeight="1" x14ac:dyDescent="0.15">
      <c r="A303" s="9">
        <v>297</v>
      </c>
      <c r="C303" t="s">
        <v>4267</v>
      </c>
      <c r="D303" t="s">
        <v>4538</v>
      </c>
      <c r="E303" s="9" t="s">
        <v>219</v>
      </c>
      <c r="F303" s="9">
        <v>4</v>
      </c>
      <c r="G303" s="9">
        <v>19</v>
      </c>
      <c r="H303" s="9" t="s">
        <v>4539</v>
      </c>
      <c r="I303" t="s">
        <v>196</v>
      </c>
      <c r="J303" t="s">
        <v>940</v>
      </c>
      <c r="K303" t="s">
        <v>941</v>
      </c>
      <c r="T303" t="s">
        <v>3723</v>
      </c>
      <c r="U303" t="s">
        <v>3815</v>
      </c>
      <c r="V303" t="s">
        <v>4540</v>
      </c>
      <c r="X303"/>
      <c r="Y303"/>
      <c r="Z303"/>
      <c r="AA303"/>
      <c r="AE303"/>
      <c r="AF303"/>
      <c r="AG303"/>
      <c r="AH303"/>
    </row>
    <row r="304" spans="1:34" ht="15.75" customHeight="1" x14ac:dyDescent="0.15">
      <c r="A304" s="9">
        <v>298</v>
      </c>
      <c r="C304" t="s">
        <v>4267</v>
      </c>
      <c r="D304" t="s">
        <v>4541</v>
      </c>
      <c r="E304" s="9" t="s">
        <v>219</v>
      </c>
      <c r="F304" s="9">
        <v>4</v>
      </c>
      <c r="G304" s="9">
        <v>20</v>
      </c>
      <c r="H304" s="9" t="s">
        <v>4542</v>
      </c>
      <c r="I304" t="s">
        <v>196</v>
      </c>
      <c r="J304" t="s">
        <v>940</v>
      </c>
      <c r="K304" t="s">
        <v>941</v>
      </c>
      <c r="T304" t="s">
        <v>3723</v>
      </c>
      <c r="U304" t="s">
        <v>3815</v>
      </c>
      <c r="V304" t="s">
        <v>4543</v>
      </c>
      <c r="X304"/>
      <c r="Y304"/>
      <c r="Z304"/>
      <c r="AA304"/>
      <c r="AE304"/>
      <c r="AF304"/>
      <c r="AG304"/>
      <c r="AH304"/>
    </row>
    <row r="305" spans="1:34" ht="15.75" customHeight="1" x14ac:dyDescent="0.15">
      <c r="A305" s="9">
        <v>299</v>
      </c>
      <c r="C305" t="s">
        <v>4267</v>
      </c>
      <c r="D305" t="s">
        <v>4544</v>
      </c>
      <c r="E305" s="9" t="s">
        <v>219</v>
      </c>
      <c r="F305" s="9">
        <v>4</v>
      </c>
      <c r="G305" s="9">
        <v>21</v>
      </c>
      <c r="H305" s="9" t="s">
        <v>4545</v>
      </c>
      <c r="I305" t="s">
        <v>196</v>
      </c>
      <c r="J305" t="s">
        <v>940</v>
      </c>
      <c r="K305" t="s">
        <v>941</v>
      </c>
      <c r="T305" t="s">
        <v>3723</v>
      </c>
      <c r="U305" t="s">
        <v>3815</v>
      </c>
      <c r="V305" t="s">
        <v>4546</v>
      </c>
      <c r="X305"/>
      <c r="Y305"/>
      <c r="Z305"/>
      <c r="AA305"/>
      <c r="AE305"/>
      <c r="AF305"/>
      <c r="AG305"/>
      <c r="AH305"/>
    </row>
    <row r="306" spans="1:34" ht="15.75" customHeight="1" x14ac:dyDescent="0.15">
      <c r="A306" s="9">
        <v>300</v>
      </c>
      <c r="C306" t="s">
        <v>4267</v>
      </c>
      <c r="D306" t="s">
        <v>4547</v>
      </c>
      <c r="E306" s="9" t="s">
        <v>219</v>
      </c>
      <c r="F306" s="9">
        <v>4</v>
      </c>
      <c r="G306" s="9">
        <v>22</v>
      </c>
      <c r="H306" s="9" t="s">
        <v>4548</v>
      </c>
      <c r="I306" t="s">
        <v>196</v>
      </c>
      <c r="J306" t="s">
        <v>940</v>
      </c>
      <c r="K306" t="s">
        <v>941</v>
      </c>
      <c r="T306" t="s">
        <v>3723</v>
      </c>
      <c r="U306" t="s">
        <v>3815</v>
      </c>
      <c r="V306" t="s">
        <v>4549</v>
      </c>
      <c r="X306"/>
      <c r="Y306"/>
      <c r="Z306"/>
      <c r="AA306"/>
      <c r="AE306"/>
      <c r="AF306"/>
      <c r="AG306"/>
      <c r="AH306"/>
    </row>
    <row r="307" spans="1:34" ht="15.75" customHeight="1" x14ac:dyDescent="0.15">
      <c r="A307" s="9">
        <v>301</v>
      </c>
      <c r="C307" t="s">
        <v>4267</v>
      </c>
      <c r="D307" t="s">
        <v>4550</v>
      </c>
      <c r="E307" s="9" t="s">
        <v>219</v>
      </c>
      <c r="F307" s="9">
        <v>4</v>
      </c>
      <c r="G307" s="9">
        <v>23</v>
      </c>
      <c r="H307" s="9" t="s">
        <v>4551</v>
      </c>
      <c r="I307" t="s">
        <v>196</v>
      </c>
      <c r="J307" t="s">
        <v>940</v>
      </c>
      <c r="K307" t="s">
        <v>941</v>
      </c>
      <c r="T307" t="s">
        <v>3723</v>
      </c>
      <c r="U307" t="s">
        <v>3815</v>
      </c>
      <c r="V307" t="s">
        <v>4552</v>
      </c>
      <c r="X307"/>
      <c r="Y307"/>
      <c r="Z307"/>
      <c r="AA307"/>
      <c r="AE307"/>
      <c r="AF307"/>
      <c r="AG307"/>
      <c r="AH307"/>
    </row>
    <row r="308" spans="1:34" ht="15.75" customHeight="1" x14ac:dyDescent="0.15">
      <c r="A308" s="9">
        <v>302</v>
      </c>
      <c r="C308" t="s">
        <v>4267</v>
      </c>
      <c r="D308" t="s">
        <v>4553</v>
      </c>
      <c r="E308" s="9" t="s">
        <v>219</v>
      </c>
      <c r="F308" s="9">
        <v>5</v>
      </c>
      <c r="G308" s="9"/>
      <c r="H308" s="9" t="s">
        <v>3721</v>
      </c>
      <c r="I308" t="s">
        <v>196</v>
      </c>
      <c r="L308" t="s">
        <v>61</v>
      </c>
      <c r="M308">
        <v>1</v>
      </c>
      <c r="T308" t="s">
        <v>3723</v>
      </c>
      <c r="U308" t="s">
        <v>3853</v>
      </c>
      <c r="V308" t="s">
        <v>4554</v>
      </c>
      <c r="X308"/>
      <c r="Y308"/>
      <c r="Z308"/>
      <c r="AA308"/>
      <c r="AE308"/>
      <c r="AF308"/>
      <c r="AG308"/>
      <c r="AH308"/>
    </row>
    <row r="309" spans="1:34" ht="15.75" customHeight="1" x14ac:dyDescent="0.15">
      <c r="A309" s="9">
        <v>303</v>
      </c>
      <c r="C309" t="s">
        <v>4267</v>
      </c>
      <c r="D309" t="s">
        <v>4555</v>
      </c>
      <c r="E309" s="9" t="s">
        <v>219</v>
      </c>
      <c r="F309" s="9">
        <v>5</v>
      </c>
      <c r="G309" s="9">
        <v>0</v>
      </c>
      <c r="H309" s="9" t="s">
        <v>4556</v>
      </c>
      <c r="I309" t="s">
        <v>196</v>
      </c>
      <c r="J309" t="s">
        <v>940</v>
      </c>
      <c r="K309" t="s">
        <v>941</v>
      </c>
      <c r="T309" t="s">
        <v>3723</v>
      </c>
      <c r="U309" t="s">
        <v>3815</v>
      </c>
      <c r="V309" t="s">
        <v>4557</v>
      </c>
      <c r="X309"/>
      <c r="Y309"/>
      <c r="Z309"/>
      <c r="AA309"/>
      <c r="AE309"/>
      <c r="AF309"/>
      <c r="AG309"/>
      <c r="AH309"/>
    </row>
    <row r="310" spans="1:34" ht="15.75" customHeight="1" x14ac:dyDescent="0.15">
      <c r="A310" s="9">
        <v>304</v>
      </c>
      <c r="C310" t="s">
        <v>4267</v>
      </c>
      <c r="D310" t="s">
        <v>4558</v>
      </c>
      <c r="E310" s="9" t="s">
        <v>219</v>
      </c>
      <c r="F310" s="9">
        <v>5</v>
      </c>
      <c r="G310" s="9">
        <v>1</v>
      </c>
      <c r="H310" s="9" t="s">
        <v>4559</v>
      </c>
      <c r="I310" t="s">
        <v>196</v>
      </c>
      <c r="J310" t="s">
        <v>940</v>
      </c>
      <c r="K310" t="s">
        <v>941</v>
      </c>
      <c r="T310" t="s">
        <v>3723</v>
      </c>
      <c r="U310" t="s">
        <v>3815</v>
      </c>
      <c r="V310" t="s">
        <v>4560</v>
      </c>
      <c r="X310"/>
      <c r="Y310"/>
      <c r="Z310"/>
      <c r="AA310"/>
      <c r="AE310"/>
      <c r="AF310"/>
      <c r="AG310"/>
      <c r="AH310"/>
    </row>
    <row r="311" spans="1:34" ht="15.75" customHeight="1" x14ac:dyDescent="0.15">
      <c r="A311" s="9">
        <v>305</v>
      </c>
      <c r="C311" t="s">
        <v>4267</v>
      </c>
      <c r="D311" t="s">
        <v>4561</v>
      </c>
      <c r="E311" s="9" t="s">
        <v>219</v>
      </c>
      <c r="F311" s="9">
        <v>5</v>
      </c>
      <c r="G311" s="9">
        <v>2</v>
      </c>
      <c r="H311" s="9" t="s">
        <v>4562</v>
      </c>
      <c r="I311" t="s">
        <v>196</v>
      </c>
      <c r="J311" t="s">
        <v>940</v>
      </c>
      <c r="K311" t="s">
        <v>941</v>
      </c>
      <c r="T311" t="s">
        <v>3723</v>
      </c>
      <c r="U311" t="s">
        <v>3815</v>
      </c>
      <c r="V311" t="s">
        <v>4563</v>
      </c>
      <c r="X311"/>
      <c r="Y311"/>
      <c r="Z311"/>
      <c r="AA311"/>
      <c r="AE311"/>
      <c r="AF311"/>
      <c r="AG311"/>
      <c r="AH311"/>
    </row>
    <row r="312" spans="1:34" ht="15.75" customHeight="1" x14ac:dyDescent="0.15">
      <c r="A312" s="9">
        <v>306</v>
      </c>
      <c r="B312" t="s">
        <v>75</v>
      </c>
      <c r="C312" t="s">
        <v>4267</v>
      </c>
      <c r="D312" t="s">
        <v>4564</v>
      </c>
      <c r="E312" s="9" t="s">
        <v>219</v>
      </c>
      <c r="F312" s="9">
        <v>5</v>
      </c>
      <c r="G312" s="9">
        <v>3</v>
      </c>
      <c r="H312" s="9" t="s">
        <v>4565</v>
      </c>
      <c r="I312" t="s">
        <v>196</v>
      </c>
      <c r="J312" t="s">
        <v>940</v>
      </c>
      <c r="K312" t="s">
        <v>941</v>
      </c>
      <c r="T312" t="s">
        <v>3723</v>
      </c>
      <c r="U312" t="s">
        <v>3815</v>
      </c>
      <c r="V312" t="s">
        <v>4566</v>
      </c>
      <c r="X312"/>
      <c r="Y312"/>
      <c r="Z312"/>
      <c r="AA312"/>
      <c r="AE312"/>
      <c r="AF312"/>
      <c r="AG312"/>
      <c r="AH312"/>
    </row>
    <row r="313" spans="1:34" ht="15.75" customHeight="1" x14ac:dyDescent="0.15">
      <c r="A313" s="9">
        <v>307</v>
      </c>
      <c r="B313" t="s">
        <v>75</v>
      </c>
      <c r="C313" t="s">
        <v>4267</v>
      </c>
      <c r="D313" t="s">
        <v>4567</v>
      </c>
      <c r="E313" s="9" t="s">
        <v>219</v>
      </c>
      <c r="F313" s="9">
        <v>5</v>
      </c>
      <c r="G313" s="9">
        <v>4</v>
      </c>
      <c r="H313" s="9" t="s">
        <v>4568</v>
      </c>
      <c r="I313" t="s">
        <v>196</v>
      </c>
      <c r="J313" t="s">
        <v>940</v>
      </c>
      <c r="K313" t="s">
        <v>941</v>
      </c>
      <c r="T313" t="s">
        <v>3723</v>
      </c>
      <c r="U313" t="s">
        <v>3815</v>
      </c>
      <c r="V313" t="s">
        <v>4569</v>
      </c>
      <c r="X313"/>
      <c r="Y313"/>
      <c r="Z313"/>
      <c r="AA313"/>
      <c r="AE313"/>
      <c r="AF313"/>
      <c r="AG313"/>
      <c r="AH313"/>
    </row>
    <row r="314" spans="1:34" ht="15.75" customHeight="1" x14ac:dyDescent="0.15">
      <c r="A314" s="9">
        <v>308</v>
      </c>
      <c r="B314" t="s">
        <v>75</v>
      </c>
      <c r="C314" t="s">
        <v>4267</v>
      </c>
      <c r="D314" t="s">
        <v>4570</v>
      </c>
      <c r="E314" s="9" t="s">
        <v>219</v>
      </c>
      <c r="F314" s="9">
        <v>5</v>
      </c>
      <c r="G314" s="9">
        <v>5</v>
      </c>
      <c r="H314" s="9" t="s">
        <v>4571</v>
      </c>
      <c r="I314" t="s">
        <v>196</v>
      </c>
      <c r="J314" t="s">
        <v>940</v>
      </c>
      <c r="K314" t="s">
        <v>941</v>
      </c>
      <c r="T314" t="s">
        <v>3723</v>
      </c>
      <c r="U314" t="s">
        <v>3815</v>
      </c>
      <c r="V314" t="s">
        <v>4572</v>
      </c>
      <c r="X314"/>
      <c r="Y314"/>
      <c r="Z314"/>
      <c r="AA314"/>
      <c r="AE314"/>
      <c r="AF314"/>
      <c r="AG314"/>
      <c r="AH314"/>
    </row>
    <row r="315" spans="1:34" ht="15.75" customHeight="1" x14ac:dyDescent="0.15">
      <c r="A315" s="9">
        <v>309</v>
      </c>
      <c r="B315" t="s">
        <v>75</v>
      </c>
      <c r="C315" t="s">
        <v>4267</v>
      </c>
      <c r="D315" t="s">
        <v>4573</v>
      </c>
      <c r="E315" s="9" t="s">
        <v>219</v>
      </c>
      <c r="F315" s="9">
        <v>5</v>
      </c>
      <c r="G315" s="9">
        <v>6</v>
      </c>
      <c r="H315" s="9" t="s">
        <v>4574</v>
      </c>
      <c r="I315" t="s">
        <v>196</v>
      </c>
      <c r="J315" t="s">
        <v>940</v>
      </c>
      <c r="K315" t="s">
        <v>941</v>
      </c>
      <c r="T315" t="s">
        <v>3723</v>
      </c>
      <c r="U315" t="s">
        <v>3815</v>
      </c>
      <c r="V315" t="s">
        <v>4575</v>
      </c>
      <c r="X315"/>
      <c r="Y315"/>
      <c r="Z315"/>
      <c r="AA315"/>
      <c r="AE315"/>
      <c r="AF315"/>
      <c r="AG315"/>
      <c r="AH315"/>
    </row>
    <row r="316" spans="1:34" ht="15.75" customHeight="1" x14ac:dyDescent="0.15">
      <c r="A316" s="9">
        <v>310</v>
      </c>
      <c r="B316" t="s">
        <v>75</v>
      </c>
      <c r="C316" t="s">
        <v>4267</v>
      </c>
      <c r="D316" t="s">
        <v>4576</v>
      </c>
      <c r="E316" s="9" t="s">
        <v>219</v>
      </c>
      <c r="F316" s="9">
        <v>5</v>
      </c>
      <c r="G316" s="9">
        <v>7</v>
      </c>
      <c r="H316" s="9" t="s">
        <v>4577</v>
      </c>
      <c r="I316" t="s">
        <v>196</v>
      </c>
      <c r="J316" t="s">
        <v>940</v>
      </c>
      <c r="K316" t="s">
        <v>941</v>
      </c>
      <c r="T316" t="s">
        <v>3723</v>
      </c>
      <c r="U316" t="s">
        <v>3815</v>
      </c>
      <c r="V316" t="s">
        <v>4578</v>
      </c>
      <c r="X316"/>
      <c r="Y316"/>
      <c r="Z316"/>
      <c r="AA316"/>
      <c r="AE316"/>
      <c r="AF316"/>
      <c r="AG316"/>
      <c r="AH316"/>
    </row>
    <row r="317" spans="1:34" ht="15.75" customHeight="1" x14ac:dyDescent="0.15">
      <c r="A317" s="9">
        <v>311</v>
      </c>
      <c r="B317" t="s">
        <v>75</v>
      </c>
      <c r="C317" t="s">
        <v>4267</v>
      </c>
      <c r="D317" t="s">
        <v>4579</v>
      </c>
      <c r="E317" s="9" t="s">
        <v>219</v>
      </c>
      <c r="F317" s="9">
        <v>5</v>
      </c>
      <c r="G317" s="9">
        <v>8</v>
      </c>
      <c r="H317" s="9" t="s">
        <v>4580</v>
      </c>
      <c r="I317" t="s">
        <v>196</v>
      </c>
      <c r="J317" t="s">
        <v>940</v>
      </c>
      <c r="K317" t="s">
        <v>941</v>
      </c>
      <c r="T317" t="s">
        <v>3723</v>
      </c>
      <c r="U317" t="s">
        <v>3815</v>
      </c>
      <c r="V317" t="s">
        <v>4581</v>
      </c>
      <c r="X317"/>
      <c r="Y317"/>
      <c r="Z317"/>
      <c r="AA317"/>
      <c r="AE317"/>
      <c r="AF317"/>
      <c r="AG317"/>
      <c r="AH317"/>
    </row>
    <row r="318" spans="1:34" ht="15.75" customHeight="1" x14ac:dyDescent="0.15">
      <c r="A318" s="9">
        <v>312</v>
      </c>
      <c r="B318" t="s">
        <v>75</v>
      </c>
      <c r="C318" t="s">
        <v>4267</v>
      </c>
      <c r="D318" t="s">
        <v>4582</v>
      </c>
      <c r="E318" s="9" t="s">
        <v>219</v>
      </c>
      <c r="F318" s="9">
        <v>5</v>
      </c>
      <c r="G318" s="9">
        <v>9</v>
      </c>
      <c r="H318" s="9" t="s">
        <v>4583</v>
      </c>
      <c r="I318" t="s">
        <v>196</v>
      </c>
      <c r="J318" t="s">
        <v>940</v>
      </c>
      <c r="K318" t="s">
        <v>941</v>
      </c>
      <c r="T318" t="s">
        <v>3723</v>
      </c>
      <c r="U318" t="s">
        <v>3815</v>
      </c>
      <c r="V318" t="s">
        <v>4584</v>
      </c>
      <c r="X318"/>
      <c r="Y318"/>
      <c r="Z318"/>
      <c r="AA318"/>
      <c r="AE318"/>
      <c r="AF318"/>
      <c r="AG318"/>
      <c r="AH318"/>
    </row>
    <row r="319" spans="1:34" ht="15.75" customHeight="1" x14ac:dyDescent="0.15">
      <c r="A319" s="9">
        <v>313</v>
      </c>
      <c r="B319" t="s">
        <v>75</v>
      </c>
      <c r="C319" t="s">
        <v>4267</v>
      </c>
      <c r="D319" t="s">
        <v>4585</v>
      </c>
      <c r="E319" s="9" t="s">
        <v>219</v>
      </c>
      <c r="F319" s="9">
        <v>5</v>
      </c>
      <c r="G319" s="9">
        <v>10</v>
      </c>
      <c r="H319" s="9" t="s">
        <v>4586</v>
      </c>
      <c r="I319" t="s">
        <v>196</v>
      </c>
      <c r="J319" t="s">
        <v>940</v>
      </c>
      <c r="K319" t="s">
        <v>941</v>
      </c>
      <c r="T319" t="s">
        <v>3723</v>
      </c>
      <c r="U319" t="s">
        <v>3815</v>
      </c>
      <c r="V319" t="s">
        <v>4587</v>
      </c>
      <c r="X319"/>
      <c r="Y319"/>
      <c r="Z319"/>
      <c r="AA319"/>
      <c r="AE319"/>
      <c r="AF319"/>
      <c r="AG319"/>
      <c r="AH319"/>
    </row>
    <row r="320" spans="1:34" ht="15.75" customHeight="1" x14ac:dyDescent="0.15">
      <c r="A320" s="9">
        <v>314</v>
      </c>
      <c r="B320" t="s">
        <v>75</v>
      </c>
      <c r="C320" t="s">
        <v>4267</v>
      </c>
      <c r="D320" t="s">
        <v>4588</v>
      </c>
      <c r="E320" s="9" t="s">
        <v>219</v>
      </c>
      <c r="F320" s="9">
        <v>5</v>
      </c>
      <c r="G320" s="9">
        <v>11</v>
      </c>
      <c r="H320" s="9" t="s">
        <v>4589</v>
      </c>
      <c r="I320" t="s">
        <v>196</v>
      </c>
      <c r="J320" t="s">
        <v>940</v>
      </c>
      <c r="K320" t="s">
        <v>941</v>
      </c>
      <c r="T320" t="s">
        <v>3723</v>
      </c>
      <c r="U320" t="s">
        <v>3815</v>
      </c>
      <c r="V320" t="s">
        <v>4590</v>
      </c>
      <c r="X320"/>
      <c r="Y320"/>
      <c r="Z320"/>
      <c r="AA320"/>
      <c r="AE320"/>
      <c r="AF320"/>
      <c r="AG320"/>
      <c r="AH320"/>
    </row>
    <row r="321" spans="1:34" ht="15.75" customHeight="1" x14ac:dyDescent="0.15">
      <c r="A321" s="9">
        <v>315</v>
      </c>
      <c r="C321" t="s">
        <v>4267</v>
      </c>
      <c r="D321" t="s">
        <v>4591</v>
      </c>
      <c r="E321" s="9" t="s">
        <v>219</v>
      </c>
      <c r="F321" s="9">
        <v>10</v>
      </c>
      <c r="G321" s="9"/>
      <c r="H321" s="9" t="s">
        <v>3721</v>
      </c>
      <c r="I321" t="s">
        <v>196</v>
      </c>
      <c r="L321" t="s">
        <v>61</v>
      </c>
      <c r="M321">
        <v>1</v>
      </c>
      <c r="T321" t="s">
        <v>3723</v>
      </c>
      <c r="U321" t="s">
        <v>3853</v>
      </c>
      <c r="V321" t="s">
        <v>4592</v>
      </c>
      <c r="X321"/>
      <c r="Y321"/>
      <c r="Z321"/>
      <c r="AA321"/>
      <c r="AE321"/>
      <c r="AF321"/>
      <c r="AG321"/>
      <c r="AH321"/>
    </row>
    <row r="322" spans="1:34" ht="15.75" customHeight="1" x14ac:dyDescent="0.15">
      <c r="A322" s="9">
        <v>316</v>
      </c>
      <c r="B322" t="s">
        <v>75</v>
      </c>
      <c r="C322" t="s">
        <v>4267</v>
      </c>
      <c r="D322" t="s">
        <v>4593</v>
      </c>
      <c r="E322" s="9" t="s">
        <v>219</v>
      </c>
      <c r="F322" s="9">
        <v>10</v>
      </c>
      <c r="G322" s="9">
        <v>0</v>
      </c>
      <c r="H322" s="9" t="s">
        <v>4594</v>
      </c>
      <c r="I322" t="s">
        <v>196</v>
      </c>
      <c r="J322" t="s">
        <v>222</v>
      </c>
      <c r="K322" t="s">
        <v>226</v>
      </c>
      <c r="T322" t="s">
        <v>3723</v>
      </c>
      <c r="V322" t="s">
        <v>4595</v>
      </c>
      <c r="X322"/>
      <c r="Y322"/>
      <c r="Z322"/>
      <c r="AA322"/>
      <c r="AE322"/>
      <c r="AF322"/>
      <c r="AG322"/>
      <c r="AH322"/>
    </row>
    <row r="323" spans="1:34" ht="15.75" customHeight="1" x14ac:dyDescent="0.15">
      <c r="A323" s="9">
        <v>317</v>
      </c>
      <c r="B323" t="s">
        <v>75</v>
      </c>
      <c r="C323" t="s">
        <v>4267</v>
      </c>
      <c r="D323" t="s">
        <v>4596</v>
      </c>
      <c r="E323" s="9" t="s">
        <v>219</v>
      </c>
      <c r="F323" s="9">
        <v>10</v>
      </c>
      <c r="G323" s="9">
        <v>1</v>
      </c>
      <c r="H323" s="9" t="s">
        <v>4597</v>
      </c>
      <c r="I323" t="s">
        <v>196</v>
      </c>
      <c r="J323" t="s">
        <v>226</v>
      </c>
      <c r="K323" t="s">
        <v>222</v>
      </c>
      <c r="T323" t="s">
        <v>3723</v>
      </c>
      <c r="V323" t="s">
        <v>4598</v>
      </c>
      <c r="X323"/>
      <c r="Y323"/>
      <c r="Z323"/>
      <c r="AA323"/>
      <c r="AE323"/>
      <c r="AF323"/>
      <c r="AG323"/>
      <c r="AH323"/>
    </row>
    <row r="324" spans="1:34" ht="15.75" customHeight="1" x14ac:dyDescent="0.15">
      <c r="A324" s="9">
        <v>318</v>
      </c>
      <c r="B324" t="s">
        <v>75</v>
      </c>
      <c r="C324" t="s">
        <v>4267</v>
      </c>
      <c r="D324" t="s">
        <v>4599</v>
      </c>
      <c r="E324" s="9" t="s">
        <v>219</v>
      </c>
      <c r="F324" s="9">
        <v>10</v>
      </c>
      <c r="G324" s="9">
        <v>2</v>
      </c>
      <c r="H324" s="9" t="s">
        <v>4600</v>
      </c>
      <c r="I324" t="s">
        <v>196</v>
      </c>
      <c r="J324" t="s">
        <v>940</v>
      </c>
      <c r="K324" t="s">
        <v>941</v>
      </c>
      <c r="T324" t="s">
        <v>3723</v>
      </c>
      <c r="V324" t="s">
        <v>4601</v>
      </c>
      <c r="X324"/>
      <c r="Y324"/>
      <c r="Z324"/>
      <c r="AA324"/>
      <c r="AE324"/>
      <c r="AF324"/>
      <c r="AG324"/>
      <c r="AH324"/>
    </row>
    <row r="325" spans="1:34" ht="15.75" customHeight="1" x14ac:dyDescent="0.15">
      <c r="A325" s="9">
        <v>319</v>
      </c>
      <c r="B325" t="s">
        <v>75</v>
      </c>
      <c r="C325" t="s">
        <v>4267</v>
      </c>
      <c r="D325" t="s">
        <v>4602</v>
      </c>
      <c r="E325" s="9" t="s">
        <v>219</v>
      </c>
      <c r="F325" s="9">
        <v>10</v>
      </c>
      <c r="G325" s="9">
        <v>3</v>
      </c>
      <c r="H325" s="9" t="s">
        <v>4603</v>
      </c>
      <c r="I325" t="s">
        <v>196</v>
      </c>
      <c r="J325" t="s">
        <v>940</v>
      </c>
      <c r="K325" t="s">
        <v>941</v>
      </c>
      <c r="T325" t="s">
        <v>3723</v>
      </c>
      <c r="V325" t="s">
        <v>4604</v>
      </c>
      <c r="X325"/>
      <c r="Y325"/>
      <c r="Z325"/>
      <c r="AA325"/>
      <c r="AE325"/>
      <c r="AF325"/>
      <c r="AG325"/>
      <c r="AH325"/>
    </row>
    <row r="326" spans="1:34" ht="15.75" customHeight="1" x14ac:dyDescent="0.15">
      <c r="A326" s="9">
        <v>320</v>
      </c>
      <c r="B326" t="s">
        <v>75</v>
      </c>
      <c r="C326" t="s">
        <v>4267</v>
      </c>
      <c r="D326" t="s">
        <v>4605</v>
      </c>
      <c r="E326" s="9" t="s">
        <v>219</v>
      </c>
      <c r="F326" s="9">
        <v>10</v>
      </c>
      <c r="G326" s="9">
        <v>4</v>
      </c>
      <c r="H326" s="9" t="s">
        <v>4606</v>
      </c>
      <c r="I326" t="s">
        <v>196</v>
      </c>
      <c r="J326" t="s">
        <v>940</v>
      </c>
      <c r="K326" t="s">
        <v>941</v>
      </c>
      <c r="T326" t="s">
        <v>3723</v>
      </c>
      <c r="V326" t="s">
        <v>4607</v>
      </c>
      <c r="X326"/>
      <c r="Y326"/>
      <c r="Z326"/>
      <c r="AA326"/>
      <c r="AE326"/>
      <c r="AF326"/>
      <c r="AG326"/>
      <c r="AH326"/>
    </row>
    <row r="327" spans="1:34" ht="15.75" customHeight="1" x14ac:dyDescent="0.15">
      <c r="A327" s="9">
        <v>321</v>
      </c>
      <c r="B327" t="s">
        <v>75</v>
      </c>
      <c r="C327" t="s">
        <v>4267</v>
      </c>
      <c r="D327" t="s">
        <v>4608</v>
      </c>
      <c r="E327" s="9" t="s">
        <v>219</v>
      </c>
      <c r="F327" s="9">
        <v>10</v>
      </c>
      <c r="G327" s="9">
        <v>5</v>
      </c>
      <c r="H327" s="9" t="s">
        <v>4609</v>
      </c>
      <c r="I327" t="s">
        <v>196</v>
      </c>
      <c r="J327" t="s">
        <v>940</v>
      </c>
      <c r="K327" t="s">
        <v>941</v>
      </c>
      <c r="T327" t="s">
        <v>3723</v>
      </c>
      <c r="V327" t="s">
        <v>4610</v>
      </c>
      <c r="X327"/>
      <c r="Y327"/>
      <c r="Z327"/>
      <c r="AA327"/>
      <c r="AE327"/>
      <c r="AF327"/>
      <c r="AG327"/>
      <c r="AH327"/>
    </row>
    <row r="328" spans="1:34" ht="15.75" customHeight="1" x14ac:dyDescent="0.15">
      <c r="A328" s="9">
        <v>322</v>
      </c>
      <c r="B328" t="s">
        <v>75</v>
      </c>
      <c r="C328" t="s">
        <v>4267</v>
      </c>
      <c r="D328" t="s">
        <v>4611</v>
      </c>
      <c r="E328" s="9" t="s">
        <v>219</v>
      </c>
      <c r="F328" s="9">
        <v>10</v>
      </c>
      <c r="G328" s="9">
        <v>6</v>
      </c>
      <c r="H328" s="9" t="s">
        <v>4612</v>
      </c>
      <c r="I328" t="s">
        <v>196</v>
      </c>
      <c r="J328" t="s">
        <v>940</v>
      </c>
      <c r="K328" t="s">
        <v>941</v>
      </c>
      <c r="T328" t="s">
        <v>3723</v>
      </c>
      <c r="V328" t="s">
        <v>4613</v>
      </c>
      <c r="X328"/>
      <c r="Y328"/>
      <c r="Z328"/>
      <c r="AA328"/>
      <c r="AE328"/>
      <c r="AF328"/>
      <c r="AG328"/>
      <c r="AH328"/>
    </row>
    <row r="329" spans="1:34" ht="15.75" customHeight="1" x14ac:dyDescent="0.15">
      <c r="A329" s="9">
        <v>323</v>
      </c>
      <c r="B329" t="s">
        <v>75</v>
      </c>
      <c r="C329" t="s">
        <v>4267</v>
      </c>
      <c r="D329" t="s">
        <v>4614</v>
      </c>
      <c r="E329" s="9" t="s">
        <v>219</v>
      </c>
      <c r="F329" s="9">
        <v>10</v>
      </c>
      <c r="G329" s="9">
        <v>7</v>
      </c>
      <c r="H329" s="9" t="s">
        <v>4615</v>
      </c>
      <c r="I329" t="s">
        <v>171</v>
      </c>
      <c r="J329" t="s">
        <v>940</v>
      </c>
      <c r="K329" t="s">
        <v>941</v>
      </c>
      <c r="T329" t="s">
        <v>3723</v>
      </c>
      <c r="V329" t="s">
        <v>4616</v>
      </c>
      <c r="X329"/>
      <c r="Y329"/>
      <c r="Z329"/>
      <c r="AA329"/>
      <c r="AE329"/>
      <c r="AF329"/>
      <c r="AG329"/>
      <c r="AH329"/>
    </row>
    <row r="330" spans="1:34" ht="15.75" customHeight="1" x14ac:dyDescent="0.15">
      <c r="A330" s="9">
        <v>324</v>
      </c>
      <c r="B330" t="s">
        <v>75</v>
      </c>
      <c r="C330" t="s">
        <v>4267</v>
      </c>
      <c r="D330" t="s">
        <v>4617</v>
      </c>
      <c r="E330" s="9" t="s">
        <v>219</v>
      </c>
      <c r="F330" s="9">
        <v>10</v>
      </c>
      <c r="G330" s="9">
        <v>8</v>
      </c>
      <c r="H330" s="9" t="s">
        <v>4618</v>
      </c>
      <c r="I330" t="s">
        <v>196</v>
      </c>
      <c r="J330" t="s">
        <v>940</v>
      </c>
      <c r="K330" t="s">
        <v>941</v>
      </c>
      <c r="T330" t="s">
        <v>3723</v>
      </c>
      <c r="V330" t="s">
        <v>4619</v>
      </c>
      <c r="X330"/>
      <c r="Y330"/>
      <c r="Z330"/>
      <c r="AA330"/>
      <c r="AE330"/>
      <c r="AF330"/>
      <c r="AG330"/>
      <c r="AH330"/>
    </row>
    <row r="331" spans="1:34" ht="15.75" customHeight="1" x14ac:dyDescent="0.15">
      <c r="A331" s="9">
        <v>325</v>
      </c>
      <c r="B331" t="s">
        <v>75</v>
      </c>
      <c r="C331" t="s">
        <v>4267</v>
      </c>
      <c r="D331" t="s">
        <v>4620</v>
      </c>
      <c r="E331" s="9" t="s">
        <v>219</v>
      </c>
      <c r="F331" s="9">
        <v>10</v>
      </c>
      <c r="G331" s="9">
        <v>9</v>
      </c>
      <c r="H331" s="9" t="s">
        <v>4621</v>
      </c>
      <c r="I331" t="s">
        <v>196</v>
      </c>
      <c r="J331" t="s">
        <v>940</v>
      </c>
      <c r="K331" t="s">
        <v>941</v>
      </c>
      <c r="T331" t="s">
        <v>3723</v>
      </c>
      <c r="V331" t="s">
        <v>4622</v>
      </c>
      <c r="X331"/>
      <c r="Y331"/>
      <c r="Z331"/>
      <c r="AA331"/>
      <c r="AE331"/>
      <c r="AF331"/>
      <c r="AG331"/>
      <c r="AH331"/>
    </row>
    <row r="332" spans="1:34" ht="15.75" customHeight="1" x14ac:dyDescent="0.15">
      <c r="A332" s="9">
        <v>326</v>
      </c>
      <c r="B332" t="s">
        <v>75</v>
      </c>
      <c r="C332" t="s">
        <v>4267</v>
      </c>
      <c r="D332" t="s">
        <v>4623</v>
      </c>
      <c r="E332" s="9" t="s">
        <v>219</v>
      </c>
      <c r="F332" s="9">
        <v>10</v>
      </c>
      <c r="G332" s="9">
        <v>10</v>
      </c>
      <c r="H332" s="9" t="s">
        <v>4624</v>
      </c>
      <c r="I332" t="s">
        <v>196</v>
      </c>
      <c r="J332" t="s">
        <v>940</v>
      </c>
      <c r="K332" t="s">
        <v>941</v>
      </c>
      <c r="T332" t="s">
        <v>3723</v>
      </c>
      <c r="V332" t="s">
        <v>4625</v>
      </c>
      <c r="X332"/>
      <c r="Y332"/>
      <c r="Z332"/>
      <c r="AA332"/>
      <c r="AE332"/>
      <c r="AF332"/>
      <c r="AG332"/>
      <c r="AH332"/>
    </row>
    <row r="333" spans="1:34" ht="15.75" customHeight="1" x14ac:dyDescent="0.15">
      <c r="A333" s="9">
        <v>327</v>
      </c>
      <c r="B333" t="s">
        <v>75</v>
      </c>
      <c r="C333" t="s">
        <v>4267</v>
      </c>
      <c r="D333" t="s">
        <v>4626</v>
      </c>
      <c r="E333" s="9" t="s">
        <v>219</v>
      </c>
      <c r="F333" s="9">
        <v>10</v>
      </c>
      <c r="G333" s="9">
        <v>11</v>
      </c>
      <c r="H333" s="9" t="s">
        <v>4627</v>
      </c>
      <c r="I333" t="s">
        <v>171</v>
      </c>
      <c r="J333" t="s">
        <v>940</v>
      </c>
      <c r="K333" t="s">
        <v>941</v>
      </c>
      <c r="T333" t="s">
        <v>3723</v>
      </c>
      <c r="V333" t="s">
        <v>4628</v>
      </c>
      <c r="X333"/>
      <c r="Y333"/>
      <c r="Z333"/>
      <c r="AA333"/>
      <c r="AE333"/>
      <c r="AF333"/>
      <c r="AG333"/>
      <c r="AH333"/>
    </row>
    <row r="334" spans="1:34" ht="15.75" customHeight="1" x14ac:dyDescent="0.15">
      <c r="A334" s="9">
        <v>328</v>
      </c>
      <c r="B334" t="s">
        <v>75</v>
      </c>
      <c r="C334" t="s">
        <v>4267</v>
      </c>
      <c r="D334" t="s">
        <v>4629</v>
      </c>
      <c r="E334" s="9" t="s">
        <v>219</v>
      </c>
      <c r="F334" s="9">
        <v>10</v>
      </c>
      <c r="G334" s="9">
        <v>12</v>
      </c>
      <c r="H334" s="9" t="s">
        <v>4630</v>
      </c>
      <c r="I334" t="s">
        <v>171</v>
      </c>
      <c r="J334" t="s">
        <v>940</v>
      </c>
      <c r="K334" t="s">
        <v>941</v>
      </c>
      <c r="T334" t="s">
        <v>3723</v>
      </c>
      <c r="V334" t="s">
        <v>4631</v>
      </c>
      <c r="X334"/>
      <c r="Y334"/>
      <c r="Z334"/>
      <c r="AA334"/>
      <c r="AE334"/>
      <c r="AF334"/>
      <c r="AG334"/>
      <c r="AH334"/>
    </row>
    <row r="335" spans="1:34" ht="15.75" customHeight="1" x14ac:dyDescent="0.15">
      <c r="A335" s="9">
        <v>329</v>
      </c>
      <c r="B335" t="s">
        <v>75</v>
      </c>
      <c r="C335" t="s">
        <v>4267</v>
      </c>
      <c r="D335" t="s">
        <v>4632</v>
      </c>
      <c r="E335" s="9" t="s">
        <v>219</v>
      </c>
      <c r="F335" s="9">
        <v>10</v>
      </c>
      <c r="G335" s="9">
        <v>13</v>
      </c>
      <c r="H335" s="9" t="s">
        <v>4633</v>
      </c>
      <c r="I335" t="s">
        <v>171</v>
      </c>
      <c r="J335" t="s">
        <v>940</v>
      </c>
      <c r="K335" t="s">
        <v>941</v>
      </c>
      <c r="T335" t="s">
        <v>3723</v>
      </c>
      <c r="V335" t="s">
        <v>4634</v>
      </c>
      <c r="X335"/>
      <c r="Y335"/>
      <c r="Z335"/>
      <c r="AA335"/>
      <c r="AE335"/>
      <c r="AF335"/>
      <c r="AG335"/>
      <c r="AH335"/>
    </row>
    <row r="336" spans="1:34" ht="15.75" customHeight="1" x14ac:dyDescent="0.15">
      <c r="A336" s="9">
        <v>330</v>
      </c>
      <c r="B336" t="s">
        <v>75</v>
      </c>
      <c r="C336" t="s">
        <v>4267</v>
      </c>
      <c r="D336" t="s">
        <v>4635</v>
      </c>
      <c r="E336" s="9" t="s">
        <v>219</v>
      </c>
      <c r="F336" s="9">
        <v>10</v>
      </c>
      <c r="G336" s="9">
        <v>14</v>
      </c>
      <c r="H336" s="9" t="s">
        <v>4636</v>
      </c>
      <c r="I336" t="s">
        <v>171</v>
      </c>
      <c r="J336" t="s">
        <v>940</v>
      </c>
      <c r="K336" t="s">
        <v>941</v>
      </c>
      <c r="T336" t="s">
        <v>3723</v>
      </c>
      <c r="V336" t="s">
        <v>4637</v>
      </c>
      <c r="X336"/>
      <c r="Y336"/>
      <c r="Z336"/>
      <c r="AA336"/>
      <c r="AE336"/>
      <c r="AF336"/>
      <c r="AG336"/>
      <c r="AH336"/>
    </row>
    <row r="337" spans="1:34" ht="15.75" customHeight="1" x14ac:dyDescent="0.15">
      <c r="A337" s="9">
        <v>331</v>
      </c>
      <c r="B337" t="s">
        <v>75</v>
      </c>
      <c r="C337" t="s">
        <v>4267</v>
      </c>
      <c r="D337" t="s">
        <v>4638</v>
      </c>
      <c r="E337" s="9" t="s">
        <v>219</v>
      </c>
      <c r="F337" s="9">
        <v>10</v>
      </c>
      <c r="G337" s="9">
        <v>15</v>
      </c>
      <c r="H337" s="9" t="s">
        <v>4639</v>
      </c>
      <c r="I337" t="s">
        <v>196</v>
      </c>
      <c r="J337" t="s">
        <v>197</v>
      </c>
      <c r="K337" t="s">
        <v>198</v>
      </c>
      <c r="T337" t="s">
        <v>3723</v>
      </c>
      <c r="V337" t="s">
        <v>4640</v>
      </c>
      <c r="X337"/>
      <c r="Y337"/>
      <c r="Z337"/>
      <c r="AA337"/>
      <c r="AE337"/>
      <c r="AF337"/>
      <c r="AG337"/>
      <c r="AH337"/>
    </row>
    <row r="338" spans="1:34" ht="15.75" customHeight="1" x14ac:dyDescent="0.15">
      <c r="A338" s="9">
        <v>332</v>
      </c>
      <c r="B338" t="s">
        <v>75</v>
      </c>
      <c r="C338" t="s">
        <v>4267</v>
      </c>
      <c r="D338" t="s">
        <v>4641</v>
      </c>
      <c r="E338" s="9" t="s">
        <v>219</v>
      </c>
      <c r="F338" s="9">
        <v>10</v>
      </c>
      <c r="G338" s="9">
        <v>16</v>
      </c>
      <c r="H338" s="9" t="s">
        <v>4642</v>
      </c>
      <c r="I338" t="s">
        <v>196</v>
      </c>
      <c r="J338" t="s">
        <v>197</v>
      </c>
      <c r="K338" t="s">
        <v>198</v>
      </c>
      <c r="T338" t="s">
        <v>3723</v>
      </c>
      <c r="V338" t="s">
        <v>4643</v>
      </c>
      <c r="X338"/>
      <c r="Y338"/>
      <c r="Z338"/>
      <c r="AA338"/>
      <c r="AE338"/>
      <c r="AF338"/>
      <c r="AG338"/>
      <c r="AH338"/>
    </row>
    <row r="339" spans="1:34" ht="15.75" customHeight="1" x14ac:dyDescent="0.15">
      <c r="A339" s="9">
        <v>333</v>
      </c>
      <c r="B339" t="s">
        <v>75</v>
      </c>
      <c r="C339" t="s">
        <v>4267</v>
      </c>
      <c r="D339" t="s">
        <v>4644</v>
      </c>
      <c r="E339" s="9" t="s">
        <v>219</v>
      </c>
      <c r="F339" s="9">
        <v>10</v>
      </c>
      <c r="G339" s="9">
        <v>17</v>
      </c>
      <c r="H339" s="9" t="s">
        <v>4645</v>
      </c>
      <c r="I339" t="s">
        <v>171</v>
      </c>
      <c r="J339" t="s">
        <v>940</v>
      </c>
      <c r="K339" t="s">
        <v>941</v>
      </c>
      <c r="T339" t="s">
        <v>3723</v>
      </c>
      <c r="V339" t="s">
        <v>4646</v>
      </c>
      <c r="X339"/>
      <c r="Y339"/>
      <c r="Z339"/>
      <c r="AA339"/>
      <c r="AE339"/>
      <c r="AF339"/>
      <c r="AG339"/>
      <c r="AH339"/>
    </row>
    <row r="340" spans="1:34" ht="15.75" customHeight="1" x14ac:dyDescent="0.15">
      <c r="A340" s="9">
        <v>334</v>
      </c>
      <c r="C340" t="s">
        <v>4267</v>
      </c>
      <c r="D340" t="s">
        <v>4647</v>
      </c>
      <c r="E340" s="9" t="s">
        <v>219</v>
      </c>
      <c r="F340" s="9">
        <v>11</v>
      </c>
      <c r="G340" s="9"/>
      <c r="H340" s="9" t="s">
        <v>3721</v>
      </c>
      <c r="I340" t="s">
        <v>196</v>
      </c>
      <c r="L340" t="s">
        <v>61</v>
      </c>
      <c r="M340">
        <v>1</v>
      </c>
      <c r="T340" t="s">
        <v>3723</v>
      </c>
      <c r="U340" t="s">
        <v>3853</v>
      </c>
      <c r="V340" t="s">
        <v>4648</v>
      </c>
      <c r="X340"/>
      <c r="Y340"/>
      <c r="Z340"/>
      <c r="AA340"/>
      <c r="AE340"/>
      <c r="AF340"/>
      <c r="AG340"/>
      <c r="AH340"/>
    </row>
    <row r="341" spans="1:34" ht="15.75" customHeight="1" x14ac:dyDescent="0.15">
      <c r="A341" s="9">
        <v>335</v>
      </c>
      <c r="B341" t="s">
        <v>75</v>
      </c>
      <c r="C341" t="s">
        <v>4267</v>
      </c>
      <c r="D341" t="s">
        <v>4649</v>
      </c>
      <c r="E341" s="9" t="s">
        <v>219</v>
      </c>
      <c r="F341" s="9">
        <v>11</v>
      </c>
      <c r="G341" s="9">
        <v>0</v>
      </c>
      <c r="H341" s="9" t="s">
        <v>4650</v>
      </c>
      <c r="I341" t="s">
        <v>171</v>
      </c>
      <c r="J341" t="s">
        <v>177</v>
      </c>
      <c r="K341" t="s">
        <v>173</v>
      </c>
      <c r="T341" t="s">
        <v>3723</v>
      </c>
      <c r="U341" t="s">
        <v>4343</v>
      </c>
      <c r="V341" t="s">
        <v>4651</v>
      </c>
      <c r="X341"/>
      <c r="Y341"/>
      <c r="Z341"/>
      <c r="AA341"/>
      <c r="AE341"/>
      <c r="AF341"/>
      <c r="AG341"/>
      <c r="AH341"/>
    </row>
    <row r="342" spans="1:34" ht="15.75" customHeight="1" x14ac:dyDescent="0.15">
      <c r="A342" s="9">
        <v>336</v>
      </c>
      <c r="B342" t="s">
        <v>75</v>
      </c>
      <c r="C342" t="s">
        <v>4267</v>
      </c>
      <c r="D342" t="s">
        <v>4652</v>
      </c>
      <c r="E342" s="9" t="s">
        <v>219</v>
      </c>
      <c r="F342" s="9">
        <v>11</v>
      </c>
      <c r="G342" s="9">
        <v>1</v>
      </c>
      <c r="H342" s="9" t="s">
        <v>4653</v>
      </c>
      <c r="I342" t="s">
        <v>171</v>
      </c>
      <c r="J342" t="s">
        <v>177</v>
      </c>
      <c r="K342" t="s">
        <v>173</v>
      </c>
      <c r="T342" t="s">
        <v>3723</v>
      </c>
      <c r="U342" t="s">
        <v>4343</v>
      </c>
      <c r="V342" t="s">
        <v>4654</v>
      </c>
      <c r="X342"/>
      <c r="Y342"/>
      <c r="Z342"/>
      <c r="AA342"/>
      <c r="AE342"/>
      <c r="AF342"/>
      <c r="AG342"/>
      <c r="AH342"/>
    </row>
    <row r="343" spans="1:34" ht="15.75" customHeight="1" x14ac:dyDescent="0.15">
      <c r="A343" s="9">
        <v>337</v>
      </c>
      <c r="B343" t="s">
        <v>75</v>
      </c>
      <c r="C343" t="s">
        <v>4267</v>
      </c>
      <c r="D343" t="s">
        <v>4655</v>
      </c>
      <c r="E343" s="9" t="s">
        <v>219</v>
      </c>
      <c r="F343" s="9">
        <v>11</v>
      </c>
      <c r="G343" s="9">
        <v>2</v>
      </c>
      <c r="H343" s="9" t="s">
        <v>4656</v>
      </c>
      <c r="I343" t="s">
        <v>171</v>
      </c>
      <c r="J343" t="s">
        <v>177</v>
      </c>
      <c r="K343" t="s">
        <v>173</v>
      </c>
      <c r="T343" t="s">
        <v>3723</v>
      </c>
      <c r="U343" t="s">
        <v>4343</v>
      </c>
      <c r="V343" t="s">
        <v>4657</v>
      </c>
      <c r="X343"/>
      <c r="Y343"/>
      <c r="Z343"/>
      <c r="AA343"/>
      <c r="AE343"/>
      <c r="AF343"/>
      <c r="AG343"/>
      <c r="AH343"/>
    </row>
    <row r="344" spans="1:34" ht="15.75" customHeight="1" x14ac:dyDescent="0.15">
      <c r="A344" s="9">
        <v>338</v>
      </c>
      <c r="B344" t="s">
        <v>75</v>
      </c>
      <c r="C344" t="s">
        <v>4267</v>
      </c>
      <c r="D344" t="s">
        <v>4658</v>
      </c>
      <c r="E344" s="9" t="s">
        <v>219</v>
      </c>
      <c r="F344" s="9">
        <v>11</v>
      </c>
      <c r="G344" s="9">
        <v>3</v>
      </c>
      <c r="H344" s="9" t="s">
        <v>4659</v>
      </c>
      <c r="I344" t="s">
        <v>171</v>
      </c>
      <c r="J344" t="s">
        <v>177</v>
      </c>
      <c r="K344" t="s">
        <v>173</v>
      </c>
      <c r="T344" t="s">
        <v>3723</v>
      </c>
      <c r="U344" t="s">
        <v>4343</v>
      </c>
      <c r="V344" t="s">
        <v>4660</v>
      </c>
      <c r="X344"/>
      <c r="Y344"/>
      <c r="Z344"/>
      <c r="AA344"/>
      <c r="AE344"/>
      <c r="AF344"/>
      <c r="AG344"/>
      <c r="AH344"/>
    </row>
    <row r="345" spans="1:34" ht="15.75" customHeight="1" x14ac:dyDescent="0.15">
      <c r="A345" s="9">
        <v>339</v>
      </c>
      <c r="B345" t="s">
        <v>75</v>
      </c>
      <c r="C345" t="s">
        <v>4267</v>
      </c>
      <c r="D345" t="s">
        <v>4661</v>
      </c>
      <c r="E345" s="9" t="s">
        <v>219</v>
      </c>
      <c r="F345" s="9">
        <v>11</v>
      </c>
      <c r="G345" s="9">
        <v>4</v>
      </c>
      <c r="H345" s="9" t="s">
        <v>4662</v>
      </c>
      <c r="I345" t="s">
        <v>171</v>
      </c>
      <c r="J345" t="s">
        <v>177</v>
      </c>
      <c r="K345" t="s">
        <v>173</v>
      </c>
      <c r="T345" t="s">
        <v>3723</v>
      </c>
      <c r="U345" t="s">
        <v>4343</v>
      </c>
      <c r="V345" t="s">
        <v>4663</v>
      </c>
      <c r="X345"/>
      <c r="Y345"/>
      <c r="Z345"/>
      <c r="AA345"/>
      <c r="AE345"/>
      <c r="AF345"/>
      <c r="AG345"/>
      <c r="AH345"/>
    </row>
    <row r="346" spans="1:34" ht="15.75" customHeight="1" x14ac:dyDescent="0.15">
      <c r="A346" s="9">
        <v>340</v>
      </c>
      <c r="B346" t="s">
        <v>75</v>
      </c>
      <c r="C346" t="s">
        <v>4267</v>
      </c>
      <c r="D346" t="s">
        <v>4664</v>
      </c>
      <c r="E346" s="9" t="s">
        <v>219</v>
      </c>
      <c r="F346" s="9">
        <v>11</v>
      </c>
      <c r="G346" s="9">
        <v>5</v>
      </c>
      <c r="H346" s="9" t="s">
        <v>4665</v>
      </c>
      <c r="I346" t="s">
        <v>171</v>
      </c>
      <c r="J346" t="s">
        <v>177</v>
      </c>
      <c r="K346" t="s">
        <v>173</v>
      </c>
      <c r="T346" t="s">
        <v>3723</v>
      </c>
      <c r="U346" t="s">
        <v>4343</v>
      </c>
      <c r="V346" t="s">
        <v>4666</v>
      </c>
      <c r="X346"/>
      <c r="Y346"/>
      <c r="Z346"/>
      <c r="AA346"/>
      <c r="AE346"/>
      <c r="AF346"/>
      <c r="AG346"/>
      <c r="AH346"/>
    </row>
    <row r="347" spans="1:34" ht="15.75" customHeight="1" x14ac:dyDescent="0.15">
      <c r="A347" s="9">
        <v>341</v>
      </c>
      <c r="B347" t="s">
        <v>75</v>
      </c>
      <c r="C347" t="s">
        <v>4267</v>
      </c>
      <c r="D347" t="s">
        <v>4667</v>
      </c>
      <c r="E347" s="9" t="s">
        <v>219</v>
      </c>
      <c r="F347" s="9">
        <v>11</v>
      </c>
      <c r="G347" s="9">
        <v>6</v>
      </c>
      <c r="H347" s="9" t="s">
        <v>4668</v>
      </c>
      <c r="I347" t="s">
        <v>171</v>
      </c>
      <c r="J347" t="s">
        <v>177</v>
      </c>
      <c r="K347" t="s">
        <v>173</v>
      </c>
      <c r="T347" t="s">
        <v>3723</v>
      </c>
      <c r="U347" t="s">
        <v>4343</v>
      </c>
      <c r="V347" t="s">
        <v>4669</v>
      </c>
      <c r="X347"/>
      <c r="Y347"/>
      <c r="Z347"/>
      <c r="AA347"/>
      <c r="AE347"/>
      <c r="AF347"/>
      <c r="AG347"/>
      <c r="AH347"/>
    </row>
    <row r="348" spans="1:34" ht="15.75" customHeight="1" x14ac:dyDescent="0.15">
      <c r="A348" s="9">
        <v>342</v>
      </c>
      <c r="B348" t="s">
        <v>75</v>
      </c>
      <c r="C348" t="s">
        <v>4267</v>
      </c>
      <c r="D348" t="s">
        <v>4670</v>
      </c>
      <c r="E348" s="9" t="s">
        <v>219</v>
      </c>
      <c r="F348" s="9">
        <v>11</v>
      </c>
      <c r="G348" s="9">
        <v>7</v>
      </c>
      <c r="H348" s="9" t="s">
        <v>4671</v>
      </c>
      <c r="I348" t="s">
        <v>171</v>
      </c>
      <c r="J348" t="s">
        <v>177</v>
      </c>
      <c r="K348" t="s">
        <v>173</v>
      </c>
      <c r="T348" t="s">
        <v>3723</v>
      </c>
      <c r="U348" t="s">
        <v>4343</v>
      </c>
      <c r="V348" t="s">
        <v>4672</v>
      </c>
      <c r="X348"/>
      <c r="Y348"/>
      <c r="Z348"/>
      <c r="AA348"/>
      <c r="AE348"/>
      <c r="AF348"/>
      <c r="AG348"/>
      <c r="AH348"/>
    </row>
    <row r="349" spans="1:34" ht="15.75" customHeight="1" x14ac:dyDescent="0.15">
      <c r="A349" s="9">
        <v>343</v>
      </c>
      <c r="B349" t="s">
        <v>75</v>
      </c>
      <c r="C349" t="s">
        <v>4267</v>
      </c>
      <c r="D349" t="s">
        <v>4673</v>
      </c>
      <c r="E349" s="9" t="s">
        <v>219</v>
      </c>
      <c r="F349" s="9">
        <v>11</v>
      </c>
      <c r="G349" s="9">
        <v>8</v>
      </c>
      <c r="H349" s="9" t="s">
        <v>4674</v>
      </c>
      <c r="I349" t="s">
        <v>171</v>
      </c>
      <c r="J349" t="s">
        <v>177</v>
      </c>
      <c r="K349" t="s">
        <v>173</v>
      </c>
      <c r="T349" t="s">
        <v>3723</v>
      </c>
      <c r="U349" t="s">
        <v>4343</v>
      </c>
      <c r="V349" t="s">
        <v>4675</v>
      </c>
      <c r="X349"/>
      <c r="Y349"/>
      <c r="Z349"/>
      <c r="AA349"/>
      <c r="AE349"/>
      <c r="AF349"/>
      <c r="AG349"/>
      <c r="AH349"/>
    </row>
    <row r="350" spans="1:34" ht="15.75" customHeight="1" x14ac:dyDescent="0.15">
      <c r="A350" s="9">
        <v>344</v>
      </c>
      <c r="B350" t="s">
        <v>75</v>
      </c>
      <c r="C350" t="s">
        <v>4267</v>
      </c>
      <c r="D350" t="s">
        <v>4676</v>
      </c>
      <c r="E350" s="9" t="s">
        <v>219</v>
      </c>
      <c r="F350" s="9">
        <v>11</v>
      </c>
      <c r="G350" s="9">
        <v>9</v>
      </c>
      <c r="H350" s="9" t="s">
        <v>4677</v>
      </c>
      <c r="I350" t="s">
        <v>171</v>
      </c>
      <c r="J350" t="s">
        <v>177</v>
      </c>
      <c r="K350" t="s">
        <v>173</v>
      </c>
      <c r="T350" t="s">
        <v>3723</v>
      </c>
      <c r="U350" t="s">
        <v>4343</v>
      </c>
      <c r="V350" t="s">
        <v>4678</v>
      </c>
      <c r="X350"/>
      <c r="Y350"/>
      <c r="Z350"/>
      <c r="AA350"/>
      <c r="AE350"/>
      <c r="AF350"/>
      <c r="AG350"/>
      <c r="AH350"/>
    </row>
    <row r="351" spans="1:34" ht="15.75" customHeight="1" x14ac:dyDescent="0.15">
      <c r="A351" s="9">
        <v>345</v>
      </c>
      <c r="B351" t="s">
        <v>75</v>
      </c>
      <c r="C351" t="s">
        <v>4267</v>
      </c>
      <c r="D351" t="s">
        <v>4679</v>
      </c>
      <c r="E351" s="9" t="s">
        <v>219</v>
      </c>
      <c r="F351" s="9">
        <v>11</v>
      </c>
      <c r="G351" s="9">
        <v>10</v>
      </c>
      <c r="H351" s="9" t="s">
        <v>4680</v>
      </c>
      <c r="I351" t="s">
        <v>171</v>
      </c>
      <c r="J351" t="s">
        <v>177</v>
      </c>
      <c r="K351" t="s">
        <v>173</v>
      </c>
      <c r="T351" t="s">
        <v>3723</v>
      </c>
      <c r="U351" t="s">
        <v>4343</v>
      </c>
      <c r="V351" t="s">
        <v>4681</v>
      </c>
      <c r="X351"/>
      <c r="Y351"/>
      <c r="Z351"/>
      <c r="AA351"/>
      <c r="AE351"/>
      <c r="AF351"/>
      <c r="AG351"/>
      <c r="AH351"/>
    </row>
    <row r="352" spans="1:34" ht="15.75" customHeight="1" x14ac:dyDescent="0.15">
      <c r="A352" s="9">
        <v>346</v>
      </c>
      <c r="B352" t="s">
        <v>75</v>
      </c>
      <c r="C352" t="s">
        <v>4267</v>
      </c>
      <c r="D352" t="s">
        <v>4682</v>
      </c>
      <c r="E352" s="9" t="s">
        <v>219</v>
      </c>
      <c r="F352" s="9">
        <v>11</v>
      </c>
      <c r="G352" s="9">
        <v>11</v>
      </c>
      <c r="H352" s="9" t="s">
        <v>4683</v>
      </c>
      <c r="I352" t="s">
        <v>171</v>
      </c>
      <c r="J352" t="s">
        <v>177</v>
      </c>
      <c r="K352" t="s">
        <v>173</v>
      </c>
      <c r="T352" t="s">
        <v>3723</v>
      </c>
      <c r="U352" t="s">
        <v>4343</v>
      </c>
      <c r="V352" t="s">
        <v>4684</v>
      </c>
      <c r="X352"/>
      <c r="Y352"/>
      <c r="Z352"/>
      <c r="AA352"/>
      <c r="AE352"/>
      <c r="AF352"/>
      <c r="AG352"/>
      <c r="AH352"/>
    </row>
    <row r="353" spans="1:34" ht="15.75" customHeight="1" x14ac:dyDescent="0.15">
      <c r="A353" s="9">
        <v>347</v>
      </c>
      <c r="B353" t="s">
        <v>75</v>
      </c>
      <c r="C353" t="s">
        <v>4267</v>
      </c>
      <c r="D353" t="s">
        <v>4685</v>
      </c>
      <c r="E353" s="9" t="s">
        <v>219</v>
      </c>
      <c r="F353" s="9">
        <v>11</v>
      </c>
      <c r="G353" s="9">
        <v>12</v>
      </c>
      <c r="H353" s="9" t="s">
        <v>4686</v>
      </c>
      <c r="I353" t="s">
        <v>171</v>
      </c>
      <c r="J353" t="s">
        <v>177</v>
      </c>
      <c r="K353" t="s">
        <v>173</v>
      </c>
      <c r="T353" t="s">
        <v>3723</v>
      </c>
      <c r="U353" t="s">
        <v>4343</v>
      </c>
      <c r="V353" t="s">
        <v>4687</v>
      </c>
      <c r="X353"/>
      <c r="Y353"/>
      <c r="Z353"/>
      <c r="AA353"/>
      <c r="AE353"/>
      <c r="AF353"/>
      <c r="AG353"/>
      <c r="AH353"/>
    </row>
    <row r="354" spans="1:34" ht="15.75" customHeight="1" x14ac:dyDescent="0.15">
      <c r="A354" s="9">
        <v>348</v>
      </c>
      <c r="B354" t="s">
        <v>75</v>
      </c>
      <c r="C354" t="s">
        <v>4267</v>
      </c>
      <c r="D354" t="s">
        <v>4688</v>
      </c>
      <c r="E354" s="9" t="s">
        <v>219</v>
      </c>
      <c r="F354" s="9">
        <v>11</v>
      </c>
      <c r="G354" s="9">
        <v>13</v>
      </c>
      <c r="H354" s="9" t="s">
        <v>4689</v>
      </c>
      <c r="I354" t="s">
        <v>171</v>
      </c>
      <c r="J354" t="s">
        <v>177</v>
      </c>
      <c r="K354" t="s">
        <v>173</v>
      </c>
      <c r="T354" t="s">
        <v>3723</v>
      </c>
      <c r="U354" t="s">
        <v>4343</v>
      </c>
      <c r="V354" t="s">
        <v>4690</v>
      </c>
      <c r="X354"/>
      <c r="Y354"/>
      <c r="Z354"/>
      <c r="AA354"/>
      <c r="AE354"/>
      <c r="AF354"/>
      <c r="AG354"/>
      <c r="AH354"/>
    </row>
    <row r="355" spans="1:34" ht="15.75" customHeight="1" x14ac:dyDescent="0.15">
      <c r="A355" s="9">
        <v>349</v>
      </c>
      <c r="B355" t="s">
        <v>75</v>
      </c>
      <c r="C355" t="s">
        <v>4267</v>
      </c>
      <c r="D355" t="s">
        <v>4691</v>
      </c>
      <c r="E355" s="9" t="s">
        <v>219</v>
      </c>
      <c r="F355" s="9">
        <v>11</v>
      </c>
      <c r="G355" s="9">
        <v>14</v>
      </c>
      <c r="H355" s="9" t="s">
        <v>4692</v>
      </c>
      <c r="I355" t="s">
        <v>171</v>
      </c>
      <c r="J355" t="s">
        <v>177</v>
      </c>
      <c r="K355" t="s">
        <v>173</v>
      </c>
      <c r="T355" t="s">
        <v>3723</v>
      </c>
      <c r="U355" t="s">
        <v>4343</v>
      </c>
      <c r="V355" t="s">
        <v>4693</v>
      </c>
      <c r="X355"/>
      <c r="Y355"/>
      <c r="Z355"/>
      <c r="AA355"/>
      <c r="AE355"/>
      <c r="AF355"/>
      <c r="AG355"/>
      <c r="AH355"/>
    </row>
    <row r="356" spans="1:34" ht="15.75" customHeight="1" x14ac:dyDescent="0.15">
      <c r="A356" s="9">
        <v>350</v>
      </c>
      <c r="B356" t="s">
        <v>75</v>
      </c>
      <c r="C356" t="s">
        <v>4267</v>
      </c>
      <c r="D356" t="s">
        <v>4694</v>
      </c>
      <c r="E356" s="9" t="s">
        <v>219</v>
      </c>
      <c r="F356" s="9">
        <v>11</v>
      </c>
      <c r="G356" s="9">
        <v>15</v>
      </c>
      <c r="H356" s="9" t="s">
        <v>4695</v>
      </c>
      <c r="I356" t="s">
        <v>171</v>
      </c>
      <c r="J356" t="s">
        <v>177</v>
      </c>
      <c r="K356" t="s">
        <v>173</v>
      </c>
      <c r="T356" t="s">
        <v>3723</v>
      </c>
      <c r="U356" t="s">
        <v>4343</v>
      </c>
      <c r="V356" t="s">
        <v>4696</v>
      </c>
      <c r="X356"/>
      <c r="Y356"/>
      <c r="Z356"/>
      <c r="AA356"/>
      <c r="AE356"/>
      <c r="AF356"/>
      <c r="AG356"/>
      <c r="AH356"/>
    </row>
    <row r="357" spans="1:34" ht="15.75" customHeight="1" x14ac:dyDescent="0.15">
      <c r="A357" s="9">
        <v>351</v>
      </c>
      <c r="B357" t="s">
        <v>75</v>
      </c>
      <c r="C357" t="s">
        <v>4267</v>
      </c>
      <c r="D357" t="s">
        <v>4697</v>
      </c>
      <c r="E357" s="9" t="s">
        <v>219</v>
      </c>
      <c r="F357" s="9">
        <v>11</v>
      </c>
      <c r="G357" s="9">
        <v>16</v>
      </c>
      <c r="H357" s="9" t="s">
        <v>4698</v>
      </c>
      <c r="I357" t="s">
        <v>171</v>
      </c>
      <c r="J357" t="s">
        <v>177</v>
      </c>
      <c r="K357" t="s">
        <v>173</v>
      </c>
      <c r="T357" t="s">
        <v>3723</v>
      </c>
      <c r="U357" t="s">
        <v>4343</v>
      </c>
      <c r="V357" t="s">
        <v>4699</v>
      </c>
      <c r="X357"/>
      <c r="Y357"/>
      <c r="Z357"/>
      <c r="AA357"/>
      <c r="AE357"/>
      <c r="AF357"/>
      <c r="AG357"/>
      <c r="AH357"/>
    </row>
    <row r="358" spans="1:34" ht="15.75" customHeight="1" x14ac:dyDescent="0.15">
      <c r="A358" s="9">
        <v>352</v>
      </c>
      <c r="B358" t="s">
        <v>75</v>
      </c>
      <c r="C358" t="s">
        <v>4267</v>
      </c>
      <c r="D358" t="s">
        <v>4700</v>
      </c>
      <c r="E358" s="9" t="s">
        <v>219</v>
      </c>
      <c r="F358" s="9">
        <v>11</v>
      </c>
      <c r="G358" s="9">
        <v>17</v>
      </c>
      <c r="H358" s="9" t="s">
        <v>4701</v>
      </c>
      <c r="I358" t="s">
        <v>171</v>
      </c>
      <c r="J358" t="s">
        <v>177</v>
      </c>
      <c r="K358" t="s">
        <v>173</v>
      </c>
      <c r="T358" t="s">
        <v>3723</v>
      </c>
      <c r="U358" t="s">
        <v>4343</v>
      </c>
      <c r="V358" t="s">
        <v>4702</v>
      </c>
      <c r="X358"/>
      <c r="Y358"/>
      <c r="Z358"/>
      <c r="AA358"/>
      <c r="AE358"/>
      <c r="AF358"/>
      <c r="AG358"/>
      <c r="AH358"/>
    </row>
    <row r="359" spans="1:34" ht="15.75" customHeight="1" x14ac:dyDescent="0.15">
      <c r="A359" s="9">
        <v>353</v>
      </c>
      <c r="B359" t="s">
        <v>75</v>
      </c>
      <c r="C359" t="s">
        <v>4267</v>
      </c>
      <c r="D359" t="s">
        <v>4703</v>
      </c>
      <c r="E359" s="9" t="s">
        <v>219</v>
      </c>
      <c r="F359" s="9">
        <v>11</v>
      </c>
      <c r="G359" s="9">
        <v>18</v>
      </c>
      <c r="H359" s="9" t="s">
        <v>4704</v>
      </c>
      <c r="I359" t="s">
        <v>171</v>
      </c>
      <c r="J359" t="s">
        <v>177</v>
      </c>
      <c r="K359" t="s">
        <v>173</v>
      </c>
      <c r="T359" t="s">
        <v>3723</v>
      </c>
      <c r="U359" t="s">
        <v>4343</v>
      </c>
      <c r="V359" t="s">
        <v>4705</v>
      </c>
      <c r="X359"/>
      <c r="Y359"/>
      <c r="Z359"/>
      <c r="AA359"/>
      <c r="AE359"/>
      <c r="AF359"/>
      <c r="AG359"/>
      <c r="AH359"/>
    </row>
    <row r="360" spans="1:34" ht="15.75" customHeight="1" x14ac:dyDescent="0.15">
      <c r="A360" s="9">
        <v>354</v>
      </c>
      <c r="B360" t="s">
        <v>75</v>
      </c>
      <c r="C360" t="s">
        <v>4267</v>
      </c>
      <c r="D360" t="s">
        <v>4706</v>
      </c>
      <c r="E360" s="9" t="s">
        <v>219</v>
      </c>
      <c r="F360" s="9">
        <v>11</v>
      </c>
      <c r="G360" s="9">
        <v>19</v>
      </c>
      <c r="H360" s="9" t="s">
        <v>4707</v>
      </c>
      <c r="I360" t="s">
        <v>171</v>
      </c>
      <c r="J360" t="s">
        <v>177</v>
      </c>
      <c r="K360" t="s">
        <v>173</v>
      </c>
      <c r="T360" t="s">
        <v>3723</v>
      </c>
      <c r="U360" t="s">
        <v>4343</v>
      </c>
      <c r="V360" t="s">
        <v>4708</v>
      </c>
      <c r="X360"/>
      <c r="Y360"/>
      <c r="Z360"/>
      <c r="AA360"/>
      <c r="AE360"/>
      <c r="AF360"/>
      <c r="AG360"/>
      <c r="AH360"/>
    </row>
    <row r="361" spans="1:34" ht="15.75" customHeight="1" x14ac:dyDescent="0.15">
      <c r="A361" s="9">
        <v>355</v>
      </c>
      <c r="B361" t="s">
        <v>75</v>
      </c>
      <c r="C361" t="s">
        <v>4267</v>
      </c>
      <c r="D361" t="s">
        <v>4709</v>
      </c>
      <c r="E361" s="9" t="s">
        <v>219</v>
      </c>
      <c r="F361" s="9">
        <v>11</v>
      </c>
      <c r="G361" s="9">
        <v>20</v>
      </c>
      <c r="H361" s="9" t="s">
        <v>4710</v>
      </c>
      <c r="I361" t="s">
        <v>171</v>
      </c>
      <c r="J361" t="s">
        <v>177</v>
      </c>
      <c r="K361" t="s">
        <v>173</v>
      </c>
      <c r="T361" t="s">
        <v>3723</v>
      </c>
      <c r="U361" t="s">
        <v>4343</v>
      </c>
      <c r="V361" t="s">
        <v>4711</v>
      </c>
      <c r="X361"/>
      <c r="Y361"/>
      <c r="Z361"/>
      <c r="AA361"/>
      <c r="AE361"/>
      <c r="AF361"/>
      <c r="AG361"/>
      <c r="AH361"/>
    </row>
    <row r="362" spans="1:34" ht="15.75" customHeight="1" x14ac:dyDescent="0.15">
      <c r="A362" s="9">
        <v>356</v>
      </c>
      <c r="B362" t="s">
        <v>75</v>
      </c>
      <c r="C362" t="s">
        <v>4267</v>
      </c>
      <c r="D362" t="s">
        <v>4712</v>
      </c>
      <c r="E362" s="9" t="s">
        <v>219</v>
      </c>
      <c r="F362" s="9">
        <v>11</v>
      </c>
      <c r="G362" s="9">
        <v>21</v>
      </c>
      <c r="H362" s="9" t="s">
        <v>4713</v>
      </c>
      <c r="I362" t="s">
        <v>171</v>
      </c>
      <c r="J362" t="s">
        <v>177</v>
      </c>
      <c r="K362" t="s">
        <v>173</v>
      </c>
      <c r="T362" t="s">
        <v>3723</v>
      </c>
      <c r="U362" t="s">
        <v>4343</v>
      </c>
      <c r="V362" t="s">
        <v>4714</v>
      </c>
      <c r="X362"/>
      <c r="Y362"/>
      <c r="Z362"/>
      <c r="AA362"/>
      <c r="AE362"/>
      <c r="AF362"/>
      <c r="AG362"/>
      <c r="AH362"/>
    </row>
    <row r="363" spans="1:34" ht="15.75" customHeight="1" x14ac:dyDescent="0.15">
      <c r="A363" s="9">
        <v>357</v>
      </c>
      <c r="B363" t="s">
        <v>75</v>
      </c>
      <c r="C363" t="s">
        <v>4267</v>
      </c>
      <c r="D363" t="s">
        <v>4715</v>
      </c>
      <c r="E363" s="9" t="s">
        <v>219</v>
      </c>
      <c r="F363" s="9">
        <v>11</v>
      </c>
      <c r="G363" s="9">
        <v>22</v>
      </c>
      <c r="H363" s="9" t="s">
        <v>4716</v>
      </c>
      <c r="I363" t="s">
        <v>171</v>
      </c>
      <c r="J363" t="s">
        <v>177</v>
      </c>
      <c r="K363" t="s">
        <v>173</v>
      </c>
      <c r="T363" t="s">
        <v>3723</v>
      </c>
      <c r="U363" t="s">
        <v>4343</v>
      </c>
      <c r="V363" t="s">
        <v>4717</v>
      </c>
      <c r="X363"/>
      <c r="Y363"/>
      <c r="Z363"/>
      <c r="AA363"/>
      <c r="AE363"/>
      <c r="AF363"/>
      <c r="AG363"/>
      <c r="AH363"/>
    </row>
    <row r="364" spans="1:34" ht="15.75" customHeight="1" x14ac:dyDescent="0.15">
      <c r="A364" s="9">
        <v>358</v>
      </c>
      <c r="B364" t="s">
        <v>75</v>
      </c>
      <c r="C364" t="s">
        <v>4267</v>
      </c>
      <c r="D364" t="s">
        <v>4718</v>
      </c>
      <c r="E364" s="9" t="s">
        <v>219</v>
      </c>
      <c r="F364" s="9">
        <v>11</v>
      </c>
      <c r="G364" s="9">
        <v>23</v>
      </c>
      <c r="H364" s="9" t="s">
        <v>4719</v>
      </c>
      <c r="I364" t="s">
        <v>171</v>
      </c>
      <c r="J364" t="s">
        <v>177</v>
      </c>
      <c r="K364" t="s">
        <v>173</v>
      </c>
      <c r="T364" t="s">
        <v>3723</v>
      </c>
      <c r="U364" t="s">
        <v>4343</v>
      </c>
      <c r="V364" t="s">
        <v>4720</v>
      </c>
      <c r="X364"/>
      <c r="Y364"/>
      <c r="Z364"/>
      <c r="AA364"/>
      <c r="AE364"/>
      <c r="AF364"/>
      <c r="AG364"/>
      <c r="AH364"/>
    </row>
    <row r="365" spans="1:34" ht="15.75" customHeight="1" x14ac:dyDescent="0.15">
      <c r="A365" s="9">
        <v>359</v>
      </c>
      <c r="B365" t="s">
        <v>75</v>
      </c>
      <c r="C365" t="s">
        <v>4267</v>
      </c>
      <c r="D365" t="s">
        <v>4721</v>
      </c>
      <c r="E365" s="9" t="s">
        <v>219</v>
      </c>
      <c r="F365" s="9">
        <v>11</v>
      </c>
      <c r="G365" s="9">
        <v>24</v>
      </c>
      <c r="H365" s="9" t="s">
        <v>4722</v>
      </c>
      <c r="I365" t="s">
        <v>171</v>
      </c>
      <c r="J365" t="s">
        <v>177</v>
      </c>
      <c r="K365" t="s">
        <v>173</v>
      </c>
      <c r="T365" t="s">
        <v>3723</v>
      </c>
      <c r="U365" t="s">
        <v>4343</v>
      </c>
      <c r="V365" t="s">
        <v>4723</v>
      </c>
      <c r="X365"/>
      <c r="Y365"/>
      <c r="Z365"/>
      <c r="AA365"/>
      <c r="AE365"/>
      <c r="AF365"/>
      <c r="AG365"/>
      <c r="AH365"/>
    </row>
    <row r="366" spans="1:34" ht="15.75" customHeight="1" x14ac:dyDescent="0.15">
      <c r="A366" s="9">
        <v>360</v>
      </c>
      <c r="B366" t="s">
        <v>75</v>
      </c>
      <c r="C366" t="s">
        <v>4267</v>
      </c>
      <c r="D366" t="s">
        <v>4724</v>
      </c>
      <c r="E366" s="9" t="s">
        <v>219</v>
      </c>
      <c r="F366" s="9">
        <v>11</v>
      </c>
      <c r="G366" s="9">
        <v>25</v>
      </c>
      <c r="H366" s="9" t="s">
        <v>4725</v>
      </c>
      <c r="I366" t="s">
        <v>171</v>
      </c>
      <c r="J366" t="s">
        <v>177</v>
      </c>
      <c r="K366" t="s">
        <v>173</v>
      </c>
      <c r="T366" t="s">
        <v>3723</v>
      </c>
      <c r="U366" t="s">
        <v>4343</v>
      </c>
      <c r="V366" t="s">
        <v>4726</v>
      </c>
      <c r="X366"/>
      <c r="Y366"/>
      <c r="Z366"/>
      <c r="AA366"/>
      <c r="AE366"/>
      <c r="AF366"/>
      <c r="AG366"/>
      <c r="AH366"/>
    </row>
    <row r="367" spans="1:34" ht="15.75" customHeight="1" x14ac:dyDescent="0.15">
      <c r="A367" s="9">
        <v>361</v>
      </c>
      <c r="B367" t="s">
        <v>75</v>
      </c>
      <c r="C367" t="s">
        <v>4267</v>
      </c>
      <c r="D367" t="s">
        <v>4727</v>
      </c>
      <c r="E367" s="9" t="s">
        <v>219</v>
      </c>
      <c r="F367" s="9">
        <v>11</v>
      </c>
      <c r="G367" s="9">
        <v>26</v>
      </c>
      <c r="H367" s="9" t="s">
        <v>4728</v>
      </c>
      <c r="I367" t="s">
        <v>171</v>
      </c>
      <c r="J367" t="s">
        <v>177</v>
      </c>
      <c r="K367" t="s">
        <v>173</v>
      </c>
      <c r="T367" t="s">
        <v>3723</v>
      </c>
      <c r="U367" t="s">
        <v>4343</v>
      </c>
      <c r="V367" t="s">
        <v>4729</v>
      </c>
      <c r="X367"/>
      <c r="Y367"/>
      <c r="Z367"/>
      <c r="AA367"/>
      <c r="AE367"/>
      <c r="AF367"/>
      <c r="AG367"/>
      <c r="AH367"/>
    </row>
    <row r="368" spans="1:34" ht="15.75" customHeight="1" x14ac:dyDescent="0.15">
      <c r="A368" s="9">
        <v>362</v>
      </c>
      <c r="B368" t="s">
        <v>75</v>
      </c>
      <c r="C368" t="s">
        <v>4267</v>
      </c>
      <c r="D368" t="s">
        <v>4730</v>
      </c>
      <c r="E368" s="9" t="s">
        <v>219</v>
      </c>
      <c r="F368" s="9">
        <v>11</v>
      </c>
      <c r="G368" s="9">
        <v>27</v>
      </c>
      <c r="H368" s="9" t="s">
        <v>4731</v>
      </c>
      <c r="I368" t="s">
        <v>171</v>
      </c>
      <c r="J368" t="s">
        <v>177</v>
      </c>
      <c r="K368" t="s">
        <v>173</v>
      </c>
      <c r="T368" t="s">
        <v>3723</v>
      </c>
      <c r="U368" t="s">
        <v>4343</v>
      </c>
      <c r="V368" t="s">
        <v>4732</v>
      </c>
      <c r="X368"/>
      <c r="Y368"/>
      <c r="Z368"/>
      <c r="AA368"/>
      <c r="AE368"/>
      <c r="AF368"/>
      <c r="AG368"/>
      <c r="AH368"/>
    </row>
    <row r="369" spans="1:34" ht="15.75" customHeight="1" x14ac:dyDescent="0.15">
      <c r="A369" s="9">
        <v>363</v>
      </c>
      <c r="B369" t="s">
        <v>75</v>
      </c>
      <c r="C369" t="s">
        <v>4267</v>
      </c>
      <c r="D369" t="s">
        <v>4733</v>
      </c>
      <c r="E369" s="9" t="s">
        <v>219</v>
      </c>
      <c r="F369" s="9">
        <v>11</v>
      </c>
      <c r="G369" s="9">
        <v>28</v>
      </c>
      <c r="H369" s="9" t="s">
        <v>4734</v>
      </c>
      <c r="I369" t="s">
        <v>171</v>
      </c>
      <c r="J369" t="s">
        <v>177</v>
      </c>
      <c r="K369" t="s">
        <v>173</v>
      </c>
      <c r="T369" t="s">
        <v>3723</v>
      </c>
      <c r="U369" t="s">
        <v>4343</v>
      </c>
      <c r="V369" t="s">
        <v>4735</v>
      </c>
      <c r="X369"/>
      <c r="Y369"/>
      <c r="Z369"/>
      <c r="AA369"/>
      <c r="AE369"/>
      <c r="AF369"/>
      <c r="AG369"/>
      <c r="AH369"/>
    </row>
    <row r="370" spans="1:34" ht="15.75" customHeight="1" x14ac:dyDescent="0.15">
      <c r="A370" s="9">
        <v>364</v>
      </c>
      <c r="B370" t="s">
        <v>75</v>
      </c>
      <c r="C370" t="s">
        <v>4267</v>
      </c>
      <c r="D370" t="s">
        <v>4736</v>
      </c>
      <c r="E370" s="9" t="s">
        <v>219</v>
      </c>
      <c r="F370" s="9">
        <v>11</v>
      </c>
      <c r="G370" s="9">
        <v>29</v>
      </c>
      <c r="H370" s="9" t="s">
        <v>4737</v>
      </c>
      <c r="I370" t="s">
        <v>171</v>
      </c>
      <c r="J370" t="s">
        <v>177</v>
      </c>
      <c r="K370" t="s">
        <v>173</v>
      </c>
      <c r="T370" t="s">
        <v>3723</v>
      </c>
      <c r="U370" t="s">
        <v>4343</v>
      </c>
      <c r="V370" t="s">
        <v>4738</v>
      </c>
      <c r="X370"/>
      <c r="Y370"/>
      <c r="Z370"/>
      <c r="AA370"/>
      <c r="AE370"/>
      <c r="AF370"/>
      <c r="AG370"/>
      <c r="AH370"/>
    </row>
    <row r="371" spans="1:34" ht="15.75" customHeight="1" x14ac:dyDescent="0.15">
      <c r="A371" s="9">
        <v>365</v>
      </c>
      <c r="B371" t="s">
        <v>75</v>
      </c>
      <c r="C371" t="s">
        <v>4267</v>
      </c>
      <c r="D371" t="s">
        <v>4739</v>
      </c>
      <c r="E371" s="9" t="s">
        <v>219</v>
      </c>
      <c r="F371" s="9">
        <v>11</v>
      </c>
      <c r="G371" s="9">
        <v>30</v>
      </c>
      <c r="H371" s="9" t="s">
        <v>4740</v>
      </c>
      <c r="I371" t="s">
        <v>171</v>
      </c>
      <c r="J371" t="s">
        <v>177</v>
      </c>
      <c r="K371" t="s">
        <v>173</v>
      </c>
      <c r="T371" t="s">
        <v>3723</v>
      </c>
      <c r="U371" t="s">
        <v>4343</v>
      </c>
      <c r="V371" t="s">
        <v>4741</v>
      </c>
      <c r="X371"/>
      <c r="Y371"/>
      <c r="Z371"/>
      <c r="AA371"/>
      <c r="AE371"/>
      <c r="AF371"/>
      <c r="AG371"/>
      <c r="AH371"/>
    </row>
    <row r="372" spans="1:34" ht="15.75" customHeight="1" x14ac:dyDescent="0.15">
      <c r="A372" s="9">
        <v>366</v>
      </c>
      <c r="B372" t="s">
        <v>75</v>
      </c>
      <c r="C372" t="s">
        <v>4267</v>
      </c>
      <c r="D372" t="s">
        <v>4742</v>
      </c>
      <c r="E372" s="9" t="s">
        <v>219</v>
      </c>
      <c r="F372" s="9">
        <v>11</v>
      </c>
      <c r="G372" s="9">
        <v>31</v>
      </c>
      <c r="H372" s="9" t="s">
        <v>4743</v>
      </c>
      <c r="I372" t="s">
        <v>171</v>
      </c>
      <c r="J372" t="s">
        <v>177</v>
      </c>
      <c r="K372" t="s">
        <v>173</v>
      </c>
      <c r="T372" t="s">
        <v>3723</v>
      </c>
      <c r="U372" t="s">
        <v>4343</v>
      </c>
      <c r="V372" t="s">
        <v>4744</v>
      </c>
      <c r="X372"/>
      <c r="Y372"/>
      <c r="Z372"/>
      <c r="AA372"/>
      <c r="AE372"/>
      <c r="AF372"/>
      <c r="AG372"/>
      <c r="AH372"/>
    </row>
    <row r="373" spans="1:34" ht="15.75" customHeight="1" x14ac:dyDescent="0.15">
      <c r="A373" s="9">
        <v>367</v>
      </c>
      <c r="C373" t="s">
        <v>4267</v>
      </c>
      <c r="D373" t="s">
        <v>4745</v>
      </c>
      <c r="E373" s="9" t="s">
        <v>219</v>
      </c>
      <c r="F373" s="9">
        <v>12</v>
      </c>
      <c r="G373" s="9"/>
      <c r="H373" s="9"/>
      <c r="I373" t="s">
        <v>196</v>
      </c>
      <c r="L373" t="s">
        <v>61</v>
      </c>
      <c r="M373">
        <v>1</v>
      </c>
      <c r="T373" t="s">
        <v>3723</v>
      </c>
      <c r="U373" t="s">
        <v>3853</v>
      </c>
      <c r="V373" t="s">
        <v>4746</v>
      </c>
      <c r="X373"/>
      <c r="Y373"/>
      <c r="Z373"/>
      <c r="AA373"/>
      <c r="AE373"/>
      <c r="AF373"/>
      <c r="AG373"/>
      <c r="AH373"/>
    </row>
    <row r="374" spans="1:34" ht="15.75" customHeight="1" x14ac:dyDescent="0.15">
      <c r="A374" s="9">
        <v>368</v>
      </c>
      <c r="B374" t="s">
        <v>75</v>
      </c>
      <c r="C374" t="s">
        <v>4267</v>
      </c>
      <c r="D374" t="s">
        <v>4747</v>
      </c>
      <c r="E374" s="9" t="s">
        <v>219</v>
      </c>
      <c r="F374" s="9">
        <v>12</v>
      </c>
      <c r="G374" s="9">
        <v>0</v>
      </c>
      <c r="H374" s="9" t="s">
        <v>4748</v>
      </c>
      <c r="I374" t="s">
        <v>171</v>
      </c>
      <c r="J374" t="s">
        <v>177</v>
      </c>
      <c r="K374" t="s">
        <v>173</v>
      </c>
      <c r="T374" t="s">
        <v>3723</v>
      </c>
      <c r="U374" t="s">
        <v>4343</v>
      </c>
      <c r="V374" t="s">
        <v>4749</v>
      </c>
      <c r="X374"/>
      <c r="Y374"/>
      <c r="Z374"/>
      <c r="AA374"/>
      <c r="AE374"/>
      <c r="AF374"/>
      <c r="AG374"/>
      <c r="AH374"/>
    </row>
    <row r="375" spans="1:34" ht="15.75" customHeight="1" x14ac:dyDescent="0.15">
      <c r="A375" s="9">
        <v>369</v>
      </c>
      <c r="B375" t="s">
        <v>75</v>
      </c>
      <c r="C375" t="s">
        <v>4267</v>
      </c>
      <c r="D375" t="s">
        <v>4750</v>
      </c>
      <c r="E375" s="9" t="s">
        <v>219</v>
      </c>
      <c r="F375" s="9">
        <v>12</v>
      </c>
      <c r="G375" s="9">
        <v>1</v>
      </c>
      <c r="H375" s="9" t="s">
        <v>4751</v>
      </c>
      <c r="I375" t="s">
        <v>171</v>
      </c>
      <c r="J375" t="s">
        <v>177</v>
      </c>
      <c r="K375" t="s">
        <v>173</v>
      </c>
      <c r="T375" t="s">
        <v>3723</v>
      </c>
      <c r="U375" t="s">
        <v>4343</v>
      </c>
      <c r="V375" t="s">
        <v>4752</v>
      </c>
      <c r="X375"/>
      <c r="Y375"/>
      <c r="Z375"/>
      <c r="AA375"/>
      <c r="AE375"/>
      <c r="AF375"/>
      <c r="AG375"/>
      <c r="AH375"/>
    </row>
    <row r="376" spans="1:34" ht="15.75" customHeight="1" x14ac:dyDescent="0.15">
      <c r="A376" s="9">
        <v>370</v>
      </c>
      <c r="B376" t="s">
        <v>75</v>
      </c>
      <c r="C376" t="s">
        <v>4267</v>
      </c>
      <c r="D376" t="s">
        <v>4753</v>
      </c>
      <c r="E376" s="9" t="s">
        <v>219</v>
      </c>
      <c r="F376" s="9">
        <v>12</v>
      </c>
      <c r="G376" s="9">
        <v>2</v>
      </c>
      <c r="H376" s="9" t="s">
        <v>4754</v>
      </c>
      <c r="I376" t="s">
        <v>171</v>
      </c>
      <c r="J376" t="s">
        <v>177</v>
      </c>
      <c r="K376" t="s">
        <v>173</v>
      </c>
      <c r="T376" t="s">
        <v>3723</v>
      </c>
      <c r="U376" t="s">
        <v>4343</v>
      </c>
      <c r="V376" t="s">
        <v>4755</v>
      </c>
      <c r="X376"/>
      <c r="Y376"/>
      <c r="Z376"/>
      <c r="AA376"/>
      <c r="AE376"/>
      <c r="AF376"/>
      <c r="AG376"/>
      <c r="AH376"/>
    </row>
    <row r="377" spans="1:34" ht="15.75" customHeight="1" x14ac:dyDescent="0.15">
      <c r="A377" s="9">
        <v>371</v>
      </c>
      <c r="B377" t="s">
        <v>75</v>
      </c>
      <c r="C377" t="s">
        <v>4267</v>
      </c>
      <c r="D377" t="s">
        <v>4756</v>
      </c>
      <c r="E377" s="9" t="s">
        <v>219</v>
      </c>
      <c r="F377" s="9">
        <v>12</v>
      </c>
      <c r="G377" s="9">
        <v>3</v>
      </c>
      <c r="H377" s="9" t="s">
        <v>4757</v>
      </c>
      <c r="I377" t="s">
        <v>171</v>
      </c>
      <c r="J377" t="s">
        <v>177</v>
      </c>
      <c r="K377" t="s">
        <v>173</v>
      </c>
      <c r="T377" t="s">
        <v>3723</v>
      </c>
      <c r="U377" t="s">
        <v>4343</v>
      </c>
      <c r="V377" t="s">
        <v>4758</v>
      </c>
      <c r="X377"/>
      <c r="Y377"/>
      <c r="Z377"/>
      <c r="AA377"/>
      <c r="AE377"/>
      <c r="AF377"/>
      <c r="AG377"/>
      <c r="AH377"/>
    </row>
    <row r="378" spans="1:34" ht="15.75" customHeight="1" x14ac:dyDescent="0.15">
      <c r="A378" s="9">
        <v>372</v>
      </c>
      <c r="B378" t="s">
        <v>75</v>
      </c>
      <c r="C378" t="s">
        <v>4267</v>
      </c>
      <c r="D378" t="s">
        <v>4759</v>
      </c>
      <c r="E378" s="9" t="s">
        <v>219</v>
      </c>
      <c r="F378" s="9">
        <v>12</v>
      </c>
      <c r="G378" s="9">
        <v>4</v>
      </c>
      <c r="H378" s="9" t="s">
        <v>4760</v>
      </c>
      <c r="I378" t="s">
        <v>171</v>
      </c>
      <c r="J378" t="s">
        <v>177</v>
      </c>
      <c r="K378" t="s">
        <v>173</v>
      </c>
      <c r="T378" t="s">
        <v>3723</v>
      </c>
      <c r="U378" t="s">
        <v>4343</v>
      </c>
      <c r="V378" t="s">
        <v>4761</v>
      </c>
      <c r="X378"/>
      <c r="Y378"/>
      <c r="Z378"/>
      <c r="AA378"/>
      <c r="AE378"/>
      <c r="AF378"/>
      <c r="AG378"/>
      <c r="AH378"/>
    </row>
    <row r="379" spans="1:34" ht="15.75" customHeight="1" x14ac:dyDescent="0.15">
      <c r="A379" s="9">
        <v>373</v>
      </c>
      <c r="B379" t="s">
        <v>75</v>
      </c>
      <c r="C379" t="s">
        <v>4267</v>
      </c>
      <c r="D379" t="s">
        <v>4762</v>
      </c>
      <c r="E379" s="9" t="s">
        <v>219</v>
      </c>
      <c r="F379" s="9">
        <v>12</v>
      </c>
      <c r="G379" s="9">
        <v>5</v>
      </c>
      <c r="H379" s="9" t="s">
        <v>4763</v>
      </c>
      <c r="I379" t="s">
        <v>171</v>
      </c>
      <c r="J379" t="s">
        <v>177</v>
      </c>
      <c r="K379" t="s">
        <v>173</v>
      </c>
      <c r="T379" t="s">
        <v>3723</v>
      </c>
      <c r="U379" t="s">
        <v>4343</v>
      </c>
      <c r="V379" t="s">
        <v>4764</v>
      </c>
      <c r="X379"/>
      <c r="Y379"/>
      <c r="Z379"/>
      <c r="AA379"/>
      <c r="AE379"/>
      <c r="AF379"/>
      <c r="AG379"/>
      <c r="AH379"/>
    </row>
    <row r="380" spans="1:34" ht="15.75" customHeight="1" x14ac:dyDescent="0.15">
      <c r="A380" s="9">
        <v>374</v>
      </c>
      <c r="B380" t="s">
        <v>75</v>
      </c>
      <c r="C380" t="s">
        <v>4267</v>
      </c>
      <c r="D380" t="s">
        <v>4765</v>
      </c>
      <c r="E380" s="9" t="s">
        <v>219</v>
      </c>
      <c r="F380" s="9">
        <v>12</v>
      </c>
      <c r="G380" s="9">
        <v>6</v>
      </c>
      <c r="H380" s="9" t="s">
        <v>4766</v>
      </c>
      <c r="I380" t="s">
        <v>171</v>
      </c>
      <c r="J380" t="s">
        <v>177</v>
      </c>
      <c r="K380" t="s">
        <v>173</v>
      </c>
      <c r="T380" t="s">
        <v>3723</v>
      </c>
      <c r="U380" t="s">
        <v>4343</v>
      </c>
      <c r="V380" t="s">
        <v>4767</v>
      </c>
      <c r="X380"/>
      <c r="Y380"/>
      <c r="Z380"/>
      <c r="AA380"/>
      <c r="AE380"/>
      <c r="AF380"/>
      <c r="AG380"/>
      <c r="AH380"/>
    </row>
    <row r="381" spans="1:34" ht="15.75" customHeight="1" x14ac:dyDescent="0.15">
      <c r="A381" s="9">
        <v>375</v>
      </c>
      <c r="B381" t="s">
        <v>75</v>
      </c>
      <c r="C381" t="s">
        <v>4267</v>
      </c>
      <c r="D381" t="s">
        <v>4768</v>
      </c>
      <c r="E381" s="9" t="s">
        <v>219</v>
      </c>
      <c r="F381" s="9">
        <v>12</v>
      </c>
      <c r="G381" s="9">
        <v>7</v>
      </c>
      <c r="H381" s="9" t="s">
        <v>4769</v>
      </c>
      <c r="I381" t="s">
        <v>171</v>
      </c>
      <c r="J381" t="s">
        <v>177</v>
      </c>
      <c r="K381" t="s">
        <v>173</v>
      </c>
      <c r="T381" t="s">
        <v>3723</v>
      </c>
      <c r="U381" t="s">
        <v>4343</v>
      </c>
      <c r="V381" t="s">
        <v>4770</v>
      </c>
      <c r="X381"/>
      <c r="Y381"/>
      <c r="Z381"/>
      <c r="AA381"/>
      <c r="AE381"/>
      <c r="AF381"/>
      <c r="AG381"/>
      <c r="AH381"/>
    </row>
    <row r="382" spans="1:34" ht="15.75" customHeight="1" x14ac:dyDescent="0.15">
      <c r="A382" s="9">
        <v>376</v>
      </c>
      <c r="B382" t="s">
        <v>75</v>
      </c>
      <c r="C382" t="s">
        <v>4267</v>
      </c>
      <c r="D382" t="s">
        <v>4771</v>
      </c>
      <c r="E382" s="9" t="s">
        <v>219</v>
      </c>
      <c r="F382" s="9">
        <v>12</v>
      </c>
      <c r="G382" s="9">
        <v>8</v>
      </c>
      <c r="H382" s="9" t="s">
        <v>4772</v>
      </c>
      <c r="I382" t="s">
        <v>171</v>
      </c>
      <c r="J382" t="s">
        <v>177</v>
      </c>
      <c r="K382" t="s">
        <v>173</v>
      </c>
      <c r="T382" t="s">
        <v>3723</v>
      </c>
      <c r="U382" t="s">
        <v>4343</v>
      </c>
      <c r="V382" t="s">
        <v>4773</v>
      </c>
      <c r="X382"/>
      <c r="Y382"/>
      <c r="Z382"/>
      <c r="AA382"/>
      <c r="AE382"/>
      <c r="AF382"/>
      <c r="AG382"/>
      <c r="AH382"/>
    </row>
    <row r="383" spans="1:34" ht="15.75" customHeight="1" x14ac:dyDescent="0.15">
      <c r="A383" s="9">
        <v>377</v>
      </c>
      <c r="B383" t="s">
        <v>75</v>
      </c>
      <c r="C383" t="s">
        <v>4267</v>
      </c>
      <c r="D383" t="s">
        <v>4774</v>
      </c>
      <c r="E383" s="9" t="s">
        <v>219</v>
      </c>
      <c r="F383" s="9">
        <v>12</v>
      </c>
      <c r="G383" s="9">
        <v>9</v>
      </c>
      <c r="H383" s="9" t="s">
        <v>4775</v>
      </c>
      <c r="I383" t="s">
        <v>171</v>
      </c>
      <c r="J383" t="s">
        <v>177</v>
      </c>
      <c r="K383" t="s">
        <v>173</v>
      </c>
      <c r="T383" t="s">
        <v>3723</v>
      </c>
      <c r="U383" t="s">
        <v>4343</v>
      </c>
      <c r="V383" t="s">
        <v>4776</v>
      </c>
      <c r="X383"/>
      <c r="Y383"/>
      <c r="Z383"/>
      <c r="AA383"/>
      <c r="AE383"/>
      <c r="AF383"/>
      <c r="AG383"/>
      <c r="AH383"/>
    </row>
    <row r="384" spans="1:34" ht="15.75" customHeight="1" x14ac:dyDescent="0.15">
      <c r="A384" s="9">
        <v>378</v>
      </c>
      <c r="B384" t="s">
        <v>75</v>
      </c>
      <c r="C384" t="s">
        <v>4267</v>
      </c>
      <c r="D384" t="s">
        <v>4777</v>
      </c>
      <c r="E384" s="9" t="s">
        <v>219</v>
      </c>
      <c r="F384" s="9">
        <v>12</v>
      </c>
      <c r="G384" s="9">
        <v>10</v>
      </c>
      <c r="H384" s="9" t="s">
        <v>4778</v>
      </c>
      <c r="I384" t="s">
        <v>171</v>
      </c>
      <c r="J384" t="s">
        <v>177</v>
      </c>
      <c r="K384" t="s">
        <v>173</v>
      </c>
      <c r="T384" t="s">
        <v>3723</v>
      </c>
      <c r="U384" t="s">
        <v>4343</v>
      </c>
      <c r="V384" t="s">
        <v>4779</v>
      </c>
      <c r="X384"/>
      <c r="Y384"/>
      <c r="Z384"/>
      <c r="AA384"/>
      <c r="AE384"/>
      <c r="AF384"/>
      <c r="AG384"/>
      <c r="AH384"/>
    </row>
    <row r="385" spans="1:34" ht="15.75" customHeight="1" x14ac:dyDescent="0.15">
      <c r="A385" s="9">
        <v>379</v>
      </c>
      <c r="B385" t="s">
        <v>75</v>
      </c>
      <c r="C385" t="s">
        <v>4267</v>
      </c>
      <c r="D385" t="s">
        <v>4780</v>
      </c>
      <c r="E385" s="9" t="s">
        <v>219</v>
      </c>
      <c r="F385" s="9">
        <v>12</v>
      </c>
      <c r="G385" s="9">
        <v>11</v>
      </c>
      <c r="H385" s="9" t="s">
        <v>4781</v>
      </c>
      <c r="I385" t="s">
        <v>171</v>
      </c>
      <c r="J385" t="s">
        <v>177</v>
      </c>
      <c r="K385" t="s">
        <v>173</v>
      </c>
      <c r="T385" t="s">
        <v>3723</v>
      </c>
      <c r="U385" t="s">
        <v>4343</v>
      </c>
      <c r="V385" t="s">
        <v>4782</v>
      </c>
      <c r="X385"/>
      <c r="Y385"/>
      <c r="Z385"/>
      <c r="AA385"/>
      <c r="AE385"/>
      <c r="AF385"/>
      <c r="AG385"/>
      <c r="AH385"/>
    </row>
    <row r="386" spans="1:34" ht="15.75" customHeight="1" x14ac:dyDescent="0.15">
      <c r="A386" s="9">
        <v>380</v>
      </c>
      <c r="B386" t="s">
        <v>75</v>
      </c>
      <c r="C386" t="s">
        <v>4267</v>
      </c>
      <c r="D386" t="s">
        <v>4783</v>
      </c>
      <c r="E386" s="9" t="s">
        <v>219</v>
      </c>
      <c r="F386" s="9">
        <v>12</v>
      </c>
      <c r="G386" s="9">
        <v>12</v>
      </c>
      <c r="H386" s="9" t="s">
        <v>4784</v>
      </c>
      <c r="I386" t="s">
        <v>171</v>
      </c>
      <c r="J386" t="s">
        <v>177</v>
      </c>
      <c r="K386" t="s">
        <v>173</v>
      </c>
      <c r="T386" t="s">
        <v>3723</v>
      </c>
      <c r="U386" t="s">
        <v>4343</v>
      </c>
      <c r="V386" t="s">
        <v>4785</v>
      </c>
      <c r="X386"/>
      <c r="Y386"/>
      <c r="Z386"/>
      <c r="AA386"/>
      <c r="AE386"/>
      <c r="AF386"/>
      <c r="AG386"/>
      <c r="AH386"/>
    </row>
    <row r="387" spans="1:34" ht="15.75" customHeight="1" x14ac:dyDescent="0.15">
      <c r="A387" s="9">
        <v>381</v>
      </c>
      <c r="B387" t="s">
        <v>75</v>
      </c>
      <c r="C387" t="s">
        <v>4267</v>
      </c>
      <c r="D387" t="s">
        <v>4786</v>
      </c>
      <c r="E387" s="9" t="s">
        <v>219</v>
      </c>
      <c r="F387" s="9">
        <v>12</v>
      </c>
      <c r="G387" s="9">
        <v>13</v>
      </c>
      <c r="H387" s="9" t="s">
        <v>4787</v>
      </c>
      <c r="I387" t="s">
        <v>171</v>
      </c>
      <c r="J387" t="s">
        <v>177</v>
      </c>
      <c r="K387" t="s">
        <v>173</v>
      </c>
      <c r="T387" t="s">
        <v>3723</v>
      </c>
      <c r="U387" t="s">
        <v>4343</v>
      </c>
      <c r="V387" t="s">
        <v>4788</v>
      </c>
      <c r="X387"/>
      <c r="Y387"/>
      <c r="Z387"/>
      <c r="AA387"/>
      <c r="AE387"/>
      <c r="AF387"/>
      <c r="AG387"/>
      <c r="AH387"/>
    </row>
    <row r="388" spans="1:34" ht="15.75" customHeight="1" x14ac:dyDescent="0.15">
      <c r="A388" s="9">
        <v>382</v>
      </c>
      <c r="B388" t="s">
        <v>75</v>
      </c>
      <c r="C388" t="s">
        <v>4267</v>
      </c>
      <c r="D388" t="s">
        <v>4789</v>
      </c>
      <c r="E388" s="9" t="s">
        <v>219</v>
      </c>
      <c r="F388" s="9">
        <v>12</v>
      </c>
      <c r="G388" s="9">
        <v>14</v>
      </c>
      <c r="H388" s="9" t="s">
        <v>4790</v>
      </c>
      <c r="I388" t="s">
        <v>171</v>
      </c>
      <c r="J388" t="s">
        <v>177</v>
      </c>
      <c r="K388" t="s">
        <v>173</v>
      </c>
      <c r="T388" t="s">
        <v>3723</v>
      </c>
      <c r="U388" t="s">
        <v>4343</v>
      </c>
      <c r="V388" t="s">
        <v>4791</v>
      </c>
      <c r="X388"/>
      <c r="Y388"/>
      <c r="Z388"/>
      <c r="AA388"/>
      <c r="AE388"/>
      <c r="AF388"/>
      <c r="AG388"/>
      <c r="AH388"/>
    </row>
    <row r="389" spans="1:34" ht="15.75" customHeight="1" x14ac:dyDescent="0.15">
      <c r="A389" s="9">
        <v>383</v>
      </c>
      <c r="B389" t="s">
        <v>75</v>
      </c>
      <c r="C389" t="s">
        <v>4267</v>
      </c>
      <c r="D389" t="s">
        <v>4792</v>
      </c>
      <c r="E389" s="9" t="s">
        <v>219</v>
      </c>
      <c r="F389" s="9">
        <v>12</v>
      </c>
      <c r="G389" s="9">
        <v>15</v>
      </c>
      <c r="H389" s="9" t="s">
        <v>4793</v>
      </c>
      <c r="I389" t="s">
        <v>171</v>
      </c>
      <c r="J389" t="s">
        <v>177</v>
      </c>
      <c r="K389" t="s">
        <v>173</v>
      </c>
      <c r="T389" t="s">
        <v>3723</v>
      </c>
      <c r="U389" t="s">
        <v>4343</v>
      </c>
      <c r="V389" t="s">
        <v>4794</v>
      </c>
      <c r="X389"/>
      <c r="Y389"/>
      <c r="Z389"/>
      <c r="AA389"/>
      <c r="AE389"/>
      <c r="AF389"/>
      <c r="AG389"/>
      <c r="AH389"/>
    </row>
    <row r="390" spans="1:34" ht="15.75" customHeight="1" x14ac:dyDescent="0.15">
      <c r="A390" s="9">
        <v>384</v>
      </c>
      <c r="B390" t="s">
        <v>75</v>
      </c>
      <c r="C390" t="s">
        <v>4267</v>
      </c>
      <c r="D390" t="s">
        <v>4795</v>
      </c>
      <c r="E390" s="9" t="s">
        <v>219</v>
      </c>
      <c r="F390" s="9">
        <v>12</v>
      </c>
      <c r="G390" s="9">
        <v>16</v>
      </c>
      <c r="H390" s="9" t="s">
        <v>4796</v>
      </c>
      <c r="I390" t="s">
        <v>171</v>
      </c>
      <c r="J390" t="s">
        <v>177</v>
      </c>
      <c r="K390" t="s">
        <v>173</v>
      </c>
      <c r="T390" t="s">
        <v>3723</v>
      </c>
      <c r="U390" t="s">
        <v>4343</v>
      </c>
      <c r="V390" t="s">
        <v>4797</v>
      </c>
      <c r="X390"/>
      <c r="Y390"/>
      <c r="Z390"/>
      <c r="AA390"/>
      <c r="AE390"/>
      <c r="AF390"/>
      <c r="AG390"/>
      <c r="AH390"/>
    </row>
    <row r="391" spans="1:34" ht="15.75" customHeight="1" x14ac:dyDescent="0.15">
      <c r="A391" s="9">
        <v>385</v>
      </c>
      <c r="B391" t="s">
        <v>75</v>
      </c>
      <c r="C391" t="s">
        <v>4267</v>
      </c>
      <c r="D391" t="s">
        <v>4798</v>
      </c>
      <c r="E391" s="9" t="s">
        <v>219</v>
      </c>
      <c r="F391" s="9">
        <v>12</v>
      </c>
      <c r="G391" s="9">
        <v>17</v>
      </c>
      <c r="H391" s="9" t="s">
        <v>4799</v>
      </c>
      <c r="I391" t="s">
        <v>171</v>
      </c>
      <c r="J391" t="s">
        <v>177</v>
      </c>
      <c r="K391" t="s">
        <v>173</v>
      </c>
      <c r="T391" t="s">
        <v>3723</v>
      </c>
      <c r="U391" t="s">
        <v>4343</v>
      </c>
      <c r="V391" t="s">
        <v>4800</v>
      </c>
      <c r="X391"/>
      <c r="Y391"/>
      <c r="Z391"/>
      <c r="AA391"/>
      <c r="AE391"/>
      <c r="AF391"/>
      <c r="AG391"/>
      <c r="AH391"/>
    </row>
    <row r="392" spans="1:34" ht="15.75" customHeight="1" x14ac:dyDescent="0.15">
      <c r="A392" s="9">
        <v>386</v>
      </c>
      <c r="B392" t="s">
        <v>75</v>
      </c>
      <c r="C392" t="s">
        <v>4267</v>
      </c>
      <c r="D392" t="s">
        <v>4801</v>
      </c>
      <c r="E392" s="9" t="s">
        <v>219</v>
      </c>
      <c r="F392" s="9">
        <v>12</v>
      </c>
      <c r="G392" s="9">
        <v>18</v>
      </c>
      <c r="H392" s="9" t="s">
        <v>4802</v>
      </c>
      <c r="I392" t="s">
        <v>171</v>
      </c>
      <c r="J392" t="s">
        <v>177</v>
      </c>
      <c r="K392" t="s">
        <v>173</v>
      </c>
      <c r="T392" t="s">
        <v>3723</v>
      </c>
      <c r="U392" t="s">
        <v>4343</v>
      </c>
      <c r="V392" t="s">
        <v>4803</v>
      </c>
      <c r="X392"/>
      <c r="Y392"/>
      <c r="Z392"/>
      <c r="AA392"/>
      <c r="AE392"/>
      <c r="AF392"/>
      <c r="AG392"/>
      <c r="AH392"/>
    </row>
    <row r="393" spans="1:34" ht="15.75" customHeight="1" x14ac:dyDescent="0.15">
      <c r="A393" s="9">
        <v>387</v>
      </c>
      <c r="B393" t="s">
        <v>75</v>
      </c>
      <c r="C393" t="s">
        <v>4267</v>
      </c>
      <c r="D393" t="s">
        <v>4804</v>
      </c>
      <c r="E393" s="9" t="s">
        <v>219</v>
      </c>
      <c r="F393" s="9">
        <v>12</v>
      </c>
      <c r="G393" s="9">
        <v>19</v>
      </c>
      <c r="H393" s="9" t="s">
        <v>4805</v>
      </c>
      <c r="I393" t="s">
        <v>171</v>
      </c>
      <c r="J393" t="s">
        <v>177</v>
      </c>
      <c r="K393" t="s">
        <v>173</v>
      </c>
      <c r="T393" t="s">
        <v>3723</v>
      </c>
      <c r="U393" t="s">
        <v>4343</v>
      </c>
      <c r="V393" t="s">
        <v>4806</v>
      </c>
      <c r="X393"/>
      <c r="Y393"/>
      <c r="Z393"/>
      <c r="AA393"/>
      <c r="AE393"/>
      <c r="AF393"/>
      <c r="AG393"/>
      <c r="AH393"/>
    </row>
    <row r="394" spans="1:34" ht="15.75" customHeight="1" x14ac:dyDescent="0.15">
      <c r="A394" s="9">
        <v>388</v>
      </c>
      <c r="C394" t="s">
        <v>4267</v>
      </c>
      <c r="D394" t="s">
        <v>4807</v>
      </c>
      <c r="E394" s="9" t="s">
        <v>219</v>
      </c>
      <c r="F394" s="9">
        <v>13</v>
      </c>
      <c r="G394" s="9"/>
      <c r="H394" s="9"/>
      <c r="I394" t="s">
        <v>196</v>
      </c>
      <c r="L394" t="s">
        <v>61</v>
      </c>
      <c r="M394">
        <v>1</v>
      </c>
      <c r="T394" t="s">
        <v>3723</v>
      </c>
      <c r="U394" t="s">
        <v>3853</v>
      </c>
      <c r="V394" t="s">
        <v>4808</v>
      </c>
      <c r="X394"/>
      <c r="Y394"/>
      <c r="Z394"/>
      <c r="AA394"/>
      <c r="AE394"/>
      <c r="AF394"/>
      <c r="AG394"/>
      <c r="AH394"/>
    </row>
    <row r="395" spans="1:34" ht="15.75" customHeight="1" x14ac:dyDescent="0.15">
      <c r="A395" s="9">
        <v>389</v>
      </c>
      <c r="B395" t="s">
        <v>75</v>
      </c>
      <c r="C395" t="s">
        <v>4267</v>
      </c>
      <c r="D395" t="s">
        <v>4809</v>
      </c>
      <c r="E395" s="9" t="s">
        <v>219</v>
      </c>
      <c r="F395" s="9">
        <v>13</v>
      </c>
      <c r="G395" s="9">
        <v>0</v>
      </c>
      <c r="H395" s="9" t="s">
        <v>4810</v>
      </c>
      <c r="I395" t="s">
        <v>171</v>
      </c>
      <c r="J395" t="s">
        <v>177</v>
      </c>
      <c r="K395" t="s">
        <v>173</v>
      </c>
      <c r="T395" t="s">
        <v>3723</v>
      </c>
      <c r="U395" t="s">
        <v>4343</v>
      </c>
      <c r="V395" t="s">
        <v>4811</v>
      </c>
      <c r="X395"/>
      <c r="Y395"/>
      <c r="Z395"/>
      <c r="AA395"/>
      <c r="AE395"/>
      <c r="AF395"/>
      <c r="AG395"/>
      <c r="AH395"/>
    </row>
    <row r="396" spans="1:34" ht="15.75" customHeight="1" x14ac:dyDescent="0.15">
      <c r="A396" s="9">
        <v>390</v>
      </c>
      <c r="B396" t="s">
        <v>75</v>
      </c>
      <c r="C396" t="s">
        <v>4267</v>
      </c>
      <c r="D396" t="s">
        <v>4812</v>
      </c>
      <c r="E396" s="9" t="s">
        <v>219</v>
      </c>
      <c r="F396" s="9">
        <v>13</v>
      </c>
      <c r="G396" s="9">
        <v>1</v>
      </c>
      <c r="H396" s="9" t="s">
        <v>4813</v>
      </c>
      <c r="I396" t="s">
        <v>171</v>
      </c>
      <c r="J396" t="s">
        <v>177</v>
      </c>
      <c r="K396" t="s">
        <v>173</v>
      </c>
      <c r="T396" t="s">
        <v>3723</v>
      </c>
      <c r="U396" t="s">
        <v>4343</v>
      </c>
      <c r="V396" t="s">
        <v>4814</v>
      </c>
      <c r="X396"/>
      <c r="Y396"/>
      <c r="Z396"/>
      <c r="AA396"/>
      <c r="AE396"/>
      <c r="AF396"/>
      <c r="AG396"/>
      <c r="AH396"/>
    </row>
    <row r="397" spans="1:34" ht="15.75" customHeight="1" x14ac:dyDescent="0.15">
      <c r="A397" s="9">
        <v>391</v>
      </c>
      <c r="B397" t="s">
        <v>75</v>
      </c>
      <c r="C397" t="s">
        <v>4267</v>
      </c>
      <c r="D397" t="s">
        <v>4815</v>
      </c>
      <c r="E397" s="9" t="s">
        <v>219</v>
      </c>
      <c r="F397" s="9">
        <v>13</v>
      </c>
      <c r="G397" s="9">
        <v>2</v>
      </c>
      <c r="H397" s="9" t="s">
        <v>4816</v>
      </c>
      <c r="I397" t="s">
        <v>171</v>
      </c>
      <c r="J397" t="s">
        <v>177</v>
      </c>
      <c r="K397" t="s">
        <v>173</v>
      </c>
      <c r="T397" t="s">
        <v>3723</v>
      </c>
      <c r="U397" t="s">
        <v>4343</v>
      </c>
      <c r="V397" t="s">
        <v>4817</v>
      </c>
      <c r="X397"/>
      <c r="Y397"/>
      <c r="Z397"/>
      <c r="AA397"/>
      <c r="AE397"/>
      <c r="AF397"/>
      <c r="AG397"/>
      <c r="AH397"/>
    </row>
    <row r="398" spans="1:34" ht="15.75" customHeight="1" x14ac:dyDescent="0.15">
      <c r="A398" s="9">
        <v>392</v>
      </c>
      <c r="B398" t="s">
        <v>75</v>
      </c>
      <c r="C398" t="s">
        <v>4267</v>
      </c>
      <c r="D398" t="s">
        <v>4818</v>
      </c>
      <c r="E398" s="9" t="s">
        <v>219</v>
      </c>
      <c r="F398" s="9">
        <v>13</v>
      </c>
      <c r="G398" s="9">
        <v>3</v>
      </c>
      <c r="H398" s="9" t="s">
        <v>4819</v>
      </c>
      <c r="I398" t="s">
        <v>171</v>
      </c>
      <c r="J398" t="s">
        <v>177</v>
      </c>
      <c r="K398" t="s">
        <v>173</v>
      </c>
      <c r="T398" t="s">
        <v>3723</v>
      </c>
      <c r="U398" t="s">
        <v>4343</v>
      </c>
      <c r="V398" t="s">
        <v>4820</v>
      </c>
      <c r="X398"/>
      <c r="Y398"/>
      <c r="Z398"/>
      <c r="AA398"/>
      <c r="AE398"/>
      <c r="AF398"/>
      <c r="AG398"/>
      <c r="AH398"/>
    </row>
    <row r="399" spans="1:34" ht="15.75" customHeight="1" x14ac:dyDescent="0.15">
      <c r="A399" s="9">
        <v>393</v>
      </c>
      <c r="B399" t="s">
        <v>75</v>
      </c>
      <c r="C399" t="s">
        <v>4267</v>
      </c>
      <c r="D399" t="s">
        <v>4821</v>
      </c>
      <c r="E399" s="9" t="s">
        <v>219</v>
      </c>
      <c r="F399" s="9">
        <v>13</v>
      </c>
      <c r="G399" s="9">
        <v>4</v>
      </c>
      <c r="H399" s="9" t="s">
        <v>4822</v>
      </c>
      <c r="I399" t="s">
        <v>171</v>
      </c>
      <c r="J399" t="s">
        <v>177</v>
      </c>
      <c r="K399" t="s">
        <v>173</v>
      </c>
      <c r="T399" t="s">
        <v>3723</v>
      </c>
      <c r="U399" t="s">
        <v>4343</v>
      </c>
      <c r="V399" t="s">
        <v>4823</v>
      </c>
      <c r="X399"/>
      <c r="Y399"/>
      <c r="Z399"/>
      <c r="AA399"/>
      <c r="AE399"/>
      <c r="AF399"/>
      <c r="AG399"/>
      <c r="AH399"/>
    </row>
    <row r="400" spans="1:34" ht="15.75" customHeight="1" x14ac:dyDescent="0.15">
      <c r="A400" s="9">
        <v>394</v>
      </c>
      <c r="B400" t="s">
        <v>75</v>
      </c>
      <c r="C400" t="s">
        <v>4267</v>
      </c>
      <c r="D400" t="s">
        <v>4824</v>
      </c>
      <c r="E400" s="9" t="s">
        <v>219</v>
      </c>
      <c r="F400" s="9">
        <v>13</v>
      </c>
      <c r="G400" s="9">
        <v>5</v>
      </c>
      <c r="H400" s="9" t="s">
        <v>4825</v>
      </c>
      <c r="I400" t="s">
        <v>171</v>
      </c>
      <c r="J400" t="s">
        <v>177</v>
      </c>
      <c r="K400" t="s">
        <v>173</v>
      </c>
      <c r="T400" t="s">
        <v>3723</v>
      </c>
      <c r="U400" t="s">
        <v>4343</v>
      </c>
      <c r="V400" t="s">
        <v>4826</v>
      </c>
      <c r="X400"/>
      <c r="Y400"/>
      <c r="Z400"/>
      <c r="AA400"/>
      <c r="AE400"/>
      <c r="AF400"/>
      <c r="AG400"/>
      <c r="AH400"/>
    </row>
    <row r="401" spans="1:34" ht="15.75" customHeight="1" x14ac:dyDescent="0.15">
      <c r="A401" s="9">
        <v>395</v>
      </c>
      <c r="B401" t="s">
        <v>75</v>
      </c>
      <c r="C401" t="s">
        <v>4267</v>
      </c>
      <c r="D401" t="s">
        <v>4827</v>
      </c>
      <c r="E401" s="9" t="s">
        <v>219</v>
      </c>
      <c r="F401" s="9">
        <v>13</v>
      </c>
      <c r="G401" s="9">
        <v>6</v>
      </c>
      <c r="H401" s="9" t="s">
        <v>4828</v>
      </c>
      <c r="I401" t="s">
        <v>171</v>
      </c>
      <c r="J401" t="s">
        <v>177</v>
      </c>
      <c r="K401" t="s">
        <v>173</v>
      </c>
      <c r="T401" t="s">
        <v>3723</v>
      </c>
      <c r="U401" t="s">
        <v>4343</v>
      </c>
      <c r="V401" t="s">
        <v>4829</v>
      </c>
      <c r="X401"/>
      <c r="Y401"/>
      <c r="Z401"/>
      <c r="AA401"/>
      <c r="AE401"/>
      <c r="AF401"/>
      <c r="AG401"/>
      <c r="AH401"/>
    </row>
    <row r="402" spans="1:34" ht="15.75" customHeight="1" x14ac:dyDescent="0.15">
      <c r="A402" s="9">
        <v>396</v>
      </c>
      <c r="B402" t="s">
        <v>75</v>
      </c>
      <c r="C402" t="s">
        <v>4267</v>
      </c>
      <c r="D402" t="s">
        <v>4830</v>
      </c>
      <c r="E402" s="9" t="s">
        <v>219</v>
      </c>
      <c r="F402" s="9">
        <v>13</v>
      </c>
      <c r="G402" s="9">
        <v>7</v>
      </c>
      <c r="H402" s="9" t="s">
        <v>4831</v>
      </c>
      <c r="I402" t="s">
        <v>171</v>
      </c>
      <c r="J402" t="s">
        <v>177</v>
      </c>
      <c r="K402" t="s">
        <v>173</v>
      </c>
      <c r="T402" t="s">
        <v>3723</v>
      </c>
      <c r="U402" t="s">
        <v>4343</v>
      </c>
      <c r="V402" t="s">
        <v>4832</v>
      </c>
      <c r="X402"/>
      <c r="Y402"/>
      <c r="Z402"/>
      <c r="AA402"/>
      <c r="AE402"/>
      <c r="AF402"/>
      <c r="AG402"/>
      <c r="AH402"/>
    </row>
    <row r="403" spans="1:34" ht="15.75" customHeight="1" x14ac:dyDescent="0.15">
      <c r="A403" s="9">
        <v>397</v>
      </c>
      <c r="B403" t="s">
        <v>75</v>
      </c>
      <c r="C403" t="s">
        <v>4267</v>
      </c>
      <c r="D403" t="s">
        <v>4833</v>
      </c>
      <c r="E403" s="9" t="s">
        <v>219</v>
      </c>
      <c r="F403" s="9">
        <v>13</v>
      </c>
      <c r="G403" s="9">
        <v>8</v>
      </c>
      <c r="H403" s="9" t="s">
        <v>4834</v>
      </c>
      <c r="I403" t="s">
        <v>171</v>
      </c>
      <c r="J403" t="s">
        <v>177</v>
      </c>
      <c r="K403" t="s">
        <v>173</v>
      </c>
      <c r="T403" t="s">
        <v>3723</v>
      </c>
      <c r="U403" t="s">
        <v>4343</v>
      </c>
      <c r="V403" t="s">
        <v>4835</v>
      </c>
      <c r="X403"/>
      <c r="Y403"/>
      <c r="Z403"/>
      <c r="AA403"/>
      <c r="AE403"/>
      <c r="AF403"/>
      <c r="AG403"/>
      <c r="AH403"/>
    </row>
    <row r="404" spans="1:34" ht="15.75" customHeight="1" x14ac:dyDescent="0.15">
      <c r="A404" s="9">
        <v>398</v>
      </c>
      <c r="B404" t="s">
        <v>75</v>
      </c>
      <c r="C404" t="s">
        <v>4267</v>
      </c>
      <c r="D404" t="s">
        <v>4836</v>
      </c>
      <c r="E404" s="9" t="s">
        <v>219</v>
      </c>
      <c r="F404" s="9">
        <v>13</v>
      </c>
      <c r="G404" s="9">
        <v>9</v>
      </c>
      <c r="H404" s="9" t="s">
        <v>4837</v>
      </c>
      <c r="I404" t="s">
        <v>171</v>
      </c>
      <c r="J404" t="s">
        <v>177</v>
      </c>
      <c r="K404" t="s">
        <v>173</v>
      </c>
      <c r="T404" t="s">
        <v>3723</v>
      </c>
      <c r="U404" t="s">
        <v>4343</v>
      </c>
      <c r="V404" t="s">
        <v>4838</v>
      </c>
      <c r="X404"/>
      <c r="Y404"/>
      <c r="Z404"/>
      <c r="AA404"/>
      <c r="AE404"/>
      <c r="AF404"/>
      <c r="AG404"/>
      <c r="AH404"/>
    </row>
    <row r="405" spans="1:34" ht="15.75" customHeight="1" x14ac:dyDescent="0.15">
      <c r="A405" s="9">
        <v>399</v>
      </c>
      <c r="B405" t="s">
        <v>75</v>
      </c>
      <c r="C405" t="s">
        <v>4267</v>
      </c>
      <c r="D405" t="s">
        <v>4839</v>
      </c>
      <c r="E405" s="9" t="s">
        <v>219</v>
      </c>
      <c r="F405" s="9">
        <v>13</v>
      </c>
      <c r="G405" s="9">
        <v>10</v>
      </c>
      <c r="H405" s="9" t="s">
        <v>4840</v>
      </c>
      <c r="I405" t="s">
        <v>171</v>
      </c>
      <c r="J405" t="s">
        <v>177</v>
      </c>
      <c r="K405" t="s">
        <v>173</v>
      </c>
      <c r="T405" t="s">
        <v>3723</v>
      </c>
      <c r="U405" t="s">
        <v>4343</v>
      </c>
      <c r="V405" t="s">
        <v>4841</v>
      </c>
      <c r="X405"/>
      <c r="Y405"/>
      <c r="Z405"/>
      <c r="AA405"/>
      <c r="AE405"/>
      <c r="AF405"/>
      <c r="AG405"/>
      <c r="AH405"/>
    </row>
    <row r="406" spans="1:34" ht="15.75" customHeight="1" x14ac:dyDescent="0.15">
      <c r="A406" s="9">
        <v>400</v>
      </c>
      <c r="B406" t="s">
        <v>75</v>
      </c>
      <c r="C406" t="s">
        <v>4267</v>
      </c>
      <c r="D406" t="s">
        <v>4842</v>
      </c>
      <c r="E406" s="9" t="s">
        <v>219</v>
      </c>
      <c r="F406" s="9">
        <v>13</v>
      </c>
      <c r="G406" s="9">
        <v>11</v>
      </c>
      <c r="H406" s="9" t="s">
        <v>4843</v>
      </c>
      <c r="I406" t="s">
        <v>171</v>
      </c>
      <c r="J406" t="s">
        <v>177</v>
      </c>
      <c r="K406" t="s">
        <v>173</v>
      </c>
      <c r="T406" t="s">
        <v>3723</v>
      </c>
      <c r="U406" t="s">
        <v>4343</v>
      </c>
      <c r="V406" t="s">
        <v>4844</v>
      </c>
      <c r="X406"/>
      <c r="Y406"/>
      <c r="Z406"/>
      <c r="AA406"/>
      <c r="AE406"/>
      <c r="AF406"/>
      <c r="AG406"/>
      <c r="AH406"/>
    </row>
    <row r="407" spans="1:34" ht="15.75" customHeight="1" x14ac:dyDescent="0.15">
      <c r="A407" s="9">
        <v>401</v>
      </c>
      <c r="B407" t="s">
        <v>75</v>
      </c>
      <c r="C407" t="s">
        <v>4267</v>
      </c>
      <c r="D407" t="s">
        <v>4845</v>
      </c>
      <c r="E407" s="9" t="s">
        <v>219</v>
      </c>
      <c r="F407" s="9">
        <v>13</v>
      </c>
      <c r="G407" s="9">
        <v>12</v>
      </c>
      <c r="H407" s="9" t="s">
        <v>4846</v>
      </c>
      <c r="I407" t="s">
        <v>171</v>
      </c>
      <c r="J407" t="s">
        <v>177</v>
      </c>
      <c r="K407" t="s">
        <v>173</v>
      </c>
      <c r="T407" t="s">
        <v>3723</v>
      </c>
      <c r="U407" t="s">
        <v>4343</v>
      </c>
      <c r="V407" t="s">
        <v>4847</v>
      </c>
      <c r="X407"/>
      <c r="Y407"/>
      <c r="Z407"/>
      <c r="AA407"/>
      <c r="AE407"/>
      <c r="AF407"/>
      <c r="AG407"/>
      <c r="AH407"/>
    </row>
    <row r="408" spans="1:34" ht="15.75" customHeight="1" x14ac:dyDescent="0.15">
      <c r="A408" s="9">
        <v>402</v>
      </c>
      <c r="B408" t="s">
        <v>75</v>
      </c>
      <c r="C408" t="s">
        <v>4267</v>
      </c>
      <c r="D408" t="s">
        <v>4848</v>
      </c>
      <c r="E408" s="9" t="s">
        <v>219</v>
      </c>
      <c r="F408" s="9">
        <v>13</v>
      </c>
      <c r="G408" s="9">
        <v>13</v>
      </c>
      <c r="H408" s="9" t="s">
        <v>4849</v>
      </c>
      <c r="I408" t="s">
        <v>171</v>
      </c>
      <c r="J408" t="s">
        <v>177</v>
      </c>
      <c r="K408" t="s">
        <v>173</v>
      </c>
      <c r="T408" t="s">
        <v>3723</v>
      </c>
      <c r="U408" t="s">
        <v>4343</v>
      </c>
      <c r="V408" t="s">
        <v>4850</v>
      </c>
      <c r="X408"/>
      <c r="Y408"/>
      <c r="Z408"/>
      <c r="AA408"/>
      <c r="AE408"/>
      <c r="AF408"/>
      <c r="AG408"/>
      <c r="AH408"/>
    </row>
    <row r="409" spans="1:34" ht="15.75" customHeight="1" x14ac:dyDescent="0.15">
      <c r="A409" s="9">
        <v>403</v>
      </c>
      <c r="B409" t="s">
        <v>75</v>
      </c>
      <c r="C409" t="s">
        <v>4267</v>
      </c>
      <c r="D409" t="s">
        <v>4851</v>
      </c>
      <c r="E409" s="9" t="s">
        <v>219</v>
      </c>
      <c r="F409" s="9">
        <v>13</v>
      </c>
      <c r="G409" s="9">
        <v>14</v>
      </c>
      <c r="H409" s="9" t="s">
        <v>4852</v>
      </c>
      <c r="I409" t="s">
        <v>171</v>
      </c>
      <c r="J409" t="s">
        <v>177</v>
      </c>
      <c r="K409" t="s">
        <v>173</v>
      </c>
      <c r="T409" t="s">
        <v>3723</v>
      </c>
      <c r="U409" t="s">
        <v>4343</v>
      </c>
      <c r="V409" t="s">
        <v>4853</v>
      </c>
      <c r="X409"/>
      <c r="Y409"/>
      <c r="Z409"/>
      <c r="AA409"/>
      <c r="AE409"/>
      <c r="AF409"/>
      <c r="AG409"/>
      <c r="AH409"/>
    </row>
    <row r="410" spans="1:34" ht="15.75" customHeight="1" x14ac:dyDescent="0.15">
      <c r="A410" s="9">
        <v>404</v>
      </c>
      <c r="B410" t="s">
        <v>75</v>
      </c>
      <c r="C410" t="s">
        <v>4267</v>
      </c>
      <c r="D410" t="s">
        <v>4854</v>
      </c>
      <c r="E410" s="9" t="s">
        <v>219</v>
      </c>
      <c r="F410" s="9">
        <v>13</v>
      </c>
      <c r="G410" s="9">
        <v>15</v>
      </c>
      <c r="H410" s="9" t="s">
        <v>4855</v>
      </c>
      <c r="I410" t="s">
        <v>171</v>
      </c>
      <c r="J410" t="s">
        <v>177</v>
      </c>
      <c r="K410" t="s">
        <v>173</v>
      </c>
      <c r="T410" t="s">
        <v>3723</v>
      </c>
      <c r="U410" t="s">
        <v>4343</v>
      </c>
      <c r="V410" t="s">
        <v>4856</v>
      </c>
      <c r="X410"/>
      <c r="Y410"/>
      <c r="Z410"/>
      <c r="AA410"/>
      <c r="AE410"/>
      <c r="AF410"/>
      <c r="AG410"/>
      <c r="AH410"/>
    </row>
    <row r="411" spans="1:34" ht="15.75" customHeight="1" x14ac:dyDescent="0.15">
      <c r="A411" s="9">
        <v>405</v>
      </c>
      <c r="B411" t="s">
        <v>75</v>
      </c>
      <c r="C411" t="s">
        <v>4267</v>
      </c>
      <c r="D411" t="s">
        <v>4857</v>
      </c>
      <c r="E411" s="9" t="s">
        <v>219</v>
      </c>
      <c r="F411" s="9">
        <v>13</v>
      </c>
      <c r="G411" s="9">
        <v>16</v>
      </c>
      <c r="H411" s="9" t="s">
        <v>4858</v>
      </c>
      <c r="I411" t="s">
        <v>171</v>
      </c>
      <c r="J411" t="s">
        <v>177</v>
      </c>
      <c r="K411" t="s">
        <v>173</v>
      </c>
      <c r="T411" t="s">
        <v>3723</v>
      </c>
      <c r="U411" t="s">
        <v>4343</v>
      </c>
      <c r="V411" t="s">
        <v>4859</v>
      </c>
      <c r="X411"/>
      <c r="Y411"/>
      <c r="Z411"/>
      <c r="AA411"/>
      <c r="AE411"/>
      <c r="AF411"/>
      <c r="AG411"/>
      <c r="AH411"/>
    </row>
    <row r="412" spans="1:34" ht="15.75" customHeight="1" x14ac:dyDescent="0.15">
      <c r="A412" s="9">
        <v>406</v>
      </c>
      <c r="B412" t="s">
        <v>75</v>
      </c>
      <c r="C412" t="s">
        <v>4267</v>
      </c>
      <c r="D412" t="s">
        <v>4860</v>
      </c>
      <c r="E412" s="9" t="s">
        <v>219</v>
      </c>
      <c r="F412" s="9">
        <v>13</v>
      </c>
      <c r="G412" s="9">
        <v>17</v>
      </c>
      <c r="H412" s="9" t="s">
        <v>4861</v>
      </c>
      <c r="I412" t="s">
        <v>171</v>
      </c>
      <c r="J412" t="s">
        <v>177</v>
      </c>
      <c r="K412" t="s">
        <v>173</v>
      </c>
      <c r="T412" t="s">
        <v>3723</v>
      </c>
      <c r="U412" t="s">
        <v>4343</v>
      </c>
      <c r="V412" t="s">
        <v>4862</v>
      </c>
      <c r="X412"/>
      <c r="Y412"/>
      <c r="Z412"/>
      <c r="AA412"/>
      <c r="AE412"/>
      <c r="AF412"/>
      <c r="AG412"/>
      <c r="AH412"/>
    </row>
    <row r="413" spans="1:34" ht="15.75" customHeight="1" x14ac:dyDescent="0.15">
      <c r="A413" s="9">
        <v>407</v>
      </c>
      <c r="B413" t="s">
        <v>75</v>
      </c>
      <c r="C413" t="s">
        <v>4267</v>
      </c>
      <c r="D413" t="s">
        <v>4863</v>
      </c>
      <c r="E413" s="9" t="s">
        <v>219</v>
      </c>
      <c r="F413" s="9">
        <v>13</v>
      </c>
      <c r="G413" s="9">
        <v>18</v>
      </c>
      <c r="H413" s="9" t="s">
        <v>4864</v>
      </c>
      <c r="I413" t="s">
        <v>171</v>
      </c>
      <c r="J413" t="s">
        <v>177</v>
      </c>
      <c r="K413" t="s">
        <v>173</v>
      </c>
      <c r="T413" t="s">
        <v>3723</v>
      </c>
      <c r="U413" t="s">
        <v>4343</v>
      </c>
      <c r="V413" t="s">
        <v>4865</v>
      </c>
      <c r="X413"/>
      <c r="Y413"/>
      <c r="Z413"/>
      <c r="AA413"/>
      <c r="AE413"/>
      <c r="AF413"/>
      <c r="AG413"/>
      <c r="AH413"/>
    </row>
    <row r="414" spans="1:34" ht="15.75" customHeight="1" x14ac:dyDescent="0.15">
      <c r="A414" s="9">
        <v>408</v>
      </c>
      <c r="B414" t="s">
        <v>75</v>
      </c>
      <c r="C414" t="s">
        <v>4267</v>
      </c>
      <c r="D414" t="s">
        <v>4866</v>
      </c>
      <c r="E414" s="9" t="s">
        <v>219</v>
      </c>
      <c r="F414" s="9">
        <v>13</v>
      </c>
      <c r="G414" s="9">
        <v>19</v>
      </c>
      <c r="H414" s="9" t="s">
        <v>4867</v>
      </c>
      <c r="I414" t="s">
        <v>171</v>
      </c>
      <c r="J414" t="s">
        <v>177</v>
      </c>
      <c r="K414" t="s">
        <v>173</v>
      </c>
      <c r="T414" t="s">
        <v>3723</v>
      </c>
      <c r="U414" t="s">
        <v>4343</v>
      </c>
      <c r="V414" t="s">
        <v>4868</v>
      </c>
      <c r="X414"/>
      <c r="Y414"/>
      <c r="Z414"/>
      <c r="AA414"/>
      <c r="AE414"/>
      <c r="AF414"/>
      <c r="AG414"/>
      <c r="AH414"/>
    </row>
    <row r="415" spans="1:34" ht="15.75" customHeight="1" x14ac:dyDescent="0.15">
      <c r="A415" s="9">
        <v>409</v>
      </c>
      <c r="B415" t="s">
        <v>75</v>
      </c>
      <c r="C415" t="s">
        <v>4267</v>
      </c>
      <c r="D415" t="s">
        <v>4694</v>
      </c>
      <c r="E415" s="9" t="s">
        <v>219</v>
      </c>
      <c r="F415" s="9">
        <v>13</v>
      </c>
      <c r="G415" s="9">
        <v>20</v>
      </c>
      <c r="H415" s="9" t="s">
        <v>4869</v>
      </c>
      <c r="I415" t="s">
        <v>171</v>
      </c>
      <c r="J415" t="s">
        <v>177</v>
      </c>
      <c r="K415" t="s">
        <v>173</v>
      </c>
      <c r="T415" t="s">
        <v>3723</v>
      </c>
      <c r="U415" t="s">
        <v>4343</v>
      </c>
      <c r="V415" t="s">
        <v>4870</v>
      </c>
      <c r="X415"/>
      <c r="Y415"/>
      <c r="Z415"/>
      <c r="AA415"/>
      <c r="AE415"/>
      <c r="AF415"/>
      <c r="AG415"/>
      <c r="AH415"/>
    </row>
    <row r="416" spans="1:34" ht="15.75" customHeight="1" x14ac:dyDescent="0.15">
      <c r="A416" s="9">
        <v>410</v>
      </c>
      <c r="B416" t="s">
        <v>75</v>
      </c>
      <c r="C416" t="s">
        <v>4267</v>
      </c>
      <c r="D416" t="s">
        <v>4871</v>
      </c>
      <c r="E416" s="9" t="s">
        <v>219</v>
      </c>
      <c r="F416" s="9">
        <v>13</v>
      </c>
      <c r="G416" s="9">
        <v>21</v>
      </c>
      <c r="H416" s="9" t="s">
        <v>4872</v>
      </c>
      <c r="I416" t="s">
        <v>171</v>
      </c>
      <c r="J416" t="s">
        <v>177</v>
      </c>
      <c r="K416" t="s">
        <v>173</v>
      </c>
      <c r="T416" t="s">
        <v>3723</v>
      </c>
      <c r="U416" t="s">
        <v>4343</v>
      </c>
      <c r="V416" t="s">
        <v>4873</v>
      </c>
      <c r="X416"/>
      <c r="Y416"/>
      <c r="Z416"/>
      <c r="AA416"/>
      <c r="AE416"/>
      <c r="AF416"/>
      <c r="AG416"/>
      <c r="AH416"/>
    </row>
    <row r="417" spans="1:34" ht="15.75" customHeight="1" x14ac:dyDescent="0.15">
      <c r="A417" s="9">
        <v>411</v>
      </c>
      <c r="B417" t="s">
        <v>75</v>
      </c>
      <c r="C417" t="s">
        <v>4267</v>
      </c>
      <c r="D417" t="s">
        <v>4874</v>
      </c>
      <c r="E417" s="9" t="s">
        <v>219</v>
      </c>
      <c r="F417" s="9">
        <v>13</v>
      </c>
      <c r="G417" s="9">
        <v>22</v>
      </c>
      <c r="H417" s="9" t="s">
        <v>4875</v>
      </c>
      <c r="I417" t="s">
        <v>171</v>
      </c>
      <c r="J417" t="s">
        <v>177</v>
      </c>
      <c r="K417" t="s">
        <v>173</v>
      </c>
      <c r="T417" t="s">
        <v>3723</v>
      </c>
      <c r="U417" t="s">
        <v>4343</v>
      </c>
      <c r="V417" t="s">
        <v>4876</v>
      </c>
      <c r="X417"/>
      <c r="Y417"/>
      <c r="Z417"/>
      <c r="AA417"/>
      <c r="AE417"/>
      <c r="AF417"/>
      <c r="AG417"/>
      <c r="AH417"/>
    </row>
    <row r="418" spans="1:34" ht="15.75" customHeight="1" x14ac:dyDescent="0.15">
      <c r="A418" s="9">
        <v>412</v>
      </c>
      <c r="C418" t="s">
        <v>4267</v>
      </c>
      <c r="D418" t="s">
        <v>4877</v>
      </c>
      <c r="E418" s="9" t="s">
        <v>219</v>
      </c>
      <c r="F418" s="9">
        <v>14</v>
      </c>
      <c r="G418" s="9"/>
      <c r="H418" s="9"/>
      <c r="I418" t="s">
        <v>196</v>
      </c>
      <c r="L418" t="s">
        <v>61</v>
      </c>
      <c r="M418">
        <v>1</v>
      </c>
      <c r="T418" t="s">
        <v>3723</v>
      </c>
      <c r="U418" t="s">
        <v>3853</v>
      </c>
      <c r="V418" t="s">
        <v>4878</v>
      </c>
      <c r="X418"/>
      <c r="Y418"/>
      <c r="Z418"/>
      <c r="AA418"/>
      <c r="AE418"/>
      <c r="AF418"/>
      <c r="AG418"/>
      <c r="AH418"/>
    </row>
    <row r="419" spans="1:34" ht="15.75" customHeight="1" x14ac:dyDescent="0.15">
      <c r="A419" s="9">
        <v>413</v>
      </c>
      <c r="C419" t="s">
        <v>4267</v>
      </c>
      <c r="D419" t="s">
        <v>4879</v>
      </c>
      <c r="E419" s="9" t="s">
        <v>219</v>
      </c>
      <c r="F419" s="9">
        <v>14</v>
      </c>
      <c r="G419" s="9">
        <v>1</v>
      </c>
      <c r="H419" s="9" t="s">
        <v>4880</v>
      </c>
      <c r="I419" t="s">
        <v>171</v>
      </c>
      <c r="J419" t="s">
        <v>177</v>
      </c>
      <c r="K419" t="s">
        <v>173</v>
      </c>
      <c r="T419" t="s">
        <v>3723</v>
      </c>
      <c r="U419" t="s">
        <v>4343</v>
      </c>
      <c r="V419" t="s">
        <v>4881</v>
      </c>
      <c r="X419"/>
      <c r="Y419"/>
      <c r="Z419"/>
      <c r="AA419"/>
      <c r="AE419"/>
      <c r="AF419"/>
      <c r="AG419"/>
      <c r="AH419"/>
    </row>
    <row r="420" spans="1:34" ht="15.75" customHeight="1" x14ac:dyDescent="0.15">
      <c r="A420" s="9">
        <v>414</v>
      </c>
      <c r="C420" t="s">
        <v>4267</v>
      </c>
      <c r="D420" t="s">
        <v>4882</v>
      </c>
      <c r="E420" s="9" t="s">
        <v>219</v>
      </c>
      <c r="F420" s="9">
        <v>14</v>
      </c>
      <c r="G420" s="9">
        <v>2</v>
      </c>
      <c r="H420" s="9" t="s">
        <v>4883</v>
      </c>
      <c r="I420" t="s">
        <v>171</v>
      </c>
      <c r="J420" t="s">
        <v>177</v>
      </c>
      <c r="K420" t="s">
        <v>173</v>
      </c>
      <c r="T420" t="s">
        <v>3723</v>
      </c>
      <c r="U420" t="s">
        <v>4343</v>
      </c>
      <c r="V420" t="s">
        <v>4884</v>
      </c>
      <c r="X420"/>
      <c r="Y420"/>
      <c r="Z420"/>
      <c r="AA420"/>
      <c r="AE420"/>
      <c r="AF420"/>
      <c r="AG420"/>
      <c r="AH420"/>
    </row>
    <row r="421" spans="1:34" ht="15.75" customHeight="1" x14ac:dyDescent="0.15">
      <c r="A421" s="9">
        <v>415</v>
      </c>
      <c r="C421" t="s">
        <v>4267</v>
      </c>
      <c r="D421" t="s">
        <v>4885</v>
      </c>
      <c r="E421" s="9" t="s">
        <v>219</v>
      </c>
      <c r="F421" s="9">
        <v>14</v>
      </c>
      <c r="G421" s="9">
        <v>3</v>
      </c>
      <c r="H421" s="9" t="s">
        <v>4886</v>
      </c>
      <c r="I421" t="s">
        <v>171</v>
      </c>
      <c r="J421" t="s">
        <v>177</v>
      </c>
      <c r="K421" t="s">
        <v>173</v>
      </c>
      <c r="T421" t="s">
        <v>3723</v>
      </c>
      <c r="U421" t="s">
        <v>4343</v>
      </c>
      <c r="V421" t="s">
        <v>4887</v>
      </c>
      <c r="X421"/>
      <c r="Y421"/>
      <c r="Z421"/>
      <c r="AA421"/>
      <c r="AE421"/>
      <c r="AF421"/>
      <c r="AG421"/>
      <c r="AH421"/>
    </row>
    <row r="422" spans="1:34" ht="15.75" customHeight="1" x14ac:dyDescent="0.15">
      <c r="A422" s="9">
        <v>416</v>
      </c>
      <c r="C422" t="s">
        <v>4267</v>
      </c>
      <c r="D422" t="s">
        <v>4888</v>
      </c>
      <c r="E422" s="9" t="s">
        <v>219</v>
      </c>
      <c r="F422" s="9">
        <v>14</v>
      </c>
      <c r="G422" s="9">
        <v>4</v>
      </c>
      <c r="H422" s="9" t="s">
        <v>4889</v>
      </c>
      <c r="I422" t="s">
        <v>171</v>
      </c>
      <c r="J422" t="s">
        <v>177</v>
      </c>
      <c r="K422" t="s">
        <v>173</v>
      </c>
      <c r="T422" t="s">
        <v>3723</v>
      </c>
      <c r="U422" t="s">
        <v>4343</v>
      </c>
      <c r="V422" t="s">
        <v>4890</v>
      </c>
      <c r="X422"/>
      <c r="Y422"/>
      <c r="Z422"/>
      <c r="AA422"/>
      <c r="AE422"/>
      <c r="AF422"/>
      <c r="AG422"/>
      <c r="AH422"/>
    </row>
    <row r="423" spans="1:34" ht="15.75" customHeight="1" x14ac:dyDescent="0.15">
      <c r="A423" s="9">
        <v>417</v>
      </c>
      <c r="C423" t="s">
        <v>4267</v>
      </c>
      <c r="D423" t="s">
        <v>4891</v>
      </c>
      <c r="E423" s="9" t="s">
        <v>219</v>
      </c>
      <c r="F423" s="9">
        <v>14</v>
      </c>
      <c r="G423" s="9">
        <v>5</v>
      </c>
      <c r="H423" s="9" t="s">
        <v>4892</v>
      </c>
      <c r="I423" t="s">
        <v>171</v>
      </c>
      <c r="J423" t="s">
        <v>177</v>
      </c>
      <c r="K423" t="s">
        <v>173</v>
      </c>
      <c r="T423" t="s">
        <v>3723</v>
      </c>
      <c r="U423" t="s">
        <v>4343</v>
      </c>
      <c r="V423" t="s">
        <v>4893</v>
      </c>
      <c r="X423"/>
      <c r="Y423"/>
      <c r="Z423"/>
      <c r="AA423"/>
      <c r="AE423"/>
      <c r="AF423"/>
      <c r="AG423"/>
      <c r="AH423"/>
    </row>
    <row r="424" spans="1:34" ht="15.75" customHeight="1" x14ac:dyDescent="0.15">
      <c r="A424" s="9">
        <v>418</v>
      </c>
      <c r="C424" t="s">
        <v>4267</v>
      </c>
      <c r="D424" t="s">
        <v>4894</v>
      </c>
      <c r="E424" s="9" t="s">
        <v>219</v>
      </c>
      <c r="F424" s="9">
        <v>14</v>
      </c>
      <c r="G424" s="9">
        <v>6</v>
      </c>
      <c r="H424" s="9" t="s">
        <v>4895</v>
      </c>
      <c r="I424" t="s">
        <v>171</v>
      </c>
      <c r="J424" t="s">
        <v>177</v>
      </c>
      <c r="K424" t="s">
        <v>173</v>
      </c>
      <c r="T424" t="s">
        <v>3723</v>
      </c>
      <c r="U424" t="s">
        <v>4343</v>
      </c>
      <c r="V424" t="s">
        <v>4896</v>
      </c>
      <c r="X424"/>
      <c r="Y424"/>
      <c r="Z424"/>
      <c r="AA424"/>
      <c r="AE424"/>
      <c r="AF424"/>
      <c r="AG424"/>
      <c r="AH424"/>
    </row>
    <row r="425" spans="1:34" ht="15.75" customHeight="1" x14ac:dyDescent="0.15">
      <c r="A425" s="9">
        <v>419</v>
      </c>
      <c r="C425" t="s">
        <v>4267</v>
      </c>
      <c r="D425" t="s">
        <v>4897</v>
      </c>
      <c r="E425" s="9" t="s">
        <v>219</v>
      </c>
      <c r="F425" s="9">
        <v>14</v>
      </c>
      <c r="G425" s="9">
        <v>7</v>
      </c>
      <c r="H425" s="9" t="s">
        <v>4898</v>
      </c>
      <c r="I425" t="s">
        <v>171</v>
      </c>
      <c r="J425" t="s">
        <v>177</v>
      </c>
      <c r="K425" t="s">
        <v>173</v>
      </c>
      <c r="T425" t="s">
        <v>3723</v>
      </c>
      <c r="U425" t="s">
        <v>4343</v>
      </c>
      <c r="V425" t="s">
        <v>4899</v>
      </c>
      <c r="X425"/>
      <c r="Y425"/>
      <c r="Z425"/>
      <c r="AA425"/>
      <c r="AE425"/>
      <c r="AF425"/>
      <c r="AG425"/>
      <c r="AH425"/>
    </row>
    <row r="426" spans="1:34" ht="15.75" customHeight="1" x14ac:dyDescent="0.15">
      <c r="A426" s="9">
        <v>420</v>
      </c>
      <c r="C426" t="s">
        <v>4267</v>
      </c>
      <c r="D426" t="s">
        <v>4900</v>
      </c>
      <c r="E426" s="9" t="s">
        <v>219</v>
      </c>
      <c r="F426" s="9">
        <v>14</v>
      </c>
      <c r="G426" s="9">
        <v>11</v>
      </c>
      <c r="H426" s="9" t="s">
        <v>4901</v>
      </c>
      <c r="I426" t="s">
        <v>171</v>
      </c>
      <c r="J426" t="s">
        <v>177</v>
      </c>
      <c r="K426" t="s">
        <v>173</v>
      </c>
      <c r="T426" t="s">
        <v>3723</v>
      </c>
      <c r="U426" t="s">
        <v>4343</v>
      </c>
      <c r="V426" t="s">
        <v>4902</v>
      </c>
      <c r="X426"/>
      <c r="Y426"/>
      <c r="Z426"/>
      <c r="AA426"/>
      <c r="AE426"/>
      <c r="AF426"/>
      <c r="AG426"/>
      <c r="AH426"/>
    </row>
    <row r="427" spans="1:34" ht="15.75" customHeight="1" x14ac:dyDescent="0.15">
      <c r="A427" s="9">
        <v>421</v>
      </c>
      <c r="C427" t="s">
        <v>4267</v>
      </c>
      <c r="D427" t="s">
        <v>4903</v>
      </c>
      <c r="E427" s="9" t="s">
        <v>219</v>
      </c>
      <c r="F427" s="9">
        <v>14</v>
      </c>
      <c r="G427" s="9">
        <v>12</v>
      </c>
      <c r="H427" s="9" t="s">
        <v>4904</v>
      </c>
      <c r="I427" t="s">
        <v>171</v>
      </c>
      <c r="J427" t="s">
        <v>177</v>
      </c>
      <c r="K427" t="s">
        <v>173</v>
      </c>
      <c r="T427" t="s">
        <v>3723</v>
      </c>
      <c r="U427" t="s">
        <v>4343</v>
      </c>
      <c r="V427" t="s">
        <v>4905</v>
      </c>
      <c r="X427"/>
      <c r="Y427"/>
      <c r="Z427"/>
      <c r="AA427"/>
      <c r="AE427"/>
      <c r="AF427"/>
      <c r="AG427"/>
      <c r="AH427"/>
    </row>
    <row r="428" spans="1:34" ht="15.75" customHeight="1" x14ac:dyDescent="0.15">
      <c r="A428" s="9">
        <v>422</v>
      </c>
      <c r="C428" t="s">
        <v>4267</v>
      </c>
      <c r="D428" t="s">
        <v>4906</v>
      </c>
      <c r="E428" s="9" t="s">
        <v>219</v>
      </c>
      <c r="F428" s="9">
        <v>14</v>
      </c>
      <c r="G428" s="9">
        <v>13</v>
      </c>
      <c r="H428" s="9" t="s">
        <v>4907</v>
      </c>
      <c r="I428" t="s">
        <v>171</v>
      </c>
      <c r="J428" t="s">
        <v>177</v>
      </c>
      <c r="K428" t="s">
        <v>173</v>
      </c>
      <c r="T428" t="s">
        <v>3723</v>
      </c>
      <c r="U428" t="s">
        <v>4343</v>
      </c>
      <c r="V428" t="s">
        <v>4908</v>
      </c>
      <c r="X428"/>
      <c r="Y428"/>
      <c r="Z428"/>
      <c r="AA428"/>
      <c r="AE428"/>
      <c r="AF428"/>
      <c r="AG428"/>
      <c r="AH428"/>
    </row>
    <row r="429" spans="1:34" ht="15.75" customHeight="1" x14ac:dyDescent="0.15">
      <c r="A429" s="9">
        <v>423</v>
      </c>
      <c r="C429" t="s">
        <v>4267</v>
      </c>
      <c r="D429" t="s">
        <v>4909</v>
      </c>
      <c r="E429" s="9" t="s">
        <v>219</v>
      </c>
      <c r="F429" s="9">
        <v>14</v>
      </c>
      <c r="G429" s="9">
        <v>14</v>
      </c>
      <c r="H429" s="9" t="s">
        <v>4910</v>
      </c>
      <c r="I429" t="s">
        <v>171</v>
      </c>
      <c r="J429" t="s">
        <v>177</v>
      </c>
      <c r="K429" t="s">
        <v>173</v>
      </c>
      <c r="T429" t="s">
        <v>3723</v>
      </c>
      <c r="U429" t="s">
        <v>4343</v>
      </c>
      <c r="V429" t="s">
        <v>4911</v>
      </c>
      <c r="X429"/>
      <c r="Y429"/>
      <c r="Z429"/>
      <c r="AA429"/>
      <c r="AE429"/>
      <c r="AF429"/>
      <c r="AG429"/>
      <c r="AH429"/>
    </row>
    <row r="430" spans="1:34" ht="15.75" customHeight="1" x14ac:dyDescent="0.15">
      <c r="A430" s="9">
        <v>424</v>
      </c>
      <c r="C430" t="s">
        <v>4267</v>
      </c>
      <c r="D430" t="s">
        <v>4912</v>
      </c>
      <c r="E430" s="9" t="s">
        <v>219</v>
      </c>
      <c r="F430" s="9">
        <v>14</v>
      </c>
      <c r="G430" s="9">
        <v>15</v>
      </c>
      <c r="H430" s="9" t="s">
        <v>4913</v>
      </c>
      <c r="I430" t="s">
        <v>171</v>
      </c>
      <c r="J430" t="s">
        <v>177</v>
      </c>
      <c r="K430" t="s">
        <v>173</v>
      </c>
      <c r="T430" t="s">
        <v>3723</v>
      </c>
      <c r="U430" t="s">
        <v>4343</v>
      </c>
      <c r="V430" t="s">
        <v>4914</v>
      </c>
      <c r="X430"/>
      <c r="Y430"/>
      <c r="Z430"/>
      <c r="AA430"/>
      <c r="AE430"/>
      <c r="AF430"/>
      <c r="AG430"/>
      <c r="AH430"/>
    </row>
    <row r="431" spans="1:34" ht="15.75" customHeight="1" x14ac:dyDescent="0.15">
      <c r="A431" s="9">
        <v>425</v>
      </c>
      <c r="C431" t="s">
        <v>4267</v>
      </c>
      <c r="D431" t="s">
        <v>4915</v>
      </c>
      <c r="E431" s="9" t="s">
        <v>219</v>
      </c>
      <c r="F431" s="9">
        <v>14</v>
      </c>
      <c r="G431" s="9">
        <v>16</v>
      </c>
      <c r="H431" s="9" t="s">
        <v>4916</v>
      </c>
      <c r="I431" t="s">
        <v>171</v>
      </c>
      <c r="J431" t="s">
        <v>177</v>
      </c>
      <c r="K431" t="s">
        <v>173</v>
      </c>
      <c r="T431" t="s">
        <v>3723</v>
      </c>
      <c r="U431" t="s">
        <v>4343</v>
      </c>
      <c r="V431" t="s">
        <v>4917</v>
      </c>
      <c r="X431"/>
      <c r="Y431"/>
      <c r="Z431"/>
      <c r="AA431"/>
      <c r="AE431"/>
      <c r="AF431"/>
      <c r="AG431"/>
      <c r="AH431"/>
    </row>
    <row r="432" spans="1:34" ht="15.75" customHeight="1" x14ac:dyDescent="0.15">
      <c r="A432" s="9">
        <v>426</v>
      </c>
      <c r="C432" t="s">
        <v>4267</v>
      </c>
      <c r="D432" t="s">
        <v>4918</v>
      </c>
      <c r="E432" s="9" t="s">
        <v>219</v>
      </c>
      <c r="F432" s="9">
        <v>14</v>
      </c>
      <c r="G432" s="9">
        <v>17</v>
      </c>
      <c r="H432" s="9" t="s">
        <v>4919</v>
      </c>
      <c r="I432" t="s">
        <v>171</v>
      </c>
      <c r="J432" t="s">
        <v>177</v>
      </c>
      <c r="K432" t="s">
        <v>173</v>
      </c>
      <c r="T432" t="s">
        <v>3723</v>
      </c>
      <c r="U432" t="s">
        <v>4343</v>
      </c>
      <c r="V432" t="s">
        <v>4920</v>
      </c>
      <c r="X432"/>
      <c r="Y432"/>
      <c r="Z432"/>
      <c r="AA432"/>
      <c r="AE432"/>
      <c r="AF432"/>
      <c r="AG432"/>
      <c r="AH432"/>
    </row>
    <row r="433" spans="1:34" ht="15.75" customHeight="1" x14ac:dyDescent="0.15">
      <c r="A433" s="9">
        <v>427</v>
      </c>
      <c r="B433" t="s">
        <v>75</v>
      </c>
      <c r="C433" t="s">
        <v>4267</v>
      </c>
      <c r="D433" t="s">
        <v>4921</v>
      </c>
      <c r="E433" s="9" t="s">
        <v>219</v>
      </c>
      <c r="F433" s="9">
        <v>20</v>
      </c>
      <c r="G433" s="9"/>
      <c r="H433" s="9" t="s">
        <v>3721</v>
      </c>
      <c r="I433" t="s">
        <v>196</v>
      </c>
      <c r="L433" t="s">
        <v>61</v>
      </c>
      <c r="M433">
        <v>1</v>
      </c>
      <c r="T433" t="s">
        <v>3723</v>
      </c>
      <c r="U433" t="s">
        <v>3853</v>
      </c>
      <c r="V433" t="s">
        <v>4922</v>
      </c>
      <c r="X433"/>
      <c r="Y433"/>
      <c r="Z433"/>
      <c r="AA433"/>
      <c r="AE433"/>
      <c r="AF433"/>
      <c r="AG433"/>
      <c r="AH433"/>
    </row>
    <row r="434" spans="1:34" ht="15.75" customHeight="1" x14ac:dyDescent="0.15">
      <c r="A434" s="9">
        <v>428</v>
      </c>
      <c r="B434" t="s">
        <v>75</v>
      </c>
      <c r="C434" t="s">
        <v>4267</v>
      </c>
      <c r="D434" t="s">
        <v>4923</v>
      </c>
      <c r="E434" s="9" t="s">
        <v>219</v>
      </c>
      <c r="F434" s="9">
        <v>20</v>
      </c>
      <c r="G434" s="9">
        <v>0</v>
      </c>
      <c r="H434" s="9" t="s">
        <v>4924</v>
      </c>
      <c r="I434" t="s">
        <v>196</v>
      </c>
      <c r="J434" t="s">
        <v>222</v>
      </c>
      <c r="K434" t="s">
        <v>226</v>
      </c>
      <c r="T434" t="s">
        <v>3723</v>
      </c>
      <c r="V434" t="s">
        <v>4925</v>
      </c>
      <c r="X434"/>
      <c r="Y434"/>
      <c r="Z434"/>
      <c r="AA434"/>
      <c r="AE434"/>
      <c r="AF434"/>
      <c r="AG434"/>
      <c r="AH434"/>
    </row>
    <row r="435" spans="1:34" ht="15.75" customHeight="1" x14ac:dyDescent="0.15">
      <c r="A435" s="9">
        <v>429</v>
      </c>
      <c r="B435" t="s">
        <v>75</v>
      </c>
      <c r="C435" t="s">
        <v>4267</v>
      </c>
      <c r="D435" t="s">
        <v>4926</v>
      </c>
      <c r="E435" s="9" t="s">
        <v>219</v>
      </c>
      <c r="F435" s="9">
        <v>20</v>
      </c>
      <c r="G435" s="9">
        <v>1</v>
      </c>
      <c r="H435" s="9" t="s">
        <v>4927</v>
      </c>
      <c r="I435" t="s">
        <v>196</v>
      </c>
      <c r="J435" t="s">
        <v>226</v>
      </c>
      <c r="K435" t="s">
        <v>222</v>
      </c>
      <c r="T435" t="s">
        <v>3723</v>
      </c>
      <c r="V435" t="s">
        <v>4928</v>
      </c>
      <c r="X435"/>
      <c r="Y435"/>
      <c r="Z435"/>
      <c r="AA435"/>
      <c r="AE435"/>
      <c r="AF435"/>
      <c r="AG435"/>
      <c r="AH435"/>
    </row>
    <row r="436" spans="1:34" ht="15.75" customHeight="1" x14ac:dyDescent="0.15">
      <c r="A436" s="9">
        <v>430</v>
      </c>
      <c r="B436" t="s">
        <v>75</v>
      </c>
      <c r="C436" t="s">
        <v>4267</v>
      </c>
      <c r="D436" t="s">
        <v>4929</v>
      </c>
      <c r="E436" s="9" t="s">
        <v>219</v>
      </c>
      <c r="F436" s="9">
        <v>20</v>
      </c>
      <c r="G436" s="9">
        <v>2</v>
      </c>
      <c r="H436" s="9" t="s">
        <v>4930</v>
      </c>
      <c r="I436" t="s">
        <v>196</v>
      </c>
      <c r="J436" t="s">
        <v>940</v>
      </c>
      <c r="K436" t="s">
        <v>941</v>
      </c>
      <c r="T436" t="s">
        <v>3723</v>
      </c>
      <c r="V436" t="s">
        <v>4931</v>
      </c>
      <c r="X436"/>
      <c r="Y436"/>
      <c r="Z436"/>
      <c r="AA436"/>
      <c r="AE436"/>
      <c r="AF436"/>
      <c r="AG436"/>
      <c r="AH436"/>
    </row>
    <row r="437" spans="1:34" ht="15.75" customHeight="1" x14ac:dyDescent="0.15">
      <c r="A437" s="9">
        <v>431</v>
      </c>
      <c r="B437" t="s">
        <v>75</v>
      </c>
      <c r="C437" t="s">
        <v>4267</v>
      </c>
      <c r="D437" t="s">
        <v>4932</v>
      </c>
      <c r="E437" s="9" t="s">
        <v>219</v>
      </c>
      <c r="F437" s="9">
        <v>20</v>
      </c>
      <c r="G437" s="9">
        <v>3</v>
      </c>
      <c r="H437" s="9" t="s">
        <v>4933</v>
      </c>
      <c r="I437" t="s">
        <v>196</v>
      </c>
      <c r="J437" t="s">
        <v>940</v>
      </c>
      <c r="K437" t="s">
        <v>941</v>
      </c>
      <c r="T437" t="s">
        <v>3723</v>
      </c>
      <c r="V437" t="s">
        <v>4934</v>
      </c>
      <c r="X437"/>
      <c r="Y437"/>
      <c r="Z437"/>
      <c r="AA437"/>
      <c r="AE437"/>
      <c r="AF437"/>
      <c r="AG437"/>
      <c r="AH437"/>
    </row>
    <row r="438" spans="1:34" ht="15.75" customHeight="1" x14ac:dyDescent="0.15">
      <c r="A438" s="9">
        <v>432</v>
      </c>
      <c r="B438" t="s">
        <v>75</v>
      </c>
      <c r="C438" t="s">
        <v>4267</v>
      </c>
      <c r="D438" t="s">
        <v>4935</v>
      </c>
      <c r="E438" s="9" t="s">
        <v>219</v>
      </c>
      <c r="F438" s="9">
        <v>20</v>
      </c>
      <c r="G438" s="9">
        <v>4</v>
      </c>
      <c r="H438" s="9" t="s">
        <v>4936</v>
      </c>
      <c r="I438" t="s">
        <v>196</v>
      </c>
      <c r="J438" t="s">
        <v>940</v>
      </c>
      <c r="K438" t="s">
        <v>941</v>
      </c>
      <c r="T438" t="s">
        <v>3723</v>
      </c>
      <c r="V438" t="s">
        <v>4937</v>
      </c>
      <c r="X438"/>
      <c r="Y438"/>
      <c r="Z438"/>
      <c r="AA438"/>
      <c r="AE438"/>
      <c r="AF438"/>
      <c r="AG438"/>
      <c r="AH438"/>
    </row>
    <row r="439" spans="1:34" ht="15.75" customHeight="1" x14ac:dyDescent="0.15">
      <c r="A439" s="9">
        <v>433</v>
      </c>
      <c r="B439" t="s">
        <v>75</v>
      </c>
      <c r="C439" t="s">
        <v>4267</v>
      </c>
      <c r="D439" t="s">
        <v>4938</v>
      </c>
      <c r="E439" s="9" t="s">
        <v>219</v>
      </c>
      <c r="F439" s="9">
        <v>20</v>
      </c>
      <c r="G439" s="9">
        <v>5</v>
      </c>
      <c r="H439" s="9" t="s">
        <v>4939</v>
      </c>
      <c r="I439" t="s">
        <v>196</v>
      </c>
      <c r="J439" t="s">
        <v>940</v>
      </c>
      <c r="K439" t="s">
        <v>941</v>
      </c>
      <c r="T439" t="s">
        <v>3723</v>
      </c>
      <c r="V439" t="s">
        <v>4940</v>
      </c>
      <c r="X439"/>
      <c r="Y439"/>
      <c r="Z439"/>
      <c r="AA439"/>
      <c r="AE439"/>
      <c r="AF439"/>
      <c r="AG439"/>
      <c r="AH439"/>
    </row>
    <row r="440" spans="1:34" ht="15.75" customHeight="1" x14ac:dyDescent="0.15">
      <c r="A440" s="9">
        <v>434</v>
      </c>
      <c r="B440" t="s">
        <v>75</v>
      </c>
      <c r="C440" t="s">
        <v>4267</v>
      </c>
      <c r="D440" t="s">
        <v>4941</v>
      </c>
      <c r="E440" s="9" t="s">
        <v>219</v>
      </c>
      <c r="F440" s="9">
        <v>20</v>
      </c>
      <c r="G440" s="9">
        <v>6</v>
      </c>
      <c r="H440" s="9" t="s">
        <v>4942</v>
      </c>
      <c r="I440" t="s">
        <v>196</v>
      </c>
      <c r="J440" t="s">
        <v>940</v>
      </c>
      <c r="K440" t="s">
        <v>941</v>
      </c>
      <c r="T440" t="s">
        <v>3723</v>
      </c>
      <c r="V440" t="s">
        <v>4943</v>
      </c>
      <c r="X440"/>
      <c r="Y440"/>
      <c r="Z440"/>
      <c r="AA440"/>
      <c r="AE440"/>
      <c r="AF440"/>
      <c r="AG440"/>
      <c r="AH440"/>
    </row>
    <row r="441" spans="1:34" ht="15.75" customHeight="1" x14ac:dyDescent="0.15">
      <c r="A441" s="9">
        <v>435</v>
      </c>
      <c r="B441" t="s">
        <v>75</v>
      </c>
      <c r="C441" t="s">
        <v>4267</v>
      </c>
      <c r="D441" t="s">
        <v>4944</v>
      </c>
      <c r="E441" s="9" t="s">
        <v>219</v>
      </c>
      <c r="F441" s="9">
        <v>20</v>
      </c>
      <c r="G441" s="9">
        <v>7</v>
      </c>
      <c r="H441" s="9" t="s">
        <v>4945</v>
      </c>
      <c r="I441" t="s">
        <v>171</v>
      </c>
      <c r="J441" t="s">
        <v>940</v>
      </c>
      <c r="K441" t="s">
        <v>941</v>
      </c>
      <c r="T441" t="s">
        <v>3723</v>
      </c>
      <c r="V441" t="s">
        <v>4946</v>
      </c>
      <c r="X441"/>
      <c r="Y441"/>
      <c r="Z441"/>
      <c r="AA441"/>
      <c r="AE441"/>
      <c r="AF441"/>
      <c r="AG441"/>
      <c r="AH441"/>
    </row>
    <row r="442" spans="1:34" ht="15.75" customHeight="1" x14ac:dyDescent="0.15">
      <c r="A442" s="9">
        <v>436</v>
      </c>
      <c r="B442" t="s">
        <v>75</v>
      </c>
      <c r="C442" t="s">
        <v>4267</v>
      </c>
      <c r="D442" t="s">
        <v>4947</v>
      </c>
      <c r="E442" s="9" t="s">
        <v>219</v>
      </c>
      <c r="F442" s="9">
        <v>20</v>
      </c>
      <c r="G442" s="9">
        <v>8</v>
      </c>
      <c r="H442" s="9" t="s">
        <v>4948</v>
      </c>
      <c r="I442" t="s">
        <v>196</v>
      </c>
      <c r="J442" t="s">
        <v>940</v>
      </c>
      <c r="K442" t="s">
        <v>941</v>
      </c>
      <c r="T442" t="s">
        <v>3723</v>
      </c>
      <c r="V442" t="s">
        <v>4949</v>
      </c>
      <c r="X442"/>
      <c r="Y442"/>
      <c r="Z442"/>
      <c r="AA442"/>
      <c r="AE442"/>
      <c r="AF442"/>
      <c r="AG442"/>
      <c r="AH442"/>
    </row>
    <row r="443" spans="1:34" ht="15.75" customHeight="1" x14ac:dyDescent="0.15">
      <c r="A443" s="9">
        <v>437</v>
      </c>
      <c r="B443" t="s">
        <v>75</v>
      </c>
      <c r="C443" t="s">
        <v>4267</v>
      </c>
      <c r="D443" t="s">
        <v>4950</v>
      </c>
      <c r="E443" s="9" t="s">
        <v>219</v>
      </c>
      <c r="F443" s="9">
        <v>20</v>
      </c>
      <c r="G443" s="9">
        <v>9</v>
      </c>
      <c r="H443" s="9" t="s">
        <v>4951</v>
      </c>
      <c r="I443" t="s">
        <v>196</v>
      </c>
      <c r="J443" t="s">
        <v>940</v>
      </c>
      <c r="K443" t="s">
        <v>941</v>
      </c>
      <c r="T443" t="s">
        <v>3723</v>
      </c>
      <c r="V443" t="s">
        <v>4952</v>
      </c>
      <c r="X443"/>
      <c r="Y443"/>
      <c r="Z443"/>
      <c r="AA443"/>
      <c r="AE443"/>
      <c r="AF443"/>
      <c r="AG443"/>
      <c r="AH443"/>
    </row>
    <row r="444" spans="1:34" ht="15.75" customHeight="1" x14ac:dyDescent="0.15">
      <c r="A444" s="9">
        <v>438</v>
      </c>
      <c r="B444" t="s">
        <v>75</v>
      </c>
      <c r="C444" t="s">
        <v>4267</v>
      </c>
      <c r="D444" t="s">
        <v>4953</v>
      </c>
      <c r="E444" s="9" t="s">
        <v>219</v>
      </c>
      <c r="F444" s="9">
        <v>20</v>
      </c>
      <c r="G444" s="9">
        <v>10</v>
      </c>
      <c r="H444" s="9" t="s">
        <v>4954</v>
      </c>
      <c r="I444" t="s">
        <v>196</v>
      </c>
      <c r="J444" t="s">
        <v>940</v>
      </c>
      <c r="K444" t="s">
        <v>941</v>
      </c>
      <c r="T444" t="s">
        <v>3723</v>
      </c>
      <c r="V444" t="s">
        <v>4955</v>
      </c>
      <c r="X444"/>
      <c r="Y444"/>
      <c r="Z444"/>
      <c r="AA444"/>
      <c r="AE444"/>
      <c r="AF444"/>
      <c r="AG444"/>
      <c r="AH444"/>
    </row>
    <row r="445" spans="1:34" ht="15.75" customHeight="1" x14ac:dyDescent="0.15">
      <c r="A445" s="9">
        <v>439</v>
      </c>
      <c r="B445" t="s">
        <v>75</v>
      </c>
      <c r="C445" t="s">
        <v>4267</v>
      </c>
      <c r="D445" t="s">
        <v>4956</v>
      </c>
      <c r="E445" s="9" t="s">
        <v>219</v>
      </c>
      <c r="F445" s="9">
        <v>20</v>
      </c>
      <c r="G445" s="9">
        <v>11</v>
      </c>
      <c r="H445" s="9" t="s">
        <v>4957</v>
      </c>
      <c r="I445" t="s">
        <v>171</v>
      </c>
      <c r="J445" t="s">
        <v>940</v>
      </c>
      <c r="K445" t="s">
        <v>941</v>
      </c>
      <c r="T445" t="s">
        <v>3723</v>
      </c>
      <c r="V445" t="s">
        <v>4958</v>
      </c>
      <c r="X445"/>
      <c r="Y445"/>
      <c r="Z445"/>
      <c r="AA445"/>
      <c r="AE445"/>
      <c r="AF445"/>
      <c r="AG445"/>
      <c r="AH445"/>
    </row>
    <row r="446" spans="1:34" ht="15.75" customHeight="1" x14ac:dyDescent="0.15">
      <c r="A446" s="9">
        <v>440</v>
      </c>
      <c r="B446" t="s">
        <v>75</v>
      </c>
      <c r="C446" t="s">
        <v>4267</v>
      </c>
      <c r="D446" t="s">
        <v>4959</v>
      </c>
      <c r="E446" s="9" t="s">
        <v>219</v>
      </c>
      <c r="F446" s="9">
        <v>20</v>
      </c>
      <c r="G446" s="9">
        <v>12</v>
      </c>
      <c r="H446" s="9" t="s">
        <v>4960</v>
      </c>
      <c r="I446" t="s">
        <v>171</v>
      </c>
      <c r="J446" t="s">
        <v>940</v>
      </c>
      <c r="K446" t="s">
        <v>941</v>
      </c>
      <c r="T446" t="s">
        <v>3723</v>
      </c>
      <c r="V446" t="s">
        <v>4961</v>
      </c>
      <c r="X446"/>
      <c r="Y446"/>
      <c r="Z446"/>
      <c r="AA446"/>
      <c r="AE446"/>
      <c r="AF446"/>
      <c r="AG446"/>
      <c r="AH446"/>
    </row>
    <row r="447" spans="1:34" ht="15.75" customHeight="1" x14ac:dyDescent="0.15">
      <c r="A447" s="9">
        <v>441</v>
      </c>
      <c r="B447" t="s">
        <v>75</v>
      </c>
      <c r="C447" t="s">
        <v>4267</v>
      </c>
      <c r="D447" t="s">
        <v>4962</v>
      </c>
      <c r="E447" s="9" t="s">
        <v>219</v>
      </c>
      <c r="F447" s="9">
        <v>20</v>
      </c>
      <c r="G447" s="9">
        <v>13</v>
      </c>
      <c r="H447" s="9" t="s">
        <v>4963</v>
      </c>
      <c r="I447" t="s">
        <v>171</v>
      </c>
      <c r="J447" t="s">
        <v>940</v>
      </c>
      <c r="K447" t="s">
        <v>941</v>
      </c>
      <c r="T447" t="s">
        <v>3723</v>
      </c>
      <c r="V447" t="s">
        <v>4964</v>
      </c>
      <c r="X447"/>
      <c r="Y447"/>
      <c r="Z447"/>
      <c r="AA447"/>
      <c r="AE447"/>
      <c r="AF447"/>
      <c r="AG447"/>
      <c r="AH447"/>
    </row>
    <row r="448" spans="1:34" ht="15.75" customHeight="1" x14ac:dyDescent="0.15">
      <c r="A448" s="9">
        <v>442</v>
      </c>
      <c r="B448" t="s">
        <v>75</v>
      </c>
      <c r="C448" t="s">
        <v>4267</v>
      </c>
      <c r="D448" t="s">
        <v>4965</v>
      </c>
      <c r="E448" s="9" t="s">
        <v>219</v>
      </c>
      <c r="F448" s="9">
        <v>20</v>
      </c>
      <c r="G448" s="9">
        <v>14</v>
      </c>
      <c r="H448" s="9" t="s">
        <v>4966</v>
      </c>
      <c r="I448" t="s">
        <v>171</v>
      </c>
      <c r="J448" t="s">
        <v>940</v>
      </c>
      <c r="K448" t="s">
        <v>941</v>
      </c>
      <c r="T448" t="s">
        <v>3723</v>
      </c>
      <c r="V448" t="s">
        <v>4967</v>
      </c>
      <c r="X448"/>
      <c r="Y448"/>
      <c r="Z448"/>
      <c r="AA448"/>
      <c r="AE448"/>
      <c r="AF448"/>
      <c r="AG448"/>
      <c r="AH448"/>
    </row>
    <row r="449" spans="1:34" ht="15.75" customHeight="1" x14ac:dyDescent="0.15">
      <c r="A449" s="9">
        <v>443</v>
      </c>
      <c r="B449" t="s">
        <v>75</v>
      </c>
      <c r="C449" t="s">
        <v>4267</v>
      </c>
      <c r="D449" t="s">
        <v>4968</v>
      </c>
      <c r="E449" s="9" t="s">
        <v>219</v>
      </c>
      <c r="F449" s="9">
        <v>20</v>
      </c>
      <c r="G449" s="9">
        <v>15</v>
      </c>
      <c r="H449" s="9" t="s">
        <v>4969</v>
      </c>
      <c r="I449" t="s">
        <v>196</v>
      </c>
      <c r="J449" t="s">
        <v>197</v>
      </c>
      <c r="K449" t="s">
        <v>198</v>
      </c>
      <c r="T449" t="s">
        <v>3723</v>
      </c>
      <c r="V449" t="s">
        <v>4970</v>
      </c>
      <c r="X449"/>
      <c r="Y449"/>
      <c r="Z449"/>
      <c r="AA449"/>
      <c r="AE449"/>
      <c r="AF449"/>
      <c r="AG449"/>
      <c r="AH449"/>
    </row>
    <row r="450" spans="1:34" ht="15.75" customHeight="1" x14ac:dyDescent="0.15">
      <c r="A450" s="9">
        <v>444</v>
      </c>
      <c r="B450" t="s">
        <v>75</v>
      </c>
      <c r="C450" t="s">
        <v>4267</v>
      </c>
      <c r="D450" t="s">
        <v>4971</v>
      </c>
      <c r="E450" s="9" t="s">
        <v>219</v>
      </c>
      <c r="F450" s="9">
        <v>20</v>
      </c>
      <c r="G450" s="9">
        <v>16</v>
      </c>
      <c r="H450" s="9" t="s">
        <v>4972</v>
      </c>
      <c r="I450" t="s">
        <v>196</v>
      </c>
      <c r="J450" t="s">
        <v>197</v>
      </c>
      <c r="K450" t="s">
        <v>198</v>
      </c>
      <c r="T450" t="s">
        <v>3723</v>
      </c>
      <c r="V450" t="s">
        <v>4973</v>
      </c>
      <c r="X450"/>
      <c r="Y450"/>
      <c r="Z450"/>
      <c r="AA450"/>
      <c r="AE450"/>
      <c r="AF450"/>
      <c r="AG450"/>
      <c r="AH450"/>
    </row>
    <row r="451" spans="1:34" ht="15.75" customHeight="1" x14ac:dyDescent="0.15">
      <c r="A451" s="9">
        <v>445</v>
      </c>
      <c r="B451" t="s">
        <v>75</v>
      </c>
      <c r="C451" t="s">
        <v>4267</v>
      </c>
      <c r="D451" t="s">
        <v>4974</v>
      </c>
      <c r="E451" s="9" t="s">
        <v>219</v>
      </c>
      <c r="F451" s="9">
        <v>20</v>
      </c>
      <c r="G451" s="9">
        <v>17</v>
      </c>
      <c r="H451" s="9" t="s">
        <v>4975</v>
      </c>
      <c r="I451" t="s">
        <v>171</v>
      </c>
      <c r="J451" t="s">
        <v>940</v>
      </c>
      <c r="K451" t="s">
        <v>941</v>
      </c>
      <c r="T451" t="s">
        <v>3723</v>
      </c>
      <c r="V451" t="s">
        <v>4976</v>
      </c>
      <c r="X451"/>
      <c r="Y451"/>
      <c r="Z451"/>
      <c r="AA451"/>
      <c r="AE451"/>
      <c r="AF451"/>
      <c r="AG451"/>
      <c r="AH451"/>
    </row>
    <row r="452" spans="1:34" ht="15.75" customHeight="1" x14ac:dyDescent="0.15">
      <c r="A452" s="9">
        <v>446</v>
      </c>
      <c r="B452" t="s">
        <v>75</v>
      </c>
      <c r="C452" t="s">
        <v>4267</v>
      </c>
      <c r="D452" t="s">
        <v>4977</v>
      </c>
      <c r="E452" s="9" t="s">
        <v>219</v>
      </c>
      <c r="F452" s="9">
        <v>21</v>
      </c>
      <c r="G452" s="9"/>
      <c r="H452" s="9" t="s">
        <v>3721</v>
      </c>
      <c r="I452" t="s">
        <v>196</v>
      </c>
      <c r="L452" t="s">
        <v>61</v>
      </c>
      <c r="M452">
        <v>1</v>
      </c>
      <c r="T452" t="s">
        <v>3723</v>
      </c>
      <c r="U452" t="s">
        <v>3853</v>
      </c>
      <c r="V452" t="s">
        <v>4978</v>
      </c>
      <c r="X452"/>
      <c r="Y452"/>
      <c r="Z452"/>
      <c r="AA452"/>
      <c r="AE452"/>
      <c r="AF452"/>
      <c r="AG452"/>
      <c r="AH452"/>
    </row>
    <row r="453" spans="1:34" ht="15.75" customHeight="1" x14ac:dyDescent="0.15">
      <c r="A453" s="9">
        <v>447</v>
      </c>
      <c r="B453" t="s">
        <v>75</v>
      </c>
      <c r="C453" t="s">
        <v>4267</v>
      </c>
      <c r="D453" t="s">
        <v>4979</v>
      </c>
      <c r="E453" s="9" t="s">
        <v>219</v>
      </c>
      <c r="F453" s="9">
        <v>21</v>
      </c>
      <c r="G453" s="9">
        <v>0</v>
      </c>
      <c r="H453" s="9" t="s">
        <v>4980</v>
      </c>
      <c r="I453" t="s">
        <v>171</v>
      </c>
      <c r="J453" t="s">
        <v>177</v>
      </c>
      <c r="K453" t="s">
        <v>173</v>
      </c>
      <c r="T453" t="s">
        <v>3723</v>
      </c>
      <c r="U453" t="s">
        <v>4343</v>
      </c>
      <c r="V453" t="s">
        <v>4981</v>
      </c>
      <c r="X453"/>
      <c r="Y453"/>
      <c r="Z453"/>
      <c r="AA453"/>
      <c r="AE453"/>
      <c r="AF453"/>
      <c r="AG453"/>
      <c r="AH453"/>
    </row>
    <row r="454" spans="1:34" ht="15.75" customHeight="1" x14ac:dyDescent="0.15">
      <c r="A454" s="9">
        <v>448</v>
      </c>
      <c r="B454" t="s">
        <v>75</v>
      </c>
      <c r="C454" t="s">
        <v>4267</v>
      </c>
      <c r="D454" t="s">
        <v>4982</v>
      </c>
      <c r="E454" s="9" t="s">
        <v>219</v>
      </c>
      <c r="F454" s="9">
        <v>21</v>
      </c>
      <c r="G454" s="9">
        <v>1</v>
      </c>
      <c r="H454" s="9" t="s">
        <v>4983</v>
      </c>
      <c r="I454" t="s">
        <v>171</v>
      </c>
      <c r="J454" t="s">
        <v>177</v>
      </c>
      <c r="K454" t="s">
        <v>173</v>
      </c>
      <c r="T454" t="s">
        <v>3723</v>
      </c>
      <c r="U454" t="s">
        <v>4343</v>
      </c>
      <c r="V454" t="s">
        <v>4984</v>
      </c>
      <c r="X454"/>
      <c r="Y454"/>
      <c r="Z454"/>
      <c r="AA454"/>
      <c r="AE454"/>
      <c r="AF454"/>
      <c r="AG454"/>
      <c r="AH454"/>
    </row>
    <row r="455" spans="1:34" ht="15.75" customHeight="1" x14ac:dyDescent="0.15">
      <c r="A455" s="9">
        <v>449</v>
      </c>
      <c r="B455" t="s">
        <v>75</v>
      </c>
      <c r="C455" t="s">
        <v>4267</v>
      </c>
      <c r="D455" t="s">
        <v>4985</v>
      </c>
      <c r="E455" s="9" t="s">
        <v>219</v>
      </c>
      <c r="F455" s="9">
        <v>21</v>
      </c>
      <c r="G455" s="9">
        <v>2</v>
      </c>
      <c r="H455" s="9" t="s">
        <v>4986</v>
      </c>
      <c r="I455" t="s">
        <v>171</v>
      </c>
      <c r="J455" t="s">
        <v>177</v>
      </c>
      <c r="K455" t="s">
        <v>173</v>
      </c>
      <c r="T455" t="s">
        <v>3723</v>
      </c>
      <c r="U455" t="s">
        <v>4343</v>
      </c>
      <c r="V455" t="s">
        <v>4987</v>
      </c>
      <c r="X455"/>
      <c r="Y455"/>
      <c r="Z455"/>
      <c r="AA455"/>
      <c r="AE455"/>
      <c r="AF455"/>
      <c r="AG455"/>
      <c r="AH455"/>
    </row>
    <row r="456" spans="1:34" ht="15.75" customHeight="1" x14ac:dyDescent="0.15">
      <c r="A456" s="9">
        <v>450</v>
      </c>
      <c r="B456" t="s">
        <v>75</v>
      </c>
      <c r="C456" t="s">
        <v>4267</v>
      </c>
      <c r="D456" t="s">
        <v>4988</v>
      </c>
      <c r="E456" s="9" t="s">
        <v>219</v>
      </c>
      <c r="F456" s="9">
        <v>21</v>
      </c>
      <c r="G456" s="9">
        <v>3</v>
      </c>
      <c r="H456" s="9" t="s">
        <v>4989</v>
      </c>
      <c r="I456" t="s">
        <v>171</v>
      </c>
      <c r="J456" t="s">
        <v>177</v>
      </c>
      <c r="K456" t="s">
        <v>173</v>
      </c>
      <c r="T456" t="s">
        <v>3723</v>
      </c>
      <c r="U456" t="s">
        <v>4343</v>
      </c>
      <c r="V456" t="s">
        <v>4990</v>
      </c>
      <c r="X456"/>
      <c r="Y456"/>
      <c r="Z456"/>
      <c r="AA456"/>
      <c r="AE456"/>
      <c r="AF456"/>
      <c r="AG456"/>
      <c r="AH456"/>
    </row>
    <row r="457" spans="1:34" ht="15.75" customHeight="1" x14ac:dyDescent="0.15">
      <c r="A457" s="9">
        <v>451</v>
      </c>
      <c r="B457" t="s">
        <v>75</v>
      </c>
      <c r="C457" t="s">
        <v>4267</v>
      </c>
      <c r="D457" t="s">
        <v>4991</v>
      </c>
      <c r="E457" s="9" t="s">
        <v>219</v>
      </c>
      <c r="F457" s="9">
        <v>21</v>
      </c>
      <c r="G457" s="9">
        <v>4</v>
      </c>
      <c r="H457" s="9" t="s">
        <v>4992</v>
      </c>
      <c r="I457" t="s">
        <v>171</v>
      </c>
      <c r="J457" t="s">
        <v>177</v>
      </c>
      <c r="K457" t="s">
        <v>173</v>
      </c>
      <c r="T457" t="s">
        <v>3723</v>
      </c>
      <c r="U457" t="s">
        <v>4343</v>
      </c>
      <c r="V457" t="s">
        <v>4993</v>
      </c>
      <c r="X457"/>
      <c r="Y457"/>
      <c r="Z457"/>
      <c r="AA457"/>
      <c r="AE457"/>
      <c r="AF457"/>
      <c r="AG457"/>
      <c r="AH457"/>
    </row>
    <row r="458" spans="1:34" ht="15.75" customHeight="1" x14ac:dyDescent="0.15">
      <c r="A458" s="9">
        <v>452</v>
      </c>
      <c r="B458" t="s">
        <v>75</v>
      </c>
      <c r="C458" t="s">
        <v>4267</v>
      </c>
      <c r="D458" t="s">
        <v>4994</v>
      </c>
      <c r="E458" s="9" t="s">
        <v>219</v>
      </c>
      <c r="F458" s="9">
        <v>21</v>
      </c>
      <c r="G458" s="9">
        <v>5</v>
      </c>
      <c r="H458" s="9" t="s">
        <v>4995</v>
      </c>
      <c r="I458" t="s">
        <v>171</v>
      </c>
      <c r="J458" t="s">
        <v>177</v>
      </c>
      <c r="K458" t="s">
        <v>173</v>
      </c>
      <c r="T458" t="s">
        <v>3723</v>
      </c>
      <c r="U458" t="s">
        <v>4343</v>
      </c>
      <c r="V458" t="s">
        <v>4996</v>
      </c>
      <c r="X458"/>
      <c r="Y458"/>
      <c r="Z458"/>
      <c r="AA458"/>
      <c r="AE458"/>
      <c r="AF458"/>
      <c r="AG458"/>
      <c r="AH458"/>
    </row>
    <row r="459" spans="1:34" ht="15.75" customHeight="1" x14ac:dyDescent="0.15">
      <c r="A459" s="9">
        <v>453</v>
      </c>
      <c r="B459" t="s">
        <v>75</v>
      </c>
      <c r="C459" t="s">
        <v>4267</v>
      </c>
      <c r="D459" t="s">
        <v>4997</v>
      </c>
      <c r="E459" s="9" t="s">
        <v>219</v>
      </c>
      <c r="F459" s="9">
        <v>21</v>
      </c>
      <c r="G459" s="9">
        <v>6</v>
      </c>
      <c r="H459" s="9" t="s">
        <v>4998</v>
      </c>
      <c r="I459" t="s">
        <v>171</v>
      </c>
      <c r="J459" t="s">
        <v>177</v>
      </c>
      <c r="K459" t="s">
        <v>173</v>
      </c>
      <c r="T459" t="s">
        <v>3723</v>
      </c>
      <c r="U459" t="s">
        <v>4343</v>
      </c>
      <c r="V459" t="s">
        <v>4999</v>
      </c>
      <c r="X459"/>
      <c r="Y459"/>
      <c r="Z459"/>
      <c r="AA459"/>
      <c r="AE459"/>
      <c r="AF459"/>
      <c r="AG459"/>
      <c r="AH459"/>
    </row>
    <row r="460" spans="1:34" ht="15.75" customHeight="1" x14ac:dyDescent="0.15">
      <c r="A460" s="9">
        <v>454</v>
      </c>
      <c r="B460" t="s">
        <v>75</v>
      </c>
      <c r="C460" t="s">
        <v>4267</v>
      </c>
      <c r="D460" t="s">
        <v>5000</v>
      </c>
      <c r="E460" s="9" t="s">
        <v>219</v>
      </c>
      <c r="F460" s="9">
        <v>21</v>
      </c>
      <c r="G460" s="9">
        <v>7</v>
      </c>
      <c r="H460" s="9" t="s">
        <v>5001</v>
      </c>
      <c r="I460" t="s">
        <v>171</v>
      </c>
      <c r="J460" t="s">
        <v>177</v>
      </c>
      <c r="K460" t="s">
        <v>173</v>
      </c>
      <c r="T460" t="s">
        <v>3723</v>
      </c>
      <c r="U460" t="s">
        <v>4343</v>
      </c>
      <c r="V460" t="s">
        <v>5002</v>
      </c>
      <c r="X460"/>
      <c r="Y460"/>
      <c r="Z460"/>
      <c r="AA460"/>
      <c r="AE460"/>
      <c r="AF460"/>
      <c r="AG460"/>
      <c r="AH460"/>
    </row>
    <row r="461" spans="1:34" ht="15.75" customHeight="1" x14ac:dyDescent="0.15">
      <c r="A461" s="9">
        <v>455</v>
      </c>
      <c r="B461" t="s">
        <v>75</v>
      </c>
      <c r="C461" t="s">
        <v>4267</v>
      </c>
      <c r="D461" t="s">
        <v>5003</v>
      </c>
      <c r="E461" s="9" t="s">
        <v>219</v>
      </c>
      <c r="F461" s="9">
        <v>21</v>
      </c>
      <c r="G461" s="9">
        <v>8</v>
      </c>
      <c r="H461" s="9" t="s">
        <v>5004</v>
      </c>
      <c r="I461" t="s">
        <v>171</v>
      </c>
      <c r="J461" t="s">
        <v>177</v>
      </c>
      <c r="K461" t="s">
        <v>173</v>
      </c>
      <c r="T461" t="s">
        <v>3723</v>
      </c>
      <c r="U461" t="s">
        <v>4343</v>
      </c>
      <c r="V461" t="s">
        <v>5005</v>
      </c>
      <c r="X461"/>
      <c r="Y461"/>
      <c r="Z461"/>
      <c r="AA461"/>
      <c r="AE461"/>
      <c r="AF461"/>
      <c r="AG461"/>
      <c r="AH461"/>
    </row>
    <row r="462" spans="1:34" ht="15.75" customHeight="1" x14ac:dyDescent="0.15">
      <c r="A462" s="9">
        <v>456</v>
      </c>
      <c r="B462" t="s">
        <v>75</v>
      </c>
      <c r="C462" t="s">
        <v>4267</v>
      </c>
      <c r="D462" t="s">
        <v>5006</v>
      </c>
      <c r="E462" s="9" t="s">
        <v>219</v>
      </c>
      <c r="F462" s="9">
        <v>21</v>
      </c>
      <c r="G462" s="9">
        <v>9</v>
      </c>
      <c r="H462" s="9" t="s">
        <v>5007</v>
      </c>
      <c r="I462" t="s">
        <v>171</v>
      </c>
      <c r="J462" t="s">
        <v>177</v>
      </c>
      <c r="K462" t="s">
        <v>173</v>
      </c>
      <c r="T462" t="s">
        <v>3723</v>
      </c>
      <c r="U462" t="s">
        <v>4343</v>
      </c>
      <c r="V462" t="s">
        <v>5008</v>
      </c>
      <c r="X462"/>
      <c r="Y462"/>
      <c r="Z462"/>
      <c r="AA462"/>
      <c r="AE462"/>
      <c r="AF462"/>
      <c r="AG462"/>
      <c r="AH462"/>
    </row>
    <row r="463" spans="1:34" ht="15.75" customHeight="1" x14ac:dyDescent="0.15">
      <c r="A463" s="9">
        <v>457</v>
      </c>
      <c r="B463" t="s">
        <v>75</v>
      </c>
      <c r="C463" t="s">
        <v>4267</v>
      </c>
      <c r="D463" t="s">
        <v>5009</v>
      </c>
      <c r="E463" s="9" t="s">
        <v>219</v>
      </c>
      <c r="F463" s="9">
        <v>21</v>
      </c>
      <c r="G463" s="9">
        <v>10</v>
      </c>
      <c r="H463" s="9" t="s">
        <v>5010</v>
      </c>
      <c r="I463" t="s">
        <v>171</v>
      </c>
      <c r="J463" t="s">
        <v>177</v>
      </c>
      <c r="K463" t="s">
        <v>173</v>
      </c>
      <c r="T463" t="s">
        <v>3723</v>
      </c>
      <c r="U463" t="s">
        <v>4343</v>
      </c>
      <c r="V463" t="s">
        <v>5011</v>
      </c>
      <c r="X463"/>
      <c r="Y463"/>
      <c r="Z463"/>
      <c r="AA463"/>
      <c r="AE463"/>
      <c r="AF463"/>
      <c r="AG463"/>
      <c r="AH463"/>
    </row>
    <row r="464" spans="1:34" ht="15.75" customHeight="1" x14ac:dyDescent="0.15">
      <c r="A464" s="9">
        <v>458</v>
      </c>
      <c r="B464" t="s">
        <v>75</v>
      </c>
      <c r="C464" t="s">
        <v>4267</v>
      </c>
      <c r="D464" t="s">
        <v>5012</v>
      </c>
      <c r="E464" s="9" t="s">
        <v>219</v>
      </c>
      <c r="F464" s="9">
        <v>21</v>
      </c>
      <c r="G464" s="9">
        <v>11</v>
      </c>
      <c r="H464" s="9" t="s">
        <v>5013</v>
      </c>
      <c r="I464" t="s">
        <v>171</v>
      </c>
      <c r="J464" t="s">
        <v>177</v>
      </c>
      <c r="K464" t="s">
        <v>173</v>
      </c>
      <c r="T464" t="s">
        <v>3723</v>
      </c>
      <c r="U464" t="s">
        <v>4343</v>
      </c>
      <c r="V464" t="s">
        <v>5014</v>
      </c>
      <c r="X464"/>
      <c r="Y464"/>
      <c r="Z464"/>
      <c r="AA464"/>
      <c r="AE464"/>
      <c r="AF464"/>
      <c r="AG464"/>
      <c r="AH464"/>
    </row>
    <row r="465" spans="1:34" ht="15.75" customHeight="1" x14ac:dyDescent="0.15">
      <c r="A465" s="9">
        <v>459</v>
      </c>
      <c r="B465" t="s">
        <v>75</v>
      </c>
      <c r="C465" t="s">
        <v>4267</v>
      </c>
      <c r="D465" t="s">
        <v>5015</v>
      </c>
      <c r="E465" s="9" t="s">
        <v>219</v>
      </c>
      <c r="F465" s="9">
        <v>21</v>
      </c>
      <c r="G465" s="9">
        <v>12</v>
      </c>
      <c r="H465" s="9" t="s">
        <v>5016</v>
      </c>
      <c r="I465" t="s">
        <v>171</v>
      </c>
      <c r="J465" t="s">
        <v>177</v>
      </c>
      <c r="K465" t="s">
        <v>173</v>
      </c>
      <c r="T465" t="s">
        <v>3723</v>
      </c>
      <c r="U465" t="s">
        <v>4343</v>
      </c>
      <c r="V465" t="s">
        <v>5017</v>
      </c>
      <c r="X465"/>
      <c r="Y465"/>
      <c r="Z465"/>
      <c r="AA465"/>
      <c r="AE465"/>
      <c r="AF465"/>
      <c r="AG465"/>
      <c r="AH465"/>
    </row>
    <row r="466" spans="1:34" ht="15.75" customHeight="1" x14ac:dyDescent="0.15">
      <c r="A466" s="9">
        <v>460</v>
      </c>
      <c r="B466" t="s">
        <v>75</v>
      </c>
      <c r="C466" t="s">
        <v>4267</v>
      </c>
      <c r="D466" t="s">
        <v>5018</v>
      </c>
      <c r="E466" s="9" t="s">
        <v>219</v>
      </c>
      <c r="F466" s="9">
        <v>21</v>
      </c>
      <c r="G466" s="9">
        <v>13</v>
      </c>
      <c r="H466" s="9" t="s">
        <v>5019</v>
      </c>
      <c r="I466" t="s">
        <v>171</v>
      </c>
      <c r="J466" t="s">
        <v>177</v>
      </c>
      <c r="K466" t="s">
        <v>173</v>
      </c>
      <c r="T466" t="s">
        <v>3723</v>
      </c>
      <c r="U466" t="s">
        <v>4343</v>
      </c>
      <c r="V466" t="s">
        <v>5020</v>
      </c>
      <c r="X466"/>
      <c r="Y466"/>
      <c r="Z466"/>
      <c r="AA466"/>
      <c r="AE466"/>
      <c r="AF466"/>
      <c r="AG466"/>
      <c r="AH466"/>
    </row>
    <row r="467" spans="1:34" ht="15.75" customHeight="1" x14ac:dyDescent="0.15">
      <c r="A467" s="9">
        <v>461</v>
      </c>
      <c r="B467" t="s">
        <v>75</v>
      </c>
      <c r="C467" t="s">
        <v>4267</v>
      </c>
      <c r="D467" t="s">
        <v>5021</v>
      </c>
      <c r="E467" s="9" t="s">
        <v>219</v>
      </c>
      <c r="F467" s="9">
        <v>21</v>
      </c>
      <c r="G467" s="9">
        <v>14</v>
      </c>
      <c r="H467" s="9" t="s">
        <v>5022</v>
      </c>
      <c r="I467" t="s">
        <v>171</v>
      </c>
      <c r="J467" t="s">
        <v>177</v>
      </c>
      <c r="K467" t="s">
        <v>173</v>
      </c>
      <c r="T467" t="s">
        <v>3723</v>
      </c>
      <c r="U467" t="s">
        <v>4343</v>
      </c>
      <c r="V467" t="s">
        <v>5023</v>
      </c>
      <c r="X467"/>
      <c r="Y467"/>
      <c r="Z467"/>
      <c r="AA467"/>
      <c r="AE467"/>
      <c r="AF467"/>
      <c r="AG467"/>
      <c r="AH467"/>
    </row>
    <row r="468" spans="1:34" ht="15.75" customHeight="1" x14ac:dyDescent="0.15">
      <c r="A468" s="9">
        <v>462</v>
      </c>
      <c r="B468" t="s">
        <v>75</v>
      </c>
      <c r="C468" t="s">
        <v>4267</v>
      </c>
      <c r="D468" t="s">
        <v>5024</v>
      </c>
      <c r="E468" s="9" t="s">
        <v>219</v>
      </c>
      <c r="F468" s="9">
        <v>21</v>
      </c>
      <c r="G468" s="9">
        <v>15</v>
      </c>
      <c r="H468" s="9" t="s">
        <v>5025</v>
      </c>
      <c r="I468" t="s">
        <v>171</v>
      </c>
      <c r="J468" t="s">
        <v>177</v>
      </c>
      <c r="K468" t="s">
        <v>173</v>
      </c>
      <c r="T468" t="s">
        <v>3723</v>
      </c>
      <c r="U468" t="s">
        <v>4343</v>
      </c>
      <c r="V468" t="s">
        <v>5026</v>
      </c>
      <c r="X468"/>
      <c r="Y468"/>
      <c r="Z468"/>
      <c r="AA468"/>
      <c r="AE468"/>
      <c r="AF468"/>
      <c r="AG468"/>
      <c r="AH468"/>
    </row>
    <row r="469" spans="1:34" ht="15.75" customHeight="1" x14ac:dyDescent="0.15">
      <c r="A469" s="9">
        <v>463</v>
      </c>
      <c r="B469" t="s">
        <v>75</v>
      </c>
      <c r="C469" t="s">
        <v>4267</v>
      </c>
      <c r="D469" t="s">
        <v>5027</v>
      </c>
      <c r="E469" s="9" t="s">
        <v>219</v>
      </c>
      <c r="F469" s="9">
        <v>21</v>
      </c>
      <c r="G469" s="9">
        <v>16</v>
      </c>
      <c r="H469" s="9" t="s">
        <v>5028</v>
      </c>
      <c r="I469" t="s">
        <v>171</v>
      </c>
      <c r="J469" t="s">
        <v>177</v>
      </c>
      <c r="K469" t="s">
        <v>173</v>
      </c>
      <c r="T469" t="s">
        <v>3723</v>
      </c>
      <c r="U469" t="s">
        <v>4343</v>
      </c>
      <c r="V469" t="s">
        <v>5029</v>
      </c>
      <c r="X469"/>
      <c r="Y469"/>
      <c r="Z469"/>
      <c r="AA469"/>
      <c r="AE469"/>
      <c r="AF469"/>
      <c r="AG469"/>
      <c r="AH469"/>
    </row>
    <row r="470" spans="1:34" ht="15.75" customHeight="1" x14ac:dyDescent="0.15">
      <c r="A470" s="9">
        <v>464</v>
      </c>
      <c r="B470" t="s">
        <v>75</v>
      </c>
      <c r="C470" t="s">
        <v>4267</v>
      </c>
      <c r="D470" t="s">
        <v>5030</v>
      </c>
      <c r="E470" s="9" t="s">
        <v>219</v>
      </c>
      <c r="F470" s="9">
        <v>21</v>
      </c>
      <c r="G470" s="9">
        <v>17</v>
      </c>
      <c r="H470" s="9" t="s">
        <v>5031</v>
      </c>
      <c r="I470" t="s">
        <v>171</v>
      </c>
      <c r="J470" t="s">
        <v>177</v>
      </c>
      <c r="K470" t="s">
        <v>173</v>
      </c>
      <c r="T470" t="s">
        <v>3723</v>
      </c>
      <c r="U470" t="s">
        <v>4343</v>
      </c>
      <c r="V470" t="s">
        <v>5032</v>
      </c>
      <c r="X470"/>
      <c r="Y470"/>
      <c r="Z470"/>
      <c r="AA470"/>
      <c r="AE470"/>
      <c r="AF470"/>
      <c r="AG470"/>
      <c r="AH470"/>
    </row>
    <row r="471" spans="1:34" ht="15.75" customHeight="1" x14ac:dyDescent="0.15">
      <c r="A471" s="9">
        <v>465</v>
      </c>
      <c r="B471" t="s">
        <v>75</v>
      </c>
      <c r="C471" t="s">
        <v>4267</v>
      </c>
      <c r="D471" t="s">
        <v>5033</v>
      </c>
      <c r="E471" s="9" t="s">
        <v>219</v>
      </c>
      <c r="F471" s="9">
        <v>21</v>
      </c>
      <c r="G471" s="9">
        <v>18</v>
      </c>
      <c r="H471" s="9" t="s">
        <v>5034</v>
      </c>
      <c r="I471" t="s">
        <v>171</v>
      </c>
      <c r="J471" t="s">
        <v>177</v>
      </c>
      <c r="K471" t="s">
        <v>173</v>
      </c>
      <c r="T471" t="s">
        <v>3723</v>
      </c>
      <c r="U471" t="s">
        <v>4343</v>
      </c>
      <c r="V471" t="s">
        <v>5035</v>
      </c>
      <c r="X471"/>
      <c r="Y471"/>
      <c r="Z471"/>
      <c r="AA471"/>
      <c r="AE471"/>
      <c r="AF471"/>
      <c r="AG471"/>
      <c r="AH471"/>
    </row>
    <row r="472" spans="1:34" ht="15.75" customHeight="1" x14ac:dyDescent="0.15">
      <c r="A472" s="9">
        <v>466</v>
      </c>
      <c r="B472" t="s">
        <v>75</v>
      </c>
      <c r="C472" t="s">
        <v>4267</v>
      </c>
      <c r="D472" t="s">
        <v>5036</v>
      </c>
      <c r="E472" s="9" t="s">
        <v>219</v>
      </c>
      <c r="F472" s="9">
        <v>21</v>
      </c>
      <c r="G472" s="9">
        <v>19</v>
      </c>
      <c r="H472" s="9" t="s">
        <v>5037</v>
      </c>
      <c r="I472" t="s">
        <v>171</v>
      </c>
      <c r="J472" t="s">
        <v>177</v>
      </c>
      <c r="K472" t="s">
        <v>173</v>
      </c>
      <c r="T472" t="s">
        <v>3723</v>
      </c>
      <c r="U472" t="s">
        <v>4343</v>
      </c>
      <c r="V472" t="s">
        <v>5038</v>
      </c>
      <c r="X472"/>
      <c r="Y472"/>
      <c r="Z472"/>
      <c r="AA472"/>
      <c r="AE472"/>
      <c r="AF472"/>
      <c r="AG472"/>
      <c r="AH472"/>
    </row>
    <row r="473" spans="1:34" ht="15.75" customHeight="1" x14ac:dyDescent="0.15">
      <c r="A473" s="9">
        <v>467</v>
      </c>
      <c r="B473" t="s">
        <v>75</v>
      </c>
      <c r="C473" t="s">
        <v>4267</v>
      </c>
      <c r="D473" t="s">
        <v>5039</v>
      </c>
      <c r="E473" s="9" t="s">
        <v>219</v>
      </c>
      <c r="F473" s="9">
        <v>21</v>
      </c>
      <c r="G473" s="9">
        <v>20</v>
      </c>
      <c r="H473" s="9" t="s">
        <v>5040</v>
      </c>
      <c r="I473" t="s">
        <v>171</v>
      </c>
      <c r="J473" t="s">
        <v>177</v>
      </c>
      <c r="K473" t="s">
        <v>173</v>
      </c>
      <c r="T473" t="s">
        <v>3723</v>
      </c>
      <c r="U473" t="s">
        <v>4343</v>
      </c>
      <c r="V473" t="s">
        <v>5041</v>
      </c>
      <c r="X473"/>
      <c r="Y473"/>
      <c r="Z473"/>
      <c r="AA473"/>
      <c r="AE473"/>
      <c r="AF473"/>
      <c r="AG473"/>
      <c r="AH473"/>
    </row>
    <row r="474" spans="1:34" ht="15.75" customHeight="1" x14ac:dyDescent="0.15">
      <c r="A474" s="9">
        <v>468</v>
      </c>
      <c r="B474" t="s">
        <v>75</v>
      </c>
      <c r="C474" t="s">
        <v>4267</v>
      </c>
      <c r="D474" t="s">
        <v>5042</v>
      </c>
      <c r="E474" s="9" t="s">
        <v>219</v>
      </c>
      <c r="F474" s="9">
        <v>21</v>
      </c>
      <c r="G474" s="9">
        <v>21</v>
      </c>
      <c r="H474" s="9" t="s">
        <v>5043</v>
      </c>
      <c r="I474" t="s">
        <v>171</v>
      </c>
      <c r="J474" t="s">
        <v>177</v>
      </c>
      <c r="K474" t="s">
        <v>173</v>
      </c>
      <c r="T474" t="s">
        <v>3723</v>
      </c>
      <c r="U474" t="s">
        <v>4343</v>
      </c>
      <c r="V474" t="s">
        <v>5044</v>
      </c>
      <c r="X474"/>
      <c r="Y474"/>
      <c r="Z474"/>
      <c r="AA474"/>
      <c r="AE474"/>
      <c r="AF474"/>
      <c r="AG474"/>
      <c r="AH474"/>
    </row>
    <row r="475" spans="1:34" ht="15.75" customHeight="1" x14ac:dyDescent="0.15">
      <c r="A475" s="9">
        <v>469</v>
      </c>
      <c r="B475" t="s">
        <v>75</v>
      </c>
      <c r="C475" t="s">
        <v>4267</v>
      </c>
      <c r="D475" t="s">
        <v>5045</v>
      </c>
      <c r="E475" s="9" t="s">
        <v>219</v>
      </c>
      <c r="F475" s="9">
        <v>21</v>
      </c>
      <c r="G475" s="9">
        <v>22</v>
      </c>
      <c r="H475" s="9" t="s">
        <v>5046</v>
      </c>
      <c r="I475" t="s">
        <v>171</v>
      </c>
      <c r="J475" t="s">
        <v>177</v>
      </c>
      <c r="K475" t="s">
        <v>173</v>
      </c>
      <c r="T475" t="s">
        <v>3723</v>
      </c>
      <c r="U475" t="s">
        <v>4343</v>
      </c>
      <c r="V475" t="s">
        <v>5047</v>
      </c>
      <c r="X475"/>
      <c r="Y475"/>
      <c r="Z475"/>
      <c r="AA475"/>
      <c r="AE475"/>
      <c r="AF475"/>
      <c r="AG475"/>
      <c r="AH475"/>
    </row>
    <row r="476" spans="1:34" ht="15.75" customHeight="1" x14ac:dyDescent="0.15">
      <c r="A476" s="9">
        <v>470</v>
      </c>
      <c r="B476" t="s">
        <v>75</v>
      </c>
      <c r="C476" t="s">
        <v>4267</v>
      </c>
      <c r="D476" t="s">
        <v>5048</v>
      </c>
      <c r="E476" s="9" t="s">
        <v>219</v>
      </c>
      <c r="F476" s="9">
        <v>21</v>
      </c>
      <c r="G476" s="9">
        <v>23</v>
      </c>
      <c r="H476" s="9" t="s">
        <v>5049</v>
      </c>
      <c r="I476" t="s">
        <v>171</v>
      </c>
      <c r="J476" t="s">
        <v>177</v>
      </c>
      <c r="K476" t="s">
        <v>173</v>
      </c>
      <c r="T476" t="s">
        <v>3723</v>
      </c>
      <c r="U476" t="s">
        <v>4343</v>
      </c>
      <c r="V476" t="s">
        <v>5050</v>
      </c>
      <c r="X476"/>
      <c r="Y476"/>
      <c r="Z476"/>
      <c r="AA476"/>
      <c r="AE476"/>
      <c r="AF476"/>
      <c r="AG476"/>
      <c r="AH476"/>
    </row>
    <row r="477" spans="1:34" ht="15.75" customHeight="1" x14ac:dyDescent="0.15">
      <c r="A477" s="9">
        <v>471</v>
      </c>
      <c r="B477" t="s">
        <v>75</v>
      </c>
      <c r="C477" t="s">
        <v>4267</v>
      </c>
      <c r="D477" t="s">
        <v>5051</v>
      </c>
      <c r="E477" s="9" t="s">
        <v>219</v>
      </c>
      <c r="F477" s="9">
        <v>21</v>
      </c>
      <c r="G477" s="9">
        <v>24</v>
      </c>
      <c r="H477" s="9" t="s">
        <v>5052</v>
      </c>
      <c r="I477" t="s">
        <v>171</v>
      </c>
      <c r="J477" t="s">
        <v>177</v>
      </c>
      <c r="K477" t="s">
        <v>173</v>
      </c>
      <c r="T477" t="s">
        <v>3723</v>
      </c>
      <c r="U477" t="s">
        <v>4343</v>
      </c>
      <c r="V477" t="s">
        <v>5053</v>
      </c>
      <c r="X477"/>
      <c r="Y477"/>
      <c r="Z477"/>
      <c r="AA477"/>
      <c r="AE477"/>
      <c r="AF477"/>
      <c r="AG477"/>
      <c r="AH477"/>
    </row>
    <row r="478" spans="1:34" ht="15.75" customHeight="1" x14ac:dyDescent="0.15">
      <c r="A478" s="9">
        <v>472</v>
      </c>
      <c r="B478" t="s">
        <v>75</v>
      </c>
      <c r="C478" t="s">
        <v>4267</v>
      </c>
      <c r="D478" t="s">
        <v>5054</v>
      </c>
      <c r="E478" s="9" t="s">
        <v>219</v>
      </c>
      <c r="F478" s="9">
        <v>21</v>
      </c>
      <c r="G478" s="9">
        <v>25</v>
      </c>
      <c r="H478" s="9" t="s">
        <v>5055</v>
      </c>
      <c r="I478" t="s">
        <v>171</v>
      </c>
      <c r="J478" t="s">
        <v>177</v>
      </c>
      <c r="K478" t="s">
        <v>173</v>
      </c>
      <c r="T478" t="s">
        <v>3723</v>
      </c>
      <c r="U478" t="s">
        <v>4343</v>
      </c>
      <c r="V478" t="s">
        <v>5056</v>
      </c>
      <c r="X478"/>
      <c r="Y478"/>
      <c r="Z478"/>
      <c r="AA478"/>
      <c r="AE478"/>
      <c r="AF478"/>
      <c r="AG478"/>
      <c r="AH478"/>
    </row>
    <row r="479" spans="1:34" ht="15.75" customHeight="1" x14ac:dyDescent="0.15">
      <c r="A479" s="9">
        <v>473</v>
      </c>
      <c r="B479" t="s">
        <v>75</v>
      </c>
      <c r="C479" t="s">
        <v>4267</v>
      </c>
      <c r="D479" t="s">
        <v>5057</v>
      </c>
      <c r="E479" s="9" t="s">
        <v>219</v>
      </c>
      <c r="F479" s="9">
        <v>21</v>
      </c>
      <c r="G479" s="9">
        <v>26</v>
      </c>
      <c r="H479" s="9" t="s">
        <v>5058</v>
      </c>
      <c r="I479" t="s">
        <v>171</v>
      </c>
      <c r="J479" t="s">
        <v>177</v>
      </c>
      <c r="K479" t="s">
        <v>173</v>
      </c>
      <c r="T479" t="s">
        <v>3723</v>
      </c>
      <c r="U479" t="s">
        <v>4343</v>
      </c>
      <c r="V479" t="s">
        <v>5059</v>
      </c>
      <c r="X479"/>
      <c r="Y479"/>
      <c r="Z479"/>
      <c r="AA479"/>
      <c r="AE479"/>
      <c r="AF479"/>
      <c r="AG479"/>
      <c r="AH479"/>
    </row>
    <row r="480" spans="1:34" ht="15.75" customHeight="1" x14ac:dyDescent="0.15">
      <c r="A480" s="9">
        <v>474</v>
      </c>
      <c r="B480" t="s">
        <v>75</v>
      </c>
      <c r="C480" t="s">
        <v>4267</v>
      </c>
      <c r="D480" t="s">
        <v>5060</v>
      </c>
      <c r="E480" s="9" t="s">
        <v>219</v>
      </c>
      <c r="F480" s="9">
        <v>21</v>
      </c>
      <c r="G480" s="9">
        <v>27</v>
      </c>
      <c r="H480" s="9" t="s">
        <v>5061</v>
      </c>
      <c r="I480" t="s">
        <v>171</v>
      </c>
      <c r="J480" t="s">
        <v>177</v>
      </c>
      <c r="K480" t="s">
        <v>173</v>
      </c>
      <c r="T480" t="s">
        <v>3723</v>
      </c>
      <c r="U480" t="s">
        <v>4343</v>
      </c>
      <c r="V480" t="s">
        <v>5062</v>
      </c>
      <c r="X480"/>
      <c r="Y480"/>
      <c r="Z480"/>
      <c r="AA480"/>
      <c r="AE480"/>
      <c r="AF480"/>
      <c r="AG480"/>
      <c r="AH480"/>
    </row>
    <row r="481" spans="1:34" ht="15.75" customHeight="1" x14ac:dyDescent="0.15">
      <c r="A481" s="9">
        <v>475</v>
      </c>
      <c r="B481" t="s">
        <v>75</v>
      </c>
      <c r="C481" t="s">
        <v>4267</v>
      </c>
      <c r="D481" t="s">
        <v>5063</v>
      </c>
      <c r="E481" s="9" t="s">
        <v>219</v>
      </c>
      <c r="F481" s="9">
        <v>21</v>
      </c>
      <c r="G481" s="9">
        <v>28</v>
      </c>
      <c r="H481" s="9" t="s">
        <v>5064</v>
      </c>
      <c r="I481" t="s">
        <v>171</v>
      </c>
      <c r="J481" t="s">
        <v>177</v>
      </c>
      <c r="K481" t="s">
        <v>173</v>
      </c>
      <c r="T481" t="s">
        <v>3723</v>
      </c>
      <c r="U481" t="s">
        <v>4343</v>
      </c>
      <c r="V481" t="s">
        <v>5065</v>
      </c>
      <c r="X481"/>
      <c r="Y481"/>
      <c r="Z481"/>
      <c r="AA481"/>
      <c r="AE481"/>
      <c r="AF481"/>
      <c r="AG481"/>
      <c r="AH481"/>
    </row>
    <row r="482" spans="1:34" ht="15.75" customHeight="1" x14ac:dyDescent="0.15">
      <c r="A482" s="9">
        <v>476</v>
      </c>
      <c r="B482" t="s">
        <v>75</v>
      </c>
      <c r="C482" t="s">
        <v>4267</v>
      </c>
      <c r="D482" t="s">
        <v>5066</v>
      </c>
      <c r="E482" s="9" t="s">
        <v>219</v>
      </c>
      <c r="F482" s="9">
        <v>21</v>
      </c>
      <c r="G482" s="9">
        <v>29</v>
      </c>
      <c r="H482" s="9" t="s">
        <v>5067</v>
      </c>
      <c r="I482" t="s">
        <v>171</v>
      </c>
      <c r="J482" t="s">
        <v>177</v>
      </c>
      <c r="K482" t="s">
        <v>173</v>
      </c>
      <c r="T482" t="s">
        <v>3723</v>
      </c>
      <c r="U482" t="s">
        <v>4343</v>
      </c>
      <c r="V482" t="s">
        <v>5068</v>
      </c>
      <c r="X482"/>
      <c r="Y482"/>
      <c r="Z482"/>
      <c r="AA482"/>
      <c r="AE482"/>
      <c r="AF482"/>
      <c r="AG482"/>
      <c r="AH482"/>
    </row>
    <row r="483" spans="1:34" ht="15.75" customHeight="1" x14ac:dyDescent="0.15">
      <c r="A483" s="9">
        <v>477</v>
      </c>
      <c r="B483" t="s">
        <v>75</v>
      </c>
      <c r="C483" t="s">
        <v>4267</v>
      </c>
      <c r="D483" t="s">
        <v>5069</v>
      </c>
      <c r="E483" s="9" t="s">
        <v>219</v>
      </c>
      <c r="F483" s="9">
        <v>21</v>
      </c>
      <c r="G483" s="9">
        <v>30</v>
      </c>
      <c r="H483" s="9" t="s">
        <v>5070</v>
      </c>
      <c r="I483" t="s">
        <v>171</v>
      </c>
      <c r="J483" t="s">
        <v>177</v>
      </c>
      <c r="K483" t="s">
        <v>173</v>
      </c>
      <c r="T483" t="s">
        <v>3723</v>
      </c>
      <c r="U483" t="s">
        <v>4343</v>
      </c>
      <c r="V483" t="s">
        <v>5071</v>
      </c>
      <c r="X483"/>
      <c r="Y483"/>
      <c r="Z483"/>
      <c r="AA483"/>
      <c r="AE483"/>
      <c r="AF483"/>
      <c r="AG483"/>
      <c r="AH483"/>
    </row>
    <row r="484" spans="1:34" ht="15.75" customHeight="1" x14ac:dyDescent="0.15">
      <c r="A484" s="9">
        <v>478</v>
      </c>
      <c r="B484" t="s">
        <v>75</v>
      </c>
      <c r="C484" t="s">
        <v>4267</v>
      </c>
      <c r="D484" t="s">
        <v>5072</v>
      </c>
      <c r="E484" s="9" t="s">
        <v>219</v>
      </c>
      <c r="F484" s="9">
        <v>21</v>
      </c>
      <c r="G484" s="9">
        <v>31</v>
      </c>
      <c r="H484" s="9" t="s">
        <v>5073</v>
      </c>
      <c r="I484" t="s">
        <v>171</v>
      </c>
      <c r="J484" t="s">
        <v>177</v>
      </c>
      <c r="K484" t="s">
        <v>173</v>
      </c>
      <c r="T484" t="s">
        <v>3723</v>
      </c>
      <c r="U484" t="s">
        <v>4343</v>
      </c>
      <c r="V484" t="s">
        <v>5074</v>
      </c>
      <c r="X484"/>
      <c r="Y484"/>
      <c r="Z484"/>
      <c r="AA484"/>
      <c r="AE484"/>
      <c r="AF484"/>
      <c r="AG484"/>
      <c r="AH484"/>
    </row>
    <row r="485" spans="1:34" ht="15.75" customHeight="1" x14ac:dyDescent="0.15">
      <c r="A485" s="9">
        <v>479</v>
      </c>
      <c r="B485" t="s">
        <v>75</v>
      </c>
      <c r="C485" t="s">
        <v>4267</v>
      </c>
      <c r="D485" t="s">
        <v>5075</v>
      </c>
      <c r="E485" s="9" t="s">
        <v>219</v>
      </c>
      <c r="F485" s="9">
        <v>22</v>
      </c>
      <c r="G485" s="9"/>
      <c r="H485" s="9"/>
      <c r="I485" t="s">
        <v>196</v>
      </c>
      <c r="L485" t="s">
        <v>61</v>
      </c>
      <c r="M485">
        <v>1</v>
      </c>
      <c r="T485" t="s">
        <v>3723</v>
      </c>
      <c r="U485" t="s">
        <v>3853</v>
      </c>
      <c r="V485" t="s">
        <v>5076</v>
      </c>
      <c r="X485"/>
      <c r="Y485"/>
      <c r="Z485"/>
      <c r="AA485"/>
      <c r="AE485"/>
      <c r="AF485"/>
      <c r="AG485"/>
      <c r="AH485"/>
    </row>
    <row r="486" spans="1:34" ht="15.75" customHeight="1" x14ac:dyDescent="0.15">
      <c r="A486" s="9">
        <v>480</v>
      </c>
      <c r="B486" t="s">
        <v>75</v>
      </c>
      <c r="C486" t="s">
        <v>4267</v>
      </c>
      <c r="D486" t="s">
        <v>5077</v>
      </c>
      <c r="E486" s="9" t="s">
        <v>219</v>
      </c>
      <c r="F486" s="9">
        <v>22</v>
      </c>
      <c r="G486" s="9">
        <v>0</v>
      </c>
      <c r="H486" s="9" t="s">
        <v>5078</v>
      </c>
      <c r="I486" t="s">
        <v>171</v>
      </c>
      <c r="J486" t="s">
        <v>177</v>
      </c>
      <c r="K486" t="s">
        <v>173</v>
      </c>
      <c r="T486" t="s">
        <v>3723</v>
      </c>
      <c r="U486" t="s">
        <v>4343</v>
      </c>
      <c r="V486" t="s">
        <v>5079</v>
      </c>
      <c r="X486"/>
      <c r="Y486"/>
      <c r="Z486"/>
      <c r="AA486"/>
      <c r="AE486"/>
      <c r="AF486"/>
      <c r="AG486"/>
      <c r="AH486"/>
    </row>
    <row r="487" spans="1:34" ht="15.75" customHeight="1" x14ac:dyDescent="0.15">
      <c r="A487" s="9">
        <v>481</v>
      </c>
      <c r="B487" t="s">
        <v>75</v>
      </c>
      <c r="C487" t="s">
        <v>4267</v>
      </c>
      <c r="D487" t="s">
        <v>5080</v>
      </c>
      <c r="E487" s="9" t="s">
        <v>219</v>
      </c>
      <c r="F487" s="9">
        <v>22</v>
      </c>
      <c r="G487" s="9">
        <v>1</v>
      </c>
      <c r="H487" s="9" t="s">
        <v>5081</v>
      </c>
      <c r="I487" t="s">
        <v>171</v>
      </c>
      <c r="J487" t="s">
        <v>177</v>
      </c>
      <c r="K487" t="s">
        <v>173</v>
      </c>
      <c r="T487" t="s">
        <v>3723</v>
      </c>
      <c r="U487" t="s">
        <v>4343</v>
      </c>
      <c r="V487" t="s">
        <v>5082</v>
      </c>
      <c r="X487"/>
      <c r="Y487"/>
      <c r="Z487"/>
      <c r="AA487"/>
      <c r="AE487"/>
      <c r="AF487"/>
      <c r="AG487"/>
      <c r="AH487"/>
    </row>
    <row r="488" spans="1:34" ht="15.75" customHeight="1" x14ac:dyDescent="0.15">
      <c r="A488" s="9">
        <v>482</v>
      </c>
      <c r="B488" t="s">
        <v>75</v>
      </c>
      <c r="C488" t="s">
        <v>4267</v>
      </c>
      <c r="D488" t="s">
        <v>5083</v>
      </c>
      <c r="E488" s="9" t="s">
        <v>219</v>
      </c>
      <c r="F488" s="9">
        <v>22</v>
      </c>
      <c r="G488" s="9">
        <v>2</v>
      </c>
      <c r="H488" s="9" t="s">
        <v>5084</v>
      </c>
      <c r="I488" t="s">
        <v>171</v>
      </c>
      <c r="J488" t="s">
        <v>177</v>
      </c>
      <c r="K488" t="s">
        <v>173</v>
      </c>
      <c r="T488" t="s">
        <v>3723</v>
      </c>
      <c r="U488" t="s">
        <v>4343</v>
      </c>
      <c r="V488" t="s">
        <v>5085</v>
      </c>
      <c r="X488"/>
      <c r="Y488"/>
      <c r="Z488"/>
      <c r="AA488"/>
      <c r="AE488"/>
      <c r="AF488"/>
      <c r="AG488"/>
      <c r="AH488"/>
    </row>
    <row r="489" spans="1:34" ht="15.75" customHeight="1" x14ac:dyDescent="0.15">
      <c r="A489" s="9">
        <v>483</v>
      </c>
      <c r="B489" t="s">
        <v>75</v>
      </c>
      <c r="C489" t="s">
        <v>4267</v>
      </c>
      <c r="D489" t="s">
        <v>5086</v>
      </c>
      <c r="E489" s="9" t="s">
        <v>219</v>
      </c>
      <c r="F489" s="9">
        <v>22</v>
      </c>
      <c r="G489" s="9">
        <v>3</v>
      </c>
      <c r="H489" s="9" t="s">
        <v>5087</v>
      </c>
      <c r="I489" t="s">
        <v>171</v>
      </c>
      <c r="J489" t="s">
        <v>177</v>
      </c>
      <c r="K489" t="s">
        <v>173</v>
      </c>
      <c r="T489" t="s">
        <v>3723</v>
      </c>
      <c r="U489" t="s">
        <v>4343</v>
      </c>
      <c r="V489" t="s">
        <v>5088</v>
      </c>
      <c r="X489"/>
      <c r="Y489"/>
      <c r="Z489"/>
      <c r="AA489"/>
      <c r="AE489"/>
      <c r="AF489"/>
      <c r="AG489"/>
      <c r="AH489"/>
    </row>
    <row r="490" spans="1:34" ht="15.75" customHeight="1" x14ac:dyDescent="0.15">
      <c r="A490" s="9">
        <v>484</v>
      </c>
      <c r="B490" t="s">
        <v>75</v>
      </c>
      <c r="C490" t="s">
        <v>4267</v>
      </c>
      <c r="D490" t="s">
        <v>5089</v>
      </c>
      <c r="E490" s="9" t="s">
        <v>219</v>
      </c>
      <c r="F490" s="9">
        <v>22</v>
      </c>
      <c r="G490" s="9">
        <v>4</v>
      </c>
      <c r="H490" s="9" t="s">
        <v>5090</v>
      </c>
      <c r="I490" t="s">
        <v>171</v>
      </c>
      <c r="J490" t="s">
        <v>177</v>
      </c>
      <c r="K490" t="s">
        <v>173</v>
      </c>
      <c r="T490" t="s">
        <v>3723</v>
      </c>
      <c r="U490" t="s">
        <v>4343</v>
      </c>
      <c r="V490" t="s">
        <v>5091</v>
      </c>
      <c r="X490"/>
      <c r="Y490"/>
      <c r="Z490"/>
      <c r="AA490"/>
      <c r="AE490"/>
      <c r="AF490"/>
      <c r="AG490"/>
      <c r="AH490"/>
    </row>
    <row r="491" spans="1:34" ht="15.75" customHeight="1" x14ac:dyDescent="0.15">
      <c r="A491" s="9">
        <v>485</v>
      </c>
      <c r="B491" t="s">
        <v>75</v>
      </c>
      <c r="C491" t="s">
        <v>4267</v>
      </c>
      <c r="D491" t="s">
        <v>5092</v>
      </c>
      <c r="E491" s="9" t="s">
        <v>219</v>
      </c>
      <c r="F491" s="9">
        <v>22</v>
      </c>
      <c r="G491" s="9">
        <v>5</v>
      </c>
      <c r="H491" s="9" t="s">
        <v>5093</v>
      </c>
      <c r="I491" t="s">
        <v>171</v>
      </c>
      <c r="J491" t="s">
        <v>177</v>
      </c>
      <c r="K491" t="s">
        <v>173</v>
      </c>
      <c r="T491" t="s">
        <v>3723</v>
      </c>
      <c r="U491" t="s">
        <v>4343</v>
      </c>
      <c r="V491" t="s">
        <v>5094</v>
      </c>
      <c r="X491"/>
      <c r="Y491"/>
      <c r="Z491"/>
      <c r="AA491"/>
      <c r="AE491"/>
      <c r="AF491"/>
      <c r="AG491"/>
      <c r="AH491"/>
    </row>
    <row r="492" spans="1:34" ht="15.75" customHeight="1" x14ac:dyDescent="0.15">
      <c r="A492" s="9">
        <v>486</v>
      </c>
      <c r="B492" t="s">
        <v>75</v>
      </c>
      <c r="C492" t="s">
        <v>4267</v>
      </c>
      <c r="D492" t="s">
        <v>5095</v>
      </c>
      <c r="E492" s="9" t="s">
        <v>219</v>
      </c>
      <c r="F492" s="9">
        <v>22</v>
      </c>
      <c r="G492" s="9">
        <v>6</v>
      </c>
      <c r="H492" s="9" t="s">
        <v>5096</v>
      </c>
      <c r="I492" t="s">
        <v>171</v>
      </c>
      <c r="J492" t="s">
        <v>177</v>
      </c>
      <c r="K492" t="s">
        <v>173</v>
      </c>
      <c r="T492" t="s">
        <v>3723</v>
      </c>
      <c r="U492" t="s">
        <v>4343</v>
      </c>
      <c r="V492" t="s">
        <v>5097</v>
      </c>
      <c r="X492"/>
      <c r="Y492"/>
      <c r="Z492"/>
      <c r="AA492"/>
      <c r="AE492"/>
      <c r="AF492"/>
      <c r="AG492"/>
      <c r="AH492"/>
    </row>
    <row r="493" spans="1:34" ht="15.75" customHeight="1" x14ac:dyDescent="0.15">
      <c r="A493" s="9">
        <v>487</v>
      </c>
      <c r="B493" t="s">
        <v>75</v>
      </c>
      <c r="C493" t="s">
        <v>4267</v>
      </c>
      <c r="D493" t="s">
        <v>5098</v>
      </c>
      <c r="E493" s="9" t="s">
        <v>219</v>
      </c>
      <c r="F493" s="9">
        <v>22</v>
      </c>
      <c r="G493" s="9">
        <v>7</v>
      </c>
      <c r="H493" s="9" t="s">
        <v>5099</v>
      </c>
      <c r="I493" t="s">
        <v>171</v>
      </c>
      <c r="J493" t="s">
        <v>177</v>
      </c>
      <c r="K493" t="s">
        <v>173</v>
      </c>
      <c r="T493" t="s">
        <v>3723</v>
      </c>
      <c r="U493" t="s">
        <v>4343</v>
      </c>
      <c r="V493" t="s">
        <v>5100</v>
      </c>
      <c r="X493"/>
      <c r="Y493"/>
      <c r="Z493"/>
      <c r="AA493"/>
      <c r="AE493"/>
      <c r="AF493"/>
      <c r="AG493"/>
      <c r="AH493"/>
    </row>
    <row r="494" spans="1:34" ht="15.75" customHeight="1" x14ac:dyDescent="0.15">
      <c r="A494" s="9">
        <v>488</v>
      </c>
      <c r="B494" t="s">
        <v>75</v>
      </c>
      <c r="C494" t="s">
        <v>4267</v>
      </c>
      <c r="D494" t="s">
        <v>5101</v>
      </c>
      <c r="E494" s="9" t="s">
        <v>219</v>
      </c>
      <c r="F494" s="9">
        <v>22</v>
      </c>
      <c r="G494" s="9">
        <v>8</v>
      </c>
      <c r="H494" s="9" t="s">
        <v>5102</v>
      </c>
      <c r="I494" t="s">
        <v>171</v>
      </c>
      <c r="J494" t="s">
        <v>177</v>
      </c>
      <c r="K494" t="s">
        <v>173</v>
      </c>
      <c r="T494" t="s">
        <v>3723</v>
      </c>
      <c r="U494" t="s">
        <v>4343</v>
      </c>
      <c r="V494" t="s">
        <v>5103</v>
      </c>
      <c r="X494"/>
      <c r="Y494"/>
      <c r="Z494"/>
      <c r="AA494"/>
      <c r="AE494"/>
      <c r="AF494"/>
      <c r="AG494"/>
      <c r="AH494"/>
    </row>
    <row r="495" spans="1:34" ht="15.75" customHeight="1" x14ac:dyDescent="0.15">
      <c r="A495" s="9">
        <v>489</v>
      </c>
      <c r="B495" t="s">
        <v>75</v>
      </c>
      <c r="C495" t="s">
        <v>4267</v>
      </c>
      <c r="D495" t="s">
        <v>5104</v>
      </c>
      <c r="E495" s="9" t="s">
        <v>219</v>
      </c>
      <c r="F495" s="9">
        <v>22</v>
      </c>
      <c r="G495" s="9">
        <v>9</v>
      </c>
      <c r="H495" s="9" t="s">
        <v>5105</v>
      </c>
      <c r="I495" t="s">
        <v>171</v>
      </c>
      <c r="J495" t="s">
        <v>177</v>
      </c>
      <c r="K495" t="s">
        <v>173</v>
      </c>
      <c r="T495" t="s">
        <v>3723</v>
      </c>
      <c r="U495" t="s">
        <v>4343</v>
      </c>
      <c r="V495" t="s">
        <v>5106</v>
      </c>
      <c r="X495"/>
      <c r="Y495"/>
      <c r="Z495"/>
      <c r="AA495"/>
      <c r="AE495"/>
      <c r="AF495"/>
      <c r="AG495"/>
      <c r="AH495"/>
    </row>
    <row r="496" spans="1:34" ht="15.75" customHeight="1" x14ac:dyDescent="0.15">
      <c r="A496" s="9">
        <v>490</v>
      </c>
      <c r="B496" t="s">
        <v>75</v>
      </c>
      <c r="C496" t="s">
        <v>4267</v>
      </c>
      <c r="D496" t="s">
        <v>5107</v>
      </c>
      <c r="E496" s="9" t="s">
        <v>219</v>
      </c>
      <c r="F496" s="9">
        <v>22</v>
      </c>
      <c r="G496" s="9">
        <v>10</v>
      </c>
      <c r="H496" s="9" t="s">
        <v>5108</v>
      </c>
      <c r="I496" t="s">
        <v>171</v>
      </c>
      <c r="J496" t="s">
        <v>177</v>
      </c>
      <c r="K496" t="s">
        <v>173</v>
      </c>
      <c r="T496" t="s">
        <v>3723</v>
      </c>
      <c r="U496" t="s">
        <v>4343</v>
      </c>
      <c r="V496" t="s">
        <v>5109</v>
      </c>
      <c r="X496"/>
      <c r="Y496"/>
      <c r="Z496"/>
      <c r="AA496"/>
      <c r="AE496"/>
      <c r="AF496"/>
      <c r="AG496"/>
      <c r="AH496"/>
    </row>
    <row r="497" spans="1:34" ht="15.75" customHeight="1" x14ac:dyDescent="0.15">
      <c r="A497" s="9">
        <v>491</v>
      </c>
      <c r="B497" t="s">
        <v>75</v>
      </c>
      <c r="C497" t="s">
        <v>4267</v>
      </c>
      <c r="D497" t="s">
        <v>5110</v>
      </c>
      <c r="E497" s="9" t="s">
        <v>219</v>
      </c>
      <c r="F497" s="9">
        <v>22</v>
      </c>
      <c r="G497" s="9">
        <v>11</v>
      </c>
      <c r="H497" s="9" t="s">
        <v>5111</v>
      </c>
      <c r="I497" t="s">
        <v>171</v>
      </c>
      <c r="J497" t="s">
        <v>177</v>
      </c>
      <c r="K497" t="s">
        <v>173</v>
      </c>
      <c r="T497" t="s">
        <v>3723</v>
      </c>
      <c r="U497" t="s">
        <v>4343</v>
      </c>
      <c r="V497" t="s">
        <v>5112</v>
      </c>
      <c r="X497"/>
      <c r="Y497"/>
      <c r="Z497"/>
      <c r="AA497"/>
      <c r="AE497"/>
      <c r="AF497"/>
      <c r="AG497"/>
      <c r="AH497"/>
    </row>
    <row r="498" spans="1:34" ht="15.75" customHeight="1" x14ac:dyDescent="0.15">
      <c r="A498" s="9">
        <v>492</v>
      </c>
      <c r="B498" t="s">
        <v>75</v>
      </c>
      <c r="C498" t="s">
        <v>4267</v>
      </c>
      <c r="D498" t="s">
        <v>5113</v>
      </c>
      <c r="E498" s="9" t="s">
        <v>219</v>
      </c>
      <c r="F498" s="9">
        <v>22</v>
      </c>
      <c r="G498" s="9">
        <v>12</v>
      </c>
      <c r="H498" s="9" t="s">
        <v>5114</v>
      </c>
      <c r="I498" t="s">
        <v>171</v>
      </c>
      <c r="J498" t="s">
        <v>177</v>
      </c>
      <c r="K498" t="s">
        <v>173</v>
      </c>
      <c r="T498" t="s">
        <v>3723</v>
      </c>
      <c r="U498" t="s">
        <v>4343</v>
      </c>
      <c r="V498" t="s">
        <v>5115</v>
      </c>
      <c r="X498"/>
      <c r="Y498"/>
      <c r="Z498"/>
      <c r="AA498"/>
      <c r="AE498"/>
      <c r="AF498"/>
      <c r="AG498"/>
      <c r="AH498"/>
    </row>
    <row r="499" spans="1:34" ht="15.75" customHeight="1" x14ac:dyDescent="0.15">
      <c r="A499" s="9">
        <v>493</v>
      </c>
      <c r="B499" t="s">
        <v>75</v>
      </c>
      <c r="C499" t="s">
        <v>4267</v>
      </c>
      <c r="D499" t="s">
        <v>5116</v>
      </c>
      <c r="E499" s="9" t="s">
        <v>219</v>
      </c>
      <c r="F499" s="9">
        <v>22</v>
      </c>
      <c r="G499" s="9">
        <v>13</v>
      </c>
      <c r="H499" s="9" t="s">
        <v>5117</v>
      </c>
      <c r="I499" t="s">
        <v>171</v>
      </c>
      <c r="J499" t="s">
        <v>177</v>
      </c>
      <c r="K499" t="s">
        <v>173</v>
      </c>
      <c r="T499" t="s">
        <v>3723</v>
      </c>
      <c r="U499" t="s">
        <v>4343</v>
      </c>
      <c r="V499" t="s">
        <v>5118</v>
      </c>
      <c r="X499"/>
      <c r="Y499"/>
      <c r="Z499"/>
      <c r="AA499"/>
      <c r="AE499"/>
      <c r="AF499"/>
      <c r="AG499"/>
      <c r="AH499"/>
    </row>
    <row r="500" spans="1:34" ht="15.75" customHeight="1" x14ac:dyDescent="0.15">
      <c r="A500" s="9">
        <v>494</v>
      </c>
      <c r="B500" t="s">
        <v>75</v>
      </c>
      <c r="C500" t="s">
        <v>4267</v>
      </c>
      <c r="D500" t="s">
        <v>5119</v>
      </c>
      <c r="E500" s="9" t="s">
        <v>219</v>
      </c>
      <c r="F500" s="9">
        <v>22</v>
      </c>
      <c r="G500" s="9">
        <v>14</v>
      </c>
      <c r="H500" s="9" t="s">
        <v>5120</v>
      </c>
      <c r="I500" t="s">
        <v>171</v>
      </c>
      <c r="J500" t="s">
        <v>177</v>
      </c>
      <c r="K500" t="s">
        <v>173</v>
      </c>
      <c r="T500" t="s">
        <v>3723</v>
      </c>
      <c r="U500" t="s">
        <v>4343</v>
      </c>
      <c r="V500" t="s">
        <v>5121</v>
      </c>
      <c r="X500"/>
      <c r="Y500"/>
      <c r="Z500"/>
      <c r="AA500"/>
      <c r="AE500"/>
      <c r="AF500"/>
      <c r="AG500"/>
      <c r="AH500"/>
    </row>
    <row r="501" spans="1:34" ht="15.75" customHeight="1" x14ac:dyDescent="0.15">
      <c r="A501" s="9">
        <v>495</v>
      </c>
      <c r="B501" t="s">
        <v>75</v>
      </c>
      <c r="C501" t="s">
        <v>4267</v>
      </c>
      <c r="D501" t="s">
        <v>5122</v>
      </c>
      <c r="E501" s="9" t="s">
        <v>219</v>
      </c>
      <c r="F501" s="9">
        <v>22</v>
      </c>
      <c r="G501" s="9">
        <v>15</v>
      </c>
      <c r="H501" s="9" t="s">
        <v>5123</v>
      </c>
      <c r="I501" t="s">
        <v>171</v>
      </c>
      <c r="J501" t="s">
        <v>177</v>
      </c>
      <c r="K501" t="s">
        <v>173</v>
      </c>
      <c r="T501" t="s">
        <v>3723</v>
      </c>
      <c r="U501" t="s">
        <v>4343</v>
      </c>
      <c r="V501" t="s">
        <v>5124</v>
      </c>
      <c r="X501"/>
      <c r="Y501"/>
      <c r="Z501"/>
      <c r="AA501"/>
      <c r="AE501"/>
      <c r="AF501"/>
      <c r="AG501"/>
      <c r="AH501"/>
    </row>
    <row r="502" spans="1:34" ht="15.75" customHeight="1" x14ac:dyDescent="0.15">
      <c r="A502" s="9">
        <v>496</v>
      </c>
      <c r="B502" t="s">
        <v>75</v>
      </c>
      <c r="C502" t="s">
        <v>4267</v>
      </c>
      <c r="D502" t="s">
        <v>5125</v>
      </c>
      <c r="E502" s="9" t="s">
        <v>219</v>
      </c>
      <c r="F502" s="9">
        <v>22</v>
      </c>
      <c r="G502" s="9">
        <v>16</v>
      </c>
      <c r="H502" s="9" t="s">
        <v>5126</v>
      </c>
      <c r="I502" t="s">
        <v>171</v>
      </c>
      <c r="J502" t="s">
        <v>177</v>
      </c>
      <c r="K502" t="s">
        <v>173</v>
      </c>
      <c r="T502" t="s">
        <v>3723</v>
      </c>
      <c r="U502" t="s">
        <v>4343</v>
      </c>
      <c r="V502" t="s">
        <v>5127</v>
      </c>
      <c r="X502"/>
      <c r="Y502"/>
      <c r="Z502"/>
      <c r="AA502"/>
      <c r="AE502"/>
      <c r="AF502"/>
      <c r="AG502"/>
      <c r="AH502"/>
    </row>
    <row r="503" spans="1:34" ht="15.75" customHeight="1" x14ac:dyDescent="0.15">
      <c r="A503" s="9">
        <v>497</v>
      </c>
      <c r="B503" t="s">
        <v>75</v>
      </c>
      <c r="C503" t="s">
        <v>4267</v>
      </c>
      <c r="D503" t="s">
        <v>5128</v>
      </c>
      <c r="E503" s="9" t="s">
        <v>219</v>
      </c>
      <c r="F503" s="9">
        <v>22</v>
      </c>
      <c r="G503" s="9">
        <v>17</v>
      </c>
      <c r="H503" s="9" t="s">
        <v>5129</v>
      </c>
      <c r="I503" t="s">
        <v>171</v>
      </c>
      <c r="J503" t="s">
        <v>177</v>
      </c>
      <c r="K503" t="s">
        <v>173</v>
      </c>
      <c r="T503" t="s">
        <v>3723</v>
      </c>
      <c r="U503" t="s">
        <v>4343</v>
      </c>
      <c r="V503" t="s">
        <v>5130</v>
      </c>
      <c r="X503"/>
      <c r="Y503"/>
      <c r="Z503"/>
      <c r="AA503"/>
      <c r="AE503"/>
      <c r="AF503"/>
      <c r="AG503"/>
      <c r="AH503"/>
    </row>
    <row r="504" spans="1:34" ht="15.75" customHeight="1" x14ac:dyDescent="0.15">
      <c r="A504" s="9">
        <v>498</v>
      </c>
      <c r="B504" t="s">
        <v>75</v>
      </c>
      <c r="C504" t="s">
        <v>4267</v>
      </c>
      <c r="D504" t="s">
        <v>5131</v>
      </c>
      <c r="E504" s="9" t="s">
        <v>219</v>
      </c>
      <c r="F504" s="9">
        <v>22</v>
      </c>
      <c r="G504" s="9">
        <v>18</v>
      </c>
      <c r="H504" s="9" t="s">
        <v>5132</v>
      </c>
      <c r="I504" t="s">
        <v>171</v>
      </c>
      <c r="J504" t="s">
        <v>177</v>
      </c>
      <c r="K504" t="s">
        <v>173</v>
      </c>
      <c r="T504" t="s">
        <v>3723</v>
      </c>
      <c r="U504" t="s">
        <v>4343</v>
      </c>
      <c r="V504" t="s">
        <v>5133</v>
      </c>
      <c r="X504"/>
      <c r="Y504"/>
      <c r="Z504"/>
      <c r="AA504"/>
      <c r="AE504"/>
      <c r="AF504"/>
      <c r="AG504"/>
      <c r="AH504"/>
    </row>
    <row r="505" spans="1:34" ht="15.75" customHeight="1" x14ac:dyDescent="0.15">
      <c r="A505" s="9">
        <v>499</v>
      </c>
      <c r="B505" t="s">
        <v>75</v>
      </c>
      <c r="C505" t="s">
        <v>4267</v>
      </c>
      <c r="D505" t="s">
        <v>5134</v>
      </c>
      <c r="E505" s="9" t="s">
        <v>219</v>
      </c>
      <c r="F505" s="9">
        <v>22</v>
      </c>
      <c r="G505" s="9">
        <v>19</v>
      </c>
      <c r="H505" s="9" t="s">
        <v>5135</v>
      </c>
      <c r="I505" t="s">
        <v>171</v>
      </c>
      <c r="J505" t="s">
        <v>177</v>
      </c>
      <c r="K505" t="s">
        <v>173</v>
      </c>
      <c r="T505" t="s">
        <v>3723</v>
      </c>
      <c r="U505" t="s">
        <v>4343</v>
      </c>
      <c r="V505" t="s">
        <v>5136</v>
      </c>
      <c r="X505"/>
      <c r="Y505"/>
      <c r="Z505"/>
      <c r="AA505"/>
      <c r="AE505"/>
      <c r="AF505"/>
      <c r="AG505"/>
      <c r="AH505"/>
    </row>
    <row r="506" spans="1:34" ht="15.75" customHeight="1" x14ac:dyDescent="0.15">
      <c r="A506" s="9">
        <v>500</v>
      </c>
      <c r="B506" t="s">
        <v>75</v>
      </c>
      <c r="C506" t="s">
        <v>4267</v>
      </c>
      <c r="D506" t="s">
        <v>5137</v>
      </c>
      <c r="E506" s="9" t="s">
        <v>219</v>
      </c>
      <c r="F506" s="9">
        <v>23</v>
      </c>
      <c r="G506" s="9"/>
      <c r="H506" s="9"/>
      <c r="I506" t="s">
        <v>196</v>
      </c>
      <c r="L506" t="s">
        <v>61</v>
      </c>
      <c r="M506">
        <v>1</v>
      </c>
      <c r="T506" t="s">
        <v>3723</v>
      </c>
      <c r="U506" t="s">
        <v>3853</v>
      </c>
      <c r="V506" t="s">
        <v>5138</v>
      </c>
      <c r="X506"/>
      <c r="Y506"/>
      <c r="Z506"/>
      <c r="AA506"/>
      <c r="AE506"/>
      <c r="AF506"/>
      <c r="AG506"/>
      <c r="AH506"/>
    </row>
    <row r="507" spans="1:34" ht="15.75" customHeight="1" x14ac:dyDescent="0.15">
      <c r="A507" s="9">
        <v>501</v>
      </c>
      <c r="B507" t="s">
        <v>75</v>
      </c>
      <c r="C507" t="s">
        <v>4267</v>
      </c>
      <c r="D507" t="s">
        <v>5139</v>
      </c>
      <c r="E507" s="9" t="s">
        <v>219</v>
      </c>
      <c r="F507" s="9">
        <v>23</v>
      </c>
      <c r="G507" s="9">
        <v>0</v>
      </c>
      <c r="H507" s="9" t="s">
        <v>5140</v>
      </c>
      <c r="I507" t="s">
        <v>171</v>
      </c>
      <c r="J507" t="s">
        <v>177</v>
      </c>
      <c r="K507" t="s">
        <v>173</v>
      </c>
      <c r="T507" t="s">
        <v>3723</v>
      </c>
      <c r="U507" t="s">
        <v>4343</v>
      </c>
      <c r="V507" t="s">
        <v>5141</v>
      </c>
      <c r="X507"/>
      <c r="Y507"/>
      <c r="Z507"/>
      <c r="AA507"/>
      <c r="AE507"/>
      <c r="AF507"/>
      <c r="AG507"/>
      <c r="AH507"/>
    </row>
    <row r="508" spans="1:34" ht="15.75" customHeight="1" x14ac:dyDescent="0.15">
      <c r="A508" s="9">
        <v>502</v>
      </c>
      <c r="B508" t="s">
        <v>75</v>
      </c>
      <c r="C508" t="s">
        <v>4267</v>
      </c>
      <c r="D508" t="s">
        <v>5142</v>
      </c>
      <c r="E508" s="9" t="s">
        <v>219</v>
      </c>
      <c r="F508" s="9">
        <v>23</v>
      </c>
      <c r="G508" s="9">
        <v>1</v>
      </c>
      <c r="H508" s="9" t="s">
        <v>5143</v>
      </c>
      <c r="I508" t="s">
        <v>171</v>
      </c>
      <c r="J508" t="s">
        <v>177</v>
      </c>
      <c r="K508" t="s">
        <v>173</v>
      </c>
      <c r="T508" t="s">
        <v>3723</v>
      </c>
      <c r="U508" t="s">
        <v>4343</v>
      </c>
      <c r="V508" t="s">
        <v>5144</v>
      </c>
      <c r="X508"/>
      <c r="Y508"/>
      <c r="Z508"/>
      <c r="AA508"/>
      <c r="AE508"/>
      <c r="AF508"/>
      <c r="AG508"/>
      <c r="AH508"/>
    </row>
    <row r="509" spans="1:34" ht="15.75" customHeight="1" x14ac:dyDescent="0.15">
      <c r="A509" s="9">
        <v>503</v>
      </c>
      <c r="B509" t="s">
        <v>75</v>
      </c>
      <c r="C509" t="s">
        <v>4267</v>
      </c>
      <c r="D509" t="s">
        <v>5145</v>
      </c>
      <c r="E509" s="9" t="s">
        <v>219</v>
      </c>
      <c r="F509" s="9">
        <v>23</v>
      </c>
      <c r="G509" s="9">
        <v>2</v>
      </c>
      <c r="H509" s="9" t="s">
        <v>5146</v>
      </c>
      <c r="I509" t="s">
        <v>171</v>
      </c>
      <c r="J509" t="s">
        <v>177</v>
      </c>
      <c r="K509" t="s">
        <v>173</v>
      </c>
      <c r="T509" t="s">
        <v>3723</v>
      </c>
      <c r="U509" t="s">
        <v>4343</v>
      </c>
      <c r="V509" t="s">
        <v>5147</v>
      </c>
      <c r="X509"/>
      <c r="Y509"/>
      <c r="Z509"/>
      <c r="AA509"/>
      <c r="AE509"/>
      <c r="AF509"/>
      <c r="AG509"/>
      <c r="AH509"/>
    </row>
    <row r="510" spans="1:34" ht="15.75" customHeight="1" x14ac:dyDescent="0.15">
      <c r="A510" s="9">
        <v>504</v>
      </c>
      <c r="B510" t="s">
        <v>75</v>
      </c>
      <c r="C510" t="s">
        <v>4267</v>
      </c>
      <c r="D510" t="s">
        <v>5148</v>
      </c>
      <c r="E510" s="9" t="s">
        <v>219</v>
      </c>
      <c r="F510" s="9">
        <v>23</v>
      </c>
      <c r="G510" s="9">
        <v>3</v>
      </c>
      <c r="H510" s="9" t="s">
        <v>5149</v>
      </c>
      <c r="I510" t="s">
        <v>171</v>
      </c>
      <c r="J510" t="s">
        <v>177</v>
      </c>
      <c r="K510" t="s">
        <v>173</v>
      </c>
      <c r="T510" t="s">
        <v>3723</v>
      </c>
      <c r="U510" t="s">
        <v>4343</v>
      </c>
      <c r="V510" t="s">
        <v>5150</v>
      </c>
      <c r="X510"/>
      <c r="Y510"/>
      <c r="Z510"/>
      <c r="AA510"/>
      <c r="AE510"/>
      <c r="AF510"/>
      <c r="AG510"/>
      <c r="AH510"/>
    </row>
    <row r="511" spans="1:34" ht="15.75" customHeight="1" x14ac:dyDescent="0.15">
      <c r="A511" s="9">
        <v>505</v>
      </c>
      <c r="B511" t="s">
        <v>75</v>
      </c>
      <c r="C511" t="s">
        <v>4267</v>
      </c>
      <c r="D511" t="s">
        <v>5151</v>
      </c>
      <c r="E511" s="9" t="s">
        <v>219</v>
      </c>
      <c r="F511" s="9">
        <v>23</v>
      </c>
      <c r="G511" s="9">
        <v>4</v>
      </c>
      <c r="H511" s="9" t="s">
        <v>5152</v>
      </c>
      <c r="I511" t="s">
        <v>171</v>
      </c>
      <c r="J511" t="s">
        <v>177</v>
      </c>
      <c r="K511" t="s">
        <v>173</v>
      </c>
      <c r="T511" t="s">
        <v>3723</v>
      </c>
      <c r="U511" t="s">
        <v>4343</v>
      </c>
      <c r="V511" t="s">
        <v>5153</v>
      </c>
      <c r="X511"/>
      <c r="Y511"/>
      <c r="Z511"/>
      <c r="AA511"/>
      <c r="AE511"/>
      <c r="AF511"/>
      <c r="AG511"/>
      <c r="AH511"/>
    </row>
    <row r="512" spans="1:34" ht="15.75" customHeight="1" x14ac:dyDescent="0.15">
      <c r="A512" s="9">
        <v>506</v>
      </c>
      <c r="B512" t="s">
        <v>75</v>
      </c>
      <c r="C512" t="s">
        <v>4267</v>
      </c>
      <c r="D512" t="s">
        <v>5154</v>
      </c>
      <c r="E512" s="9" t="s">
        <v>219</v>
      </c>
      <c r="F512" s="9">
        <v>23</v>
      </c>
      <c r="G512" s="9">
        <v>5</v>
      </c>
      <c r="H512" s="9" t="s">
        <v>5155</v>
      </c>
      <c r="I512" t="s">
        <v>171</v>
      </c>
      <c r="J512" t="s">
        <v>177</v>
      </c>
      <c r="K512" t="s">
        <v>173</v>
      </c>
      <c r="T512" t="s">
        <v>3723</v>
      </c>
      <c r="U512" t="s">
        <v>4343</v>
      </c>
      <c r="V512" t="s">
        <v>5156</v>
      </c>
      <c r="X512"/>
      <c r="Y512"/>
      <c r="Z512"/>
      <c r="AA512"/>
      <c r="AE512"/>
      <c r="AF512"/>
      <c r="AG512"/>
      <c r="AH512"/>
    </row>
    <row r="513" spans="1:34" ht="15.75" customHeight="1" x14ac:dyDescent="0.15">
      <c r="A513" s="9">
        <v>507</v>
      </c>
      <c r="B513" t="s">
        <v>75</v>
      </c>
      <c r="C513" t="s">
        <v>4267</v>
      </c>
      <c r="D513" t="s">
        <v>5157</v>
      </c>
      <c r="E513" s="9" t="s">
        <v>219</v>
      </c>
      <c r="F513" s="9">
        <v>23</v>
      </c>
      <c r="G513" s="9">
        <v>6</v>
      </c>
      <c r="H513" s="9" t="s">
        <v>5158</v>
      </c>
      <c r="I513" t="s">
        <v>171</v>
      </c>
      <c r="J513" t="s">
        <v>177</v>
      </c>
      <c r="K513" t="s">
        <v>173</v>
      </c>
      <c r="T513" t="s">
        <v>3723</v>
      </c>
      <c r="U513" t="s">
        <v>4343</v>
      </c>
      <c r="V513" t="s">
        <v>5159</v>
      </c>
      <c r="X513"/>
      <c r="Y513"/>
      <c r="Z513"/>
      <c r="AA513"/>
      <c r="AE513"/>
      <c r="AF513"/>
      <c r="AG513"/>
      <c r="AH513"/>
    </row>
    <row r="514" spans="1:34" ht="15.75" customHeight="1" x14ac:dyDescent="0.15">
      <c r="A514" s="9">
        <v>508</v>
      </c>
      <c r="B514" t="s">
        <v>75</v>
      </c>
      <c r="C514" t="s">
        <v>4267</v>
      </c>
      <c r="D514" t="s">
        <v>5160</v>
      </c>
      <c r="E514" s="9" t="s">
        <v>219</v>
      </c>
      <c r="F514" s="9">
        <v>23</v>
      </c>
      <c r="G514" s="9">
        <v>7</v>
      </c>
      <c r="H514" s="9" t="s">
        <v>5161</v>
      </c>
      <c r="I514" t="s">
        <v>171</v>
      </c>
      <c r="J514" t="s">
        <v>177</v>
      </c>
      <c r="K514" t="s">
        <v>173</v>
      </c>
      <c r="T514" t="s">
        <v>3723</v>
      </c>
      <c r="U514" t="s">
        <v>4343</v>
      </c>
      <c r="V514" t="s">
        <v>5162</v>
      </c>
      <c r="X514"/>
      <c r="Y514"/>
      <c r="Z514"/>
      <c r="AA514"/>
      <c r="AE514"/>
      <c r="AF514"/>
      <c r="AG514"/>
      <c r="AH514"/>
    </row>
    <row r="515" spans="1:34" ht="15.75" customHeight="1" x14ac:dyDescent="0.15">
      <c r="A515" s="9">
        <v>509</v>
      </c>
      <c r="B515" t="s">
        <v>75</v>
      </c>
      <c r="C515" t="s">
        <v>4267</v>
      </c>
      <c r="D515" t="s">
        <v>5163</v>
      </c>
      <c r="E515" s="9" t="s">
        <v>219</v>
      </c>
      <c r="F515" s="9">
        <v>23</v>
      </c>
      <c r="G515" s="9">
        <v>8</v>
      </c>
      <c r="H515" s="9" t="s">
        <v>5164</v>
      </c>
      <c r="I515" t="s">
        <v>171</v>
      </c>
      <c r="J515" t="s">
        <v>177</v>
      </c>
      <c r="K515" t="s">
        <v>173</v>
      </c>
      <c r="T515" t="s">
        <v>3723</v>
      </c>
      <c r="U515" t="s">
        <v>4343</v>
      </c>
      <c r="V515" t="s">
        <v>5165</v>
      </c>
      <c r="X515"/>
      <c r="Y515"/>
      <c r="Z515"/>
      <c r="AA515"/>
      <c r="AE515"/>
      <c r="AF515"/>
      <c r="AG515"/>
      <c r="AH515"/>
    </row>
    <row r="516" spans="1:34" ht="15.75" customHeight="1" x14ac:dyDescent="0.15">
      <c r="A516" s="9">
        <v>510</v>
      </c>
      <c r="B516" t="s">
        <v>75</v>
      </c>
      <c r="C516" t="s">
        <v>4267</v>
      </c>
      <c r="D516" t="s">
        <v>5166</v>
      </c>
      <c r="E516" s="9" t="s">
        <v>219</v>
      </c>
      <c r="F516" s="9">
        <v>23</v>
      </c>
      <c r="G516" s="9">
        <v>9</v>
      </c>
      <c r="H516" s="9" t="s">
        <v>5167</v>
      </c>
      <c r="I516" t="s">
        <v>171</v>
      </c>
      <c r="J516" t="s">
        <v>177</v>
      </c>
      <c r="K516" t="s">
        <v>173</v>
      </c>
      <c r="T516" t="s">
        <v>3723</v>
      </c>
      <c r="U516" t="s">
        <v>4343</v>
      </c>
      <c r="V516" t="s">
        <v>5168</v>
      </c>
      <c r="X516"/>
      <c r="Y516"/>
      <c r="Z516"/>
      <c r="AA516"/>
      <c r="AE516"/>
      <c r="AF516"/>
      <c r="AG516"/>
      <c r="AH516"/>
    </row>
    <row r="517" spans="1:34" ht="15.75" customHeight="1" x14ac:dyDescent="0.15">
      <c r="A517" s="9">
        <v>511</v>
      </c>
      <c r="B517" t="s">
        <v>75</v>
      </c>
      <c r="C517" t="s">
        <v>4267</v>
      </c>
      <c r="D517" t="s">
        <v>5169</v>
      </c>
      <c r="E517" s="9" t="s">
        <v>219</v>
      </c>
      <c r="F517" s="9">
        <v>23</v>
      </c>
      <c r="G517" s="9">
        <v>10</v>
      </c>
      <c r="H517" s="9" t="s">
        <v>5170</v>
      </c>
      <c r="I517" t="s">
        <v>171</v>
      </c>
      <c r="J517" t="s">
        <v>177</v>
      </c>
      <c r="K517" t="s">
        <v>173</v>
      </c>
      <c r="T517" t="s">
        <v>3723</v>
      </c>
      <c r="U517" t="s">
        <v>4343</v>
      </c>
      <c r="V517" t="s">
        <v>5171</v>
      </c>
      <c r="X517"/>
      <c r="Y517"/>
      <c r="Z517"/>
      <c r="AA517"/>
      <c r="AE517"/>
      <c r="AF517"/>
      <c r="AG517"/>
      <c r="AH517"/>
    </row>
    <row r="518" spans="1:34" ht="15.75" customHeight="1" x14ac:dyDescent="0.15">
      <c r="A518" s="9">
        <v>512</v>
      </c>
      <c r="B518" t="s">
        <v>75</v>
      </c>
      <c r="C518" t="s">
        <v>4267</v>
      </c>
      <c r="D518" t="s">
        <v>5172</v>
      </c>
      <c r="E518" s="9" t="s">
        <v>219</v>
      </c>
      <c r="F518" s="9">
        <v>23</v>
      </c>
      <c r="G518" s="9">
        <v>11</v>
      </c>
      <c r="H518" s="9" t="s">
        <v>5173</v>
      </c>
      <c r="I518" t="s">
        <v>171</v>
      </c>
      <c r="J518" t="s">
        <v>177</v>
      </c>
      <c r="K518" t="s">
        <v>173</v>
      </c>
      <c r="T518" t="s">
        <v>3723</v>
      </c>
      <c r="U518" t="s">
        <v>4343</v>
      </c>
      <c r="V518" t="s">
        <v>5174</v>
      </c>
      <c r="X518"/>
      <c r="Y518"/>
      <c r="Z518"/>
      <c r="AA518"/>
      <c r="AE518"/>
      <c r="AF518"/>
      <c r="AG518"/>
      <c r="AH518"/>
    </row>
    <row r="519" spans="1:34" ht="15.75" customHeight="1" x14ac:dyDescent="0.15">
      <c r="A519" s="9">
        <v>513</v>
      </c>
      <c r="B519" t="s">
        <v>75</v>
      </c>
      <c r="C519" t="s">
        <v>4267</v>
      </c>
      <c r="D519" t="s">
        <v>5175</v>
      </c>
      <c r="E519" s="9" t="s">
        <v>219</v>
      </c>
      <c r="F519" s="9">
        <v>23</v>
      </c>
      <c r="G519" s="9">
        <v>12</v>
      </c>
      <c r="H519" s="9" t="s">
        <v>5176</v>
      </c>
      <c r="I519" t="s">
        <v>171</v>
      </c>
      <c r="J519" t="s">
        <v>177</v>
      </c>
      <c r="K519" t="s">
        <v>173</v>
      </c>
      <c r="T519" t="s">
        <v>3723</v>
      </c>
      <c r="U519" t="s">
        <v>4343</v>
      </c>
      <c r="V519" t="s">
        <v>5177</v>
      </c>
      <c r="X519"/>
      <c r="Y519"/>
      <c r="Z519"/>
      <c r="AA519"/>
      <c r="AE519"/>
      <c r="AF519"/>
      <c r="AG519"/>
      <c r="AH519"/>
    </row>
    <row r="520" spans="1:34" ht="15.75" customHeight="1" x14ac:dyDescent="0.15">
      <c r="A520" s="9">
        <v>514</v>
      </c>
      <c r="B520" t="s">
        <v>75</v>
      </c>
      <c r="C520" t="s">
        <v>4267</v>
      </c>
      <c r="D520" t="s">
        <v>5178</v>
      </c>
      <c r="E520" s="9" t="s">
        <v>219</v>
      </c>
      <c r="F520" s="9">
        <v>23</v>
      </c>
      <c r="G520" s="9">
        <v>13</v>
      </c>
      <c r="H520" s="9" t="s">
        <v>5179</v>
      </c>
      <c r="I520" t="s">
        <v>171</v>
      </c>
      <c r="J520" t="s">
        <v>177</v>
      </c>
      <c r="K520" t="s">
        <v>173</v>
      </c>
      <c r="T520" t="s">
        <v>3723</v>
      </c>
      <c r="U520" t="s">
        <v>4343</v>
      </c>
      <c r="V520" t="s">
        <v>5180</v>
      </c>
      <c r="X520"/>
      <c r="Y520"/>
      <c r="Z520"/>
      <c r="AA520"/>
      <c r="AE520"/>
      <c r="AF520"/>
      <c r="AG520"/>
      <c r="AH520"/>
    </row>
    <row r="521" spans="1:34" ht="15.75" customHeight="1" x14ac:dyDescent="0.15">
      <c r="A521" s="9">
        <v>515</v>
      </c>
      <c r="B521" t="s">
        <v>75</v>
      </c>
      <c r="C521" t="s">
        <v>4267</v>
      </c>
      <c r="D521" t="s">
        <v>5181</v>
      </c>
      <c r="E521" s="9" t="s">
        <v>219</v>
      </c>
      <c r="F521" s="9">
        <v>23</v>
      </c>
      <c r="G521" s="9">
        <v>14</v>
      </c>
      <c r="H521" s="9" t="s">
        <v>5182</v>
      </c>
      <c r="I521" t="s">
        <v>171</v>
      </c>
      <c r="J521" t="s">
        <v>177</v>
      </c>
      <c r="K521" t="s">
        <v>173</v>
      </c>
      <c r="T521" t="s">
        <v>3723</v>
      </c>
      <c r="U521" t="s">
        <v>4343</v>
      </c>
      <c r="V521" t="s">
        <v>5183</v>
      </c>
      <c r="X521"/>
      <c r="Y521"/>
      <c r="Z521"/>
      <c r="AA521"/>
      <c r="AE521"/>
      <c r="AF521"/>
      <c r="AG521"/>
      <c r="AH521"/>
    </row>
    <row r="522" spans="1:34" ht="15.75" customHeight="1" x14ac:dyDescent="0.15">
      <c r="A522" s="9">
        <v>516</v>
      </c>
      <c r="B522" t="s">
        <v>75</v>
      </c>
      <c r="C522" t="s">
        <v>4267</v>
      </c>
      <c r="D522" t="s">
        <v>5184</v>
      </c>
      <c r="E522" s="9" t="s">
        <v>219</v>
      </c>
      <c r="F522" s="9">
        <v>23</v>
      </c>
      <c r="G522" s="9">
        <v>15</v>
      </c>
      <c r="H522" s="9" t="s">
        <v>5185</v>
      </c>
      <c r="I522" t="s">
        <v>171</v>
      </c>
      <c r="J522" t="s">
        <v>177</v>
      </c>
      <c r="K522" t="s">
        <v>173</v>
      </c>
      <c r="T522" t="s">
        <v>3723</v>
      </c>
      <c r="U522" t="s">
        <v>4343</v>
      </c>
      <c r="V522" t="s">
        <v>5186</v>
      </c>
      <c r="X522"/>
      <c r="Y522"/>
      <c r="Z522"/>
      <c r="AA522"/>
      <c r="AE522"/>
      <c r="AF522"/>
      <c r="AG522"/>
      <c r="AH522"/>
    </row>
    <row r="523" spans="1:34" ht="15.75" customHeight="1" x14ac:dyDescent="0.15">
      <c r="A523" s="9">
        <v>517</v>
      </c>
      <c r="B523" t="s">
        <v>75</v>
      </c>
      <c r="C523" t="s">
        <v>4267</v>
      </c>
      <c r="D523" t="s">
        <v>5187</v>
      </c>
      <c r="E523" s="9" t="s">
        <v>219</v>
      </c>
      <c r="F523" s="9">
        <v>23</v>
      </c>
      <c r="G523" s="9">
        <v>16</v>
      </c>
      <c r="H523" s="9" t="s">
        <v>5188</v>
      </c>
      <c r="I523" t="s">
        <v>171</v>
      </c>
      <c r="J523" t="s">
        <v>177</v>
      </c>
      <c r="K523" t="s">
        <v>173</v>
      </c>
      <c r="T523" t="s">
        <v>3723</v>
      </c>
      <c r="U523" t="s">
        <v>4343</v>
      </c>
      <c r="V523" t="s">
        <v>5189</v>
      </c>
      <c r="X523"/>
      <c r="Y523"/>
      <c r="Z523"/>
      <c r="AA523"/>
      <c r="AE523"/>
      <c r="AF523"/>
      <c r="AG523"/>
      <c r="AH523"/>
    </row>
    <row r="524" spans="1:34" ht="15.75" customHeight="1" x14ac:dyDescent="0.15">
      <c r="A524" s="9">
        <v>518</v>
      </c>
      <c r="B524" t="s">
        <v>75</v>
      </c>
      <c r="C524" t="s">
        <v>4267</v>
      </c>
      <c r="D524" t="s">
        <v>5190</v>
      </c>
      <c r="E524" s="9" t="s">
        <v>219</v>
      </c>
      <c r="F524" s="9">
        <v>23</v>
      </c>
      <c r="G524" s="9">
        <v>17</v>
      </c>
      <c r="H524" s="9" t="s">
        <v>5191</v>
      </c>
      <c r="I524" t="s">
        <v>171</v>
      </c>
      <c r="J524" t="s">
        <v>177</v>
      </c>
      <c r="K524" t="s">
        <v>173</v>
      </c>
      <c r="T524" t="s">
        <v>3723</v>
      </c>
      <c r="U524" t="s">
        <v>4343</v>
      </c>
      <c r="V524" t="s">
        <v>5192</v>
      </c>
      <c r="X524"/>
      <c r="Y524"/>
      <c r="Z524"/>
      <c r="AA524"/>
      <c r="AE524"/>
      <c r="AF524"/>
      <c r="AG524"/>
      <c r="AH524"/>
    </row>
    <row r="525" spans="1:34" ht="15.75" customHeight="1" x14ac:dyDescent="0.15">
      <c r="A525" s="9">
        <v>519</v>
      </c>
      <c r="B525" t="s">
        <v>75</v>
      </c>
      <c r="C525" t="s">
        <v>4267</v>
      </c>
      <c r="D525" t="s">
        <v>5193</v>
      </c>
      <c r="E525" s="9" t="s">
        <v>219</v>
      </c>
      <c r="F525" s="9">
        <v>23</v>
      </c>
      <c r="G525" s="9">
        <v>18</v>
      </c>
      <c r="H525" s="9" t="s">
        <v>5194</v>
      </c>
      <c r="I525" t="s">
        <v>171</v>
      </c>
      <c r="J525" t="s">
        <v>177</v>
      </c>
      <c r="K525" t="s">
        <v>173</v>
      </c>
      <c r="T525" t="s">
        <v>3723</v>
      </c>
      <c r="U525" t="s">
        <v>4343</v>
      </c>
      <c r="V525" t="s">
        <v>5195</v>
      </c>
      <c r="X525"/>
      <c r="Y525"/>
      <c r="Z525"/>
      <c r="AA525"/>
      <c r="AE525"/>
      <c r="AF525"/>
      <c r="AG525"/>
      <c r="AH525"/>
    </row>
    <row r="526" spans="1:34" ht="15.75" customHeight="1" x14ac:dyDescent="0.15">
      <c r="A526" s="9">
        <v>520</v>
      </c>
      <c r="B526" t="s">
        <v>75</v>
      </c>
      <c r="C526" t="s">
        <v>4267</v>
      </c>
      <c r="D526" t="s">
        <v>5196</v>
      </c>
      <c r="E526" s="9" t="s">
        <v>219</v>
      </c>
      <c r="F526" s="9">
        <v>23</v>
      </c>
      <c r="G526" s="9">
        <v>19</v>
      </c>
      <c r="H526" s="9" t="s">
        <v>5197</v>
      </c>
      <c r="I526" t="s">
        <v>171</v>
      </c>
      <c r="J526" t="s">
        <v>177</v>
      </c>
      <c r="K526" t="s">
        <v>173</v>
      </c>
      <c r="T526" t="s">
        <v>3723</v>
      </c>
      <c r="U526" t="s">
        <v>4343</v>
      </c>
      <c r="V526" t="s">
        <v>5198</v>
      </c>
      <c r="X526"/>
      <c r="Y526"/>
      <c r="Z526"/>
      <c r="AA526"/>
      <c r="AE526"/>
      <c r="AF526"/>
      <c r="AG526"/>
      <c r="AH526"/>
    </row>
    <row r="527" spans="1:34" ht="15.75" customHeight="1" x14ac:dyDescent="0.15">
      <c r="A527" s="9">
        <v>521</v>
      </c>
      <c r="B527" t="s">
        <v>75</v>
      </c>
      <c r="C527" t="s">
        <v>4267</v>
      </c>
      <c r="D527" t="s">
        <v>5024</v>
      </c>
      <c r="E527" s="9" t="s">
        <v>219</v>
      </c>
      <c r="F527" s="9">
        <v>23</v>
      </c>
      <c r="G527" s="9">
        <v>20</v>
      </c>
      <c r="H527" s="9" t="s">
        <v>5199</v>
      </c>
      <c r="I527" t="s">
        <v>171</v>
      </c>
      <c r="J527" t="s">
        <v>177</v>
      </c>
      <c r="K527" t="s">
        <v>173</v>
      </c>
      <c r="T527" t="s">
        <v>3723</v>
      </c>
      <c r="U527" t="s">
        <v>4343</v>
      </c>
      <c r="V527" t="s">
        <v>5200</v>
      </c>
      <c r="X527"/>
      <c r="Y527"/>
      <c r="Z527"/>
      <c r="AA527"/>
      <c r="AE527"/>
      <c r="AF527"/>
      <c r="AG527"/>
      <c r="AH527"/>
    </row>
    <row r="528" spans="1:34" ht="15.75" customHeight="1" x14ac:dyDescent="0.15">
      <c r="A528" s="9">
        <v>522</v>
      </c>
      <c r="B528" t="s">
        <v>75</v>
      </c>
      <c r="C528" t="s">
        <v>4267</v>
      </c>
      <c r="D528" t="s">
        <v>5201</v>
      </c>
      <c r="E528" s="9" t="s">
        <v>219</v>
      </c>
      <c r="F528" s="9">
        <v>23</v>
      </c>
      <c r="G528" s="9">
        <v>21</v>
      </c>
      <c r="H528" s="9" t="s">
        <v>5202</v>
      </c>
      <c r="I528" t="s">
        <v>171</v>
      </c>
      <c r="J528" t="s">
        <v>177</v>
      </c>
      <c r="K528" t="s">
        <v>173</v>
      </c>
      <c r="T528" t="s">
        <v>3723</v>
      </c>
      <c r="U528" t="s">
        <v>4343</v>
      </c>
      <c r="V528" t="s">
        <v>5203</v>
      </c>
      <c r="X528"/>
      <c r="Y528"/>
      <c r="Z528"/>
      <c r="AA528"/>
      <c r="AE528"/>
      <c r="AF528"/>
      <c r="AG528"/>
      <c r="AH528"/>
    </row>
    <row r="529" spans="1:34" ht="15.75" customHeight="1" x14ac:dyDescent="0.15">
      <c r="A529" s="9">
        <v>523</v>
      </c>
      <c r="B529" t="s">
        <v>75</v>
      </c>
      <c r="C529" t="s">
        <v>4267</v>
      </c>
      <c r="D529" t="s">
        <v>5204</v>
      </c>
      <c r="E529" s="9" t="s">
        <v>219</v>
      </c>
      <c r="F529" s="9">
        <v>23</v>
      </c>
      <c r="G529" s="9">
        <v>22</v>
      </c>
      <c r="H529" s="9" t="s">
        <v>5205</v>
      </c>
      <c r="I529" t="s">
        <v>171</v>
      </c>
      <c r="J529" t="s">
        <v>177</v>
      </c>
      <c r="K529" t="s">
        <v>173</v>
      </c>
      <c r="T529" t="s">
        <v>3723</v>
      </c>
      <c r="U529" t="s">
        <v>4343</v>
      </c>
      <c r="V529" t="s">
        <v>5206</v>
      </c>
      <c r="X529"/>
      <c r="Y529"/>
      <c r="Z529"/>
      <c r="AA529"/>
      <c r="AE529"/>
      <c r="AF529"/>
      <c r="AG529"/>
      <c r="AH529"/>
    </row>
    <row r="530" spans="1:34" ht="15.75" customHeight="1" x14ac:dyDescent="0.15">
      <c r="A530" s="9">
        <v>524</v>
      </c>
      <c r="C530" t="s">
        <v>4267</v>
      </c>
      <c r="D530" t="s">
        <v>5207</v>
      </c>
      <c r="E530" s="9" t="s">
        <v>219</v>
      </c>
      <c r="F530" s="9">
        <v>24</v>
      </c>
      <c r="G530" s="9"/>
      <c r="H530" s="9"/>
      <c r="I530" t="s">
        <v>196</v>
      </c>
      <c r="L530" t="s">
        <v>61</v>
      </c>
      <c r="M530">
        <v>1</v>
      </c>
      <c r="T530" t="s">
        <v>3723</v>
      </c>
      <c r="U530" t="s">
        <v>3853</v>
      </c>
      <c r="V530" t="s">
        <v>5208</v>
      </c>
      <c r="X530"/>
      <c r="Y530"/>
      <c r="Z530"/>
      <c r="AA530"/>
      <c r="AE530"/>
      <c r="AF530"/>
      <c r="AG530"/>
      <c r="AH530"/>
    </row>
    <row r="531" spans="1:34" ht="15.75" customHeight="1" x14ac:dyDescent="0.15">
      <c r="A531" s="9">
        <v>525</v>
      </c>
      <c r="C531" t="s">
        <v>4267</v>
      </c>
      <c r="D531" t="s">
        <v>5209</v>
      </c>
      <c r="E531" s="9" t="s">
        <v>219</v>
      </c>
      <c r="F531" s="9">
        <v>24</v>
      </c>
      <c r="G531" s="9">
        <v>1</v>
      </c>
      <c r="H531" s="9" t="s">
        <v>5210</v>
      </c>
      <c r="I531" t="s">
        <v>171</v>
      </c>
      <c r="J531" t="s">
        <v>177</v>
      </c>
      <c r="K531" t="s">
        <v>173</v>
      </c>
      <c r="T531" t="s">
        <v>3723</v>
      </c>
      <c r="U531" t="s">
        <v>4343</v>
      </c>
      <c r="V531" t="s">
        <v>5211</v>
      </c>
      <c r="X531"/>
      <c r="Y531"/>
      <c r="Z531"/>
      <c r="AA531"/>
      <c r="AE531"/>
      <c r="AF531"/>
      <c r="AG531"/>
      <c r="AH531"/>
    </row>
    <row r="532" spans="1:34" ht="15.75" customHeight="1" x14ac:dyDescent="0.15">
      <c r="A532" s="9">
        <v>526</v>
      </c>
      <c r="C532" t="s">
        <v>4267</v>
      </c>
      <c r="D532" t="s">
        <v>5212</v>
      </c>
      <c r="E532" s="9" t="s">
        <v>219</v>
      </c>
      <c r="F532" s="9">
        <v>24</v>
      </c>
      <c r="G532" s="9">
        <v>2</v>
      </c>
      <c r="H532" s="9" t="s">
        <v>5213</v>
      </c>
      <c r="I532" t="s">
        <v>171</v>
      </c>
      <c r="J532" t="s">
        <v>177</v>
      </c>
      <c r="K532" t="s">
        <v>173</v>
      </c>
      <c r="T532" t="s">
        <v>3723</v>
      </c>
      <c r="U532" t="s">
        <v>4343</v>
      </c>
      <c r="V532" t="s">
        <v>5214</v>
      </c>
      <c r="X532"/>
      <c r="Y532"/>
      <c r="Z532"/>
      <c r="AA532"/>
      <c r="AE532"/>
      <c r="AF532"/>
      <c r="AG532"/>
      <c r="AH532"/>
    </row>
    <row r="533" spans="1:34" ht="15.75" customHeight="1" x14ac:dyDescent="0.15">
      <c r="A533" s="9">
        <v>527</v>
      </c>
      <c r="C533" t="s">
        <v>4267</v>
      </c>
      <c r="D533" t="s">
        <v>5215</v>
      </c>
      <c r="E533" s="9" t="s">
        <v>219</v>
      </c>
      <c r="F533" s="9">
        <v>24</v>
      </c>
      <c r="G533" s="9">
        <v>3</v>
      </c>
      <c r="H533" s="9" t="s">
        <v>5216</v>
      </c>
      <c r="I533" t="s">
        <v>171</v>
      </c>
      <c r="J533" t="s">
        <v>177</v>
      </c>
      <c r="K533" t="s">
        <v>173</v>
      </c>
      <c r="T533" t="s">
        <v>3723</v>
      </c>
      <c r="U533" t="s">
        <v>4343</v>
      </c>
      <c r="V533" t="s">
        <v>5217</v>
      </c>
      <c r="X533"/>
      <c r="Y533"/>
      <c r="Z533"/>
      <c r="AA533"/>
      <c r="AE533"/>
      <c r="AF533"/>
      <c r="AG533"/>
      <c r="AH533"/>
    </row>
    <row r="534" spans="1:34" ht="15.75" customHeight="1" x14ac:dyDescent="0.15">
      <c r="A534" s="9">
        <v>528</v>
      </c>
      <c r="C534" t="s">
        <v>4267</v>
      </c>
      <c r="D534" t="s">
        <v>5218</v>
      </c>
      <c r="E534" s="9" t="s">
        <v>219</v>
      </c>
      <c r="F534" s="9">
        <v>24</v>
      </c>
      <c r="G534" s="9">
        <v>4</v>
      </c>
      <c r="H534" s="9" t="s">
        <v>5219</v>
      </c>
      <c r="I534" t="s">
        <v>171</v>
      </c>
      <c r="J534" t="s">
        <v>177</v>
      </c>
      <c r="K534" t="s">
        <v>173</v>
      </c>
      <c r="T534" t="s">
        <v>3723</v>
      </c>
      <c r="U534" t="s">
        <v>4343</v>
      </c>
      <c r="V534" t="s">
        <v>5220</v>
      </c>
      <c r="X534"/>
      <c r="Y534"/>
      <c r="Z534"/>
      <c r="AA534"/>
      <c r="AE534"/>
      <c r="AF534"/>
      <c r="AG534"/>
      <c r="AH534"/>
    </row>
    <row r="535" spans="1:34" ht="15.75" customHeight="1" x14ac:dyDescent="0.15">
      <c r="A535" s="9">
        <v>529</v>
      </c>
      <c r="C535" t="s">
        <v>4267</v>
      </c>
      <c r="D535" t="s">
        <v>5221</v>
      </c>
      <c r="E535" s="9" t="s">
        <v>219</v>
      </c>
      <c r="F535" s="9">
        <v>24</v>
      </c>
      <c r="G535" s="9">
        <v>5</v>
      </c>
      <c r="H535" s="9" t="s">
        <v>5222</v>
      </c>
      <c r="I535" t="s">
        <v>171</v>
      </c>
      <c r="J535" t="s">
        <v>177</v>
      </c>
      <c r="K535" t="s">
        <v>173</v>
      </c>
      <c r="T535" t="s">
        <v>3723</v>
      </c>
      <c r="U535" t="s">
        <v>4343</v>
      </c>
      <c r="V535" t="s">
        <v>5223</v>
      </c>
      <c r="X535"/>
      <c r="Y535"/>
      <c r="Z535"/>
      <c r="AA535"/>
      <c r="AE535"/>
      <c r="AF535"/>
      <c r="AG535"/>
      <c r="AH535"/>
    </row>
    <row r="536" spans="1:34" ht="15.75" customHeight="1" x14ac:dyDescent="0.15">
      <c r="A536" s="9">
        <v>530</v>
      </c>
      <c r="C536" t="s">
        <v>4267</v>
      </c>
      <c r="D536" t="s">
        <v>5224</v>
      </c>
      <c r="E536" s="9" t="s">
        <v>219</v>
      </c>
      <c r="F536" s="9">
        <v>24</v>
      </c>
      <c r="G536" s="9">
        <v>6</v>
      </c>
      <c r="H536" s="9" t="s">
        <v>5225</v>
      </c>
      <c r="I536" t="s">
        <v>171</v>
      </c>
      <c r="J536" t="s">
        <v>177</v>
      </c>
      <c r="K536" t="s">
        <v>173</v>
      </c>
      <c r="T536" t="s">
        <v>3723</v>
      </c>
      <c r="U536" t="s">
        <v>4343</v>
      </c>
      <c r="V536" t="s">
        <v>5226</v>
      </c>
      <c r="X536"/>
      <c r="Y536"/>
      <c r="Z536"/>
      <c r="AA536"/>
      <c r="AE536"/>
      <c r="AF536"/>
      <c r="AG536"/>
      <c r="AH536"/>
    </row>
    <row r="537" spans="1:34" ht="15.75" customHeight="1" x14ac:dyDescent="0.15">
      <c r="A537" s="9">
        <v>531</v>
      </c>
      <c r="C537" t="s">
        <v>4267</v>
      </c>
      <c r="D537" t="s">
        <v>5227</v>
      </c>
      <c r="E537" s="9" t="s">
        <v>219</v>
      </c>
      <c r="F537" s="9">
        <v>24</v>
      </c>
      <c r="G537" s="9">
        <v>7</v>
      </c>
      <c r="H537" s="9" t="s">
        <v>5228</v>
      </c>
      <c r="I537" t="s">
        <v>171</v>
      </c>
      <c r="J537" t="s">
        <v>177</v>
      </c>
      <c r="K537" t="s">
        <v>173</v>
      </c>
      <c r="T537" t="s">
        <v>3723</v>
      </c>
      <c r="U537" t="s">
        <v>4343</v>
      </c>
      <c r="V537" t="s">
        <v>5229</v>
      </c>
      <c r="X537"/>
      <c r="Y537"/>
      <c r="Z537"/>
      <c r="AA537"/>
      <c r="AE537"/>
      <c r="AF537"/>
      <c r="AG537"/>
      <c r="AH537"/>
    </row>
    <row r="538" spans="1:34" ht="15.75" customHeight="1" x14ac:dyDescent="0.15">
      <c r="A538" s="9">
        <v>532</v>
      </c>
      <c r="C538" t="s">
        <v>4267</v>
      </c>
      <c r="D538" t="s">
        <v>5230</v>
      </c>
      <c r="E538" s="9" t="s">
        <v>219</v>
      </c>
      <c r="F538" s="9">
        <v>24</v>
      </c>
      <c r="G538" s="9">
        <v>11</v>
      </c>
      <c r="H538" s="9" t="s">
        <v>5231</v>
      </c>
      <c r="I538" t="s">
        <v>171</v>
      </c>
      <c r="J538" t="s">
        <v>177</v>
      </c>
      <c r="K538" t="s">
        <v>173</v>
      </c>
      <c r="T538" t="s">
        <v>3723</v>
      </c>
      <c r="U538" t="s">
        <v>4343</v>
      </c>
      <c r="V538" t="s">
        <v>5232</v>
      </c>
      <c r="X538"/>
      <c r="Y538"/>
      <c r="Z538"/>
      <c r="AA538"/>
      <c r="AE538"/>
      <c r="AF538"/>
      <c r="AG538"/>
      <c r="AH538"/>
    </row>
    <row r="539" spans="1:34" ht="15.75" customHeight="1" x14ac:dyDescent="0.15">
      <c r="A539" s="9">
        <v>533</v>
      </c>
      <c r="C539" t="s">
        <v>4267</v>
      </c>
      <c r="D539" t="s">
        <v>5233</v>
      </c>
      <c r="E539" s="9" t="s">
        <v>219</v>
      </c>
      <c r="F539" s="9">
        <v>24</v>
      </c>
      <c r="G539" s="9">
        <v>12</v>
      </c>
      <c r="H539" s="9" t="s">
        <v>5234</v>
      </c>
      <c r="I539" t="s">
        <v>171</v>
      </c>
      <c r="J539" t="s">
        <v>177</v>
      </c>
      <c r="K539" t="s">
        <v>173</v>
      </c>
      <c r="T539" t="s">
        <v>3723</v>
      </c>
      <c r="U539" t="s">
        <v>4343</v>
      </c>
      <c r="V539" t="s">
        <v>5235</v>
      </c>
      <c r="X539"/>
      <c r="Y539"/>
      <c r="Z539"/>
      <c r="AA539"/>
      <c r="AE539"/>
      <c r="AF539"/>
      <c r="AG539"/>
      <c r="AH539"/>
    </row>
    <row r="540" spans="1:34" ht="15.75" customHeight="1" x14ac:dyDescent="0.15">
      <c r="A540" s="9">
        <v>534</v>
      </c>
      <c r="C540" t="s">
        <v>4267</v>
      </c>
      <c r="D540" t="s">
        <v>5236</v>
      </c>
      <c r="E540" s="9" t="s">
        <v>219</v>
      </c>
      <c r="F540" s="9">
        <v>24</v>
      </c>
      <c r="G540" s="9">
        <v>13</v>
      </c>
      <c r="H540" s="9" t="s">
        <v>5237</v>
      </c>
      <c r="I540" t="s">
        <v>171</v>
      </c>
      <c r="J540" t="s">
        <v>177</v>
      </c>
      <c r="K540" t="s">
        <v>173</v>
      </c>
      <c r="T540" t="s">
        <v>3723</v>
      </c>
      <c r="U540" t="s">
        <v>4343</v>
      </c>
      <c r="V540" t="s">
        <v>5238</v>
      </c>
      <c r="X540"/>
      <c r="Y540"/>
      <c r="Z540"/>
      <c r="AA540"/>
      <c r="AE540"/>
      <c r="AF540"/>
      <c r="AG540"/>
      <c r="AH540"/>
    </row>
    <row r="541" spans="1:34" ht="15.75" customHeight="1" x14ac:dyDescent="0.15">
      <c r="A541" s="9">
        <v>535</v>
      </c>
      <c r="C541" t="s">
        <v>4267</v>
      </c>
      <c r="D541" t="s">
        <v>5239</v>
      </c>
      <c r="E541" s="9" t="s">
        <v>219</v>
      </c>
      <c r="F541" s="9">
        <v>24</v>
      </c>
      <c r="G541" s="9">
        <v>14</v>
      </c>
      <c r="H541" s="9" t="s">
        <v>5240</v>
      </c>
      <c r="I541" t="s">
        <v>171</v>
      </c>
      <c r="J541" t="s">
        <v>177</v>
      </c>
      <c r="K541" t="s">
        <v>173</v>
      </c>
      <c r="T541" t="s">
        <v>3723</v>
      </c>
      <c r="U541" t="s">
        <v>4343</v>
      </c>
      <c r="V541" t="s">
        <v>5241</v>
      </c>
      <c r="X541"/>
      <c r="Y541"/>
      <c r="Z541"/>
      <c r="AA541"/>
      <c r="AE541"/>
      <c r="AF541"/>
      <c r="AG541"/>
      <c r="AH541"/>
    </row>
    <row r="542" spans="1:34" ht="15.75" customHeight="1" x14ac:dyDescent="0.15">
      <c r="A542" s="9">
        <v>536</v>
      </c>
      <c r="C542" t="s">
        <v>4267</v>
      </c>
      <c r="D542" t="s">
        <v>5242</v>
      </c>
      <c r="E542" s="9" t="s">
        <v>219</v>
      </c>
      <c r="F542" s="9">
        <v>24</v>
      </c>
      <c r="G542" s="9">
        <v>15</v>
      </c>
      <c r="H542" s="9" t="s">
        <v>5243</v>
      </c>
      <c r="I542" t="s">
        <v>171</v>
      </c>
      <c r="J542" t="s">
        <v>177</v>
      </c>
      <c r="K542" t="s">
        <v>173</v>
      </c>
      <c r="T542" t="s">
        <v>3723</v>
      </c>
      <c r="U542" t="s">
        <v>4343</v>
      </c>
      <c r="V542" t="s">
        <v>5244</v>
      </c>
      <c r="X542"/>
      <c r="Y542"/>
      <c r="Z542"/>
      <c r="AA542"/>
      <c r="AE542"/>
      <c r="AF542"/>
      <c r="AG542"/>
      <c r="AH542"/>
    </row>
    <row r="543" spans="1:34" ht="15.75" customHeight="1" x14ac:dyDescent="0.15">
      <c r="A543" s="9">
        <v>537</v>
      </c>
      <c r="C543" t="s">
        <v>4267</v>
      </c>
      <c r="D543" t="s">
        <v>5245</v>
      </c>
      <c r="E543" s="9" t="s">
        <v>219</v>
      </c>
      <c r="F543" s="9">
        <v>24</v>
      </c>
      <c r="G543" s="9">
        <v>16</v>
      </c>
      <c r="H543" s="9" t="s">
        <v>5246</v>
      </c>
      <c r="I543" t="s">
        <v>171</v>
      </c>
      <c r="J543" t="s">
        <v>177</v>
      </c>
      <c r="K543" t="s">
        <v>173</v>
      </c>
      <c r="T543" t="s">
        <v>3723</v>
      </c>
      <c r="U543" t="s">
        <v>4343</v>
      </c>
      <c r="V543" t="s">
        <v>5247</v>
      </c>
      <c r="X543"/>
      <c r="Y543"/>
      <c r="Z543"/>
      <c r="AA543"/>
      <c r="AE543"/>
      <c r="AF543"/>
      <c r="AG543"/>
      <c r="AH543"/>
    </row>
    <row r="544" spans="1:34" ht="15.75" customHeight="1" x14ac:dyDescent="0.15">
      <c r="A544" s="9">
        <v>538</v>
      </c>
      <c r="C544" t="s">
        <v>4267</v>
      </c>
      <c r="D544" t="s">
        <v>5248</v>
      </c>
      <c r="E544" s="9" t="s">
        <v>219</v>
      </c>
      <c r="F544" s="9">
        <v>24</v>
      </c>
      <c r="G544" s="9">
        <v>17</v>
      </c>
      <c r="H544" s="9" t="s">
        <v>5249</v>
      </c>
      <c r="I544" t="s">
        <v>171</v>
      </c>
      <c r="J544" t="s">
        <v>177</v>
      </c>
      <c r="K544" t="s">
        <v>173</v>
      </c>
      <c r="T544" t="s">
        <v>3723</v>
      </c>
      <c r="U544" t="s">
        <v>4343</v>
      </c>
      <c r="V544" t="s">
        <v>5250</v>
      </c>
      <c r="X544"/>
      <c r="Y544"/>
      <c r="Z544"/>
      <c r="AA544"/>
      <c r="AE544"/>
      <c r="AF544"/>
      <c r="AG544"/>
      <c r="AH544"/>
    </row>
    <row r="545" spans="1:34" ht="15.75" customHeight="1" x14ac:dyDescent="0.15">
      <c r="A545" s="9">
        <v>539</v>
      </c>
      <c r="B545" t="s">
        <v>75</v>
      </c>
      <c r="C545" t="s">
        <v>4267</v>
      </c>
      <c r="D545" t="s">
        <v>5251</v>
      </c>
      <c r="E545" s="9" t="s">
        <v>219</v>
      </c>
      <c r="F545" s="9">
        <v>30</v>
      </c>
      <c r="G545" s="9"/>
      <c r="H545" s="9" t="s">
        <v>3721</v>
      </c>
      <c r="I545" t="s">
        <v>196</v>
      </c>
      <c r="L545" t="s">
        <v>61</v>
      </c>
      <c r="M545">
        <v>1</v>
      </c>
      <c r="T545" t="s">
        <v>3723</v>
      </c>
      <c r="U545" t="s">
        <v>3853</v>
      </c>
      <c r="V545" t="s">
        <v>5252</v>
      </c>
      <c r="X545"/>
      <c r="Y545"/>
      <c r="Z545"/>
      <c r="AA545"/>
      <c r="AE545"/>
      <c r="AF545"/>
      <c r="AG545"/>
      <c r="AH545"/>
    </row>
    <row r="546" spans="1:34" ht="15.75" customHeight="1" x14ac:dyDescent="0.15">
      <c r="A546" s="9">
        <v>540</v>
      </c>
      <c r="B546" t="s">
        <v>75</v>
      </c>
      <c r="C546" t="s">
        <v>4267</v>
      </c>
      <c r="D546" t="s">
        <v>5253</v>
      </c>
      <c r="E546" s="9" t="s">
        <v>219</v>
      </c>
      <c r="F546" s="9">
        <v>30</v>
      </c>
      <c r="G546" s="9">
        <v>0</v>
      </c>
      <c r="H546" s="9" t="s">
        <v>5254</v>
      </c>
      <c r="I546" t="s">
        <v>196</v>
      </c>
      <c r="J546" t="s">
        <v>222</v>
      </c>
      <c r="K546" t="s">
        <v>226</v>
      </c>
      <c r="T546" t="s">
        <v>3723</v>
      </c>
      <c r="V546" t="s">
        <v>5255</v>
      </c>
      <c r="X546"/>
      <c r="Y546"/>
      <c r="Z546"/>
      <c r="AA546"/>
      <c r="AE546"/>
      <c r="AF546"/>
      <c r="AG546"/>
      <c r="AH546"/>
    </row>
    <row r="547" spans="1:34" ht="15.75" customHeight="1" x14ac:dyDescent="0.15">
      <c r="A547" s="9">
        <v>541</v>
      </c>
      <c r="B547" t="s">
        <v>75</v>
      </c>
      <c r="C547" t="s">
        <v>4267</v>
      </c>
      <c r="D547" t="s">
        <v>5256</v>
      </c>
      <c r="E547" s="9" t="s">
        <v>219</v>
      </c>
      <c r="F547" s="9">
        <v>30</v>
      </c>
      <c r="G547" s="9">
        <v>1</v>
      </c>
      <c r="H547" s="9" t="s">
        <v>5257</v>
      </c>
      <c r="I547" t="s">
        <v>196</v>
      </c>
      <c r="J547" t="s">
        <v>226</v>
      </c>
      <c r="K547" t="s">
        <v>222</v>
      </c>
      <c r="T547" t="s">
        <v>3723</v>
      </c>
      <c r="V547" t="s">
        <v>5258</v>
      </c>
      <c r="X547"/>
      <c r="Y547"/>
      <c r="Z547"/>
      <c r="AA547"/>
      <c r="AE547"/>
      <c r="AF547"/>
      <c r="AG547"/>
      <c r="AH547"/>
    </row>
    <row r="548" spans="1:34" ht="15.75" customHeight="1" x14ac:dyDescent="0.15">
      <c r="A548" s="9">
        <v>542</v>
      </c>
      <c r="B548" t="s">
        <v>75</v>
      </c>
      <c r="C548" t="s">
        <v>4267</v>
      </c>
      <c r="D548" t="s">
        <v>5259</v>
      </c>
      <c r="E548" s="9" t="s">
        <v>219</v>
      </c>
      <c r="F548" s="9">
        <v>30</v>
      </c>
      <c r="G548" s="9">
        <v>2</v>
      </c>
      <c r="H548" s="9" t="s">
        <v>5260</v>
      </c>
      <c r="I548" t="s">
        <v>196</v>
      </c>
      <c r="J548" t="s">
        <v>940</v>
      </c>
      <c r="K548" t="s">
        <v>941</v>
      </c>
      <c r="T548" t="s">
        <v>3723</v>
      </c>
      <c r="V548" t="s">
        <v>5261</v>
      </c>
      <c r="X548"/>
      <c r="Y548"/>
      <c r="Z548"/>
      <c r="AA548"/>
      <c r="AE548"/>
      <c r="AF548"/>
      <c r="AG548"/>
      <c r="AH548"/>
    </row>
    <row r="549" spans="1:34" ht="15.75" customHeight="1" x14ac:dyDescent="0.15">
      <c r="A549" s="9">
        <v>543</v>
      </c>
      <c r="B549" t="s">
        <v>75</v>
      </c>
      <c r="C549" t="s">
        <v>4267</v>
      </c>
      <c r="D549" t="s">
        <v>5262</v>
      </c>
      <c r="E549" s="9" t="s">
        <v>219</v>
      </c>
      <c r="F549" s="9">
        <v>30</v>
      </c>
      <c r="G549" s="9">
        <v>3</v>
      </c>
      <c r="H549" s="9" t="s">
        <v>5263</v>
      </c>
      <c r="I549" t="s">
        <v>196</v>
      </c>
      <c r="J549" t="s">
        <v>940</v>
      </c>
      <c r="K549" t="s">
        <v>941</v>
      </c>
      <c r="T549" t="s">
        <v>3723</v>
      </c>
      <c r="V549" t="s">
        <v>5264</v>
      </c>
      <c r="X549"/>
      <c r="Y549"/>
      <c r="Z549"/>
      <c r="AA549"/>
      <c r="AE549"/>
      <c r="AF549"/>
      <c r="AG549"/>
      <c r="AH549"/>
    </row>
    <row r="550" spans="1:34" ht="15.75" customHeight="1" x14ac:dyDescent="0.15">
      <c r="A550" s="9">
        <v>544</v>
      </c>
      <c r="B550" t="s">
        <v>75</v>
      </c>
      <c r="C550" t="s">
        <v>4267</v>
      </c>
      <c r="D550" t="s">
        <v>5265</v>
      </c>
      <c r="E550" s="9" t="s">
        <v>219</v>
      </c>
      <c r="F550" s="9">
        <v>30</v>
      </c>
      <c r="G550" s="9">
        <v>4</v>
      </c>
      <c r="H550" s="9" t="s">
        <v>5266</v>
      </c>
      <c r="I550" t="s">
        <v>196</v>
      </c>
      <c r="J550" t="s">
        <v>940</v>
      </c>
      <c r="K550" t="s">
        <v>941</v>
      </c>
      <c r="T550" t="s">
        <v>3723</v>
      </c>
      <c r="V550" t="s">
        <v>5267</v>
      </c>
      <c r="X550"/>
      <c r="Y550"/>
      <c r="Z550"/>
      <c r="AA550"/>
      <c r="AE550"/>
      <c r="AF550"/>
      <c r="AG550"/>
      <c r="AH550"/>
    </row>
    <row r="551" spans="1:34" ht="15.75" customHeight="1" x14ac:dyDescent="0.15">
      <c r="A551" s="9">
        <v>545</v>
      </c>
      <c r="B551" t="s">
        <v>75</v>
      </c>
      <c r="C551" t="s">
        <v>4267</v>
      </c>
      <c r="D551" t="s">
        <v>5268</v>
      </c>
      <c r="E551" s="9" t="s">
        <v>219</v>
      </c>
      <c r="F551" s="9">
        <v>30</v>
      </c>
      <c r="G551" s="9">
        <v>5</v>
      </c>
      <c r="H551" s="9" t="s">
        <v>5269</v>
      </c>
      <c r="I551" t="s">
        <v>196</v>
      </c>
      <c r="J551" t="s">
        <v>940</v>
      </c>
      <c r="K551" t="s">
        <v>941</v>
      </c>
      <c r="T551" t="s">
        <v>3723</v>
      </c>
      <c r="V551" t="s">
        <v>5270</v>
      </c>
      <c r="X551"/>
      <c r="Y551"/>
      <c r="Z551"/>
      <c r="AA551"/>
      <c r="AE551"/>
      <c r="AF551"/>
      <c r="AG551"/>
      <c r="AH551"/>
    </row>
    <row r="552" spans="1:34" ht="15.75" customHeight="1" x14ac:dyDescent="0.15">
      <c r="A552" s="9">
        <v>546</v>
      </c>
      <c r="B552" t="s">
        <v>75</v>
      </c>
      <c r="C552" t="s">
        <v>4267</v>
      </c>
      <c r="D552" t="s">
        <v>5271</v>
      </c>
      <c r="E552" s="9" t="s">
        <v>219</v>
      </c>
      <c r="F552" s="9">
        <v>30</v>
      </c>
      <c r="G552" s="9">
        <v>6</v>
      </c>
      <c r="H552" s="9" t="s">
        <v>5272</v>
      </c>
      <c r="I552" t="s">
        <v>196</v>
      </c>
      <c r="J552" t="s">
        <v>940</v>
      </c>
      <c r="K552" t="s">
        <v>941</v>
      </c>
      <c r="T552" t="s">
        <v>3723</v>
      </c>
      <c r="V552" t="s">
        <v>5273</v>
      </c>
      <c r="X552"/>
      <c r="Y552"/>
      <c r="Z552"/>
      <c r="AA552"/>
      <c r="AE552"/>
      <c r="AF552"/>
      <c r="AG552"/>
      <c r="AH552"/>
    </row>
    <row r="553" spans="1:34" ht="15.75" customHeight="1" x14ac:dyDescent="0.15">
      <c r="A553" s="9">
        <v>547</v>
      </c>
      <c r="B553" t="s">
        <v>75</v>
      </c>
      <c r="C553" t="s">
        <v>4267</v>
      </c>
      <c r="D553" t="s">
        <v>5274</v>
      </c>
      <c r="E553" s="9" t="s">
        <v>219</v>
      </c>
      <c r="F553" s="9">
        <v>30</v>
      </c>
      <c r="G553" s="9">
        <v>7</v>
      </c>
      <c r="H553" s="9" t="s">
        <v>5275</v>
      </c>
      <c r="I553" t="s">
        <v>171</v>
      </c>
      <c r="J553" t="s">
        <v>940</v>
      </c>
      <c r="K553" t="s">
        <v>941</v>
      </c>
      <c r="T553" t="s">
        <v>3723</v>
      </c>
      <c r="V553" t="s">
        <v>5276</v>
      </c>
      <c r="X553"/>
      <c r="Y553"/>
      <c r="Z553"/>
      <c r="AA553"/>
      <c r="AE553"/>
      <c r="AF553"/>
      <c r="AG553"/>
      <c r="AH553"/>
    </row>
    <row r="554" spans="1:34" ht="15.75" customHeight="1" x14ac:dyDescent="0.15">
      <c r="A554" s="9">
        <v>548</v>
      </c>
      <c r="B554" t="s">
        <v>75</v>
      </c>
      <c r="C554" t="s">
        <v>4267</v>
      </c>
      <c r="D554" t="s">
        <v>5277</v>
      </c>
      <c r="E554" s="9" t="s">
        <v>219</v>
      </c>
      <c r="F554" s="9">
        <v>30</v>
      </c>
      <c r="G554" s="9">
        <v>8</v>
      </c>
      <c r="H554" s="9" t="s">
        <v>5278</v>
      </c>
      <c r="I554" t="s">
        <v>196</v>
      </c>
      <c r="J554" t="s">
        <v>940</v>
      </c>
      <c r="K554" t="s">
        <v>941</v>
      </c>
      <c r="T554" t="s">
        <v>3723</v>
      </c>
      <c r="V554" t="s">
        <v>5279</v>
      </c>
      <c r="X554"/>
      <c r="Y554"/>
      <c r="Z554"/>
      <c r="AA554"/>
      <c r="AE554"/>
      <c r="AF554"/>
      <c r="AG554"/>
      <c r="AH554"/>
    </row>
    <row r="555" spans="1:34" ht="15.75" customHeight="1" x14ac:dyDescent="0.15">
      <c r="A555" s="9">
        <v>549</v>
      </c>
      <c r="B555" t="s">
        <v>75</v>
      </c>
      <c r="C555" t="s">
        <v>4267</v>
      </c>
      <c r="D555" t="s">
        <v>5280</v>
      </c>
      <c r="E555" s="9" t="s">
        <v>219</v>
      </c>
      <c r="F555" s="9">
        <v>30</v>
      </c>
      <c r="G555" s="9">
        <v>9</v>
      </c>
      <c r="H555" s="9" t="s">
        <v>5281</v>
      </c>
      <c r="I555" t="s">
        <v>196</v>
      </c>
      <c r="J555" t="s">
        <v>940</v>
      </c>
      <c r="K555" t="s">
        <v>941</v>
      </c>
      <c r="T555" t="s">
        <v>3723</v>
      </c>
      <c r="V555" t="s">
        <v>5282</v>
      </c>
      <c r="X555"/>
      <c r="Y555"/>
      <c r="Z555"/>
      <c r="AA555"/>
      <c r="AE555"/>
      <c r="AF555"/>
      <c r="AG555"/>
      <c r="AH555"/>
    </row>
    <row r="556" spans="1:34" ht="15.75" customHeight="1" x14ac:dyDescent="0.15">
      <c r="A556" s="9">
        <v>550</v>
      </c>
      <c r="B556" t="s">
        <v>75</v>
      </c>
      <c r="C556" t="s">
        <v>4267</v>
      </c>
      <c r="D556" t="s">
        <v>5283</v>
      </c>
      <c r="E556" s="9" t="s">
        <v>219</v>
      </c>
      <c r="F556" s="9">
        <v>30</v>
      </c>
      <c r="G556" s="9">
        <v>10</v>
      </c>
      <c r="H556" s="9" t="s">
        <v>5284</v>
      </c>
      <c r="I556" t="s">
        <v>196</v>
      </c>
      <c r="J556" t="s">
        <v>940</v>
      </c>
      <c r="K556" t="s">
        <v>941</v>
      </c>
      <c r="T556" t="s">
        <v>3723</v>
      </c>
      <c r="V556" t="s">
        <v>5285</v>
      </c>
      <c r="X556"/>
      <c r="Y556"/>
      <c r="Z556"/>
      <c r="AA556"/>
      <c r="AE556"/>
      <c r="AF556"/>
      <c r="AG556"/>
      <c r="AH556"/>
    </row>
    <row r="557" spans="1:34" ht="15.75" customHeight="1" x14ac:dyDescent="0.15">
      <c r="A557" s="9">
        <v>551</v>
      </c>
      <c r="B557" t="s">
        <v>75</v>
      </c>
      <c r="C557" t="s">
        <v>4267</v>
      </c>
      <c r="D557" t="s">
        <v>5286</v>
      </c>
      <c r="E557" s="9" t="s">
        <v>219</v>
      </c>
      <c r="F557" s="9">
        <v>30</v>
      </c>
      <c r="G557" s="9">
        <v>11</v>
      </c>
      <c r="H557" s="9" t="s">
        <v>5287</v>
      </c>
      <c r="I557" t="s">
        <v>171</v>
      </c>
      <c r="J557" t="s">
        <v>940</v>
      </c>
      <c r="K557" t="s">
        <v>941</v>
      </c>
      <c r="T557" t="s">
        <v>3723</v>
      </c>
      <c r="V557" t="s">
        <v>5288</v>
      </c>
      <c r="X557"/>
      <c r="Y557"/>
      <c r="Z557"/>
      <c r="AA557"/>
      <c r="AE557"/>
      <c r="AF557"/>
      <c r="AG557"/>
      <c r="AH557"/>
    </row>
    <row r="558" spans="1:34" ht="15.75" customHeight="1" x14ac:dyDescent="0.15">
      <c r="A558" s="9">
        <v>552</v>
      </c>
      <c r="B558" t="s">
        <v>75</v>
      </c>
      <c r="C558" t="s">
        <v>4267</v>
      </c>
      <c r="D558" t="s">
        <v>5289</v>
      </c>
      <c r="E558" s="9" t="s">
        <v>219</v>
      </c>
      <c r="F558" s="9">
        <v>30</v>
      </c>
      <c r="G558" s="9">
        <v>12</v>
      </c>
      <c r="H558" s="9" t="s">
        <v>5290</v>
      </c>
      <c r="I558" t="s">
        <v>171</v>
      </c>
      <c r="J558" t="s">
        <v>940</v>
      </c>
      <c r="K558" t="s">
        <v>941</v>
      </c>
      <c r="T558" t="s">
        <v>3723</v>
      </c>
      <c r="V558" t="s">
        <v>5291</v>
      </c>
      <c r="X558"/>
      <c r="Y558"/>
      <c r="Z558"/>
      <c r="AA558"/>
      <c r="AE558"/>
      <c r="AF558"/>
      <c r="AG558"/>
      <c r="AH558"/>
    </row>
    <row r="559" spans="1:34" ht="15.75" customHeight="1" x14ac:dyDescent="0.15">
      <c r="A559" s="9">
        <v>553</v>
      </c>
      <c r="B559" t="s">
        <v>75</v>
      </c>
      <c r="C559" t="s">
        <v>4267</v>
      </c>
      <c r="D559" t="s">
        <v>5292</v>
      </c>
      <c r="E559" s="9" t="s">
        <v>219</v>
      </c>
      <c r="F559" s="9">
        <v>30</v>
      </c>
      <c r="G559" s="9">
        <v>13</v>
      </c>
      <c r="H559" s="9" t="s">
        <v>5293</v>
      </c>
      <c r="I559" t="s">
        <v>171</v>
      </c>
      <c r="J559" t="s">
        <v>940</v>
      </c>
      <c r="K559" t="s">
        <v>941</v>
      </c>
      <c r="T559" t="s">
        <v>3723</v>
      </c>
      <c r="V559" t="s">
        <v>5294</v>
      </c>
      <c r="X559"/>
      <c r="Y559"/>
      <c r="Z559"/>
      <c r="AA559"/>
      <c r="AE559"/>
      <c r="AF559"/>
      <c r="AG559"/>
      <c r="AH559"/>
    </row>
    <row r="560" spans="1:34" ht="15.75" customHeight="1" x14ac:dyDescent="0.15">
      <c r="A560" s="9">
        <v>554</v>
      </c>
      <c r="B560" t="s">
        <v>75</v>
      </c>
      <c r="C560" t="s">
        <v>4267</v>
      </c>
      <c r="D560" t="s">
        <v>5295</v>
      </c>
      <c r="E560" s="9" t="s">
        <v>219</v>
      </c>
      <c r="F560" s="9">
        <v>30</v>
      </c>
      <c r="G560" s="9">
        <v>14</v>
      </c>
      <c r="H560" s="9" t="s">
        <v>5296</v>
      </c>
      <c r="I560" t="s">
        <v>171</v>
      </c>
      <c r="J560" t="s">
        <v>940</v>
      </c>
      <c r="K560" t="s">
        <v>941</v>
      </c>
      <c r="T560" t="s">
        <v>3723</v>
      </c>
      <c r="V560" t="s">
        <v>5297</v>
      </c>
      <c r="X560"/>
      <c r="Y560"/>
      <c r="Z560"/>
      <c r="AA560"/>
      <c r="AE560"/>
      <c r="AF560"/>
      <c r="AG560"/>
      <c r="AH560"/>
    </row>
    <row r="561" spans="1:34" ht="15.75" customHeight="1" x14ac:dyDescent="0.15">
      <c r="A561" s="9">
        <v>555</v>
      </c>
      <c r="B561" t="s">
        <v>75</v>
      </c>
      <c r="C561" t="s">
        <v>4267</v>
      </c>
      <c r="D561" t="s">
        <v>5298</v>
      </c>
      <c r="E561" s="9" t="s">
        <v>219</v>
      </c>
      <c r="F561" s="9">
        <v>30</v>
      </c>
      <c r="G561" s="9">
        <v>15</v>
      </c>
      <c r="H561" s="9" t="s">
        <v>5299</v>
      </c>
      <c r="I561" t="s">
        <v>196</v>
      </c>
      <c r="J561" t="s">
        <v>197</v>
      </c>
      <c r="K561" t="s">
        <v>198</v>
      </c>
      <c r="T561" t="s">
        <v>3723</v>
      </c>
      <c r="V561" t="s">
        <v>5300</v>
      </c>
      <c r="X561"/>
      <c r="Y561"/>
      <c r="Z561"/>
      <c r="AA561"/>
      <c r="AE561"/>
      <c r="AF561"/>
      <c r="AG561"/>
      <c r="AH561"/>
    </row>
    <row r="562" spans="1:34" ht="15.75" customHeight="1" x14ac:dyDescent="0.15">
      <c r="A562" s="9">
        <v>556</v>
      </c>
      <c r="B562" t="s">
        <v>75</v>
      </c>
      <c r="C562" t="s">
        <v>4267</v>
      </c>
      <c r="D562" t="s">
        <v>5301</v>
      </c>
      <c r="E562" s="9" t="s">
        <v>219</v>
      </c>
      <c r="F562" s="9">
        <v>30</v>
      </c>
      <c r="G562" s="9">
        <v>16</v>
      </c>
      <c r="H562" s="9" t="s">
        <v>5302</v>
      </c>
      <c r="I562" t="s">
        <v>196</v>
      </c>
      <c r="J562" t="s">
        <v>197</v>
      </c>
      <c r="K562" t="s">
        <v>198</v>
      </c>
      <c r="T562" t="s">
        <v>3723</v>
      </c>
      <c r="V562" t="s">
        <v>5303</v>
      </c>
      <c r="X562"/>
      <c r="Y562"/>
      <c r="Z562"/>
      <c r="AA562"/>
      <c r="AE562"/>
      <c r="AF562"/>
      <c r="AG562"/>
      <c r="AH562"/>
    </row>
    <row r="563" spans="1:34" ht="15.75" customHeight="1" x14ac:dyDescent="0.15">
      <c r="A563" s="9">
        <v>557</v>
      </c>
      <c r="B563" t="s">
        <v>75</v>
      </c>
      <c r="C563" t="s">
        <v>4267</v>
      </c>
      <c r="D563" t="s">
        <v>5304</v>
      </c>
      <c r="E563" s="9" t="s">
        <v>219</v>
      </c>
      <c r="F563" s="9">
        <v>30</v>
      </c>
      <c r="G563" s="9">
        <v>17</v>
      </c>
      <c r="H563" s="9" t="s">
        <v>5305</v>
      </c>
      <c r="I563" t="s">
        <v>171</v>
      </c>
      <c r="J563" t="s">
        <v>940</v>
      </c>
      <c r="K563" t="s">
        <v>941</v>
      </c>
      <c r="T563" t="s">
        <v>3723</v>
      </c>
      <c r="V563" t="s">
        <v>5306</v>
      </c>
      <c r="X563"/>
      <c r="Y563"/>
      <c r="Z563"/>
      <c r="AA563"/>
      <c r="AE563"/>
      <c r="AF563"/>
      <c r="AG563"/>
      <c r="AH563"/>
    </row>
    <row r="564" spans="1:34" ht="15.75" customHeight="1" x14ac:dyDescent="0.15">
      <c r="A564" s="9">
        <v>558</v>
      </c>
      <c r="B564" t="s">
        <v>75</v>
      </c>
      <c r="C564" t="s">
        <v>4267</v>
      </c>
      <c r="D564" t="s">
        <v>5307</v>
      </c>
      <c r="E564" s="9" t="s">
        <v>219</v>
      </c>
      <c r="F564" s="9">
        <v>31</v>
      </c>
      <c r="G564" s="9"/>
      <c r="H564" s="9" t="s">
        <v>3721</v>
      </c>
      <c r="I564" t="s">
        <v>196</v>
      </c>
      <c r="L564" t="s">
        <v>61</v>
      </c>
      <c r="M564">
        <v>1</v>
      </c>
      <c r="T564" t="s">
        <v>3723</v>
      </c>
      <c r="U564" t="s">
        <v>3853</v>
      </c>
      <c r="V564" t="s">
        <v>5308</v>
      </c>
      <c r="X564"/>
      <c r="Y564"/>
      <c r="Z564"/>
      <c r="AA564"/>
      <c r="AE564"/>
      <c r="AF564"/>
      <c r="AG564"/>
      <c r="AH564"/>
    </row>
    <row r="565" spans="1:34" ht="15.75" customHeight="1" x14ac:dyDescent="0.15">
      <c r="A565" s="9">
        <v>559</v>
      </c>
      <c r="B565" t="s">
        <v>75</v>
      </c>
      <c r="C565" t="s">
        <v>4267</v>
      </c>
      <c r="D565" t="s">
        <v>5309</v>
      </c>
      <c r="E565" s="9" t="s">
        <v>219</v>
      </c>
      <c r="F565" s="9">
        <v>31</v>
      </c>
      <c r="G565" s="9">
        <v>0</v>
      </c>
      <c r="H565" s="9" t="s">
        <v>5310</v>
      </c>
      <c r="I565" t="s">
        <v>171</v>
      </c>
      <c r="J565" t="s">
        <v>177</v>
      </c>
      <c r="K565" t="s">
        <v>173</v>
      </c>
      <c r="T565" t="s">
        <v>3723</v>
      </c>
      <c r="U565" t="s">
        <v>4343</v>
      </c>
      <c r="V565" t="s">
        <v>5311</v>
      </c>
      <c r="X565"/>
      <c r="Y565"/>
      <c r="Z565"/>
      <c r="AA565"/>
      <c r="AE565"/>
      <c r="AF565"/>
      <c r="AG565"/>
      <c r="AH565"/>
    </row>
    <row r="566" spans="1:34" ht="15.75" customHeight="1" x14ac:dyDescent="0.15">
      <c r="A566" s="9">
        <v>560</v>
      </c>
      <c r="B566" t="s">
        <v>75</v>
      </c>
      <c r="C566" t="s">
        <v>4267</v>
      </c>
      <c r="D566" t="s">
        <v>5312</v>
      </c>
      <c r="E566" s="9" t="s">
        <v>219</v>
      </c>
      <c r="F566" s="9">
        <v>31</v>
      </c>
      <c r="G566" s="9">
        <v>1</v>
      </c>
      <c r="H566" s="9" t="s">
        <v>5313</v>
      </c>
      <c r="I566" t="s">
        <v>171</v>
      </c>
      <c r="J566" t="s">
        <v>177</v>
      </c>
      <c r="K566" t="s">
        <v>173</v>
      </c>
      <c r="T566" t="s">
        <v>3723</v>
      </c>
      <c r="U566" t="s">
        <v>4343</v>
      </c>
      <c r="V566" t="s">
        <v>5314</v>
      </c>
      <c r="X566"/>
      <c r="Y566"/>
      <c r="Z566"/>
      <c r="AA566"/>
      <c r="AE566"/>
      <c r="AF566"/>
      <c r="AG566"/>
      <c r="AH566"/>
    </row>
    <row r="567" spans="1:34" ht="15.75" customHeight="1" x14ac:dyDescent="0.15">
      <c r="A567" s="9">
        <v>561</v>
      </c>
      <c r="B567" t="s">
        <v>75</v>
      </c>
      <c r="C567" t="s">
        <v>4267</v>
      </c>
      <c r="D567" t="s">
        <v>5315</v>
      </c>
      <c r="E567" s="9" t="s">
        <v>219</v>
      </c>
      <c r="F567" s="9">
        <v>31</v>
      </c>
      <c r="G567" s="9">
        <v>2</v>
      </c>
      <c r="H567" s="9" t="s">
        <v>5316</v>
      </c>
      <c r="I567" t="s">
        <v>171</v>
      </c>
      <c r="J567" t="s">
        <v>177</v>
      </c>
      <c r="K567" t="s">
        <v>173</v>
      </c>
      <c r="T567" t="s">
        <v>3723</v>
      </c>
      <c r="U567" t="s">
        <v>4343</v>
      </c>
      <c r="V567" t="s">
        <v>5317</v>
      </c>
      <c r="X567"/>
      <c r="Y567"/>
      <c r="Z567"/>
      <c r="AA567"/>
      <c r="AE567"/>
      <c r="AF567"/>
      <c r="AG567"/>
      <c r="AH567"/>
    </row>
    <row r="568" spans="1:34" ht="15.75" customHeight="1" x14ac:dyDescent="0.15">
      <c r="A568" s="9">
        <v>562</v>
      </c>
      <c r="B568" t="s">
        <v>75</v>
      </c>
      <c r="C568" t="s">
        <v>4267</v>
      </c>
      <c r="D568" t="s">
        <v>5318</v>
      </c>
      <c r="E568" s="9" t="s">
        <v>219</v>
      </c>
      <c r="F568" s="9">
        <v>31</v>
      </c>
      <c r="G568" s="9">
        <v>3</v>
      </c>
      <c r="H568" s="9" t="s">
        <v>5319</v>
      </c>
      <c r="I568" t="s">
        <v>171</v>
      </c>
      <c r="J568" t="s">
        <v>177</v>
      </c>
      <c r="K568" t="s">
        <v>173</v>
      </c>
      <c r="T568" t="s">
        <v>3723</v>
      </c>
      <c r="U568" t="s">
        <v>4343</v>
      </c>
      <c r="V568" t="s">
        <v>5320</v>
      </c>
      <c r="X568"/>
      <c r="Y568"/>
      <c r="Z568"/>
      <c r="AA568"/>
      <c r="AE568"/>
      <c r="AF568"/>
      <c r="AG568"/>
      <c r="AH568"/>
    </row>
    <row r="569" spans="1:34" ht="15.75" customHeight="1" x14ac:dyDescent="0.15">
      <c r="A569" s="9">
        <v>563</v>
      </c>
      <c r="B569" t="s">
        <v>75</v>
      </c>
      <c r="C569" t="s">
        <v>4267</v>
      </c>
      <c r="D569" t="s">
        <v>5321</v>
      </c>
      <c r="E569" s="9" t="s">
        <v>219</v>
      </c>
      <c r="F569" s="9">
        <v>31</v>
      </c>
      <c r="G569" s="9">
        <v>4</v>
      </c>
      <c r="H569" s="9" t="s">
        <v>5322</v>
      </c>
      <c r="I569" t="s">
        <v>171</v>
      </c>
      <c r="J569" t="s">
        <v>177</v>
      </c>
      <c r="K569" t="s">
        <v>173</v>
      </c>
      <c r="T569" t="s">
        <v>3723</v>
      </c>
      <c r="U569" t="s">
        <v>4343</v>
      </c>
      <c r="V569" t="s">
        <v>5323</v>
      </c>
      <c r="X569"/>
      <c r="Y569"/>
      <c r="Z569"/>
      <c r="AA569"/>
      <c r="AE569"/>
      <c r="AF569"/>
      <c r="AG569"/>
      <c r="AH569"/>
    </row>
    <row r="570" spans="1:34" ht="15.75" customHeight="1" x14ac:dyDescent="0.15">
      <c r="A570" s="9">
        <v>564</v>
      </c>
      <c r="B570" t="s">
        <v>75</v>
      </c>
      <c r="C570" t="s">
        <v>4267</v>
      </c>
      <c r="D570" t="s">
        <v>5324</v>
      </c>
      <c r="E570" s="9" t="s">
        <v>219</v>
      </c>
      <c r="F570" s="9">
        <v>31</v>
      </c>
      <c r="G570" s="9">
        <v>5</v>
      </c>
      <c r="H570" s="9" t="s">
        <v>5325</v>
      </c>
      <c r="I570" t="s">
        <v>171</v>
      </c>
      <c r="J570" t="s">
        <v>177</v>
      </c>
      <c r="K570" t="s">
        <v>173</v>
      </c>
      <c r="T570" t="s">
        <v>3723</v>
      </c>
      <c r="U570" t="s">
        <v>4343</v>
      </c>
      <c r="V570" t="s">
        <v>5326</v>
      </c>
      <c r="X570"/>
      <c r="Y570"/>
      <c r="Z570"/>
      <c r="AA570"/>
      <c r="AE570"/>
      <c r="AF570"/>
      <c r="AG570"/>
      <c r="AH570"/>
    </row>
    <row r="571" spans="1:34" ht="15.75" customHeight="1" x14ac:dyDescent="0.15">
      <c r="A571" s="9">
        <v>565</v>
      </c>
      <c r="B571" t="s">
        <v>75</v>
      </c>
      <c r="C571" t="s">
        <v>4267</v>
      </c>
      <c r="D571" t="s">
        <v>5327</v>
      </c>
      <c r="E571" s="9" t="s">
        <v>219</v>
      </c>
      <c r="F571" s="9">
        <v>31</v>
      </c>
      <c r="G571" s="9">
        <v>6</v>
      </c>
      <c r="H571" s="9" t="s">
        <v>5328</v>
      </c>
      <c r="I571" t="s">
        <v>171</v>
      </c>
      <c r="J571" t="s">
        <v>177</v>
      </c>
      <c r="K571" t="s">
        <v>173</v>
      </c>
      <c r="T571" t="s">
        <v>3723</v>
      </c>
      <c r="U571" t="s">
        <v>4343</v>
      </c>
      <c r="V571" t="s">
        <v>5329</v>
      </c>
      <c r="X571"/>
      <c r="Y571"/>
      <c r="Z571"/>
      <c r="AA571"/>
      <c r="AE571"/>
      <c r="AF571"/>
      <c r="AG571"/>
      <c r="AH571"/>
    </row>
    <row r="572" spans="1:34" ht="15.75" customHeight="1" x14ac:dyDescent="0.15">
      <c r="A572" s="9">
        <v>566</v>
      </c>
      <c r="B572" t="s">
        <v>75</v>
      </c>
      <c r="C572" t="s">
        <v>4267</v>
      </c>
      <c r="D572" t="s">
        <v>5330</v>
      </c>
      <c r="E572" s="9" t="s">
        <v>219</v>
      </c>
      <c r="F572" s="9">
        <v>31</v>
      </c>
      <c r="G572" s="9">
        <v>7</v>
      </c>
      <c r="H572" s="9" t="s">
        <v>5331</v>
      </c>
      <c r="I572" t="s">
        <v>171</v>
      </c>
      <c r="J572" t="s">
        <v>177</v>
      </c>
      <c r="K572" t="s">
        <v>173</v>
      </c>
      <c r="T572" t="s">
        <v>3723</v>
      </c>
      <c r="U572" t="s">
        <v>4343</v>
      </c>
      <c r="V572" t="s">
        <v>5332</v>
      </c>
      <c r="X572"/>
      <c r="Y572"/>
      <c r="Z572"/>
      <c r="AA572"/>
      <c r="AE572"/>
      <c r="AF572"/>
      <c r="AG572"/>
      <c r="AH572"/>
    </row>
    <row r="573" spans="1:34" ht="15.75" customHeight="1" x14ac:dyDescent="0.15">
      <c r="A573" s="9">
        <v>567</v>
      </c>
      <c r="B573" t="s">
        <v>75</v>
      </c>
      <c r="C573" t="s">
        <v>4267</v>
      </c>
      <c r="D573" t="s">
        <v>5333</v>
      </c>
      <c r="E573" s="9" t="s">
        <v>219</v>
      </c>
      <c r="F573" s="9">
        <v>31</v>
      </c>
      <c r="G573" s="9">
        <v>8</v>
      </c>
      <c r="H573" s="9" t="s">
        <v>5334</v>
      </c>
      <c r="I573" t="s">
        <v>171</v>
      </c>
      <c r="J573" t="s">
        <v>177</v>
      </c>
      <c r="K573" t="s">
        <v>173</v>
      </c>
      <c r="T573" t="s">
        <v>3723</v>
      </c>
      <c r="U573" t="s">
        <v>4343</v>
      </c>
      <c r="V573" t="s">
        <v>5335</v>
      </c>
      <c r="X573"/>
      <c r="Y573"/>
      <c r="Z573"/>
      <c r="AA573"/>
      <c r="AE573"/>
      <c r="AF573"/>
      <c r="AG573"/>
      <c r="AH573"/>
    </row>
    <row r="574" spans="1:34" ht="15.75" customHeight="1" x14ac:dyDescent="0.15">
      <c r="A574" s="9">
        <v>568</v>
      </c>
      <c r="B574" t="s">
        <v>75</v>
      </c>
      <c r="C574" t="s">
        <v>4267</v>
      </c>
      <c r="D574" t="s">
        <v>5336</v>
      </c>
      <c r="E574" s="9" t="s">
        <v>219</v>
      </c>
      <c r="F574" s="9">
        <v>31</v>
      </c>
      <c r="G574" s="9">
        <v>9</v>
      </c>
      <c r="H574" s="9" t="s">
        <v>5337</v>
      </c>
      <c r="I574" t="s">
        <v>171</v>
      </c>
      <c r="J574" t="s">
        <v>177</v>
      </c>
      <c r="K574" t="s">
        <v>173</v>
      </c>
      <c r="T574" t="s">
        <v>3723</v>
      </c>
      <c r="U574" t="s">
        <v>4343</v>
      </c>
      <c r="V574" t="s">
        <v>5338</v>
      </c>
      <c r="X574"/>
      <c r="Y574"/>
      <c r="Z574"/>
      <c r="AA574"/>
      <c r="AE574"/>
      <c r="AF574"/>
      <c r="AG574"/>
      <c r="AH574"/>
    </row>
    <row r="575" spans="1:34" ht="15.75" customHeight="1" x14ac:dyDescent="0.15">
      <c r="A575" s="9">
        <v>569</v>
      </c>
      <c r="B575" t="s">
        <v>75</v>
      </c>
      <c r="C575" t="s">
        <v>4267</v>
      </c>
      <c r="D575" t="s">
        <v>5339</v>
      </c>
      <c r="E575" s="9" t="s">
        <v>219</v>
      </c>
      <c r="F575" s="9">
        <v>31</v>
      </c>
      <c r="G575" s="9">
        <v>10</v>
      </c>
      <c r="H575" s="9" t="s">
        <v>5340</v>
      </c>
      <c r="I575" t="s">
        <v>171</v>
      </c>
      <c r="J575" t="s">
        <v>177</v>
      </c>
      <c r="K575" t="s">
        <v>173</v>
      </c>
      <c r="T575" t="s">
        <v>3723</v>
      </c>
      <c r="U575" t="s">
        <v>4343</v>
      </c>
      <c r="V575" t="s">
        <v>5341</v>
      </c>
      <c r="X575"/>
      <c r="Y575"/>
      <c r="Z575"/>
      <c r="AA575"/>
      <c r="AE575"/>
      <c r="AF575"/>
      <c r="AG575"/>
      <c r="AH575"/>
    </row>
    <row r="576" spans="1:34" ht="15.75" customHeight="1" x14ac:dyDescent="0.15">
      <c r="A576" s="9">
        <v>570</v>
      </c>
      <c r="B576" t="s">
        <v>75</v>
      </c>
      <c r="C576" t="s">
        <v>4267</v>
      </c>
      <c r="D576" t="s">
        <v>5342</v>
      </c>
      <c r="E576" s="9" t="s">
        <v>219</v>
      </c>
      <c r="F576" s="9">
        <v>31</v>
      </c>
      <c r="G576" s="9">
        <v>11</v>
      </c>
      <c r="H576" s="9" t="s">
        <v>5343</v>
      </c>
      <c r="I576" t="s">
        <v>171</v>
      </c>
      <c r="J576" t="s">
        <v>177</v>
      </c>
      <c r="K576" t="s">
        <v>173</v>
      </c>
      <c r="T576" t="s">
        <v>3723</v>
      </c>
      <c r="U576" t="s">
        <v>4343</v>
      </c>
      <c r="V576" t="s">
        <v>5344</v>
      </c>
      <c r="X576"/>
      <c r="Y576"/>
      <c r="Z576"/>
      <c r="AA576"/>
      <c r="AE576"/>
      <c r="AF576"/>
      <c r="AG576"/>
      <c r="AH576"/>
    </row>
    <row r="577" spans="1:34" ht="15.75" customHeight="1" x14ac:dyDescent="0.15">
      <c r="A577" s="9">
        <v>571</v>
      </c>
      <c r="B577" t="s">
        <v>75</v>
      </c>
      <c r="C577" t="s">
        <v>4267</v>
      </c>
      <c r="D577" t="s">
        <v>5345</v>
      </c>
      <c r="E577" s="9" t="s">
        <v>219</v>
      </c>
      <c r="F577" s="9">
        <v>31</v>
      </c>
      <c r="G577" s="9">
        <v>12</v>
      </c>
      <c r="H577" s="9" t="s">
        <v>5346</v>
      </c>
      <c r="I577" t="s">
        <v>171</v>
      </c>
      <c r="J577" t="s">
        <v>177</v>
      </c>
      <c r="K577" t="s">
        <v>173</v>
      </c>
      <c r="T577" t="s">
        <v>3723</v>
      </c>
      <c r="U577" t="s">
        <v>4343</v>
      </c>
      <c r="V577" t="s">
        <v>5347</v>
      </c>
      <c r="X577"/>
      <c r="Y577"/>
      <c r="Z577"/>
      <c r="AA577"/>
      <c r="AE577"/>
      <c r="AF577"/>
      <c r="AG577"/>
      <c r="AH577"/>
    </row>
    <row r="578" spans="1:34" ht="15.75" customHeight="1" x14ac:dyDescent="0.15">
      <c r="A578" s="9">
        <v>572</v>
      </c>
      <c r="B578" t="s">
        <v>75</v>
      </c>
      <c r="C578" t="s">
        <v>4267</v>
      </c>
      <c r="D578" t="s">
        <v>5348</v>
      </c>
      <c r="E578" s="9" t="s">
        <v>219</v>
      </c>
      <c r="F578" s="9">
        <v>31</v>
      </c>
      <c r="G578" s="9">
        <v>13</v>
      </c>
      <c r="H578" s="9" t="s">
        <v>5349</v>
      </c>
      <c r="I578" t="s">
        <v>171</v>
      </c>
      <c r="J578" t="s">
        <v>177</v>
      </c>
      <c r="K578" t="s">
        <v>173</v>
      </c>
      <c r="T578" t="s">
        <v>3723</v>
      </c>
      <c r="U578" t="s">
        <v>4343</v>
      </c>
      <c r="V578" t="s">
        <v>5350</v>
      </c>
      <c r="X578"/>
      <c r="Y578"/>
      <c r="Z578"/>
      <c r="AA578"/>
      <c r="AE578"/>
      <c r="AF578"/>
      <c r="AG578"/>
      <c r="AH578"/>
    </row>
    <row r="579" spans="1:34" ht="15.75" customHeight="1" x14ac:dyDescent="0.15">
      <c r="A579" s="9">
        <v>573</v>
      </c>
      <c r="B579" t="s">
        <v>75</v>
      </c>
      <c r="C579" t="s">
        <v>4267</v>
      </c>
      <c r="D579" t="s">
        <v>5351</v>
      </c>
      <c r="E579" s="9" t="s">
        <v>219</v>
      </c>
      <c r="F579" s="9">
        <v>31</v>
      </c>
      <c r="G579" s="9">
        <v>14</v>
      </c>
      <c r="H579" s="9" t="s">
        <v>5352</v>
      </c>
      <c r="I579" t="s">
        <v>171</v>
      </c>
      <c r="J579" t="s">
        <v>177</v>
      </c>
      <c r="K579" t="s">
        <v>173</v>
      </c>
      <c r="T579" t="s">
        <v>3723</v>
      </c>
      <c r="U579" t="s">
        <v>4343</v>
      </c>
      <c r="V579" t="s">
        <v>5353</v>
      </c>
      <c r="X579"/>
      <c r="Y579"/>
      <c r="Z579"/>
      <c r="AA579"/>
      <c r="AE579"/>
      <c r="AF579"/>
      <c r="AG579"/>
      <c r="AH579"/>
    </row>
    <row r="580" spans="1:34" ht="15.75" customHeight="1" x14ac:dyDescent="0.15">
      <c r="A580" s="9">
        <v>574</v>
      </c>
      <c r="B580" t="s">
        <v>75</v>
      </c>
      <c r="C580" t="s">
        <v>4267</v>
      </c>
      <c r="D580" t="s">
        <v>5354</v>
      </c>
      <c r="E580" s="9" t="s">
        <v>219</v>
      </c>
      <c r="F580" s="9">
        <v>31</v>
      </c>
      <c r="G580" s="9">
        <v>15</v>
      </c>
      <c r="H580" s="9" t="s">
        <v>5355</v>
      </c>
      <c r="I580" t="s">
        <v>171</v>
      </c>
      <c r="J580" t="s">
        <v>177</v>
      </c>
      <c r="K580" t="s">
        <v>173</v>
      </c>
      <c r="T580" t="s">
        <v>3723</v>
      </c>
      <c r="U580" t="s">
        <v>4343</v>
      </c>
      <c r="V580" t="s">
        <v>5356</v>
      </c>
      <c r="X580"/>
      <c r="Y580"/>
      <c r="Z580"/>
      <c r="AA580"/>
      <c r="AE580"/>
      <c r="AF580"/>
      <c r="AG580"/>
      <c r="AH580"/>
    </row>
    <row r="581" spans="1:34" ht="15.75" customHeight="1" x14ac:dyDescent="0.15">
      <c r="A581" s="9">
        <v>575</v>
      </c>
      <c r="B581" t="s">
        <v>75</v>
      </c>
      <c r="C581" t="s">
        <v>4267</v>
      </c>
      <c r="D581" t="s">
        <v>5357</v>
      </c>
      <c r="E581" s="9" t="s">
        <v>219</v>
      </c>
      <c r="F581" s="9">
        <v>31</v>
      </c>
      <c r="G581" s="9">
        <v>16</v>
      </c>
      <c r="H581" s="9" t="s">
        <v>5358</v>
      </c>
      <c r="I581" t="s">
        <v>171</v>
      </c>
      <c r="J581" t="s">
        <v>177</v>
      </c>
      <c r="K581" t="s">
        <v>173</v>
      </c>
      <c r="T581" t="s">
        <v>3723</v>
      </c>
      <c r="U581" t="s">
        <v>4343</v>
      </c>
      <c r="V581" t="s">
        <v>5359</v>
      </c>
      <c r="X581"/>
      <c r="Y581"/>
      <c r="Z581"/>
      <c r="AA581"/>
      <c r="AE581"/>
      <c r="AF581"/>
      <c r="AG581"/>
      <c r="AH581"/>
    </row>
    <row r="582" spans="1:34" ht="15.75" customHeight="1" x14ac:dyDescent="0.15">
      <c r="A582" s="9">
        <v>576</v>
      </c>
      <c r="B582" t="s">
        <v>75</v>
      </c>
      <c r="C582" t="s">
        <v>4267</v>
      </c>
      <c r="D582" t="s">
        <v>5360</v>
      </c>
      <c r="E582" s="9" t="s">
        <v>219</v>
      </c>
      <c r="F582" s="9">
        <v>31</v>
      </c>
      <c r="G582" s="9">
        <v>17</v>
      </c>
      <c r="H582" s="9" t="s">
        <v>5361</v>
      </c>
      <c r="I582" t="s">
        <v>171</v>
      </c>
      <c r="J582" t="s">
        <v>177</v>
      </c>
      <c r="K582" t="s">
        <v>173</v>
      </c>
      <c r="T582" t="s">
        <v>3723</v>
      </c>
      <c r="U582" t="s">
        <v>4343</v>
      </c>
      <c r="V582" t="s">
        <v>5362</v>
      </c>
      <c r="X582"/>
      <c r="Y582"/>
      <c r="Z582"/>
    </row>
    <row r="583" spans="1:34" ht="15.75" customHeight="1" x14ac:dyDescent="0.15">
      <c r="A583" s="9">
        <v>577</v>
      </c>
      <c r="B583" t="s">
        <v>75</v>
      </c>
      <c r="C583" t="s">
        <v>4267</v>
      </c>
      <c r="D583" t="s">
        <v>5363</v>
      </c>
      <c r="E583" s="9" t="s">
        <v>219</v>
      </c>
      <c r="F583" s="9">
        <v>31</v>
      </c>
      <c r="G583" s="9">
        <v>18</v>
      </c>
      <c r="H583" s="9" t="s">
        <v>5364</v>
      </c>
      <c r="I583" t="s">
        <v>171</v>
      </c>
      <c r="J583" t="s">
        <v>177</v>
      </c>
      <c r="K583" t="s">
        <v>173</v>
      </c>
      <c r="T583" t="s">
        <v>3723</v>
      </c>
      <c r="U583" t="s">
        <v>4343</v>
      </c>
      <c r="V583" t="s">
        <v>5365</v>
      </c>
      <c r="X583"/>
      <c r="Y583"/>
      <c r="Z583"/>
    </row>
    <row r="584" spans="1:34" ht="15.75" customHeight="1" x14ac:dyDescent="0.15">
      <c r="A584" s="9">
        <v>578</v>
      </c>
      <c r="B584" t="s">
        <v>75</v>
      </c>
      <c r="C584" t="s">
        <v>4267</v>
      </c>
      <c r="D584" t="s">
        <v>5366</v>
      </c>
      <c r="E584" s="9" t="s">
        <v>219</v>
      </c>
      <c r="F584" s="9">
        <v>31</v>
      </c>
      <c r="G584" s="9">
        <v>19</v>
      </c>
      <c r="H584" s="9" t="s">
        <v>5367</v>
      </c>
      <c r="I584" t="s">
        <v>171</v>
      </c>
      <c r="J584" t="s">
        <v>177</v>
      </c>
      <c r="K584" t="s">
        <v>173</v>
      </c>
      <c r="T584" t="s">
        <v>3723</v>
      </c>
      <c r="U584" t="s">
        <v>4343</v>
      </c>
      <c r="V584" t="s">
        <v>5368</v>
      </c>
      <c r="X584"/>
      <c r="Y584"/>
      <c r="Z584"/>
    </row>
    <row r="585" spans="1:34" ht="15.75" customHeight="1" x14ac:dyDescent="0.15">
      <c r="A585" s="9">
        <v>579</v>
      </c>
      <c r="B585" t="s">
        <v>75</v>
      </c>
      <c r="C585" t="s">
        <v>4267</v>
      </c>
      <c r="D585" t="s">
        <v>5369</v>
      </c>
      <c r="E585" s="9" t="s">
        <v>219</v>
      </c>
      <c r="F585" s="9">
        <v>31</v>
      </c>
      <c r="G585" s="9">
        <v>20</v>
      </c>
      <c r="H585" s="9" t="s">
        <v>5370</v>
      </c>
      <c r="I585" t="s">
        <v>171</v>
      </c>
      <c r="J585" t="s">
        <v>177</v>
      </c>
      <c r="K585" t="s">
        <v>173</v>
      </c>
      <c r="T585" t="s">
        <v>3723</v>
      </c>
      <c r="U585" t="s">
        <v>4343</v>
      </c>
      <c r="V585" t="s">
        <v>5371</v>
      </c>
      <c r="X585"/>
      <c r="Y585"/>
      <c r="Z585"/>
    </row>
    <row r="586" spans="1:34" ht="15.75" customHeight="1" x14ac:dyDescent="0.15">
      <c r="A586" s="9">
        <v>580</v>
      </c>
      <c r="B586" t="s">
        <v>75</v>
      </c>
      <c r="C586" t="s">
        <v>4267</v>
      </c>
      <c r="D586" t="s">
        <v>5372</v>
      </c>
      <c r="E586" s="9" t="s">
        <v>219</v>
      </c>
      <c r="F586" s="9">
        <v>31</v>
      </c>
      <c r="G586" s="9">
        <v>21</v>
      </c>
      <c r="H586" s="9" t="s">
        <v>5373</v>
      </c>
      <c r="I586" t="s">
        <v>171</v>
      </c>
      <c r="J586" t="s">
        <v>177</v>
      </c>
      <c r="K586" t="s">
        <v>173</v>
      </c>
      <c r="T586" t="s">
        <v>3723</v>
      </c>
      <c r="U586" t="s">
        <v>4343</v>
      </c>
      <c r="V586" t="s">
        <v>5374</v>
      </c>
      <c r="X586"/>
      <c r="Y586"/>
      <c r="Z586"/>
    </row>
    <row r="587" spans="1:34" ht="15.75" customHeight="1" x14ac:dyDescent="0.15">
      <c r="A587" s="9">
        <v>581</v>
      </c>
      <c r="B587" t="s">
        <v>75</v>
      </c>
      <c r="C587" t="s">
        <v>4267</v>
      </c>
      <c r="D587" t="s">
        <v>5375</v>
      </c>
      <c r="E587" s="9" t="s">
        <v>219</v>
      </c>
      <c r="F587" s="9">
        <v>31</v>
      </c>
      <c r="G587" s="9">
        <v>22</v>
      </c>
      <c r="H587" s="9" t="s">
        <v>5376</v>
      </c>
      <c r="I587" t="s">
        <v>171</v>
      </c>
      <c r="J587" t="s">
        <v>177</v>
      </c>
      <c r="K587" t="s">
        <v>173</v>
      </c>
      <c r="T587" t="s">
        <v>3723</v>
      </c>
      <c r="U587" t="s">
        <v>4343</v>
      </c>
      <c r="V587" t="s">
        <v>5377</v>
      </c>
      <c r="X587"/>
      <c r="Y587"/>
      <c r="Z587"/>
    </row>
    <row r="588" spans="1:34" ht="15.75" customHeight="1" x14ac:dyDescent="0.15">
      <c r="A588" s="9">
        <v>582</v>
      </c>
      <c r="B588" t="s">
        <v>75</v>
      </c>
      <c r="C588" t="s">
        <v>4267</v>
      </c>
      <c r="D588" t="s">
        <v>5378</v>
      </c>
      <c r="E588" s="9" t="s">
        <v>219</v>
      </c>
      <c r="F588" s="9">
        <v>31</v>
      </c>
      <c r="G588" s="9">
        <v>23</v>
      </c>
      <c r="H588" s="9" t="s">
        <v>5379</v>
      </c>
      <c r="I588" t="s">
        <v>171</v>
      </c>
      <c r="J588" t="s">
        <v>177</v>
      </c>
      <c r="K588" t="s">
        <v>173</v>
      </c>
      <c r="T588" t="s">
        <v>3723</v>
      </c>
      <c r="U588" t="s">
        <v>4343</v>
      </c>
      <c r="V588" t="s">
        <v>5380</v>
      </c>
      <c r="X588"/>
      <c r="Y588"/>
      <c r="Z588"/>
    </row>
    <row r="589" spans="1:34" ht="15.75" customHeight="1" x14ac:dyDescent="0.15">
      <c r="A589" s="9">
        <v>583</v>
      </c>
      <c r="B589" t="s">
        <v>75</v>
      </c>
      <c r="C589" t="s">
        <v>4267</v>
      </c>
      <c r="D589" t="s">
        <v>5381</v>
      </c>
      <c r="E589" s="9" t="s">
        <v>219</v>
      </c>
      <c r="F589" s="9">
        <v>31</v>
      </c>
      <c r="G589" s="9">
        <v>24</v>
      </c>
      <c r="H589" s="9" t="s">
        <v>5382</v>
      </c>
      <c r="I589" t="s">
        <v>171</v>
      </c>
      <c r="J589" t="s">
        <v>177</v>
      </c>
      <c r="K589" t="s">
        <v>173</v>
      </c>
      <c r="T589" t="s">
        <v>3723</v>
      </c>
      <c r="U589" t="s">
        <v>4343</v>
      </c>
      <c r="V589" t="s">
        <v>5383</v>
      </c>
      <c r="X589"/>
      <c r="Y589"/>
      <c r="Z589"/>
    </row>
    <row r="590" spans="1:34" ht="15.75" customHeight="1" x14ac:dyDescent="0.15">
      <c r="A590" s="9">
        <v>584</v>
      </c>
      <c r="B590" t="s">
        <v>75</v>
      </c>
      <c r="C590" t="s">
        <v>4267</v>
      </c>
      <c r="D590" t="s">
        <v>5384</v>
      </c>
      <c r="E590" s="9" t="s">
        <v>219</v>
      </c>
      <c r="F590" s="9">
        <v>31</v>
      </c>
      <c r="G590" s="9">
        <v>25</v>
      </c>
      <c r="H590" s="9" t="s">
        <v>5385</v>
      </c>
      <c r="I590" t="s">
        <v>171</v>
      </c>
      <c r="J590" t="s">
        <v>177</v>
      </c>
      <c r="K590" t="s">
        <v>173</v>
      </c>
      <c r="T590" t="s">
        <v>3723</v>
      </c>
      <c r="U590" t="s">
        <v>4343</v>
      </c>
      <c r="V590" t="s">
        <v>5386</v>
      </c>
      <c r="X590"/>
      <c r="Y590"/>
      <c r="Z590"/>
    </row>
    <row r="591" spans="1:34" ht="15.75" customHeight="1" x14ac:dyDescent="0.15">
      <c r="A591" s="9">
        <v>585</v>
      </c>
      <c r="B591" t="s">
        <v>75</v>
      </c>
      <c r="C591" t="s">
        <v>4267</v>
      </c>
      <c r="D591" t="s">
        <v>5387</v>
      </c>
      <c r="E591" s="9" t="s">
        <v>219</v>
      </c>
      <c r="F591" s="9">
        <v>31</v>
      </c>
      <c r="G591" s="9">
        <v>26</v>
      </c>
      <c r="H591" s="9" t="s">
        <v>5388</v>
      </c>
      <c r="I591" t="s">
        <v>171</v>
      </c>
      <c r="J591" t="s">
        <v>177</v>
      </c>
      <c r="K591" t="s">
        <v>173</v>
      </c>
      <c r="T591" t="s">
        <v>3723</v>
      </c>
      <c r="U591" t="s">
        <v>4343</v>
      </c>
      <c r="V591" t="s">
        <v>5389</v>
      </c>
      <c r="X591"/>
      <c r="Y591"/>
      <c r="Z591"/>
    </row>
    <row r="592" spans="1:34" ht="15.75" customHeight="1" x14ac:dyDescent="0.15">
      <c r="A592" s="9">
        <v>586</v>
      </c>
      <c r="B592" t="s">
        <v>75</v>
      </c>
      <c r="C592" t="s">
        <v>4267</v>
      </c>
      <c r="D592" t="s">
        <v>5390</v>
      </c>
      <c r="E592" s="9" t="s">
        <v>219</v>
      </c>
      <c r="F592" s="9">
        <v>31</v>
      </c>
      <c r="G592" s="9">
        <v>27</v>
      </c>
      <c r="H592" s="9" t="s">
        <v>5391</v>
      </c>
      <c r="I592" t="s">
        <v>171</v>
      </c>
      <c r="J592" t="s">
        <v>177</v>
      </c>
      <c r="K592" t="s">
        <v>173</v>
      </c>
      <c r="T592" t="s">
        <v>3723</v>
      </c>
      <c r="U592" t="s">
        <v>4343</v>
      </c>
      <c r="V592" t="s">
        <v>5392</v>
      </c>
      <c r="X592"/>
      <c r="Y592"/>
      <c r="Z592"/>
    </row>
    <row r="593" spans="1:26" ht="15.75" customHeight="1" x14ac:dyDescent="0.15">
      <c r="A593" s="9">
        <v>587</v>
      </c>
      <c r="B593" t="s">
        <v>75</v>
      </c>
      <c r="C593" t="s">
        <v>4267</v>
      </c>
      <c r="D593" t="s">
        <v>5393</v>
      </c>
      <c r="E593" s="9" t="s">
        <v>219</v>
      </c>
      <c r="F593" s="9">
        <v>31</v>
      </c>
      <c r="G593" s="9">
        <v>28</v>
      </c>
      <c r="H593" s="9" t="s">
        <v>5394</v>
      </c>
      <c r="I593" t="s">
        <v>171</v>
      </c>
      <c r="J593" t="s">
        <v>177</v>
      </c>
      <c r="K593" t="s">
        <v>173</v>
      </c>
      <c r="T593" t="s">
        <v>3723</v>
      </c>
      <c r="U593" t="s">
        <v>4343</v>
      </c>
      <c r="V593" t="s">
        <v>5395</v>
      </c>
      <c r="X593"/>
      <c r="Y593"/>
      <c r="Z593"/>
    </row>
    <row r="594" spans="1:26" ht="15.75" customHeight="1" x14ac:dyDescent="0.15">
      <c r="A594" s="9">
        <v>588</v>
      </c>
      <c r="B594" t="s">
        <v>75</v>
      </c>
      <c r="C594" t="s">
        <v>4267</v>
      </c>
      <c r="D594" t="s">
        <v>5396</v>
      </c>
      <c r="E594" s="9" t="s">
        <v>219</v>
      </c>
      <c r="F594" s="9">
        <v>31</v>
      </c>
      <c r="G594" s="9">
        <v>29</v>
      </c>
      <c r="H594" s="9" t="s">
        <v>5397</v>
      </c>
      <c r="I594" t="s">
        <v>171</v>
      </c>
      <c r="J594" t="s">
        <v>177</v>
      </c>
      <c r="K594" t="s">
        <v>173</v>
      </c>
      <c r="T594" t="s">
        <v>3723</v>
      </c>
      <c r="U594" t="s">
        <v>4343</v>
      </c>
      <c r="V594" t="s">
        <v>5398</v>
      </c>
      <c r="X594"/>
      <c r="Y594"/>
      <c r="Z594"/>
    </row>
    <row r="595" spans="1:26" ht="15.75" customHeight="1" x14ac:dyDescent="0.15">
      <c r="A595" s="9">
        <v>589</v>
      </c>
      <c r="B595" t="s">
        <v>75</v>
      </c>
      <c r="C595" t="s">
        <v>4267</v>
      </c>
      <c r="D595" t="s">
        <v>5399</v>
      </c>
      <c r="E595" s="9" t="s">
        <v>219</v>
      </c>
      <c r="F595" s="9">
        <v>31</v>
      </c>
      <c r="G595" s="9">
        <v>30</v>
      </c>
      <c r="H595" s="9" t="s">
        <v>5400</v>
      </c>
      <c r="I595" t="s">
        <v>171</v>
      </c>
      <c r="J595" t="s">
        <v>177</v>
      </c>
      <c r="K595" t="s">
        <v>173</v>
      </c>
      <c r="T595" t="s">
        <v>3723</v>
      </c>
      <c r="U595" t="s">
        <v>4343</v>
      </c>
      <c r="V595" t="s">
        <v>5401</v>
      </c>
      <c r="X595"/>
      <c r="Y595"/>
      <c r="Z595"/>
    </row>
    <row r="596" spans="1:26" ht="15.75" customHeight="1" x14ac:dyDescent="0.15">
      <c r="A596" s="9">
        <v>590</v>
      </c>
      <c r="B596" t="s">
        <v>75</v>
      </c>
      <c r="C596" t="s">
        <v>4267</v>
      </c>
      <c r="D596" t="s">
        <v>5402</v>
      </c>
      <c r="E596" s="9" t="s">
        <v>219</v>
      </c>
      <c r="F596" s="9">
        <v>31</v>
      </c>
      <c r="G596" s="9">
        <v>31</v>
      </c>
      <c r="H596" s="9" t="s">
        <v>5403</v>
      </c>
      <c r="I596" t="s">
        <v>171</v>
      </c>
      <c r="J596" t="s">
        <v>177</v>
      </c>
      <c r="K596" t="s">
        <v>173</v>
      </c>
      <c r="T596" t="s">
        <v>3723</v>
      </c>
      <c r="U596" t="s">
        <v>4343</v>
      </c>
      <c r="V596" t="s">
        <v>5404</v>
      </c>
      <c r="X596"/>
      <c r="Y596"/>
      <c r="Z596"/>
    </row>
    <row r="597" spans="1:26" ht="15.75" customHeight="1" x14ac:dyDescent="0.15">
      <c r="A597" s="9">
        <v>591</v>
      </c>
      <c r="B597" t="s">
        <v>75</v>
      </c>
      <c r="C597" t="s">
        <v>4267</v>
      </c>
      <c r="D597" t="s">
        <v>5405</v>
      </c>
      <c r="E597" s="9" t="s">
        <v>219</v>
      </c>
      <c r="F597" s="9">
        <v>32</v>
      </c>
      <c r="G597" s="9"/>
      <c r="H597" s="9"/>
      <c r="I597" t="s">
        <v>196</v>
      </c>
      <c r="L597" t="s">
        <v>61</v>
      </c>
      <c r="M597">
        <v>1</v>
      </c>
      <c r="T597" t="s">
        <v>3723</v>
      </c>
      <c r="U597" t="s">
        <v>3853</v>
      </c>
      <c r="V597" t="s">
        <v>5406</v>
      </c>
      <c r="X597"/>
      <c r="Y597"/>
      <c r="Z597"/>
    </row>
    <row r="598" spans="1:26" ht="15.75" customHeight="1" x14ac:dyDescent="0.15">
      <c r="A598" s="9">
        <v>592</v>
      </c>
      <c r="B598" t="s">
        <v>75</v>
      </c>
      <c r="C598" t="s">
        <v>4267</v>
      </c>
      <c r="D598" t="s">
        <v>5407</v>
      </c>
      <c r="E598" s="9" t="s">
        <v>219</v>
      </c>
      <c r="F598" s="9">
        <v>32</v>
      </c>
      <c r="G598" s="9">
        <v>0</v>
      </c>
      <c r="H598" s="9" t="s">
        <v>5408</v>
      </c>
      <c r="I598" t="s">
        <v>171</v>
      </c>
      <c r="J598" t="s">
        <v>177</v>
      </c>
      <c r="K598" t="s">
        <v>173</v>
      </c>
      <c r="T598" t="s">
        <v>3723</v>
      </c>
      <c r="U598" t="s">
        <v>4343</v>
      </c>
      <c r="V598" t="s">
        <v>5409</v>
      </c>
      <c r="X598"/>
      <c r="Y598"/>
      <c r="Z598"/>
    </row>
    <row r="599" spans="1:26" ht="15.75" customHeight="1" x14ac:dyDescent="0.15">
      <c r="A599" s="9">
        <v>593</v>
      </c>
      <c r="B599" t="s">
        <v>75</v>
      </c>
      <c r="C599" t="s">
        <v>4267</v>
      </c>
      <c r="D599" t="s">
        <v>5410</v>
      </c>
      <c r="E599" s="9" t="s">
        <v>219</v>
      </c>
      <c r="F599" s="9">
        <v>32</v>
      </c>
      <c r="G599" s="9">
        <v>1</v>
      </c>
      <c r="H599" s="9" t="s">
        <v>5411</v>
      </c>
      <c r="I599" t="s">
        <v>171</v>
      </c>
      <c r="J599" t="s">
        <v>177</v>
      </c>
      <c r="K599" t="s">
        <v>173</v>
      </c>
      <c r="T599" t="s">
        <v>3723</v>
      </c>
      <c r="U599" t="s">
        <v>4343</v>
      </c>
      <c r="V599" t="s">
        <v>5412</v>
      </c>
      <c r="X599"/>
      <c r="Y599"/>
      <c r="Z599"/>
    </row>
    <row r="600" spans="1:26" ht="15.75" customHeight="1" x14ac:dyDescent="0.15">
      <c r="A600" s="9">
        <v>594</v>
      </c>
      <c r="B600" t="s">
        <v>75</v>
      </c>
      <c r="C600" t="s">
        <v>4267</v>
      </c>
      <c r="D600" t="s">
        <v>5413</v>
      </c>
      <c r="E600" s="9" t="s">
        <v>219</v>
      </c>
      <c r="F600" s="9">
        <v>32</v>
      </c>
      <c r="G600" s="9">
        <v>2</v>
      </c>
      <c r="H600" s="9" t="s">
        <v>5414</v>
      </c>
      <c r="I600" t="s">
        <v>171</v>
      </c>
      <c r="J600" t="s">
        <v>177</v>
      </c>
      <c r="K600" t="s">
        <v>173</v>
      </c>
      <c r="T600" t="s">
        <v>3723</v>
      </c>
      <c r="U600" t="s">
        <v>4343</v>
      </c>
      <c r="V600" t="s">
        <v>5415</v>
      </c>
      <c r="X600"/>
      <c r="Y600"/>
      <c r="Z600"/>
    </row>
    <row r="601" spans="1:26" ht="15.75" customHeight="1" x14ac:dyDescent="0.15">
      <c r="A601" s="9">
        <v>595</v>
      </c>
      <c r="B601" t="s">
        <v>75</v>
      </c>
      <c r="C601" t="s">
        <v>4267</v>
      </c>
      <c r="D601" t="s">
        <v>5416</v>
      </c>
      <c r="E601" s="9" t="s">
        <v>219</v>
      </c>
      <c r="F601" s="9">
        <v>32</v>
      </c>
      <c r="G601" s="9">
        <v>3</v>
      </c>
      <c r="H601" s="9" t="s">
        <v>5417</v>
      </c>
      <c r="I601" t="s">
        <v>171</v>
      </c>
      <c r="J601" t="s">
        <v>177</v>
      </c>
      <c r="K601" t="s">
        <v>173</v>
      </c>
      <c r="T601" t="s">
        <v>3723</v>
      </c>
      <c r="U601" t="s">
        <v>4343</v>
      </c>
      <c r="V601" t="s">
        <v>5418</v>
      </c>
      <c r="X601"/>
      <c r="Y601"/>
      <c r="Z601"/>
    </row>
    <row r="602" spans="1:26" ht="15.75" customHeight="1" x14ac:dyDescent="0.15">
      <c r="A602" s="9">
        <v>596</v>
      </c>
      <c r="B602" t="s">
        <v>75</v>
      </c>
      <c r="C602" t="s">
        <v>4267</v>
      </c>
      <c r="D602" t="s">
        <v>5419</v>
      </c>
      <c r="E602" s="9" t="s">
        <v>219</v>
      </c>
      <c r="F602" s="9">
        <v>32</v>
      </c>
      <c r="G602" s="9">
        <v>4</v>
      </c>
      <c r="H602" s="9" t="s">
        <v>5420</v>
      </c>
      <c r="I602" t="s">
        <v>171</v>
      </c>
      <c r="J602" t="s">
        <v>177</v>
      </c>
      <c r="K602" t="s">
        <v>173</v>
      </c>
      <c r="T602" t="s">
        <v>3723</v>
      </c>
      <c r="U602" t="s">
        <v>4343</v>
      </c>
      <c r="V602" t="s">
        <v>5421</v>
      </c>
      <c r="X602"/>
      <c r="Y602"/>
      <c r="Z602"/>
    </row>
    <row r="603" spans="1:26" ht="15.75" customHeight="1" x14ac:dyDescent="0.15">
      <c r="A603" s="9">
        <v>597</v>
      </c>
      <c r="B603" t="s">
        <v>75</v>
      </c>
      <c r="C603" t="s">
        <v>4267</v>
      </c>
      <c r="D603" t="s">
        <v>5422</v>
      </c>
      <c r="E603" s="9" t="s">
        <v>219</v>
      </c>
      <c r="F603" s="9">
        <v>32</v>
      </c>
      <c r="G603" s="9">
        <v>5</v>
      </c>
      <c r="H603" s="9" t="s">
        <v>5423</v>
      </c>
      <c r="I603" t="s">
        <v>171</v>
      </c>
      <c r="J603" t="s">
        <v>177</v>
      </c>
      <c r="K603" t="s">
        <v>173</v>
      </c>
      <c r="T603" t="s">
        <v>3723</v>
      </c>
      <c r="U603" t="s">
        <v>4343</v>
      </c>
      <c r="V603" t="s">
        <v>5424</v>
      </c>
      <c r="X603"/>
      <c r="Y603"/>
      <c r="Z603"/>
    </row>
    <row r="604" spans="1:26" ht="15.75" customHeight="1" x14ac:dyDescent="0.15">
      <c r="A604" s="9">
        <v>598</v>
      </c>
      <c r="B604" t="s">
        <v>75</v>
      </c>
      <c r="C604" t="s">
        <v>4267</v>
      </c>
      <c r="D604" t="s">
        <v>5425</v>
      </c>
      <c r="E604" s="9" t="s">
        <v>219</v>
      </c>
      <c r="F604" s="9">
        <v>32</v>
      </c>
      <c r="G604" s="9">
        <v>6</v>
      </c>
      <c r="H604" s="9" t="s">
        <v>5426</v>
      </c>
      <c r="I604" t="s">
        <v>171</v>
      </c>
      <c r="J604" t="s">
        <v>177</v>
      </c>
      <c r="K604" t="s">
        <v>173</v>
      </c>
      <c r="T604" t="s">
        <v>3723</v>
      </c>
      <c r="U604" t="s">
        <v>4343</v>
      </c>
      <c r="V604" t="s">
        <v>5427</v>
      </c>
      <c r="X604"/>
      <c r="Y604"/>
      <c r="Z604"/>
    </row>
    <row r="605" spans="1:26" ht="15.75" customHeight="1" x14ac:dyDescent="0.15">
      <c r="A605" s="9">
        <v>599</v>
      </c>
      <c r="B605" t="s">
        <v>75</v>
      </c>
      <c r="C605" t="s">
        <v>4267</v>
      </c>
      <c r="D605" t="s">
        <v>5428</v>
      </c>
      <c r="E605" s="9" t="s">
        <v>219</v>
      </c>
      <c r="F605" s="9">
        <v>32</v>
      </c>
      <c r="G605" s="9">
        <v>7</v>
      </c>
      <c r="H605" s="9" t="s">
        <v>5429</v>
      </c>
      <c r="I605" t="s">
        <v>171</v>
      </c>
      <c r="J605" t="s">
        <v>177</v>
      </c>
      <c r="K605" t="s">
        <v>173</v>
      </c>
      <c r="T605" t="s">
        <v>3723</v>
      </c>
      <c r="U605" t="s">
        <v>4343</v>
      </c>
      <c r="V605" t="s">
        <v>5430</v>
      </c>
      <c r="X605"/>
      <c r="Y605"/>
      <c r="Z605"/>
    </row>
    <row r="606" spans="1:26" ht="15.75" customHeight="1" x14ac:dyDescent="0.15">
      <c r="A606" s="9">
        <v>600</v>
      </c>
      <c r="B606" t="s">
        <v>75</v>
      </c>
      <c r="C606" t="s">
        <v>4267</v>
      </c>
      <c r="D606" t="s">
        <v>5431</v>
      </c>
      <c r="E606" s="9" t="s">
        <v>219</v>
      </c>
      <c r="F606" s="9">
        <v>32</v>
      </c>
      <c r="G606" s="9">
        <v>8</v>
      </c>
      <c r="H606" s="9" t="s">
        <v>5432</v>
      </c>
      <c r="I606" t="s">
        <v>171</v>
      </c>
      <c r="J606" t="s">
        <v>177</v>
      </c>
      <c r="K606" t="s">
        <v>173</v>
      </c>
      <c r="T606" t="s">
        <v>3723</v>
      </c>
      <c r="U606" t="s">
        <v>4343</v>
      </c>
      <c r="V606" t="s">
        <v>5433</v>
      </c>
      <c r="X606"/>
      <c r="Y606"/>
      <c r="Z606"/>
    </row>
    <row r="607" spans="1:26" ht="15.75" customHeight="1" x14ac:dyDescent="0.15">
      <c r="A607" s="9">
        <v>601</v>
      </c>
      <c r="B607" t="s">
        <v>75</v>
      </c>
      <c r="C607" t="s">
        <v>4267</v>
      </c>
      <c r="D607" t="s">
        <v>5434</v>
      </c>
      <c r="E607" s="9" t="s">
        <v>219</v>
      </c>
      <c r="F607" s="9">
        <v>32</v>
      </c>
      <c r="G607" s="9">
        <v>9</v>
      </c>
      <c r="H607" s="9" t="s">
        <v>5435</v>
      </c>
      <c r="I607" t="s">
        <v>171</v>
      </c>
      <c r="J607" t="s">
        <v>177</v>
      </c>
      <c r="K607" t="s">
        <v>173</v>
      </c>
      <c r="T607" t="s">
        <v>3723</v>
      </c>
      <c r="U607" t="s">
        <v>4343</v>
      </c>
      <c r="V607" t="s">
        <v>5436</v>
      </c>
      <c r="X607"/>
      <c r="Y607"/>
      <c r="Z607"/>
    </row>
    <row r="608" spans="1:26" ht="15.75" customHeight="1" x14ac:dyDescent="0.15">
      <c r="A608" s="9">
        <v>602</v>
      </c>
      <c r="B608" t="s">
        <v>75</v>
      </c>
      <c r="C608" t="s">
        <v>4267</v>
      </c>
      <c r="D608" t="s">
        <v>5437</v>
      </c>
      <c r="E608" s="9" t="s">
        <v>219</v>
      </c>
      <c r="F608" s="9">
        <v>32</v>
      </c>
      <c r="G608" s="9">
        <v>10</v>
      </c>
      <c r="H608" s="9" t="s">
        <v>5438</v>
      </c>
      <c r="I608" t="s">
        <v>171</v>
      </c>
      <c r="J608" t="s">
        <v>177</v>
      </c>
      <c r="K608" t="s">
        <v>173</v>
      </c>
      <c r="T608" t="s">
        <v>3723</v>
      </c>
      <c r="U608" t="s">
        <v>4343</v>
      </c>
      <c r="V608" t="s">
        <v>5439</v>
      </c>
      <c r="X608"/>
      <c r="Y608"/>
      <c r="Z608"/>
    </row>
    <row r="609" spans="1:26" ht="15.75" customHeight="1" x14ac:dyDescent="0.15">
      <c r="A609" s="9">
        <v>603</v>
      </c>
      <c r="B609" t="s">
        <v>75</v>
      </c>
      <c r="C609" t="s">
        <v>4267</v>
      </c>
      <c r="D609" t="s">
        <v>5440</v>
      </c>
      <c r="E609" s="9" t="s">
        <v>219</v>
      </c>
      <c r="F609" s="9">
        <v>32</v>
      </c>
      <c r="G609" s="9">
        <v>11</v>
      </c>
      <c r="H609" s="9" t="s">
        <v>5441</v>
      </c>
      <c r="I609" t="s">
        <v>171</v>
      </c>
      <c r="J609" t="s">
        <v>177</v>
      </c>
      <c r="K609" t="s">
        <v>173</v>
      </c>
      <c r="T609" t="s">
        <v>3723</v>
      </c>
      <c r="U609" t="s">
        <v>4343</v>
      </c>
      <c r="V609" t="s">
        <v>5442</v>
      </c>
      <c r="X609"/>
      <c r="Y609"/>
      <c r="Z609"/>
    </row>
    <row r="610" spans="1:26" ht="15.75" customHeight="1" x14ac:dyDescent="0.15">
      <c r="A610" s="9">
        <v>604</v>
      </c>
      <c r="B610" t="s">
        <v>75</v>
      </c>
      <c r="C610" t="s">
        <v>4267</v>
      </c>
      <c r="D610" t="s">
        <v>5443</v>
      </c>
      <c r="E610" s="9" t="s">
        <v>219</v>
      </c>
      <c r="F610" s="9">
        <v>32</v>
      </c>
      <c r="G610" s="9">
        <v>12</v>
      </c>
      <c r="H610" s="9" t="s">
        <v>5444</v>
      </c>
      <c r="I610" t="s">
        <v>171</v>
      </c>
      <c r="J610" t="s">
        <v>177</v>
      </c>
      <c r="K610" t="s">
        <v>173</v>
      </c>
      <c r="T610" t="s">
        <v>3723</v>
      </c>
      <c r="U610" t="s">
        <v>4343</v>
      </c>
      <c r="V610" t="s">
        <v>5445</v>
      </c>
      <c r="X610"/>
      <c r="Y610"/>
      <c r="Z610"/>
    </row>
    <row r="611" spans="1:26" ht="15.75" customHeight="1" x14ac:dyDescent="0.15">
      <c r="A611" s="9">
        <v>605</v>
      </c>
      <c r="B611" t="s">
        <v>75</v>
      </c>
      <c r="C611" t="s">
        <v>4267</v>
      </c>
      <c r="D611" t="s">
        <v>5446</v>
      </c>
      <c r="E611" s="9" t="s">
        <v>219</v>
      </c>
      <c r="F611" s="9">
        <v>32</v>
      </c>
      <c r="G611" s="9">
        <v>13</v>
      </c>
      <c r="H611" s="9" t="s">
        <v>5447</v>
      </c>
      <c r="I611" t="s">
        <v>171</v>
      </c>
      <c r="J611" t="s">
        <v>177</v>
      </c>
      <c r="K611" t="s">
        <v>173</v>
      </c>
      <c r="T611" t="s">
        <v>3723</v>
      </c>
      <c r="U611" t="s">
        <v>4343</v>
      </c>
      <c r="V611" t="s">
        <v>5448</v>
      </c>
      <c r="X611"/>
      <c r="Y611"/>
      <c r="Z611"/>
    </row>
    <row r="612" spans="1:26" ht="15.75" customHeight="1" x14ac:dyDescent="0.15">
      <c r="A612" s="9">
        <v>606</v>
      </c>
      <c r="B612" t="s">
        <v>75</v>
      </c>
      <c r="C612" t="s">
        <v>4267</v>
      </c>
      <c r="D612" t="s">
        <v>5449</v>
      </c>
      <c r="E612" s="9" t="s">
        <v>219</v>
      </c>
      <c r="F612" s="9">
        <v>32</v>
      </c>
      <c r="G612" s="9">
        <v>14</v>
      </c>
      <c r="H612" s="9" t="s">
        <v>5450</v>
      </c>
      <c r="I612" t="s">
        <v>171</v>
      </c>
      <c r="J612" t="s">
        <v>177</v>
      </c>
      <c r="K612" t="s">
        <v>173</v>
      </c>
      <c r="T612" t="s">
        <v>3723</v>
      </c>
      <c r="U612" t="s">
        <v>4343</v>
      </c>
      <c r="V612" t="s">
        <v>5451</v>
      </c>
      <c r="X612"/>
      <c r="Y612"/>
      <c r="Z612"/>
    </row>
    <row r="613" spans="1:26" ht="15.75" customHeight="1" x14ac:dyDescent="0.15">
      <c r="A613" s="9">
        <v>607</v>
      </c>
      <c r="B613" t="s">
        <v>75</v>
      </c>
      <c r="C613" t="s">
        <v>4267</v>
      </c>
      <c r="D613" t="s">
        <v>5452</v>
      </c>
      <c r="E613" s="9" t="s">
        <v>219</v>
      </c>
      <c r="F613" s="9">
        <v>32</v>
      </c>
      <c r="G613" s="9">
        <v>15</v>
      </c>
      <c r="H613" s="9" t="s">
        <v>5453</v>
      </c>
      <c r="I613" t="s">
        <v>171</v>
      </c>
      <c r="J613" t="s">
        <v>177</v>
      </c>
      <c r="K613" t="s">
        <v>173</v>
      </c>
      <c r="T613" t="s">
        <v>3723</v>
      </c>
      <c r="U613" t="s">
        <v>4343</v>
      </c>
      <c r="V613" t="s">
        <v>5454</v>
      </c>
      <c r="X613"/>
      <c r="Y613"/>
      <c r="Z613"/>
    </row>
    <row r="614" spans="1:26" ht="15.75" customHeight="1" x14ac:dyDescent="0.15">
      <c r="A614" s="9">
        <v>608</v>
      </c>
      <c r="B614" t="s">
        <v>75</v>
      </c>
      <c r="C614" t="s">
        <v>4267</v>
      </c>
      <c r="D614" t="s">
        <v>5455</v>
      </c>
      <c r="E614" s="9" t="s">
        <v>219</v>
      </c>
      <c r="F614" s="9">
        <v>32</v>
      </c>
      <c r="G614" s="9">
        <v>16</v>
      </c>
      <c r="H614" s="9" t="s">
        <v>5456</v>
      </c>
      <c r="I614" t="s">
        <v>171</v>
      </c>
      <c r="J614" t="s">
        <v>177</v>
      </c>
      <c r="K614" t="s">
        <v>173</v>
      </c>
      <c r="T614" t="s">
        <v>3723</v>
      </c>
      <c r="U614" t="s">
        <v>4343</v>
      </c>
      <c r="V614" t="s">
        <v>5457</v>
      </c>
      <c r="X614"/>
      <c r="Y614"/>
      <c r="Z614"/>
    </row>
    <row r="615" spans="1:26" ht="15.75" customHeight="1" x14ac:dyDescent="0.15">
      <c r="A615" s="9">
        <v>609</v>
      </c>
      <c r="B615" t="s">
        <v>75</v>
      </c>
      <c r="C615" t="s">
        <v>4267</v>
      </c>
      <c r="D615" t="s">
        <v>5458</v>
      </c>
      <c r="E615" s="9" t="s">
        <v>219</v>
      </c>
      <c r="F615" s="9">
        <v>32</v>
      </c>
      <c r="G615" s="9">
        <v>17</v>
      </c>
      <c r="H615" s="9" t="s">
        <v>5459</v>
      </c>
      <c r="I615" t="s">
        <v>171</v>
      </c>
      <c r="J615" t="s">
        <v>177</v>
      </c>
      <c r="K615" t="s">
        <v>173</v>
      </c>
      <c r="T615" t="s">
        <v>3723</v>
      </c>
      <c r="U615" t="s">
        <v>4343</v>
      </c>
      <c r="V615" t="s">
        <v>5460</v>
      </c>
      <c r="X615"/>
      <c r="Y615"/>
      <c r="Z615"/>
    </row>
    <row r="616" spans="1:26" ht="15.75" customHeight="1" x14ac:dyDescent="0.15">
      <c r="A616" s="9">
        <v>610</v>
      </c>
      <c r="B616" t="s">
        <v>75</v>
      </c>
      <c r="C616" t="s">
        <v>4267</v>
      </c>
      <c r="D616" t="s">
        <v>5461</v>
      </c>
      <c r="E616" s="9" t="s">
        <v>219</v>
      </c>
      <c r="F616" s="9">
        <v>32</v>
      </c>
      <c r="G616" s="9">
        <v>18</v>
      </c>
      <c r="H616" s="9" t="s">
        <v>5462</v>
      </c>
      <c r="I616" t="s">
        <v>171</v>
      </c>
      <c r="J616" t="s">
        <v>177</v>
      </c>
      <c r="K616" t="s">
        <v>173</v>
      </c>
      <c r="T616" t="s">
        <v>3723</v>
      </c>
      <c r="U616" t="s">
        <v>4343</v>
      </c>
      <c r="V616" t="s">
        <v>5463</v>
      </c>
      <c r="X616"/>
      <c r="Y616"/>
      <c r="Z616"/>
    </row>
    <row r="617" spans="1:26" ht="15.75" customHeight="1" x14ac:dyDescent="0.15">
      <c r="A617" s="9">
        <v>611</v>
      </c>
      <c r="B617" t="s">
        <v>75</v>
      </c>
      <c r="C617" t="s">
        <v>4267</v>
      </c>
      <c r="D617" t="s">
        <v>5464</v>
      </c>
      <c r="E617" s="9" t="s">
        <v>219</v>
      </c>
      <c r="F617" s="9">
        <v>32</v>
      </c>
      <c r="G617" s="9">
        <v>19</v>
      </c>
      <c r="H617" s="9" t="s">
        <v>5465</v>
      </c>
      <c r="I617" t="s">
        <v>171</v>
      </c>
      <c r="J617" t="s">
        <v>177</v>
      </c>
      <c r="K617" t="s">
        <v>173</v>
      </c>
      <c r="T617" t="s">
        <v>3723</v>
      </c>
      <c r="U617" t="s">
        <v>4343</v>
      </c>
      <c r="V617" t="s">
        <v>5466</v>
      </c>
      <c r="X617"/>
      <c r="Y617"/>
      <c r="Z617"/>
    </row>
    <row r="618" spans="1:26" ht="15.75" customHeight="1" x14ac:dyDescent="0.15">
      <c r="A618" s="9">
        <v>612</v>
      </c>
      <c r="B618" t="s">
        <v>75</v>
      </c>
      <c r="C618" t="s">
        <v>4267</v>
      </c>
      <c r="D618" t="s">
        <v>5467</v>
      </c>
      <c r="E618" s="9" t="s">
        <v>219</v>
      </c>
      <c r="F618" s="9">
        <v>33</v>
      </c>
      <c r="G618" s="9"/>
      <c r="H618" s="9"/>
      <c r="I618" t="s">
        <v>196</v>
      </c>
      <c r="L618" t="s">
        <v>61</v>
      </c>
      <c r="M618">
        <v>1</v>
      </c>
      <c r="T618" t="s">
        <v>3723</v>
      </c>
      <c r="U618" t="s">
        <v>3853</v>
      </c>
      <c r="V618" t="s">
        <v>5468</v>
      </c>
      <c r="X618"/>
      <c r="Y618"/>
      <c r="Z618"/>
    </row>
    <row r="619" spans="1:26" ht="15.75" customHeight="1" x14ac:dyDescent="0.15">
      <c r="A619" s="9">
        <v>613</v>
      </c>
      <c r="B619" t="s">
        <v>75</v>
      </c>
      <c r="C619" t="s">
        <v>4267</v>
      </c>
      <c r="D619" t="s">
        <v>5469</v>
      </c>
      <c r="E619" s="9" t="s">
        <v>219</v>
      </c>
      <c r="F619" s="9">
        <v>33</v>
      </c>
      <c r="G619" s="9">
        <v>0</v>
      </c>
      <c r="H619" s="9" t="s">
        <v>5470</v>
      </c>
      <c r="I619" t="s">
        <v>171</v>
      </c>
      <c r="J619" t="s">
        <v>177</v>
      </c>
      <c r="K619" t="s">
        <v>173</v>
      </c>
      <c r="T619" t="s">
        <v>3723</v>
      </c>
      <c r="U619" t="s">
        <v>4343</v>
      </c>
      <c r="V619" t="s">
        <v>5471</v>
      </c>
      <c r="X619"/>
      <c r="Y619"/>
      <c r="Z619"/>
    </row>
    <row r="620" spans="1:26" ht="15.75" customHeight="1" x14ac:dyDescent="0.15">
      <c r="A620" s="9">
        <v>614</v>
      </c>
      <c r="B620" t="s">
        <v>75</v>
      </c>
      <c r="C620" t="s">
        <v>4267</v>
      </c>
      <c r="D620" t="s">
        <v>5472</v>
      </c>
      <c r="E620" s="9" t="s">
        <v>219</v>
      </c>
      <c r="F620" s="9">
        <v>33</v>
      </c>
      <c r="G620" s="9">
        <v>1</v>
      </c>
      <c r="H620" s="9" t="s">
        <v>5473</v>
      </c>
      <c r="I620" t="s">
        <v>171</v>
      </c>
      <c r="J620" t="s">
        <v>177</v>
      </c>
      <c r="K620" t="s">
        <v>173</v>
      </c>
      <c r="T620" t="s">
        <v>3723</v>
      </c>
      <c r="U620" t="s">
        <v>4343</v>
      </c>
      <c r="V620" t="s">
        <v>5474</v>
      </c>
      <c r="X620"/>
      <c r="Y620"/>
      <c r="Z620"/>
    </row>
    <row r="621" spans="1:26" ht="15.75" customHeight="1" x14ac:dyDescent="0.15">
      <c r="A621" s="9">
        <v>615</v>
      </c>
      <c r="B621" t="s">
        <v>75</v>
      </c>
      <c r="C621" t="s">
        <v>4267</v>
      </c>
      <c r="D621" t="s">
        <v>5475</v>
      </c>
      <c r="E621" s="9" t="s">
        <v>219</v>
      </c>
      <c r="F621" s="9">
        <v>33</v>
      </c>
      <c r="G621" s="9">
        <v>2</v>
      </c>
      <c r="H621" s="9" t="s">
        <v>5476</v>
      </c>
      <c r="I621" t="s">
        <v>171</v>
      </c>
      <c r="J621" t="s">
        <v>177</v>
      </c>
      <c r="K621" t="s">
        <v>173</v>
      </c>
      <c r="T621" t="s">
        <v>3723</v>
      </c>
      <c r="U621" t="s">
        <v>4343</v>
      </c>
      <c r="V621" t="s">
        <v>5477</v>
      </c>
      <c r="X621"/>
      <c r="Y621"/>
      <c r="Z621"/>
    </row>
    <row r="622" spans="1:26" ht="15.75" customHeight="1" x14ac:dyDescent="0.15">
      <c r="A622" s="9">
        <v>616</v>
      </c>
      <c r="B622" t="s">
        <v>75</v>
      </c>
      <c r="C622" t="s">
        <v>4267</v>
      </c>
      <c r="D622" t="s">
        <v>5478</v>
      </c>
      <c r="E622" s="9" t="s">
        <v>219</v>
      </c>
      <c r="F622" s="9">
        <v>33</v>
      </c>
      <c r="G622" s="9">
        <v>3</v>
      </c>
      <c r="H622" s="9" t="s">
        <v>5479</v>
      </c>
      <c r="I622" t="s">
        <v>171</v>
      </c>
      <c r="J622" t="s">
        <v>177</v>
      </c>
      <c r="K622" t="s">
        <v>173</v>
      </c>
      <c r="T622" t="s">
        <v>3723</v>
      </c>
      <c r="U622" t="s">
        <v>4343</v>
      </c>
      <c r="V622" t="s">
        <v>5480</v>
      </c>
      <c r="X622"/>
      <c r="Y622"/>
      <c r="Z622"/>
    </row>
    <row r="623" spans="1:26" ht="15.75" customHeight="1" x14ac:dyDescent="0.15">
      <c r="A623" s="9">
        <v>617</v>
      </c>
      <c r="B623" t="s">
        <v>75</v>
      </c>
      <c r="C623" t="s">
        <v>4267</v>
      </c>
      <c r="D623" t="s">
        <v>5481</v>
      </c>
      <c r="E623" s="9" t="s">
        <v>219</v>
      </c>
      <c r="F623" s="9">
        <v>33</v>
      </c>
      <c r="G623" s="9">
        <v>4</v>
      </c>
      <c r="H623" s="9" t="s">
        <v>5482</v>
      </c>
      <c r="I623" t="s">
        <v>171</v>
      </c>
      <c r="J623" t="s">
        <v>177</v>
      </c>
      <c r="K623" t="s">
        <v>173</v>
      </c>
      <c r="T623" t="s">
        <v>3723</v>
      </c>
      <c r="U623" t="s">
        <v>4343</v>
      </c>
      <c r="V623" t="s">
        <v>5483</v>
      </c>
      <c r="X623"/>
      <c r="Y623"/>
      <c r="Z623"/>
    </row>
    <row r="624" spans="1:26" ht="15.75" customHeight="1" x14ac:dyDescent="0.15">
      <c r="A624" s="9">
        <v>618</v>
      </c>
      <c r="B624" t="s">
        <v>75</v>
      </c>
      <c r="C624" t="s">
        <v>4267</v>
      </c>
      <c r="D624" t="s">
        <v>5484</v>
      </c>
      <c r="E624" s="9" t="s">
        <v>219</v>
      </c>
      <c r="F624" s="9">
        <v>33</v>
      </c>
      <c r="G624" s="9">
        <v>5</v>
      </c>
      <c r="H624" s="9" t="s">
        <v>5485</v>
      </c>
      <c r="I624" t="s">
        <v>171</v>
      </c>
      <c r="J624" t="s">
        <v>177</v>
      </c>
      <c r="K624" t="s">
        <v>173</v>
      </c>
      <c r="T624" t="s">
        <v>3723</v>
      </c>
      <c r="U624" t="s">
        <v>4343</v>
      </c>
      <c r="V624" t="s">
        <v>5486</v>
      </c>
      <c r="X624"/>
      <c r="Y624"/>
      <c r="Z624"/>
    </row>
    <row r="625" spans="1:26" ht="15.75" customHeight="1" x14ac:dyDescent="0.15">
      <c r="A625" s="9">
        <v>619</v>
      </c>
      <c r="B625" t="s">
        <v>75</v>
      </c>
      <c r="C625" t="s">
        <v>4267</v>
      </c>
      <c r="D625" t="s">
        <v>5487</v>
      </c>
      <c r="E625" s="9" t="s">
        <v>219</v>
      </c>
      <c r="F625" s="9">
        <v>33</v>
      </c>
      <c r="G625" s="9">
        <v>6</v>
      </c>
      <c r="H625" s="9" t="s">
        <v>5488</v>
      </c>
      <c r="I625" t="s">
        <v>171</v>
      </c>
      <c r="J625" t="s">
        <v>177</v>
      </c>
      <c r="K625" t="s">
        <v>173</v>
      </c>
      <c r="T625" t="s">
        <v>3723</v>
      </c>
      <c r="U625" t="s">
        <v>4343</v>
      </c>
      <c r="V625" t="s">
        <v>5489</v>
      </c>
      <c r="X625"/>
      <c r="Y625"/>
      <c r="Z625"/>
    </row>
    <row r="626" spans="1:26" ht="15.75" customHeight="1" x14ac:dyDescent="0.15">
      <c r="A626" s="9">
        <v>620</v>
      </c>
      <c r="B626" t="s">
        <v>75</v>
      </c>
      <c r="C626" t="s">
        <v>4267</v>
      </c>
      <c r="D626" t="s">
        <v>5490</v>
      </c>
      <c r="E626" s="9" t="s">
        <v>219</v>
      </c>
      <c r="F626" s="9">
        <v>33</v>
      </c>
      <c r="G626" s="9">
        <v>7</v>
      </c>
      <c r="H626" s="9" t="s">
        <v>5491</v>
      </c>
      <c r="I626" t="s">
        <v>171</v>
      </c>
      <c r="J626" t="s">
        <v>177</v>
      </c>
      <c r="K626" t="s">
        <v>173</v>
      </c>
      <c r="T626" t="s">
        <v>3723</v>
      </c>
      <c r="U626" t="s">
        <v>4343</v>
      </c>
      <c r="V626" t="s">
        <v>5492</v>
      </c>
      <c r="X626"/>
      <c r="Y626"/>
      <c r="Z626"/>
    </row>
    <row r="627" spans="1:26" ht="15.75" customHeight="1" x14ac:dyDescent="0.15">
      <c r="A627" s="9">
        <v>621</v>
      </c>
      <c r="B627" t="s">
        <v>75</v>
      </c>
      <c r="C627" t="s">
        <v>4267</v>
      </c>
      <c r="D627" t="s">
        <v>5493</v>
      </c>
      <c r="E627" s="9" t="s">
        <v>219</v>
      </c>
      <c r="F627" s="9">
        <v>33</v>
      </c>
      <c r="G627" s="9">
        <v>8</v>
      </c>
      <c r="H627" s="9" t="s">
        <v>5494</v>
      </c>
      <c r="I627" t="s">
        <v>171</v>
      </c>
      <c r="J627" t="s">
        <v>177</v>
      </c>
      <c r="K627" t="s">
        <v>173</v>
      </c>
      <c r="T627" t="s">
        <v>3723</v>
      </c>
      <c r="U627" t="s">
        <v>4343</v>
      </c>
      <c r="V627" t="s">
        <v>5495</v>
      </c>
      <c r="X627"/>
      <c r="Y627"/>
      <c r="Z627"/>
    </row>
    <row r="628" spans="1:26" ht="15.75" customHeight="1" x14ac:dyDescent="0.15">
      <c r="A628" s="9">
        <v>622</v>
      </c>
      <c r="B628" t="s">
        <v>75</v>
      </c>
      <c r="C628" t="s">
        <v>4267</v>
      </c>
      <c r="D628" t="s">
        <v>5496</v>
      </c>
      <c r="E628" s="9" t="s">
        <v>219</v>
      </c>
      <c r="F628" s="9">
        <v>33</v>
      </c>
      <c r="G628" s="9">
        <v>9</v>
      </c>
      <c r="H628" s="9" t="s">
        <v>5497</v>
      </c>
      <c r="I628" t="s">
        <v>171</v>
      </c>
      <c r="J628" t="s">
        <v>177</v>
      </c>
      <c r="K628" t="s">
        <v>173</v>
      </c>
      <c r="T628" t="s">
        <v>3723</v>
      </c>
      <c r="U628" t="s">
        <v>4343</v>
      </c>
      <c r="V628" t="s">
        <v>5498</v>
      </c>
      <c r="X628"/>
      <c r="Y628"/>
      <c r="Z628"/>
    </row>
    <row r="629" spans="1:26" ht="15.75" customHeight="1" x14ac:dyDescent="0.15">
      <c r="A629" s="9">
        <v>623</v>
      </c>
      <c r="B629" t="s">
        <v>75</v>
      </c>
      <c r="C629" t="s">
        <v>4267</v>
      </c>
      <c r="D629" t="s">
        <v>5499</v>
      </c>
      <c r="E629" s="9" t="s">
        <v>219</v>
      </c>
      <c r="F629" s="9">
        <v>33</v>
      </c>
      <c r="G629" s="9">
        <v>10</v>
      </c>
      <c r="H629" s="9" t="s">
        <v>5500</v>
      </c>
      <c r="I629" t="s">
        <v>171</v>
      </c>
      <c r="J629" t="s">
        <v>177</v>
      </c>
      <c r="K629" t="s">
        <v>173</v>
      </c>
      <c r="T629" t="s">
        <v>3723</v>
      </c>
      <c r="U629" t="s">
        <v>4343</v>
      </c>
      <c r="V629" t="s">
        <v>5501</v>
      </c>
      <c r="X629"/>
      <c r="Y629"/>
      <c r="Z629"/>
    </row>
    <row r="630" spans="1:26" ht="15.75" customHeight="1" x14ac:dyDescent="0.15">
      <c r="A630" s="9">
        <v>624</v>
      </c>
      <c r="B630" t="s">
        <v>75</v>
      </c>
      <c r="C630" t="s">
        <v>4267</v>
      </c>
      <c r="D630" t="s">
        <v>5502</v>
      </c>
      <c r="E630" s="9" t="s">
        <v>219</v>
      </c>
      <c r="F630" s="9">
        <v>33</v>
      </c>
      <c r="G630" s="9">
        <v>11</v>
      </c>
      <c r="H630" s="9" t="s">
        <v>5503</v>
      </c>
      <c r="I630" t="s">
        <v>171</v>
      </c>
      <c r="J630" t="s">
        <v>177</v>
      </c>
      <c r="K630" t="s">
        <v>173</v>
      </c>
      <c r="T630" t="s">
        <v>3723</v>
      </c>
      <c r="U630" t="s">
        <v>4343</v>
      </c>
      <c r="V630" t="s">
        <v>5504</v>
      </c>
      <c r="X630"/>
      <c r="Y630"/>
      <c r="Z630"/>
    </row>
    <row r="631" spans="1:26" ht="15.75" customHeight="1" x14ac:dyDescent="0.15">
      <c r="A631" s="9">
        <v>625</v>
      </c>
      <c r="B631" t="s">
        <v>75</v>
      </c>
      <c r="C631" t="s">
        <v>4267</v>
      </c>
      <c r="D631" t="s">
        <v>5505</v>
      </c>
      <c r="E631" s="9" t="s">
        <v>219</v>
      </c>
      <c r="F631" s="9">
        <v>33</v>
      </c>
      <c r="G631" s="9">
        <v>12</v>
      </c>
      <c r="H631" s="9" t="s">
        <v>5506</v>
      </c>
      <c r="I631" t="s">
        <v>171</v>
      </c>
      <c r="J631" t="s">
        <v>177</v>
      </c>
      <c r="K631" t="s">
        <v>173</v>
      </c>
      <c r="T631" t="s">
        <v>3723</v>
      </c>
      <c r="U631" t="s">
        <v>4343</v>
      </c>
      <c r="V631" t="s">
        <v>5507</v>
      </c>
      <c r="X631"/>
      <c r="Y631"/>
      <c r="Z631"/>
    </row>
    <row r="632" spans="1:26" ht="15.75" customHeight="1" x14ac:dyDescent="0.15">
      <c r="A632" s="9">
        <v>626</v>
      </c>
      <c r="B632" t="s">
        <v>75</v>
      </c>
      <c r="C632" t="s">
        <v>4267</v>
      </c>
      <c r="D632" t="s">
        <v>5508</v>
      </c>
      <c r="E632" s="9" t="s">
        <v>219</v>
      </c>
      <c r="F632" s="9">
        <v>33</v>
      </c>
      <c r="G632" s="9">
        <v>13</v>
      </c>
      <c r="H632" s="9" t="s">
        <v>5509</v>
      </c>
      <c r="I632" t="s">
        <v>171</v>
      </c>
      <c r="J632" t="s">
        <v>177</v>
      </c>
      <c r="K632" t="s">
        <v>173</v>
      </c>
      <c r="T632" t="s">
        <v>3723</v>
      </c>
      <c r="U632" t="s">
        <v>4343</v>
      </c>
      <c r="V632" t="s">
        <v>5510</v>
      </c>
      <c r="X632"/>
      <c r="Y632"/>
      <c r="Z632"/>
    </row>
    <row r="633" spans="1:26" ht="15.75" customHeight="1" x14ac:dyDescent="0.15">
      <c r="A633" s="9">
        <v>627</v>
      </c>
      <c r="B633" t="s">
        <v>75</v>
      </c>
      <c r="C633" t="s">
        <v>4267</v>
      </c>
      <c r="D633" t="s">
        <v>5511</v>
      </c>
      <c r="E633" s="9" t="s">
        <v>219</v>
      </c>
      <c r="F633" s="9">
        <v>33</v>
      </c>
      <c r="G633" s="9">
        <v>14</v>
      </c>
      <c r="H633" s="9" t="s">
        <v>5512</v>
      </c>
      <c r="I633" t="s">
        <v>171</v>
      </c>
      <c r="J633" t="s">
        <v>177</v>
      </c>
      <c r="K633" t="s">
        <v>173</v>
      </c>
      <c r="T633" t="s">
        <v>3723</v>
      </c>
      <c r="U633" t="s">
        <v>4343</v>
      </c>
      <c r="V633" t="s">
        <v>5513</v>
      </c>
      <c r="X633"/>
      <c r="Y633"/>
      <c r="Z633"/>
    </row>
    <row r="634" spans="1:26" ht="15.75" customHeight="1" x14ac:dyDescent="0.15">
      <c r="A634" s="9">
        <v>628</v>
      </c>
      <c r="B634" t="s">
        <v>75</v>
      </c>
      <c r="C634" t="s">
        <v>4267</v>
      </c>
      <c r="D634" t="s">
        <v>5514</v>
      </c>
      <c r="E634" s="9" t="s">
        <v>219</v>
      </c>
      <c r="F634" s="9">
        <v>33</v>
      </c>
      <c r="G634" s="9">
        <v>15</v>
      </c>
      <c r="H634" s="9" t="s">
        <v>5515</v>
      </c>
      <c r="I634" t="s">
        <v>171</v>
      </c>
      <c r="J634" t="s">
        <v>177</v>
      </c>
      <c r="K634" t="s">
        <v>173</v>
      </c>
      <c r="T634" t="s">
        <v>3723</v>
      </c>
      <c r="U634" t="s">
        <v>4343</v>
      </c>
      <c r="V634" t="s">
        <v>5516</v>
      </c>
      <c r="X634"/>
      <c r="Y634"/>
      <c r="Z634"/>
    </row>
    <row r="635" spans="1:26" ht="15.75" customHeight="1" x14ac:dyDescent="0.15">
      <c r="A635" s="9">
        <v>629</v>
      </c>
      <c r="B635" t="s">
        <v>75</v>
      </c>
      <c r="C635" t="s">
        <v>4267</v>
      </c>
      <c r="D635" t="s">
        <v>5517</v>
      </c>
      <c r="E635" s="9" t="s">
        <v>219</v>
      </c>
      <c r="F635" s="9">
        <v>33</v>
      </c>
      <c r="G635" s="9">
        <v>16</v>
      </c>
      <c r="H635" s="9" t="s">
        <v>5518</v>
      </c>
      <c r="I635" t="s">
        <v>171</v>
      </c>
      <c r="J635" t="s">
        <v>177</v>
      </c>
      <c r="K635" t="s">
        <v>173</v>
      </c>
      <c r="T635" t="s">
        <v>3723</v>
      </c>
      <c r="U635" t="s">
        <v>4343</v>
      </c>
      <c r="V635" t="s">
        <v>5519</v>
      </c>
      <c r="X635"/>
      <c r="Y635"/>
      <c r="Z635"/>
    </row>
    <row r="636" spans="1:26" ht="15.75" customHeight="1" x14ac:dyDescent="0.15">
      <c r="A636" s="9">
        <v>630</v>
      </c>
      <c r="B636" t="s">
        <v>75</v>
      </c>
      <c r="C636" t="s">
        <v>4267</v>
      </c>
      <c r="D636" t="s">
        <v>5520</v>
      </c>
      <c r="E636" s="9" t="s">
        <v>219</v>
      </c>
      <c r="F636" s="9">
        <v>33</v>
      </c>
      <c r="G636" s="9">
        <v>17</v>
      </c>
      <c r="H636" s="9" t="s">
        <v>5521</v>
      </c>
      <c r="I636" t="s">
        <v>171</v>
      </c>
      <c r="J636" t="s">
        <v>177</v>
      </c>
      <c r="K636" t="s">
        <v>173</v>
      </c>
      <c r="T636" t="s">
        <v>3723</v>
      </c>
      <c r="U636" t="s">
        <v>4343</v>
      </c>
      <c r="V636" t="s">
        <v>5522</v>
      </c>
      <c r="X636"/>
      <c r="Y636"/>
      <c r="Z636"/>
    </row>
    <row r="637" spans="1:26" ht="15.75" customHeight="1" x14ac:dyDescent="0.15">
      <c r="A637" s="9">
        <v>631</v>
      </c>
      <c r="B637" t="s">
        <v>75</v>
      </c>
      <c r="C637" t="s">
        <v>4267</v>
      </c>
      <c r="D637" t="s">
        <v>5523</v>
      </c>
      <c r="E637" s="9" t="s">
        <v>219</v>
      </c>
      <c r="F637" s="9">
        <v>33</v>
      </c>
      <c r="G637" s="9">
        <v>18</v>
      </c>
      <c r="H637" s="9" t="s">
        <v>5524</v>
      </c>
      <c r="I637" t="s">
        <v>171</v>
      </c>
      <c r="J637" t="s">
        <v>177</v>
      </c>
      <c r="K637" t="s">
        <v>173</v>
      </c>
      <c r="T637" t="s">
        <v>3723</v>
      </c>
      <c r="U637" t="s">
        <v>4343</v>
      </c>
      <c r="V637" t="s">
        <v>5525</v>
      </c>
      <c r="X637"/>
      <c r="Y637"/>
      <c r="Z637"/>
    </row>
    <row r="638" spans="1:26" ht="15.75" customHeight="1" x14ac:dyDescent="0.15">
      <c r="A638" s="9">
        <v>632</v>
      </c>
      <c r="B638" t="s">
        <v>75</v>
      </c>
      <c r="C638" t="s">
        <v>4267</v>
      </c>
      <c r="D638" t="s">
        <v>5526</v>
      </c>
      <c r="E638" s="9" t="s">
        <v>219</v>
      </c>
      <c r="F638" s="9">
        <v>33</v>
      </c>
      <c r="G638" s="9">
        <v>19</v>
      </c>
      <c r="H638" s="9" t="s">
        <v>5527</v>
      </c>
      <c r="I638" t="s">
        <v>171</v>
      </c>
      <c r="J638" t="s">
        <v>177</v>
      </c>
      <c r="K638" t="s">
        <v>173</v>
      </c>
      <c r="T638" t="s">
        <v>3723</v>
      </c>
      <c r="U638" t="s">
        <v>4343</v>
      </c>
      <c r="V638" t="s">
        <v>5528</v>
      </c>
      <c r="X638"/>
      <c r="Y638"/>
      <c r="Z638"/>
    </row>
    <row r="639" spans="1:26" ht="15.75" customHeight="1" x14ac:dyDescent="0.15">
      <c r="A639" s="9">
        <v>633</v>
      </c>
      <c r="B639" t="s">
        <v>75</v>
      </c>
      <c r="C639" t="s">
        <v>4267</v>
      </c>
      <c r="D639" t="s">
        <v>5354</v>
      </c>
      <c r="E639" s="9" t="s">
        <v>219</v>
      </c>
      <c r="F639" s="9">
        <v>33</v>
      </c>
      <c r="G639" s="9">
        <v>20</v>
      </c>
      <c r="H639" s="9" t="s">
        <v>5529</v>
      </c>
      <c r="I639" t="s">
        <v>171</v>
      </c>
      <c r="J639" t="s">
        <v>177</v>
      </c>
      <c r="K639" t="s">
        <v>173</v>
      </c>
      <c r="T639" t="s">
        <v>3723</v>
      </c>
      <c r="U639" t="s">
        <v>4343</v>
      </c>
      <c r="V639" t="s">
        <v>5530</v>
      </c>
      <c r="X639"/>
      <c r="Y639"/>
      <c r="Z639"/>
    </row>
    <row r="640" spans="1:26" ht="15.75" customHeight="1" x14ac:dyDescent="0.15">
      <c r="A640" s="9">
        <v>634</v>
      </c>
      <c r="B640" t="s">
        <v>75</v>
      </c>
      <c r="C640" t="s">
        <v>4267</v>
      </c>
      <c r="D640" t="s">
        <v>5531</v>
      </c>
      <c r="E640" s="9" t="s">
        <v>219</v>
      </c>
      <c r="F640" s="9">
        <v>33</v>
      </c>
      <c r="G640" s="9">
        <v>21</v>
      </c>
      <c r="H640" s="9" t="s">
        <v>5532</v>
      </c>
      <c r="I640" t="s">
        <v>171</v>
      </c>
      <c r="J640" t="s">
        <v>177</v>
      </c>
      <c r="K640" t="s">
        <v>173</v>
      </c>
      <c r="T640" t="s">
        <v>3723</v>
      </c>
      <c r="U640" t="s">
        <v>4343</v>
      </c>
      <c r="V640" t="s">
        <v>5533</v>
      </c>
      <c r="X640"/>
      <c r="Y640"/>
      <c r="Z640"/>
    </row>
    <row r="641" spans="1:26" ht="15.75" customHeight="1" x14ac:dyDescent="0.15">
      <c r="A641" s="9">
        <v>635</v>
      </c>
      <c r="B641" t="s">
        <v>75</v>
      </c>
      <c r="C641" t="s">
        <v>4267</v>
      </c>
      <c r="D641" t="s">
        <v>5534</v>
      </c>
      <c r="E641" s="9" t="s">
        <v>219</v>
      </c>
      <c r="F641" s="9">
        <v>33</v>
      </c>
      <c r="G641" s="9">
        <v>22</v>
      </c>
      <c r="H641" s="9" t="s">
        <v>5535</v>
      </c>
      <c r="I641" t="s">
        <v>171</v>
      </c>
      <c r="J641" t="s">
        <v>177</v>
      </c>
      <c r="K641" t="s">
        <v>173</v>
      </c>
      <c r="T641" t="s">
        <v>3723</v>
      </c>
      <c r="U641" t="s">
        <v>4343</v>
      </c>
      <c r="V641" t="s">
        <v>5536</v>
      </c>
      <c r="X641"/>
      <c r="Y641"/>
      <c r="Z641"/>
    </row>
    <row r="642" spans="1:26" ht="15.75" customHeight="1" x14ac:dyDescent="0.15">
      <c r="A642" s="9">
        <v>636</v>
      </c>
      <c r="C642" t="s">
        <v>4267</v>
      </c>
      <c r="D642" t="s">
        <v>5537</v>
      </c>
      <c r="E642" s="9" t="s">
        <v>219</v>
      </c>
      <c r="F642" s="9">
        <v>34</v>
      </c>
      <c r="G642" s="9"/>
      <c r="H642" s="9"/>
      <c r="I642" t="s">
        <v>196</v>
      </c>
      <c r="L642" t="s">
        <v>61</v>
      </c>
      <c r="M642">
        <v>1</v>
      </c>
      <c r="T642" t="s">
        <v>3723</v>
      </c>
      <c r="U642" t="s">
        <v>3853</v>
      </c>
      <c r="V642" t="s">
        <v>5538</v>
      </c>
      <c r="X642"/>
      <c r="Y642"/>
      <c r="Z642"/>
    </row>
    <row r="643" spans="1:26" ht="15.75" customHeight="1" x14ac:dyDescent="0.15">
      <c r="A643" s="9">
        <v>637</v>
      </c>
      <c r="C643" t="s">
        <v>4267</v>
      </c>
      <c r="D643" t="s">
        <v>5539</v>
      </c>
      <c r="E643" s="9" t="s">
        <v>219</v>
      </c>
      <c r="F643" s="9">
        <v>34</v>
      </c>
      <c r="G643" s="9">
        <v>1</v>
      </c>
      <c r="H643" s="9" t="s">
        <v>5540</v>
      </c>
      <c r="I643" t="s">
        <v>171</v>
      </c>
      <c r="J643" t="s">
        <v>177</v>
      </c>
      <c r="K643" t="s">
        <v>173</v>
      </c>
      <c r="T643" t="s">
        <v>3723</v>
      </c>
      <c r="U643" t="s">
        <v>4343</v>
      </c>
      <c r="V643" t="s">
        <v>5541</v>
      </c>
      <c r="X643"/>
      <c r="Y643"/>
      <c r="Z643"/>
    </row>
    <row r="644" spans="1:26" ht="15.75" customHeight="1" x14ac:dyDescent="0.15">
      <c r="A644" s="9">
        <v>638</v>
      </c>
      <c r="C644" t="s">
        <v>4267</v>
      </c>
      <c r="D644" t="s">
        <v>5542</v>
      </c>
      <c r="E644" s="9" t="s">
        <v>219</v>
      </c>
      <c r="F644" s="9">
        <v>34</v>
      </c>
      <c r="G644" s="9">
        <v>2</v>
      </c>
      <c r="H644" s="9" t="s">
        <v>5543</v>
      </c>
      <c r="I644" t="s">
        <v>171</v>
      </c>
      <c r="J644" t="s">
        <v>177</v>
      </c>
      <c r="K644" t="s">
        <v>173</v>
      </c>
      <c r="T644" t="s">
        <v>3723</v>
      </c>
      <c r="U644" t="s">
        <v>4343</v>
      </c>
      <c r="V644" t="s">
        <v>5544</v>
      </c>
      <c r="X644"/>
      <c r="Y644"/>
      <c r="Z644"/>
    </row>
    <row r="645" spans="1:26" ht="15.75" customHeight="1" x14ac:dyDescent="0.15">
      <c r="A645" s="9">
        <v>639</v>
      </c>
      <c r="C645" t="s">
        <v>4267</v>
      </c>
      <c r="D645" t="s">
        <v>5545</v>
      </c>
      <c r="E645" s="9" t="s">
        <v>219</v>
      </c>
      <c r="F645" s="9">
        <v>34</v>
      </c>
      <c r="G645" s="9">
        <v>3</v>
      </c>
      <c r="H645" s="9" t="s">
        <v>5546</v>
      </c>
      <c r="I645" t="s">
        <v>171</v>
      </c>
      <c r="J645" t="s">
        <v>177</v>
      </c>
      <c r="K645" t="s">
        <v>173</v>
      </c>
      <c r="T645" t="s">
        <v>3723</v>
      </c>
      <c r="U645" t="s">
        <v>4343</v>
      </c>
      <c r="V645" t="s">
        <v>5547</v>
      </c>
      <c r="X645"/>
      <c r="Y645"/>
      <c r="Z645"/>
    </row>
    <row r="646" spans="1:26" ht="15.75" customHeight="1" x14ac:dyDescent="0.15">
      <c r="A646" s="9">
        <v>640</v>
      </c>
      <c r="C646" t="s">
        <v>4267</v>
      </c>
      <c r="D646" t="s">
        <v>5548</v>
      </c>
      <c r="E646" s="9" t="s">
        <v>219</v>
      </c>
      <c r="F646" s="9">
        <v>34</v>
      </c>
      <c r="G646" s="9">
        <v>4</v>
      </c>
      <c r="H646" s="9" t="s">
        <v>5549</v>
      </c>
      <c r="I646" t="s">
        <v>171</v>
      </c>
      <c r="J646" t="s">
        <v>177</v>
      </c>
      <c r="K646" t="s">
        <v>173</v>
      </c>
      <c r="T646" t="s">
        <v>3723</v>
      </c>
      <c r="U646" t="s">
        <v>4343</v>
      </c>
      <c r="V646" t="s">
        <v>5550</v>
      </c>
      <c r="X646"/>
      <c r="Y646"/>
      <c r="Z646"/>
    </row>
    <row r="647" spans="1:26" ht="15.75" customHeight="1" x14ac:dyDescent="0.15">
      <c r="A647" s="9">
        <v>641</v>
      </c>
      <c r="C647" t="s">
        <v>4267</v>
      </c>
      <c r="D647" t="s">
        <v>5551</v>
      </c>
      <c r="E647" s="9" t="s">
        <v>219</v>
      </c>
      <c r="F647" s="9">
        <v>34</v>
      </c>
      <c r="G647" s="9">
        <v>5</v>
      </c>
      <c r="H647" s="9" t="s">
        <v>5552</v>
      </c>
      <c r="I647" t="s">
        <v>171</v>
      </c>
      <c r="J647" t="s">
        <v>177</v>
      </c>
      <c r="K647" t="s">
        <v>173</v>
      </c>
      <c r="T647" t="s">
        <v>3723</v>
      </c>
      <c r="U647" t="s">
        <v>4343</v>
      </c>
      <c r="V647" t="s">
        <v>5553</v>
      </c>
      <c r="X647"/>
      <c r="Y647"/>
      <c r="Z647"/>
    </row>
    <row r="648" spans="1:26" ht="15.75" customHeight="1" x14ac:dyDescent="0.15">
      <c r="A648" s="9">
        <v>642</v>
      </c>
      <c r="C648" t="s">
        <v>4267</v>
      </c>
      <c r="D648" t="s">
        <v>5554</v>
      </c>
      <c r="E648" s="9" t="s">
        <v>219</v>
      </c>
      <c r="F648" s="9">
        <v>34</v>
      </c>
      <c r="G648" s="9">
        <v>6</v>
      </c>
      <c r="H648" s="9" t="s">
        <v>5555</v>
      </c>
      <c r="I648" t="s">
        <v>171</v>
      </c>
      <c r="J648" t="s">
        <v>177</v>
      </c>
      <c r="K648" t="s">
        <v>173</v>
      </c>
      <c r="T648" t="s">
        <v>3723</v>
      </c>
      <c r="U648" t="s">
        <v>4343</v>
      </c>
      <c r="V648" t="s">
        <v>5556</v>
      </c>
      <c r="X648"/>
      <c r="Y648"/>
      <c r="Z648"/>
    </row>
    <row r="649" spans="1:26" ht="15.75" customHeight="1" x14ac:dyDescent="0.15">
      <c r="A649" s="9">
        <v>643</v>
      </c>
      <c r="C649" t="s">
        <v>4267</v>
      </c>
      <c r="D649" t="s">
        <v>5557</v>
      </c>
      <c r="E649" s="9" t="s">
        <v>219</v>
      </c>
      <c r="F649" s="9">
        <v>34</v>
      </c>
      <c r="G649" s="9">
        <v>7</v>
      </c>
      <c r="H649" s="9" t="s">
        <v>5558</v>
      </c>
      <c r="I649" t="s">
        <v>171</v>
      </c>
      <c r="J649" t="s">
        <v>177</v>
      </c>
      <c r="K649" t="s">
        <v>173</v>
      </c>
      <c r="T649" t="s">
        <v>3723</v>
      </c>
      <c r="U649" t="s">
        <v>4343</v>
      </c>
      <c r="V649" t="s">
        <v>5559</v>
      </c>
      <c r="X649"/>
      <c r="Y649"/>
      <c r="Z649"/>
    </row>
    <row r="650" spans="1:26" ht="15.75" customHeight="1" x14ac:dyDescent="0.15">
      <c r="A650" s="9">
        <v>644</v>
      </c>
      <c r="C650" t="s">
        <v>4267</v>
      </c>
      <c r="D650" t="s">
        <v>5560</v>
      </c>
      <c r="E650" s="9" t="s">
        <v>219</v>
      </c>
      <c r="F650" s="9">
        <v>34</v>
      </c>
      <c r="G650" s="9">
        <v>11</v>
      </c>
      <c r="H650" s="9" t="s">
        <v>5561</v>
      </c>
      <c r="I650" t="s">
        <v>171</v>
      </c>
      <c r="J650" t="s">
        <v>177</v>
      </c>
      <c r="K650" t="s">
        <v>173</v>
      </c>
      <c r="T650" t="s">
        <v>3723</v>
      </c>
      <c r="U650" t="s">
        <v>4343</v>
      </c>
      <c r="V650" t="s">
        <v>5562</v>
      </c>
      <c r="X650"/>
      <c r="Y650"/>
      <c r="Z650"/>
    </row>
    <row r="651" spans="1:26" ht="15.75" customHeight="1" x14ac:dyDescent="0.15">
      <c r="A651" s="9">
        <v>645</v>
      </c>
      <c r="C651" t="s">
        <v>4267</v>
      </c>
      <c r="D651" t="s">
        <v>5563</v>
      </c>
      <c r="E651" s="9" t="s">
        <v>219</v>
      </c>
      <c r="F651" s="9">
        <v>34</v>
      </c>
      <c r="G651" s="9">
        <v>12</v>
      </c>
      <c r="H651" s="9" t="s">
        <v>5564</v>
      </c>
      <c r="I651" t="s">
        <v>171</v>
      </c>
      <c r="J651" t="s">
        <v>177</v>
      </c>
      <c r="K651" t="s">
        <v>173</v>
      </c>
      <c r="T651" t="s">
        <v>3723</v>
      </c>
      <c r="U651" t="s">
        <v>4343</v>
      </c>
      <c r="V651" t="s">
        <v>5565</v>
      </c>
      <c r="X651"/>
      <c r="Y651"/>
      <c r="Z651"/>
    </row>
    <row r="652" spans="1:26" ht="15.75" customHeight="1" x14ac:dyDescent="0.15">
      <c r="A652" s="9">
        <v>646</v>
      </c>
      <c r="C652" t="s">
        <v>4267</v>
      </c>
      <c r="D652" t="s">
        <v>5566</v>
      </c>
      <c r="E652" s="9" t="s">
        <v>219</v>
      </c>
      <c r="F652" s="9">
        <v>34</v>
      </c>
      <c r="G652" s="9">
        <v>13</v>
      </c>
      <c r="H652" s="9" t="s">
        <v>5567</v>
      </c>
      <c r="I652" t="s">
        <v>171</v>
      </c>
      <c r="J652" t="s">
        <v>177</v>
      </c>
      <c r="K652" t="s">
        <v>173</v>
      </c>
      <c r="T652" t="s">
        <v>3723</v>
      </c>
      <c r="U652" t="s">
        <v>4343</v>
      </c>
      <c r="V652" t="s">
        <v>5568</v>
      </c>
      <c r="X652"/>
      <c r="Y652"/>
      <c r="Z652"/>
    </row>
    <row r="653" spans="1:26" ht="15.75" customHeight="1" x14ac:dyDescent="0.15">
      <c r="A653" s="9">
        <v>647</v>
      </c>
      <c r="C653" t="s">
        <v>4267</v>
      </c>
      <c r="D653" t="s">
        <v>5569</v>
      </c>
      <c r="E653" s="9" t="s">
        <v>219</v>
      </c>
      <c r="F653" s="9">
        <v>34</v>
      </c>
      <c r="G653" s="9">
        <v>14</v>
      </c>
      <c r="H653" s="9" t="s">
        <v>5570</v>
      </c>
      <c r="I653" t="s">
        <v>171</v>
      </c>
      <c r="J653" t="s">
        <v>177</v>
      </c>
      <c r="K653" t="s">
        <v>173</v>
      </c>
      <c r="T653" t="s">
        <v>3723</v>
      </c>
      <c r="U653" t="s">
        <v>4343</v>
      </c>
      <c r="V653" t="s">
        <v>5571</v>
      </c>
      <c r="X653"/>
      <c r="Y653"/>
      <c r="Z653"/>
    </row>
    <row r="654" spans="1:26" ht="15.75" customHeight="1" x14ac:dyDescent="0.15">
      <c r="A654" s="9">
        <v>648</v>
      </c>
      <c r="C654" t="s">
        <v>4267</v>
      </c>
      <c r="D654" t="s">
        <v>5572</v>
      </c>
      <c r="E654" s="9" t="s">
        <v>219</v>
      </c>
      <c r="F654" s="9">
        <v>34</v>
      </c>
      <c r="G654" s="9">
        <v>15</v>
      </c>
      <c r="H654" s="9" t="s">
        <v>5573</v>
      </c>
      <c r="I654" t="s">
        <v>171</v>
      </c>
      <c r="J654" t="s">
        <v>177</v>
      </c>
      <c r="K654" t="s">
        <v>173</v>
      </c>
      <c r="T654" t="s">
        <v>3723</v>
      </c>
      <c r="U654" t="s">
        <v>4343</v>
      </c>
      <c r="V654" t="s">
        <v>5574</v>
      </c>
      <c r="X654"/>
      <c r="Y654"/>
      <c r="Z654"/>
    </row>
    <row r="655" spans="1:26" ht="15.75" customHeight="1" x14ac:dyDescent="0.15">
      <c r="A655" s="9">
        <v>649</v>
      </c>
      <c r="C655" t="s">
        <v>4267</v>
      </c>
      <c r="D655" t="s">
        <v>5575</v>
      </c>
      <c r="E655" s="9" t="s">
        <v>219</v>
      </c>
      <c r="F655" s="9">
        <v>34</v>
      </c>
      <c r="G655" s="9">
        <v>16</v>
      </c>
      <c r="H655" s="9" t="s">
        <v>5576</v>
      </c>
      <c r="I655" t="s">
        <v>171</v>
      </c>
      <c r="J655" t="s">
        <v>177</v>
      </c>
      <c r="K655" t="s">
        <v>173</v>
      </c>
      <c r="T655" t="s">
        <v>3723</v>
      </c>
      <c r="U655" t="s">
        <v>4343</v>
      </c>
      <c r="V655" t="s">
        <v>5577</v>
      </c>
      <c r="X655"/>
      <c r="Y655"/>
      <c r="Z655"/>
    </row>
    <row r="656" spans="1:26" ht="15.75" customHeight="1" x14ac:dyDescent="0.15">
      <c r="A656" s="9">
        <v>650</v>
      </c>
      <c r="C656" t="s">
        <v>4267</v>
      </c>
      <c r="D656" t="s">
        <v>5578</v>
      </c>
      <c r="E656" s="9" t="s">
        <v>219</v>
      </c>
      <c r="F656" s="9">
        <v>34</v>
      </c>
      <c r="G656" s="9">
        <v>17</v>
      </c>
      <c r="H656" s="9" t="s">
        <v>5579</v>
      </c>
      <c r="I656" t="s">
        <v>171</v>
      </c>
      <c r="J656" t="s">
        <v>177</v>
      </c>
      <c r="K656" t="s">
        <v>173</v>
      </c>
      <c r="T656" t="s">
        <v>3723</v>
      </c>
      <c r="U656" t="s">
        <v>4343</v>
      </c>
      <c r="V656" t="s">
        <v>5580</v>
      </c>
      <c r="X656"/>
      <c r="Y656"/>
      <c r="Z656"/>
    </row>
    <row r="657" spans="1:26" ht="15.75" customHeight="1" x14ac:dyDescent="0.15">
      <c r="A657" s="9">
        <v>651</v>
      </c>
      <c r="B657" t="s">
        <v>75</v>
      </c>
      <c r="C657" t="s">
        <v>4267</v>
      </c>
      <c r="D657" t="s">
        <v>5581</v>
      </c>
      <c r="E657" s="9" t="s">
        <v>219</v>
      </c>
      <c r="F657" s="9">
        <v>40</v>
      </c>
      <c r="G657" s="9"/>
      <c r="H657" s="9" t="s">
        <v>3721</v>
      </c>
      <c r="I657" t="s">
        <v>196</v>
      </c>
      <c r="L657" t="s">
        <v>61</v>
      </c>
      <c r="M657">
        <v>1</v>
      </c>
      <c r="T657" t="s">
        <v>3723</v>
      </c>
      <c r="U657" t="s">
        <v>3853</v>
      </c>
      <c r="V657" t="s">
        <v>5582</v>
      </c>
      <c r="X657"/>
      <c r="Y657"/>
      <c r="Z657"/>
    </row>
    <row r="658" spans="1:26" ht="15.75" customHeight="1" x14ac:dyDescent="0.15">
      <c r="A658" s="9">
        <v>652</v>
      </c>
      <c r="B658" t="s">
        <v>75</v>
      </c>
      <c r="C658" t="s">
        <v>4267</v>
      </c>
      <c r="D658" t="s">
        <v>5583</v>
      </c>
      <c r="E658" s="9" t="s">
        <v>219</v>
      </c>
      <c r="F658" s="9">
        <v>40</v>
      </c>
      <c r="G658" s="9">
        <v>0</v>
      </c>
      <c r="H658" s="9" t="s">
        <v>5584</v>
      </c>
      <c r="I658" t="s">
        <v>196</v>
      </c>
      <c r="J658" t="s">
        <v>222</v>
      </c>
      <c r="K658" t="s">
        <v>226</v>
      </c>
      <c r="T658" t="s">
        <v>3723</v>
      </c>
      <c r="V658" t="s">
        <v>5585</v>
      </c>
      <c r="X658"/>
      <c r="Y658"/>
      <c r="Z658"/>
    </row>
    <row r="659" spans="1:26" ht="15.75" customHeight="1" x14ac:dyDescent="0.15">
      <c r="A659" s="9">
        <v>653</v>
      </c>
      <c r="B659" t="s">
        <v>75</v>
      </c>
      <c r="C659" t="s">
        <v>4267</v>
      </c>
      <c r="D659" t="s">
        <v>5586</v>
      </c>
      <c r="E659" s="9" t="s">
        <v>219</v>
      </c>
      <c r="F659" s="9">
        <v>40</v>
      </c>
      <c r="G659" s="9">
        <v>1</v>
      </c>
      <c r="H659" s="9" t="s">
        <v>5587</v>
      </c>
      <c r="I659" t="s">
        <v>196</v>
      </c>
      <c r="J659" t="s">
        <v>226</v>
      </c>
      <c r="K659" t="s">
        <v>222</v>
      </c>
      <c r="T659" t="s">
        <v>3723</v>
      </c>
      <c r="V659" t="s">
        <v>5588</v>
      </c>
      <c r="X659"/>
      <c r="Y659"/>
      <c r="Z659"/>
    </row>
    <row r="660" spans="1:26" ht="15.75" customHeight="1" x14ac:dyDescent="0.15">
      <c r="A660" s="9">
        <v>654</v>
      </c>
      <c r="B660" t="s">
        <v>75</v>
      </c>
      <c r="C660" t="s">
        <v>4267</v>
      </c>
      <c r="D660" t="s">
        <v>5589</v>
      </c>
      <c r="E660" s="9" t="s">
        <v>219</v>
      </c>
      <c r="F660" s="9">
        <v>40</v>
      </c>
      <c r="G660" s="9">
        <v>2</v>
      </c>
      <c r="H660" s="9" t="s">
        <v>5590</v>
      </c>
      <c r="I660" t="s">
        <v>196</v>
      </c>
      <c r="J660" t="s">
        <v>940</v>
      </c>
      <c r="K660" t="s">
        <v>941</v>
      </c>
      <c r="T660" t="s">
        <v>3723</v>
      </c>
      <c r="V660" t="s">
        <v>5591</v>
      </c>
      <c r="X660"/>
      <c r="Y660"/>
      <c r="Z660"/>
    </row>
    <row r="661" spans="1:26" ht="15.75" customHeight="1" x14ac:dyDescent="0.15">
      <c r="A661" s="9">
        <v>655</v>
      </c>
      <c r="B661" t="s">
        <v>75</v>
      </c>
      <c r="C661" t="s">
        <v>4267</v>
      </c>
      <c r="D661" t="s">
        <v>5592</v>
      </c>
      <c r="E661" s="9" t="s">
        <v>219</v>
      </c>
      <c r="F661" s="9">
        <v>40</v>
      </c>
      <c r="G661" s="9">
        <v>3</v>
      </c>
      <c r="H661" s="9" t="s">
        <v>5593</v>
      </c>
      <c r="I661" t="s">
        <v>196</v>
      </c>
      <c r="J661" t="s">
        <v>940</v>
      </c>
      <c r="K661" t="s">
        <v>941</v>
      </c>
      <c r="T661" t="s">
        <v>3723</v>
      </c>
      <c r="V661" t="s">
        <v>5594</v>
      </c>
      <c r="X661"/>
      <c r="Y661"/>
      <c r="Z661"/>
    </row>
    <row r="662" spans="1:26" ht="15.75" customHeight="1" x14ac:dyDescent="0.15">
      <c r="A662" s="9">
        <v>656</v>
      </c>
      <c r="B662" t="s">
        <v>75</v>
      </c>
      <c r="C662" t="s">
        <v>4267</v>
      </c>
      <c r="D662" t="s">
        <v>5595</v>
      </c>
      <c r="E662" s="9" t="s">
        <v>219</v>
      </c>
      <c r="F662" s="9">
        <v>40</v>
      </c>
      <c r="G662" s="9">
        <v>4</v>
      </c>
      <c r="H662" s="9" t="s">
        <v>5596</v>
      </c>
      <c r="I662" t="s">
        <v>196</v>
      </c>
      <c r="J662" t="s">
        <v>940</v>
      </c>
      <c r="K662" t="s">
        <v>941</v>
      </c>
      <c r="T662" t="s">
        <v>3723</v>
      </c>
      <c r="V662" t="s">
        <v>5597</v>
      </c>
      <c r="X662"/>
      <c r="Y662"/>
      <c r="Z662"/>
    </row>
    <row r="663" spans="1:26" ht="15.75" customHeight="1" x14ac:dyDescent="0.15">
      <c r="A663" s="9">
        <v>657</v>
      </c>
      <c r="B663" t="s">
        <v>75</v>
      </c>
      <c r="C663" t="s">
        <v>4267</v>
      </c>
      <c r="D663" t="s">
        <v>5598</v>
      </c>
      <c r="E663" s="9" t="s">
        <v>219</v>
      </c>
      <c r="F663" s="9">
        <v>40</v>
      </c>
      <c r="G663" s="9">
        <v>5</v>
      </c>
      <c r="H663" s="9" t="s">
        <v>5599</v>
      </c>
      <c r="I663" t="s">
        <v>196</v>
      </c>
      <c r="J663" t="s">
        <v>940</v>
      </c>
      <c r="K663" t="s">
        <v>941</v>
      </c>
      <c r="T663" t="s">
        <v>3723</v>
      </c>
      <c r="V663" t="s">
        <v>5600</v>
      </c>
      <c r="X663"/>
      <c r="Y663"/>
      <c r="Z663"/>
    </row>
    <row r="664" spans="1:26" ht="15.75" customHeight="1" x14ac:dyDescent="0.15">
      <c r="A664" s="9">
        <v>658</v>
      </c>
      <c r="B664" t="s">
        <v>75</v>
      </c>
      <c r="C664" t="s">
        <v>4267</v>
      </c>
      <c r="D664" t="s">
        <v>5601</v>
      </c>
      <c r="E664" s="9" t="s">
        <v>219</v>
      </c>
      <c r="F664" s="9">
        <v>40</v>
      </c>
      <c r="G664" s="9">
        <v>6</v>
      </c>
      <c r="H664" s="9" t="s">
        <v>5602</v>
      </c>
      <c r="I664" t="s">
        <v>196</v>
      </c>
      <c r="J664" t="s">
        <v>940</v>
      </c>
      <c r="K664" t="s">
        <v>941</v>
      </c>
      <c r="T664" t="s">
        <v>3723</v>
      </c>
      <c r="V664" t="s">
        <v>5603</v>
      </c>
      <c r="X664"/>
      <c r="Y664"/>
      <c r="Z664"/>
    </row>
    <row r="665" spans="1:26" ht="15.75" customHeight="1" x14ac:dyDescent="0.15">
      <c r="A665" s="9">
        <v>659</v>
      </c>
      <c r="B665" t="s">
        <v>75</v>
      </c>
      <c r="C665" t="s">
        <v>4267</v>
      </c>
      <c r="D665" t="s">
        <v>5604</v>
      </c>
      <c r="E665" s="9" t="s">
        <v>219</v>
      </c>
      <c r="F665" s="9">
        <v>40</v>
      </c>
      <c r="G665" s="9">
        <v>7</v>
      </c>
      <c r="H665" s="9" t="s">
        <v>5605</v>
      </c>
      <c r="I665" t="s">
        <v>171</v>
      </c>
      <c r="J665" t="s">
        <v>940</v>
      </c>
      <c r="K665" t="s">
        <v>941</v>
      </c>
      <c r="T665" t="s">
        <v>3723</v>
      </c>
      <c r="V665" t="s">
        <v>5606</v>
      </c>
      <c r="X665"/>
      <c r="Y665"/>
      <c r="Z665"/>
    </row>
    <row r="666" spans="1:26" ht="15.75" customHeight="1" x14ac:dyDescent="0.15">
      <c r="A666" s="9">
        <v>660</v>
      </c>
      <c r="B666" t="s">
        <v>75</v>
      </c>
      <c r="C666" t="s">
        <v>4267</v>
      </c>
      <c r="D666" t="s">
        <v>5607</v>
      </c>
      <c r="E666" s="9" t="s">
        <v>219</v>
      </c>
      <c r="F666" s="9">
        <v>40</v>
      </c>
      <c r="G666" s="9">
        <v>8</v>
      </c>
      <c r="H666" s="9" t="s">
        <v>5608</v>
      </c>
      <c r="I666" t="s">
        <v>196</v>
      </c>
      <c r="J666" t="s">
        <v>940</v>
      </c>
      <c r="K666" t="s">
        <v>941</v>
      </c>
      <c r="T666" t="s">
        <v>3723</v>
      </c>
      <c r="V666" t="s">
        <v>5609</v>
      </c>
      <c r="X666"/>
      <c r="Y666"/>
      <c r="Z666"/>
    </row>
    <row r="667" spans="1:26" ht="15.75" customHeight="1" x14ac:dyDescent="0.15">
      <c r="A667" s="9">
        <v>661</v>
      </c>
      <c r="B667" t="s">
        <v>75</v>
      </c>
      <c r="C667" t="s">
        <v>4267</v>
      </c>
      <c r="D667" t="s">
        <v>5610</v>
      </c>
      <c r="E667" s="9" t="s">
        <v>219</v>
      </c>
      <c r="F667" s="9">
        <v>40</v>
      </c>
      <c r="G667" s="9">
        <v>9</v>
      </c>
      <c r="H667" s="9" t="s">
        <v>5611</v>
      </c>
      <c r="I667" t="s">
        <v>196</v>
      </c>
      <c r="J667" t="s">
        <v>940</v>
      </c>
      <c r="K667" t="s">
        <v>941</v>
      </c>
      <c r="T667" t="s">
        <v>3723</v>
      </c>
      <c r="V667" t="s">
        <v>5612</v>
      </c>
      <c r="X667"/>
      <c r="Y667"/>
      <c r="Z667"/>
    </row>
    <row r="668" spans="1:26" ht="15.75" customHeight="1" x14ac:dyDescent="0.15">
      <c r="A668" s="9">
        <v>662</v>
      </c>
      <c r="B668" t="s">
        <v>75</v>
      </c>
      <c r="C668" t="s">
        <v>4267</v>
      </c>
      <c r="D668" t="s">
        <v>5613</v>
      </c>
      <c r="E668" s="9" t="s">
        <v>219</v>
      </c>
      <c r="F668" s="9">
        <v>40</v>
      </c>
      <c r="G668" s="9">
        <v>10</v>
      </c>
      <c r="H668" s="9" t="s">
        <v>5614</v>
      </c>
      <c r="I668" t="s">
        <v>196</v>
      </c>
      <c r="J668" t="s">
        <v>940</v>
      </c>
      <c r="K668" t="s">
        <v>941</v>
      </c>
      <c r="T668" t="s">
        <v>3723</v>
      </c>
      <c r="V668" t="s">
        <v>5615</v>
      </c>
      <c r="X668"/>
      <c r="Y668"/>
      <c r="Z668"/>
    </row>
    <row r="669" spans="1:26" ht="15.75" customHeight="1" x14ac:dyDescent="0.15">
      <c r="A669" s="9">
        <v>663</v>
      </c>
      <c r="B669" t="s">
        <v>75</v>
      </c>
      <c r="C669" t="s">
        <v>4267</v>
      </c>
      <c r="D669" t="s">
        <v>5616</v>
      </c>
      <c r="E669" s="9" t="s">
        <v>219</v>
      </c>
      <c r="F669" s="9">
        <v>40</v>
      </c>
      <c r="G669" s="9">
        <v>11</v>
      </c>
      <c r="H669" s="9" t="s">
        <v>5617</v>
      </c>
      <c r="I669" t="s">
        <v>171</v>
      </c>
      <c r="J669" t="s">
        <v>940</v>
      </c>
      <c r="K669" t="s">
        <v>941</v>
      </c>
      <c r="T669" t="s">
        <v>3723</v>
      </c>
      <c r="V669" t="s">
        <v>5618</v>
      </c>
      <c r="X669"/>
      <c r="Y669"/>
      <c r="Z669"/>
    </row>
    <row r="670" spans="1:26" ht="15.75" customHeight="1" x14ac:dyDescent="0.15">
      <c r="A670" s="9">
        <v>664</v>
      </c>
      <c r="B670" t="s">
        <v>75</v>
      </c>
      <c r="C670" t="s">
        <v>4267</v>
      </c>
      <c r="D670" t="s">
        <v>5619</v>
      </c>
      <c r="E670" s="9" t="s">
        <v>219</v>
      </c>
      <c r="F670" s="9">
        <v>40</v>
      </c>
      <c r="G670" s="9">
        <v>12</v>
      </c>
      <c r="H670" s="9" t="s">
        <v>5620</v>
      </c>
      <c r="I670" t="s">
        <v>171</v>
      </c>
      <c r="J670" t="s">
        <v>940</v>
      </c>
      <c r="K670" t="s">
        <v>941</v>
      </c>
      <c r="T670" t="s">
        <v>3723</v>
      </c>
      <c r="V670" t="s">
        <v>5621</v>
      </c>
      <c r="X670"/>
      <c r="Y670"/>
      <c r="Z670"/>
    </row>
    <row r="671" spans="1:26" ht="15.75" customHeight="1" x14ac:dyDescent="0.15">
      <c r="A671" s="9">
        <v>665</v>
      </c>
      <c r="B671" t="s">
        <v>75</v>
      </c>
      <c r="C671" t="s">
        <v>4267</v>
      </c>
      <c r="D671" t="s">
        <v>5622</v>
      </c>
      <c r="E671" s="9" t="s">
        <v>219</v>
      </c>
      <c r="F671" s="9">
        <v>40</v>
      </c>
      <c r="G671" s="9">
        <v>13</v>
      </c>
      <c r="H671" s="9" t="s">
        <v>5623</v>
      </c>
      <c r="I671" t="s">
        <v>171</v>
      </c>
      <c r="J671" t="s">
        <v>940</v>
      </c>
      <c r="K671" t="s">
        <v>941</v>
      </c>
      <c r="T671" t="s">
        <v>3723</v>
      </c>
      <c r="V671" t="s">
        <v>5624</v>
      </c>
      <c r="X671"/>
      <c r="Y671"/>
      <c r="Z671"/>
    </row>
    <row r="672" spans="1:26" ht="15.75" customHeight="1" x14ac:dyDescent="0.15">
      <c r="A672" s="9">
        <v>666</v>
      </c>
      <c r="B672" t="s">
        <v>75</v>
      </c>
      <c r="C672" t="s">
        <v>4267</v>
      </c>
      <c r="D672" t="s">
        <v>5625</v>
      </c>
      <c r="E672" s="9" t="s">
        <v>219</v>
      </c>
      <c r="F672" s="9">
        <v>40</v>
      </c>
      <c r="G672" s="9">
        <v>14</v>
      </c>
      <c r="H672" s="9" t="s">
        <v>5626</v>
      </c>
      <c r="I672" t="s">
        <v>171</v>
      </c>
      <c r="J672" t="s">
        <v>940</v>
      </c>
      <c r="K672" t="s">
        <v>941</v>
      </c>
      <c r="T672" t="s">
        <v>3723</v>
      </c>
      <c r="V672" t="s">
        <v>5627</v>
      </c>
      <c r="X672"/>
      <c r="Y672"/>
      <c r="Z672"/>
    </row>
    <row r="673" spans="1:26" ht="15.75" customHeight="1" x14ac:dyDescent="0.15">
      <c r="A673" s="9">
        <v>667</v>
      </c>
      <c r="B673" t="s">
        <v>75</v>
      </c>
      <c r="C673" t="s">
        <v>4267</v>
      </c>
      <c r="D673" t="s">
        <v>5628</v>
      </c>
      <c r="E673" s="9" t="s">
        <v>219</v>
      </c>
      <c r="F673" s="9">
        <v>40</v>
      </c>
      <c r="G673" s="9">
        <v>15</v>
      </c>
      <c r="H673" s="9" t="s">
        <v>5629</v>
      </c>
      <c r="I673" t="s">
        <v>196</v>
      </c>
      <c r="J673" t="s">
        <v>197</v>
      </c>
      <c r="K673" t="s">
        <v>198</v>
      </c>
      <c r="T673" t="s">
        <v>3723</v>
      </c>
      <c r="V673" t="s">
        <v>5630</v>
      </c>
      <c r="X673"/>
      <c r="Y673"/>
      <c r="Z673"/>
    </row>
    <row r="674" spans="1:26" ht="15.75" customHeight="1" x14ac:dyDescent="0.15">
      <c r="A674" s="9">
        <v>668</v>
      </c>
      <c r="B674" t="s">
        <v>75</v>
      </c>
      <c r="C674" t="s">
        <v>4267</v>
      </c>
      <c r="D674" t="s">
        <v>5631</v>
      </c>
      <c r="E674" s="9" t="s">
        <v>219</v>
      </c>
      <c r="F674" s="9">
        <v>40</v>
      </c>
      <c r="G674" s="9">
        <v>16</v>
      </c>
      <c r="H674" s="9" t="s">
        <v>5632</v>
      </c>
      <c r="I674" t="s">
        <v>196</v>
      </c>
      <c r="J674" t="s">
        <v>197</v>
      </c>
      <c r="K674" t="s">
        <v>198</v>
      </c>
      <c r="T674" t="s">
        <v>3723</v>
      </c>
      <c r="V674" t="s">
        <v>5633</v>
      </c>
      <c r="X674"/>
      <c r="Y674"/>
      <c r="Z674"/>
    </row>
    <row r="675" spans="1:26" ht="15.75" customHeight="1" x14ac:dyDescent="0.15">
      <c r="A675" s="9">
        <v>669</v>
      </c>
      <c r="B675" t="s">
        <v>75</v>
      </c>
      <c r="C675" t="s">
        <v>4267</v>
      </c>
      <c r="D675" t="s">
        <v>5634</v>
      </c>
      <c r="E675" s="9" t="s">
        <v>219</v>
      </c>
      <c r="F675" s="9">
        <v>40</v>
      </c>
      <c r="G675" s="9">
        <v>17</v>
      </c>
      <c r="H675" s="9" t="s">
        <v>5635</v>
      </c>
      <c r="I675" t="s">
        <v>171</v>
      </c>
      <c r="J675" t="s">
        <v>940</v>
      </c>
      <c r="K675" t="s">
        <v>941</v>
      </c>
      <c r="T675" t="s">
        <v>3723</v>
      </c>
      <c r="V675" t="s">
        <v>5636</v>
      </c>
      <c r="X675"/>
      <c r="Y675"/>
      <c r="Z675"/>
    </row>
    <row r="676" spans="1:26" ht="15.75" customHeight="1" x14ac:dyDescent="0.15">
      <c r="A676" s="9">
        <v>670</v>
      </c>
      <c r="B676" t="s">
        <v>75</v>
      </c>
      <c r="C676" t="s">
        <v>4267</v>
      </c>
      <c r="D676" t="s">
        <v>5637</v>
      </c>
      <c r="E676" s="9" t="s">
        <v>219</v>
      </c>
      <c r="F676" s="9">
        <v>41</v>
      </c>
      <c r="G676" s="9"/>
      <c r="H676" s="9" t="s">
        <v>3721</v>
      </c>
      <c r="I676" t="s">
        <v>196</v>
      </c>
      <c r="L676" t="s">
        <v>61</v>
      </c>
      <c r="M676">
        <v>1</v>
      </c>
      <c r="T676" t="s">
        <v>3723</v>
      </c>
      <c r="U676" t="s">
        <v>3853</v>
      </c>
      <c r="V676" t="s">
        <v>5638</v>
      </c>
      <c r="X676"/>
      <c r="Y676"/>
      <c r="Z676"/>
    </row>
    <row r="677" spans="1:26" ht="15.75" customHeight="1" x14ac:dyDescent="0.15">
      <c r="A677" s="9">
        <v>671</v>
      </c>
      <c r="B677" t="s">
        <v>75</v>
      </c>
      <c r="C677" t="s">
        <v>4267</v>
      </c>
      <c r="D677" t="s">
        <v>5639</v>
      </c>
      <c r="E677" s="9" t="s">
        <v>219</v>
      </c>
      <c r="F677" s="9">
        <v>41</v>
      </c>
      <c r="G677" s="9">
        <v>0</v>
      </c>
      <c r="H677" s="9" t="s">
        <v>5640</v>
      </c>
      <c r="I677" t="s">
        <v>171</v>
      </c>
      <c r="J677" t="s">
        <v>177</v>
      </c>
      <c r="K677" t="s">
        <v>173</v>
      </c>
      <c r="T677" t="s">
        <v>3723</v>
      </c>
      <c r="U677" t="s">
        <v>4343</v>
      </c>
      <c r="V677" t="s">
        <v>5641</v>
      </c>
      <c r="X677"/>
      <c r="Y677"/>
      <c r="Z677"/>
    </row>
    <row r="678" spans="1:26" ht="15.75" customHeight="1" x14ac:dyDescent="0.15">
      <c r="A678" s="9">
        <v>672</v>
      </c>
      <c r="B678" t="s">
        <v>75</v>
      </c>
      <c r="C678" t="s">
        <v>4267</v>
      </c>
      <c r="D678" t="s">
        <v>5642</v>
      </c>
      <c r="E678" s="9" t="s">
        <v>219</v>
      </c>
      <c r="F678" s="9">
        <v>41</v>
      </c>
      <c r="G678" s="9">
        <v>1</v>
      </c>
      <c r="H678" s="9" t="s">
        <v>5643</v>
      </c>
      <c r="I678" t="s">
        <v>171</v>
      </c>
      <c r="J678" t="s">
        <v>177</v>
      </c>
      <c r="K678" t="s">
        <v>173</v>
      </c>
      <c r="T678" t="s">
        <v>3723</v>
      </c>
      <c r="U678" t="s">
        <v>4343</v>
      </c>
      <c r="V678" t="s">
        <v>5644</v>
      </c>
      <c r="X678"/>
      <c r="Y678"/>
      <c r="Z678"/>
    </row>
    <row r="679" spans="1:26" ht="15.75" customHeight="1" x14ac:dyDescent="0.15">
      <c r="A679" s="9">
        <v>673</v>
      </c>
      <c r="B679" t="s">
        <v>75</v>
      </c>
      <c r="C679" t="s">
        <v>4267</v>
      </c>
      <c r="D679" t="s">
        <v>5645</v>
      </c>
      <c r="E679" s="9" t="s">
        <v>219</v>
      </c>
      <c r="F679" s="9">
        <v>41</v>
      </c>
      <c r="G679" s="9">
        <v>2</v>
      </c>
      <c r="H679" s="9" t="s">
        <v>5646</v>
      </c>
      <c r="I679" t="s">
        <v>171</v>
      </c>
      <c r="J679" t="s">
        <v>177</v>
      </c>
      <c r="K679" t="s">
        <v>173</v>
      </c>
      <c r="T679" t="s">
        <v>3723</v>
      </c>
      <c r="U679" t="s">
        <v>4343</v>
      </c>
      <c r="V679" t="s">
        <v>5647</v>
      </c>
      <c r="X679"/>
      <c r="Y679"/>
      <c r="Z679"/>
    </row>
    <row r="680" spans="1:26" ht="15.75" customHeight="1" x14ac:dyDescent="0.15">
      <c r="A680" s="9">
        <v>674</v>
      </c>
      <c r="B680" t="s">
        <v>75</v>
      </c>
      <c r="C680" t="s">
        <v>4267</v>
      </c>
      <c r="D680" t="s">
        <v>5648</v>
      </c>
      <c r="E680" s="9" t="s">
        <v>219</v>
      </c>
      <c r="F680" s="9">
        <v>41</v>
      </c>
      <c r="G680" s="9">
        <v>3</v>
      </c>
      <c r="H680" s="9" t="s">
        <v>5649</v>
      </c>
      <c r="I680" t="s">
        <v>171</v>
      </c>
      <c r="J680" t="s">
        <v>177</v>
      </c>
      <c r="K680" t="s">
        <v>173</v>
      </c>
      <c r="T680" t="s">
        <v>3723</v>
      </c>
      <c r="U680" t="s">
        <v>4343</v>
      </c>
      <c r="V680" t="s">
        <v>5650</v>
      </c>
      <c r="X680"/>
      <c r="Y680"/>
      <c r="Z680"/>
    </row>
    <row r="681" spans="1:26" ht="15.75" customHeight="1" x14ac:dyDescent="0.15">
      <c r="A681" s="9">
        <v>675</v>
      </c>
      <c r="B681" t="s">
        <v>75</v>
      </c>
      <c r="C681" t="s">
        <v>4267</v>
      </c>
      <c r="D681" t="s">
        <v>5651</v>
      </c>
      <c r="E681" s="9" t="s">
        <v>219</v>
      </c>
      <c r="F681" s="9">
        <v>41</v>
      </c>
      <c r="G681" s="9">
        <v>4</v>
      </c>
      <c r="H681" s="9" t="s">
        <v>5652</v>
      </c>
      <c r="I681" t="s">
        <v>171</v>
      </c>
      <c r="J681" t="s">
        <v>177</v>
      </c>
      <c r="K681" t="s">
        <v>173</v>
      </c>
      <c r="T681" t="s">
        <v>3723</v>
      </c>
      <c r="U681" t="s">
        <v>4343</v>
      </c>
      <c r="V681" t="s">
        <v>5653</v>
      </c>
      <c r="X681"/>
      <c r="Y681"/>
      <c r="Z681"/>
    </row>
    <row r="682" spans="1:26" ht="15.75" customHeight="1" x14ac:dyDescent="0.15">
      <c r="A682" s="9">
        <v>676</v>
      </c>
      <c r="B682" t="s">
        <v>75</v>
      </c>
      <c r="C682" t="s">
        <v>4267</v>
      </c>
      <c r="D682" t="s">
        <v>5654</v>
      </c>
      <c r="E682" s="9" t="s">
        <v>219</v>
      </c>
      <c r="F682" s="9">
        <v>41</v>
      </c>
      <c r="G682" s="9">
        <v>5</v>
      </c>
      <c r="H682" s="9" t="s">
        <v>5655</v>
      </c>
      <c r="I682" t="s">
        <v>171</v>
      </c>
      <c r="J682" t="s">
        <v>177</v>
      </c>
      <c r="K682" t="s">
        <v>173</v>
      </c>
      <c r="T682" t="s">
        <v>3723</v>
      </c>
      <c r="U682" t="s">
        <v>4343</v>
      </c>
      <c r="V682" t="s">
        <v>5656</v>
      </c>
      <c r="X682"/>
      <c r="Y682"/>
      <c r="Z682"/>
    </row>
    <row r="683" spans="1:26" ht="15.75" customHeight="1" x14ac:dyDescent="0.15">
      <c r="A683" s="9">
        <v>677</v>
      </c>
      <c r="B683" t="s">
        <v>75</v>
      </c>
      <c r="C683" t="s">
        <v>4267</v>
      </c>
      <c r="D683" t="s">
        <v>5657</v>
      </c>
      <c r="E683" s="9" t="s">
        <v>219</v>
      </c>
      <c r="F683" s="9">
        <v>41</v>
      </c>
      <c r="G683" s="9">
        <v>6</v>
      </c>
      <c r="H683" s="9" t="s">
        <v>5658</v>
      </c>
      <c r="I683" t="s">
        <v>171</v>
      </c>
      <c r="J683" t="s">
        <v>177</v>
      </c>
      <c r="K683" t="s">
        <v>173</v>
      </c>
      <c r="T683" t="s">
        <v>3723</v>
      </c>
      <c r="U683" t="s">
        <v>4343</v>
      </c>
      <c r="V683" t="s">
        <v>5659</v>
      </c>
      <c r="X683"/>
      <c r="Y683"/>
      <c r="Z683"/>
    </row>
    <row r="684" spans="1:26" ht="15.75" customHeight="1" x14ac:dyDescent="0.15">
      <c r="A684" s="9">
        <v>678</v>
      </c>
      <c r="B684" t="s">
        <v>75</v>
      </c>
      <c r="C684" t="s">
        <v>4267</v>
      </c>
      <c r="D684" t="s">
        <v>5660</v>
      </c>
      <c r="E684" s="9" t="s">
        <v>219</v>
      </c>
      <c r="F684" s="9">
        <v>41</v>
      </c>
      <c r="G684" s="9">
        <v>7</v>
      </c>
      <c r="H684" s="9" t="s">
        <v>5661</v>
      </c>
      <c r="I684" t="s">
        <v>171</v>
      </c>
      <c r="J684" t="s">
        <v>177</v>
      </c>
      <c r="K684" t="s">
        <v>173</v>
      </c>
      <c r="T684" t="s">
        <v>3723</v>
      </c>
      <c r="U684" t="s">
        <v>4343</v>
      </c>
      <c r="V684" t="s">
        <v>5662</v>
      </c>
      <c r="X684"/>
      <c r="Y684"/>
      <c r="Z684"/>
    </row>
    <row r="685" spans="1:26" ht="15.75" customHeight="1" x14ac:dyDescent="0.15">
      <c r="A685" s="9">
        <v>679</v>
      </c>
      <c r="B685" t="s">
        <v>75</v>
      </c>
      <c r="C685" t="s">
        <v>4267</v>
      </c>
      <c r="D685" t="s">
        <v>5663</v>
      </c>
      <c r="E685" s="9" t="s">
        <v>219</v>
      </c>
      <c r="F685" s="9">
        <v>41</v>
      </c>
      <c r="G685" s="9">
        <v>8</v>
      </c>
      <c r="H685" s="9" t="s">
        <v>5664</v>
      </c>
      <c r="I685" t="s">
        <v>171</v>
      </c>
      <c r="J685" t="s">
        <v>177</v>
      </c>
      <c r="K685" t="s">
        <v>173</v>
      </c>
      <c r="T685" t="s">
        <v>3723</v>
      </c>
      <c r="U685" t="s">
        <v>4343</v>
      </c>
      <c r="V685" t="s">
        <v>5665</v>
      </c>
      <c r="X685"/>
      <c r="Y685"/>
      <c r="Z685"/>
    </row>
    <row r="686" spans="1:26" ht="15.75" customHeight="1" x14ac:dyDescent="0.15">
      <c r="A686" s="9">
        <v>680</v>
      </c>
      <c r="B686" t="s">
        <v>75</v>
      </c>
      <c r="C686" t="s">
        <v>4267</v>
      </c>
      <c r="D686" t="s">
        <v>5666</v>
      </c>
      <c r="E686" s="9" t="s">
        <v>219</v>
      </c>
      <c r="F686" s="9">
        <v>41</v>
      </c>
      <c r="G686" s="9">
        <v>9</v>
      </c>
      <c r="H686" s="9" t="s">
        <v>5667</v>
      </c>
      <c r="I686" t="s">
        <v>171</v>
      </c>
      <c r="J686" t="s">
        <v>177</v>
      </c>
      <c r="K686" t="s">
        <v>173</v>
      </c>
      <c r="T686" t="s">
        <v>3723</v>
      </c>
      <c r="U686" t="s">
        <v>4343</v>
      </c>
      <c r="V686" t="s">
        <v>5668</v>
      </c>
      <c r="X686"/>
      <c r="Y686"/>
      <c r="Z686"/>
    </row>
    <row r="687" spans="1:26" ht="15.75" customHeight="1" x14ac:dyDescent="0.15">
      <c r="A687" s="9">
        <v>681</v>
      </c>
      <c r="B687" t="s">
        <v>75</v>
      </c>
      <c r="C687" t="s">
        <v>4267</v>
      </c>
      <c r="D687" t="s">
        <v>5669</v>
      </c>
      <c r="E687" s="9" t="s">
        <v>219</v>
      </c>
      <c r="F687" s="9">
        <v>41</v>
      </c>
      <c r="G687" s="9">
        <v>10</v>
      </c>
      <c r="H687" s="9" t="s">
        <v>5670</v>
      </c>
      <c r="I687" t="s">
        <v>171</v>
      </c>
      <c r="J687" t="s">
        <v>177</v>
      </c>
      <c r="K687" t="s">
        <v>173</v>
      </c>
      <c r="T687" t="s">
        <v>3723</v>
      </c>
      <c r="U687" t="s">
        <v>4343</v>
      </c>
      <c r="V687" t="s">
        <v>5671</v>
      </c>
      <c r="X687"/>
      <c r="Y687"/>
      <c r="Z687"/>
    </row>
    <row r="688" spans="1:26" ht="15.75" customHeight="1" x14ac:dyDescent="0.15">
      <c r="A688" s="9">
        <v>682</v>
      </c>
      <c r="B688" t="s">
        <v>75</v>
      </c>
      <c r="C688" t="s">
        <v>4267</v>
      </c>
      <c r="D688" t="s">
        <v>5672</v>
      </c>
      <c r="E688" s="9" t="s">
        <v>219</v>
      </c>
      <c r="F688" s="9">
        <v>41</v>
      </c>
      <c r="G688" s="9">
        <v>11</v>
      </c>
      <c r="H688" s="9" t="s">
        <v>5673</v>
      </c>
      <c r="I688" t="s">
        <v>171</v>
      </c>
      <c r="J688" t="s">
        <v>177</v>
      </c>
      <c r="K688" t="s">
        <v>173</v>
      </c>
      <c r="T688" t="s">
        <v>3723</v>
      </c>
      <c r="U688" t="s">
        <v>4343</v>
      </c>
      <c r="V688" t="s">
        <v>5674</v>
      </c>
      <c r="X688"/>
      <c r="Y688"/>
      <c r="Z688"/>
    </row>
    <row r="689" spans="1:26" ht="15.75" customHeight="1" x14ac:dyDescent="0.15">
      <c r="A689" s="9">
        <v>683</v>
      </c>
      <c r="B689" t="s">
        <v>75</v>
      </c>
      <c r="C689" t="s">
        <v>4267</v>
      </c>
      <c r="D689" t="s">
        <v>5675</v>
      </c>
      <c r="E689" s="9" t="s">
        <v>219</v>
      </c>
      <c r="F689" s="9">
        <v>41</v>
      </c>
      <c r="G689" s="9">
        <v>12</v>
      </c>
      <c r="H689" s="9" t="s">
        <v>5676</v>
      </c>
      <c r="I689" t="s">
        <v>171</v>
      </c>
      <c r="J689" t="s">
        <v>177</v>
      </c>
      <c r="K689" t="s">
        <v>173</v>
      </c>
      <c r="T689" t="s">
        <v>3723</v>
      </c>
      <c r="U689" t="s">
        <v>4343</v>
      </c>
      <c r="V689" t="s">
        <v>5677</v>
      </c>
      <c r="X689"/>
      <c r="Y689"/>
      <c r="Z689"/>
    </row>
    <row r="690" spans="1:26" ht="15.75" customHeight="1" x14ac:dyDescent="0.15">
      <c r="A690" s="9">
        <v>684</v>
      </c>
      <c r="B690" t="s">
        <v>75</v>
      </c>
      <c r="C690" t="s">
        <v>4267</v>
      </c>
      <c r="D690" t="s">
        <v>5678</v>
      </c>
      <c r="E690" s="9" t="s">
        <v>219</v>
      </c>
      <c r="F690" s="9">
        <v>41</v>
      </c>
      <c r="G690" s="9">
        <v>13</v>
      </c>
      <c r="H690" s="9" t="s">
        <v>5679</v>
      </c>
      <c r="I690" t="s">
        <v>171</v>
      </c>
      <c r="J690" t="s">
        <v>177</v>
      </c>
      <c r="K690" t="s">
        <v>173</v>
      </c>
      <c r="T690" t="s">
        <v>3723</v>
      </c>
      <c r="U690" t="s">
        <v>4343</v>
      </c>
      <c r="V690" t="s">
        <v>5680</v>
      </c>
      <c r="X690"/>
      <c r="Y690"/>
      <c r="Z690"/>
    </row>
    <row r="691" spans="1:26" ht="15.75" customHeight="1" x14ac:dyDescent="0.15">
      <c r="A691" s="9">
        <v>685</v>
      </c>
      <c r="B691" t="s">
        <v>75</v>
      </c>
      <c r="C691" t="s">
        <v>4267</v>
      </c>
      <c r="D691" t="s">
        <v>5681</v>
      </c>
      <c r="E691" s="9" t="s">
        <v>219</v>
      </c>
      <c r="F691" s="9">
        <v>41</v>
      </c>
      <c r="G691" s="9">
        <v>14</v>
      </c>
      <c r="H691" s="9" t="s">
        <v>5682</v>
      </c>
      <c r="I691" t="s">
        <v>171</v>
      </c>
      <c r="J691" t="s">
        <v>177</v>
      </c>
      <c r="K691" t="s">
        <v>173</v>
      </c>
      <c r="T691" t="s">
        <v>3723</v>
      </c>
      <c r="U691" t="s">
        <v>4343</v>
      </c>
      <c r="V691" t="s">
        <v>5683</v>
      </c>
      <c r="X691"/>
      <c r="Y691"/>
      <c r="Z691"/>
    </row>
    <row r="692" spans="1:26" ht="15.75" customHeight="1" x14ac:dyDescent="0.15">
      <c r="A692" s="9">
        <v>686</v>
      </c>
      <c r="B692" t="s">
        <v>75</v>
      </c>
      <c r="C692" t="s">
        <v>4267</v>
      </c>
      <c r="D692" t="s">
        <v>5684</v>
      </c>
      <c r="E692" s="9" t="s">
        <v>219</v>
      </c>
      <c r="F692" s="9">
        <v>41</v>
      </c>
      <c r="G692" s="9">
        <v>15</v>
      </c>
      <c r="H692" s="9" t="s">
        <v>5685</v>
      </c>
      <c r="I692" t="s">
        <v>171</v>
      </c>
      <c r="J692" t="s">
        <v>177</v>
      </c>
      <c r="K692" t="s">
        <v>173</v>
      </c>
      <c r="T692" t="s">
        <v>3723</v>
      </c>
      <c r="U692" t="s">
        <v>4343</v>
      </c>
      <c r="V692" t="s">
        <v>5686</v>
      </c>
      <c r="X692"/>
      <c r="Y692"/>
      <c r="Z692"/>
    </row>
    <row r="693" spans="1:26" ht="15.75" customHeight="1" x14ac:dyDescent="0.15">
      <c r="A693" s="9">
        <v>687</v>
      </c>
      <c r="B693" t="s">
        <v>75</v>
      </c>
      <c r="C693" t="s">
        <v>4267</v>
      </c>
      <c r="D693" t="s">
        <v>5687</v>
      </c>
      <c r="E693" s="9" t="s">
        <v>219</v>
      </c>
      <c r="F693" s="9">
        <v>41</v>
      </c>
      <c r="G693" s="9">
        <v>16</v>
      </c>
      <c r="H693" s="9" t="s">
        <v>5688</v>
      </c>
      <c r="I693" t="s">
        <v>171</v>
      </c>
      <c r="J693" t="s">
        <v>177</v>
      </c>
      <c r="K693" t="s">
        <v>173</v>
      </c>
      <c r="T693" t="s">
        <v>3723</v>
      </c>
      <c r="U693" t="s">
        <v>4343</v>
      </c>
      <c r="V693" t="s">
        <v>5689</v>
      </c>
      <c r="X693"/>
      <c r="Y693"/>
      <c r="Z693"/>
    </row>
    <row r="694" spans="1:26" ht="15.75" customHeight="1" x14ac:dyDescent="0.15">
      <c r="A694" s="9">
        <v>688</v>
      </c>
      <c r="B694" t="s">
        <v>75</v>
      </c>
      <c r="C694" t="s">
        <v>4267</v>
      </c>
      <c r="D694" t="s">
        <v>5690</v>
      </c>
      <c r="E694" s="9" t="s">
        <v>219</v>
      </c>
      <c r="F694" s="9">
        <v>41</v>
      </c>
      <c r="G694" s="9">
        <v>17</v>
      </c>
      <c r="H694" s="9" t="s">
        <v>5691</v>
      </c>
      <c r="I694" t="s">
        <v>171</v>
      </c>
      <c r="J694" t="s">
        <v>177</v>
      </c>
      <c r="K694" t="s">
        <v>173</v>
      </c>
      <c r="T694" t="s">
        <v>3723</v>
      </c>
      <c r="U694" t="s">
        <v>4343</v>
      </c>
      <c r="V694" t="s">
        <v>5692</v>
      </c>
      <c r="X694"/>
      <c r="Y694"/>
      <c r="Z694"/>
    </row>
    <row r="695" spans="1:26" ht="15.75" customHeight="1" x14ac:dyDescent="0.15">
      <c r="A695" s="9">
        <v>689</v>
      </c>
      <c r="B695" t="s">
        <v>75</v>
      </c>
      <c r="C695" t="s">
        <v>4267</v>
      </c>
      <c r="D695" t="s">
        <v>5693</v>
      </c>
      <c r="E695" s="9" t="s">
        <v>219</v>
      </c>
      <c r="F695" s="9">
        <v>41</v>
      </c>
      <c r="G695" s="9">
        <v>18</v>
      </c>
      <c r="H695" s="9" t="s">
        <v>5694</v>
      </c>
      <c r="I695" t="s">
        <v>171</v>
      </c>
      <c r="J695" t="s">
        <v>177</v>
      </c>
      <c r="K695" t="s">
        <v>173</v>
      </c>
      <c r="T695" t="s">
        <v>3723</v>
      </c>
      <c r="U695" t="s">
        <v>4343</v>
      </c>
      <c r="V695" t="s">
        <v>5695</v>
      </c>
      <c r="X695"/>
      <c r="Y695"/>
      <c r="Z695"/>
    </row>
    <row r="696" spans="1:26" ht="15.75" customHeight="1" x14ac:dyDescent="0.15">
      <c r="A696" s="9">
        <v>690</v>
      </c>
      <c r="B696" t="s">
        <v>75</v>
      </c>
      <c r="C696" t="s">
        <v>4267</v>
      </c>
      <c r="D696" t="s">
        <v>5696</v>
      </c>
      <c r="E696" s="9" t="s">
        <v>219</v>
      </c>
      <c r="F696" s="9">
        <v>41</v>
      </c>
      <c r="G696" s="9">
        <v>19</v>
      </c>
      <c r="H696" s="9" t="s">
        <v>5697</v>
      </c>
      <c r="I696" t="s">
        <v>171</v>
      </c>
      <c r="J696" t="s">
        <v>177</v>
      </c>
      <c r="K696" t="s">
        <v>173</v>
      </c>
      <c r="T696" t="s">
        <v>3723</v>
      </c>
      <c r="U696" t="s">
        <v>4343</v>
      </c>
      <c r="V696" t="s">
        <v>5698</v>
      </c>
      <c r="X696"/>
      <c r="Y696"/>
      <c r="Z696"/>
    </row>
    <row r="697" spans="1:26" ht="15.75" customHeight="1" x14ac:dyDescent="0.15">
      <c r="A697" s="9">
        <v>691</v>
      </c>
      <c r="B697" t="s">
        <v>75</v>
      </c>
      <c r="C697" t="s">
        <v>4267</v>
      </c>
      <c r="D697" t="s">
        <v>5699</v>
      </c>
      <c r="E697" s="9" t="s">
        <v>219</v>
      </c>
      <c r="F697" s="9">
        <v>41</v>
      </c>
      <c r="G697" s="9">
        <v>20</v>
      </c>
      <c r="H697" s="9" t="s">
        <v>5700</v>
      </c>
      <c r="I697" t="s">
        <v>171</v>
      </c>
      <c r="J697" t="s">
        <v>177</v>
      </c>
      <c r="K697" t="s">
        <v>173</v>
      </c>
      <c r="T697" t="s">
        <v>3723</v>
      </c>
      <c r="U697" t="s">
        <v>4343</v>
      </c>
      <c r="V697" t="s">
        <v>5701</v>
      </c>
      <c r="X697"/>
      <c r="Y697"/>
      <c r="Z697"/>
    </row>
    <row r="698" spans="1:26" ht="15.75" customHeight="1" x14ac:dyDescent="0.15">
      <c r="A698" s="9">
        <v>692</v>
      </c>
      <c r="B698" t="s">
        <v>75</v>
      </c>
      <c r="C698" t="s">
        <v>4267</v>
      </c>
      <c r="D698" t="s">
        <v>5702</v>
      </c>
      <c r="E698" s="9" t="s">
        <v>219</v>
      </c>
      <c r="F698" s="9">
        <v>41</v>
      </c>
      <c r="G698" s="9">
        <v>21</v>
      </c>
      <c r="H698" s="9" t="s">
        <v>5703</v>
      </c>
      <c r="I698" t="s">
        <v>171</v>
      </c>
      <c r="J698" t="s">
        <v>177</v>
      </c>
      <c r="K698" t="s">
        <v>173</v>
      </c>
      <c r="T698" t="s">
        <v>3723</v>
      </c>
      <c r="U698" t="s">
        <v>4343</v>
      </c>
      <c r="V698" t="s">
        <v>5704</v>
      </c>
      <c r="X698"/>
      <c r="Y698"/>
      <c r="Z698"/>
    </row>
    <row r="699" spans="1:26" ht="15.75" customHeight="1" x14ac:dyDescent="0.15">
      <c r="A699" s="9">
        <v>693</v>
      </c>
      <c r="B699" t="s">
        <v>75</v>
      </c>
      <c r="C699" t="s">
        <v>4267</v>
      </c>
      <c r="D699" t="s">
        <v>5705</v>
      </c>
      <c r="E699" s="9" t="s">
        <v>219</v>
      </c>
      <c r="F699" s="9">
        <v>41</v>
      </c>
      <c r="G699" s="9">
        <v>22</v>
      </c>
      <c r="H699" s="9" t="s">
        <v>5706</v>
      </c>
      <c r="I699" t="s">
        <v>171</v>
      </c>
      <c r="J699" t="s">
        <v>177</v>
      </c>
      <c r="K699" t="s">
        <v>173</v>
      </c>
      <c r="T699" t="s">
        <v>3723</v>
      </c>
      <c r="U699" t="s">
        <v>4343</v>
      </c>
      <c r="V699" t="s">
        <v>5707</v>
      </c>
      <c r="X699"/>
      <c r="Y699"/>
      <c r="Z699"/>
    </row>
    <row r="700" spans="1:26" ht="15.75" customHeight="1" x14ac:dyDescent="0.15">
      <c r="A700" s="9">
        <v>694</v>
      </c>
      <c r="B700" t="s">
        <v>75</v>
      </c>
      <c r="C700" t="s">
        <v>4267</v>
      </c>
      <c r="D700" t="s">
        <v>5708</v>
      </c>
      <c r="E700" s="9" t="s">
        <v>219</v>
      </c>
      <c r="F700" s="9">
        <v>41</v>
      </c>
      <c r="G700" s="9">
        <v>23</v>
      </c>
      <c r="H700" s="9" t="s">
        <v>5709</v>
      </c>
      <c r="I700" t="s">
        <v>171</v>
      </c>
      <c r="J700" t="s">
        <v>177</v>
      </c>
      <c r="K700" t="s">
        <v>173</v>
      </c>
      <c r="T700" t="s">
        <v>3723</v>
      </c>
      <c r="U700" t="s">
        <v>4343</v>
      </c>
      <c r="V700" t="s">
        <v>5710</v>
      </c>
      <c r="X700"/>
      <c r="Y700"/>
      <c r="Z700"/>
    </row>
    <row r="701" spans="1:26" ht="15.75" customHeight="1" x14ac:dyDescent="0.15">
      <c r="A701" s="9">
        <v>695</v>
      </c>
      <c r="B701" t="s">
        <v>75</v>
      </c>
      <c r="C701" t="s">
        <v>4267</v>
      </c>
      <c r="D701" t="s">
        <v>5711</v>
      </c>
      <c r="E701" s="9" t="s">
        <v>219</v>
      </c>
      <c r="F701" s="9">
        <v>41</v>
      </c>
      <c r="G701" s="9">
        <v>24</v>
      </c>
      <c r="H701" s="9" t="s">
        <v>5712</v>
      </c>
      <c r="I701" t="s">
        <v>171</v>
      </c>
      <c r="J701" t="s">
        <v>177</v>
      </c>
      <c r="K701" t="s">
        <v>173</v>
      </c>
      <c r="T701" t="s">
        <v>3723</v>
      </c>
      <c r="U701" t="s">
        <v>4343</v>
      </c>
      <c r="V701" t="s">
        <v>5713</v>
      </c>
      <c r="X701"/>
      <c r="Y701"/>
      <c r="Z701"/>
    </row>
    <row r="702" spans="1:26" ht="15.75" customHeight="1" x14ac:dyDescent="0.15">
      <c r="A702" s="9">
        <v>696</v>
      </c>
      <c r="B702" t="s">
        <v>75</v>
      </c>
      <c r="C702" t="s">
        <v>4267</v>
      </c>
      <c r="D702" t="s">
        <v>5714</v>
      </c>
      <c r="E702" s="9" t="s">
        <v>219</v>
      </c>
      <c r="F702" s="9">
        <v>41</v>
      </c>
      <c r="G702" s="9">
        <v>25</v>
      </c>
      <c r="H702" s="9" t="s">
        <v>5715</v>
      </c>
      <c r="I702" t="s">
        <v>171</v>
      </c>
      <c r="J702" t="s">
        <v>177</v>
      </c>
      <c r="K702" t="s">
        <v>173</v>
      </c>
      <c r="T702" t="s">
        <v>3723</v>
      </c>
      <c r="U702" t="s">
        <v>4343</v>
      </c>
      <c r="V702" t="s">
        <v>5716</v>
      </c>
      <c r="X702"/>
      <c r="Y702"/>
      <c r="Z702"/>
    </row>
    <row r="703" spans="1:26" ht="15.75" customHeight="1" x14ac:dyDescent="0.15">
      <c r="A703" s="9">
        <v>697</v>
      </c>
      <c r="B703" t="s">
        <v>75</v>
      </c>
      <c r="C703" t="s">
        <v>4267</v>
      </c>
      <c r="D703" t="s">
        <v>5717</v>
      </c>
      <c r="E703" s="9" t="s">
        <v>219</v>
      </c>
      <c r="F703" s="9">
        <v>41</v>
      </c>
      <c r="G703" s="9">
        <v>26</v>
      </c>
      <c r="H703" s="9" t="s">
        <v>5718</v>
      </c>
      <c r="I703" t="s">
        <v>171</v>
      </c>
      <c r="J703" t="s">
        <v>177</v>
      </c>
      <c r="K703" t="s">
        <v>173</v>
      </c>
      <c r="T703" t="s">
        <v>3723</v>
      </c>
      <c r="U703" t="s">
        <v>4343</v>
      </c>
      <c r="V703" t="s">
        <v>5719</v>
      </c>
      <c r="X703"/>
      <c r="Y703"/>
      <c r="Z703"/>
    </row>
    <row r="704" spans="1:26" ht="15.75" customHeight="1" x14ac:dyDescent="0.15">
      <c r="A704" s="9">
        <v>698</v>
      </c>
      <c r="B704" t="s">
        <v>75</v>
      </c>
      <c r="C704" t="s">
        <v>4267</v>
      </c>
      <c r="D704" t="s">
        <v>5720</v>
      </c>
      <c r="E704" s="9" t="s">
        <v>219</v>
      </c>
      <c r="F704" s="9">
        <v>41</v>
      </c>
      <c r="G704" s="9">
        <v>27</v>
      </c>
      <c r="H704" s="9" t="s">
        <v>5721</v>
      </c>
      <c r="I704" t="s">
        <v>171</v>
      </c>
      <c r="J704" t="s">
        <v>177</v>
      </c>
      <c r="K704" t="s">
        <v>173</v>
      </c>
      <c r="T704" t="s">
        <v>3723</v>
      </c>
      <c r="U704" t="s">
        <v>4343</v>
      </c>
      <c r="V704" t="s">
        <v>5722</v>
      </c>
      <c r="X704"/>
      <c r="Y704"/>
      <c r="Z704"/>
    </row>
    <row r="705" spans="1:26" ht="15.75" customHeight="1" x14ac:dyDescent="0.15">
      <c r="A705" s="9">
        <v>699</v>
      </c>
      <c r="B705" t="s">
        <v>75</v>
      </c>
      <c r="C705" t="s">
        <v>4267</v>
      </c>
      <c r="D705" t="s">
        <v>5723</v>
      </c>
      <c r="E705" s="9" t="s">
        <v>219</v>
      </c>
      <c r="F705" s="9">
        <v>41</v>
      </c>
      <c r="G705" s="9">
        <v>28</v>
      </c>
      <c r="H705" s="9" t="s">
        <v>5724</v>
      </c>
      <c r="I705" t="s">
        <v>171</v>
      </c>
      <c r="J705" t="s">
        <v>177</v>
      </c>
      <c r="K705" t="s">
        <v>173</v>
      </c>
      <c r="T705" t="s">
        <v>3723</v>
      </c>
      <c r="U705" t="s">
        <v>4343</v>
      </c>
      <c r="V705" t="s">
        <v>5725</v>
      </c>
      <c r="X705"/>
      <c r="Y705"/>
      <c r="Z705"/>
    </row>
    <row r="706" spans="1:26" ht="15.75" customHeight="1" x14ac:dyDescent="0.15">
      <c r="A706" s="9">
        <v>700</v>
      </c>
      <c r="B706" t="s">
        <v>75</v>
      </c>
      <c r="C706" t="s">
        <v>4267</v>
      </c>
      <c r="D706" t="s">
        <v>5726</v>
      </c>
      <c r="E706" s="9" t="s">
        <v>219</v>
      </c>
      <c r="F706" s="9">
        <v>41</v>
      </c>
      <c r="G706" s="9">
        <v>29</v>
      </c>
      <c r="H706" s="9" t="s">
        <v>5727</v>
      </c>
      <c r="I706" t="s">
        <v>171</v>
      </c>
      <c r="J706" t="s">
        <v>177</v>
      </c>
      <c r="K706" t="s">
        <v>173</v>
      </c>
      <c r="T706" t="s">
        <v>3723</v>
      </c>
      <c r="U706" t="s">
        <v>4343</v>
      </c>
      <c r="V706" t="s">
        <v>5728</v>
      </c>
      <c r="X706"/>
      <c r="Y706"/>
      <c r="Z706"/>
    </row>
    <row r="707" spans="1:26" ht="15.75" customHeight="1" x14ac:dyDescent="0.15">
      <c r="A707" s="9">
        <v>701</v>
      </c>
      <c r="B707" t="s">
        <v>75</v>
      </c>
      <c r="C707" t="s">
        <v>4267</v>
      </c>
      <c r="D707" t="s">
        <v>5729</v>
      </c>
      <c r="E707" s="9" t="s">
        <v>219</v>
      </c>
      <c r="F707" s="9">
        <v>41</v>
      </c>
      <c r="G707" s="9">
        <v>30</v>
      </c>
      <c r="H707" s="9" t="s">
        <v>5730</v>
      </c>
      <c r="I707" t="s">
        <v>171</v>
      </c>
      <c r="J707" t="s">
        <v>177</v>
      </c>
      <c r="K707" t="s">
        <v>173</v>
      </c>
      <c r="T707" t="s">
        <v>3723</v>
      </c>
      <c r="U707" t="s">
        <v>4343</v>
      </c>
      <c r="V707" t="s">
        <v>5731</v>
      </c>
      <c r="X707"/>
      <c r="Y707"/>
      <c r="Z707"/>
    </row>
    <row r="708" spans="1:26" ht="15.75" customHeight="1" x14ac:dyDescent="0.15">
      <c r="A708" s="9">
        <v>702</v>
      </c>
      <c r="B708" t="s">
        <v>75</v>
      </c>
      <c r="C708" t="s">
        <v>4267</v>
      </c>
      <c r="D708" t="s">
        <v>5732</v>
      </c>
      <c r="E708" s="9" t="s">
        <v>219</v>
      </c>
      <c r="F708" s="9">
        <v>41</v>
      </c>
      <c r="G708" s="9">
        <v>31</v>
      </c>
      <c r="H708" s="9" t="s">
        <v>5733</v>
      </c>
      <c r="I708" t="s">
        <v>171</v>
      </c>
      <c r="J708" t="s">
        <v>177</v>
      </c>
      <c r="K708" t="s">
        <v>173</v>
      </c>
      <c r="T708" t="s">
        <v>3723</v>
      </c>
      <c r="U708" t="s">
        <v>4343</v>
      </c>
      <c r="V708" t="s">
        <v>5734</v>
      </c>
      <c r="X708"/>
      <c r="Y708"/>
      <c r="Z708"/>
    </row>
    <row r="709" spans="1:26" ht="15.75" customHeight="1" x14ac:dyDescent="0.15">
      <c r="A709" s="9">
        <v>703</v>
      </c>
      <c r="B709" t="s">
        <v>75</v>
      </c>
      <c r="C709" t="s">
        <v>4267</v>
      </c>
      <c r="D709" t="s">
        <v>5735</v>
      </c>
      <c r="E709" s="9" t="s">
        <v>219</v>
      </c>
      <c r="F709" s="9">
        <v>42</v>
      </c>
      <c r="G709" s="9"/>
      <c r="H709" s="9"/>
      <c r="I709" t="s">
        <v>196</v>
      </c>
      <c r="L709" t="s">
        <v>61</v>
      </c>
      <c r="M709">
        <v>1</v>
      </c>
      <c r="T709" t="s">
        <v>3723</v>
      </c>
      <c r="U709" t="s">
        <v>3853</v>
      </c>
      <c r="V709" t="s">
        <v>5736</v>
      </c>
      <c r="X709"/>
      <c r="Y709"/>
      <c r="Z709"/>
    </row>
    <row r="710" spans="1:26" ht="15.75" customHeight="1" x14ac:dyDescent="0.15">
      <c r="A710" s="9">
        <v>704</v>
      </c>
      <c r="B710" t="s">
        <v>75</v>
      </c>
      <c r="C710" t="s">
        <v>4267</v>
      </c>
      <c r="D710" t="s">
        <v>5737</v>
      </c>
      <c r="E710" s="9" t="s">
        <v>219</v>
      </c>
      <c r="F710" s="9">
        <v>42</v>
      </c>
      <c r="G710" s="9">
        <v>0</v>
      </c>
      <c r="H710" s="9" t="s">
        <v>5738</v>
      </c>
      <c r="I710" t="s">
        <v>171</v>
      </c>
      <c r="J710" t="s">
        <v>177</v>
      </c>
      <c r="K710" t="s">
        <v>173</v>
      </c>
      <c r="T710" t="s">
        <v>3723</v>
      </c>
      <c r="U710" t="s">
        <v>4343</v>
      </c>
      <c r="V710" t="s">
        <v>5739</v>
      </c>
      <c r="X710"/>
      <c r="Y710"/>
      <c r="Z710"/>
    </row>
    <row r="711" spans="1:26" ht="15.75" customHeight="1" x14ac:dyDescent="0.15">
      <c r="A711" s="9">
        <v>705</v>
      </c>
      <c r="B711" t="s">
        <v>75</v>
      </c>
      <c r="C711" t="s">
        <v>4267</v>
      </c>
      <c r="D711" t="s">
        <v>5740</v>
      </c>
      <c r="E711" s="9" t="s">
        <v>219</v>
      </c>
      <c r="F711" s="9">
        <v>42</v>
      </c>
      <c r="G711" s="9">
        <v>1</v>
      </c>
      <c r="H711" s="9" t="s">
        <v>5741</v>
      </c>
      <c r="I711" t="s">
        <v>171</v>
      </c>
      <c r="J711" t="s">
        <v>177</v>
      </c>
      <c r="K711" t="s">
        <v>173</v>
      </c>
      <c r="T711" t="s">
        <v>3723</v>
      </c>
      <c r="U711" t="s">
        <v>4343</v>
      </c>
      <c r="V711" t="s">
        <v>5742</v>
      </c>
      <c r="X711"/>
      <c r="Y711"/>
      <c r="Z711"/>
    </row>
    <row r="712" spans="1:26" ht="15.75" customHeight="1" x14ac:dyDescent="0.15">
      <c r="A712" s="9">
        <v>706</v>
      </c>
      <c r="B712" t="s">
        <v>75</v>
      </c>
      <c r="C712" t="s">
        <v>4267</v>
      </c>
      <c r="D712" t="s">
        <v>5743</v>
      </c>
      <c r="E712" s="9" t="s">
        <v>219</v>
      </c>
      <c r="F712" s="9">
        <v>42</v>
      </c>
      <c r="G712" s="9">
        <v>2</v>
      </c>
      <c r="H712" s="9" t="s">
        <v>5744</v>
      </c>
      <c r="I712" t="s">
        <v>171</v>
      </c>
      <c r="J712" t="s">
        <v>177</v>
      </c>
      <c r="K712" t="s">
        <v>173</v>
      </c>
      <c r="T712" t="s">
        <v>3723</v>
      </c>
      <c r="U712" t="s">
        <v>4343</v>
      </c>
      <c r="V712" t="s">
        <v>5745</v>
      </c>
      <c r="X712"/>
      <c r="Y712"/>
      <c r="Z712"/>
    </row>
    <row r="713" spans="1:26" ht="15.75" customHeight="1" x14ac:dyDescent="0.15">
      <c r="A713" s="9">
        <v>707</v>
      </c>
      <c r="B713" t="s">
        <v>75</v>
      </c>
      <c r="C713" t="s">
        <v>4267</v>
      </c>
      <c r="D713" t="s">
        <v>5746</v>
      </c>
      <c r="E713" s="9" t="s">
        <v>219</v>
      </c>
      <c r="F713" s="9">
        <v>42</v>
      </c>
      <c r="G713" s="9">
        <v>3</v>
      </c>
      <c r="H713" s="9" t="s">
        <v>5747</v>
      </c>
      <c r="I713" t="s">
        <v>171</v>
      </c>
      <c r="J713" t="s">
        <v>177</v>
      </c>
      <c r="K713" t="s">
        <v>173</v>
      </c>
      <c r="T713" t="s">
        <v>3723</v>
      </c>
      <c r="U713" t="s">
        <v>4343</v>
      </c>
      <c r="V713" t="s">
        <v>5748</v>
      </c>
      <c r="X713"/>
      <c r="Y713"/>
      <c r="Z713"/>
    </row>
    <row r="714" spans="1:26" ht="15.75" customHeight="1" x14ac:dyDescent="0.15">
      <c r="A714" s="9">
        <v>708</v>
      </c>
      <c r="B714" t="s">
        <v>75</v>
      </c>
      <c r="C714" t="s">
        <v>4267</v>
      </c>
      <c r="D714" t="s">
        <v>5749</v>
      </c>
      <c r="E714" s="9" t="s">
        <v>219</v>
      </c>
      <c r="F714" s="9">
        <v>42</v>
      </c>
      <c r="G714" s="9">
        <v>4</v>
      </c>
      <c r="H714" s="9" t="s">
        <v>5750</v>
      </c>
      <c r="I714" t="s">
        <v>171</v>
      </c>
      <c r="J714" t="s">
        <v>177</v>
      </c>
      <c r="K714" t="s">
        <v>173</v>
      </c>
      <c r="T714" t="s">
        <v>3723</v>
      </c>
      <c r="U714" t="s">
        <v>4343</v>
      </c>
      <c r="V714" t="s">
        <v>5751</v>
      </c>
      <c r="X714"/>
      <c r="Y714"/>
      <c r="Z714"/>
    </row>
    <row r="715" spans="1:26" ht="15.75" customHeight="1" x14ac:dyDescent="0.15">
      <c r="A715" s="9">
        <v>709</v>
      </c>
      <c r="B715" t="s">
        <v>75</v>
      </c>
      <c r="C715" t="s">
        <v>4267</v>
      </c>
      <c r="D715" t="s">
        <v>5752</v>
      </c>
      <c r="E715" s="9" t="s">
        <v>219</v>
      </c>
      <c r="F715" s="9">
        <v>42</v>
      </c>
      <c r="G715" s="9">
        <v>5</v>
      </c>
      <c r="H715" s="9" t="s">
        <v>5753</v>
      </c>
      <c r="I715" t="s">
        <v>171</v>
      </c>
      <c r="J715" t="s">
        <v>177</v>
      </c>
      <c r="K715" t="s">
        <v>173</v>
      </c>
      <c r="T715" t="s">
        <v>3723</v>
      </c>
      <c r="U715" t="s">
        <v>4343</v>
      </c>
      <c r="V715" t="s">
        <v>5754</v>
      </c>
      <c r="X715"/>
      <c r="Y715"/>
      <c r="Z715"/>
    </row>
    <row r="716" spans="1:26" ht="15.75" customHeight="1" x14ac:dyDescent="0.15">
      <c r="A716" s="9">
        <v>710</v>
      </c>
      <c r="B716" t="s">
        <v>75</v>
      </c>
      <c r="C716" t="s">
        <v>4267</v>
      </c>
      <c r="D716" t="s">
        <v>5755</v>
      </c>
      <c r="E716" s="9" t="s">
        <v>219</v>
      </c>
      <c r="F716" s="9">
        <v>42</v>
      </c>
      <c r="G716" s="9">
        <v>6</v>
      </c>
      <c r="H716" s="9" t="s">
        <v>5756</v>
      </c>
      <c r="I716" t="s">
        <v>171</v>
      </c>
      <c r="J716" t="s">
        <v>177</v>
      </c>
      <c r="K716" t="s">
        <v>173</v>
      </c>
      <c r="T716" t="s">
        <v>3723</v>
      </c>
      <c r="U716" t="s">
        <v>4343</v>
      </c>
      <c r="V716" t="s">
        <v>5757</v>
      </c>
      <c r="X716"/>
      <c r="Y716"/>
      <c r="Z716"/>
    </row>
    <row r="717" spans="1:26" ht="15.75" customHeight="1" x14ac:dyDescent="0.15">
      <c r="A717" s="9">
        <v>711</v>
      </c>
      <c r="B717" t="s">
        <v>75</v>
      </c>
      <c r="C717" t="s">
        <v>4267</v>
      </c>
      <c r="D717" t="s">
        <v>5758</v>
      </c>
      <c r="E717" s="9" t="s">
        <v>219</v>
      </c>
      <c r="F717" s="9">
        <v>42</v>
      </c>
      <c r="G717" s="9">
        <v>7</v>
      </c>
      <c r="H717" s="9" t="s">
        <v>5759</v>
      </c>
      <c r="I717" t="s">
        <v>171</v>
      </c>
      <c r="J717" t="s">
        <v>177</v>
      </c>
      <c r="K717" t="s">
        <v>173</v>
      </c>
      <c r="T717" t="s">
        <v>3723</v>
      </c>
      <c r="U717" t="s">
        <v>4343</v>
      </c>
      <c r="V717" t="s">
        <v>5760</v>
      </c>
      <c r="X717"/>
      <c r="Y717"/>
      <c r="Z717"/>
    </row>
    <row r="718" spans="1:26" ht="15.75" customHeight="1" x14ac:dyDescent="0.15">
      <c r="A718" s="9">
        <v>712</v>
      </c>
      <c r="B718" t="s">
        <v>75</v>
      </c>
      <c r="C718" t="s">
        <v>4267</v>
      </c>
      <c r="D718" t="s">
        <v>5761</v>
      </c>
      <c r="E718" s="9" t="s">
        <v>219</v>
      </c>
      <c r="F718" s="9">
        <v>42</v>
      </c>
      <c r="G718" s="9">
        <v>8</v>
      </c>
      <c r="H718" s="9" t="s">
        <v>5762</v>
      </c>
      <c r="I718" t="s">
        <v>171</v>
      </c>
      <c r="J718" t="s">
        <v>177</v>
      </c>
      <c r="K718" t="s">
        <v>173</v>
      </c>
      <c r="T718" t="s">
        <v>3723</v>
      </c>
      <c r="U718" t="s">
        <v>4343</v>
      </c>
      <c r="V718" t="s">
        <v>5763</v>
      </c>
      <c r="X718"/>
      <c r="Y718"/>
      <c r="Z718"/>
    </row>
    <row r="719" spans="1:26" ht="15.75" customHeight="1" x14ac:dyDescent="0.15">
      <c r="A719" s="9">
        <v>713</v>
      </c>
      <c r="B719" t="s">
        <v>75</v>
      </c>
      <c r="C719" t="s">
        <v>4267</v>
      </c>
      <c r="D719" t="s">
        <v>5764</v>
      </c>
      <c r="E719" s="9" t="s">
        <v>219</v>
      </c>
      <c r="F719" s="9">
        <v>42</v>
      </c>
      <c r="G719" s="9">
        <v>9</v>
      </c>
      <c r="H719" s="9" t="s">
        <v>5765</v>
      </c>
      <c r="I719" t="s">
        <v>171</v>
      </c>
      <c r="J719" t="s">
        <v>177</v>
      </c>
      <c r="K719" t="s">
        <v>173</v>
      </c>
      <c r="T719" t="s">
        <v>3723</v>
      </c>
      <c r="U719" t="s">
        <v>4343</v>
      </c>
      <c r="V719" t="s">
        <v>5766</v>
      </c>
      <c r="X719"/>
      <c r="Y719"/>
      <c r="Z719"/>
    </row>
    <row r="720" spans="1:26" ht="15.75" customHeight="1" x14ac:dyDescent="0.15">
      <c r="A720" s="9">
        <v>714</v>
      </c>
      <c r="B720" t="s">
        <v>75</v>
      </c>
      <c r="C720" t="s">
        <v>4267</v>
      </c>
      <c r="D720" t="s">
        <v>5767</v>
      </c>
      <c r="E720" s="9" t="s">
        <v>219</v>
      </c>
      <c r="F720" s="9">
        <v>42</v>
      </c>
      <c r="G720" s="9">
        <v>10</v>
      </c>
      <c r="H720" s="9" t="s">
        <v>5768</v>
      </c>
      <c r="I720" t="s">
        <v>171</v>
      </c>
      <c r="J720" t="s">
        <v>177</v>
      </c>
      <c r="K720" t="s">
        <v>173</v>
      </c>
      <c r="T720" t="s">
        <v>3723</v>
      </c>
      <c r="U720" t="s">
        <v>4343</v>
      </c>
      <c r="V720" t="s">
        <v>5769</v>
      </c>
      <c r="X720"/>
      <c r="Y720"/>
      <c r="Z720"/>
    </row>
    <row r="721" spans="1:26" ht="15.75" customHeight="1" x14ac:dyDescent="0.15">
      <c r="A721" s="9">
        <v>715</v>
      </c>
      <c r="B721" t="s">
        <v>75</v>
      </c>
      <c r="C721" t="s">
        <v>4267</v>
      </c>
      <c r="D721" t="s">
        <v>5770</v>
      </c>
      <c r="E721" s="9" t="s">
        <v>219</v>
      </c>
      <c r="F721" s="9">
        <v>42</v>
      </c>
      <c r="G721" s="9">
        <v>11</v>
      </c>
      <c r="H721" s="9" t="s">
        <v>5771</v>
      </c>
      <c r="I721" t="s">
        <v>171</v>
      </c>
      <c r="J721" t="s">
        <v>177</v>
      </c>
      <c r="K721" t="s">
        <v>173</v>
      </c>
      <c r="T721" t="s">
        <v>3723</v>
      </c>
      <c r="U721" t="s">
        <v>4343</v>
      </c>
      <c r="V721" t="s">
        <v>5772</v>
      </c>
      <c r="X721"/>
      <c r="Y721"/>
      <c r="Z721"/>
    </row>
    <row r="722" spans="1:26" ht="15.75" customHeight="1" x14ac:dyDescent="0.15">
      <c r="A722" s="9">
        <v>716</v>
      </c>
      <c r="B722" t="s">
        <v>75</v>
      </c>
      <c r="C722" t="s">
        <v>4267</v>
      </c>
      <c r="D722" t="s">
        <v>5773</v>
      </c>
      <c r="E722" s="9" t="s">
        <v>219</v>
      </c>
      <c r="F722" s="9">
        <v>42</v>
      </c>
      <c r="G722" s="9">
        <v>12</v>
      </c>
      <c r="H722" s="9" t="s">
        <v>5774</v>
      </c>
      <c r="I722" t="s">
        <v>171</v>
      </c>
      <c r="J722" t="s">
        <v>177</v>
      </c>
      <c r="K722" t="s">
        <v>173</v>
      </c>
      <c r="T722" t="s">
        <v>3723</v>
      </c>
      <c r="U722" t="s">
        <v>4343</v>
      </c>
      <c r="V722" t="s">
        <v>5775</v>
      </c>
      <c r="X722"/>
      <c r="Y722"/>
      <c r="Z722"/>
    </row>
    <row r="723" spans="1:26" ht="15.75" customHeight="1" x14ac:dyDescent="0.15">
      <c r="A723" s="9">
        <v>717</v>
      </c>
      <c r="B723" t="s">
        <v>75</v>
      </c>
      <c r="C723" t="s">
        <v>4267</v>
      </c>
      <c r="D723" t="s">
        <v>5776</v>
      </c>
      <c r="E723" s="9" t="s">
        <v>219</v>
      </c>
      <c r="F723" s="9">
        <v>42</v>
      </c>
      <c r="G723" s="9">
        <v>13</v>
      </c>
      <c r="H723" s="9" t="s">
        <v>5777</v>
      </c>
      <c r="I723" t="s">
        <v>171</v>
      </c>
      <c r="J723" t="s">
        <v>177</v>
      </c>
      <c r="K723" t="s">
        <v>173</v>
      </c>
      <c r="T723" t="s">
        <v>3723</v>
      </c>
      <c r="U723" t="s">
        <v>4343</v>
      </c>
      <c r="V723" t="s">
        <v>5778</v>
      </c>
      <c r="X723"/>
      <c r="Y723"/>
      <c r="Z723"/>
    </row>
    <row r="724" spans="1:26" ht="15.75" customHeight="1" x14ac:dyDescent="0.15">
      <c r="A724" s="9">
        <v>718</v>
      </c>
      <c r="B724" t="s">
        <v>75</v>
      </c>
      <c r="C724" t="s">
        <v>4267</v>
      </c>
      <c r="D724" t="s">
        <v>5779</v>
      </c>
      <c r="E724" s="9" t="s">
        <v>219</v>
      </c>
      <c r="F724" s="9">
        <v>42</v>
      </c>
      <c r="G724" s="9">
        <v>14</v>
      </c>
      <c r="H724" s="9" t="s">
        <v>5780</v>
      </c>
      <c r="I724" t="s">
        <v>171</v>
      </c>
      <c r="J724" t="s">
        <v>177</v>
      </c>
      <c r="K724" t="s">
        <v>173</v>
      </c>
      <c r="T724" t="s">
        <v>3723</v>
      </c>
      <c r="U724" t="s">
        <v>4343</v>
      </c>
      <c r="V724" t="s">
        <v>5781</v>
      </c>
      <c r="X724"/>
      <c r="Y724"/>
      <c r="Z724"/>
    </row>
    <row r="725" spans="1:26" ht="15.75" customHeight="1" x14ac:dyDescent="0.15">
      <c r="A725" s="9">
        <v>719</v>
      </c>
      <c r="B725" t="s">
        <v>75</v>
      </c>
      <c r="C725" t="s">
        <v>4267</v>
      </c>
      <c r="D725" t="s">
        <v>5782</v>
      </c>
      <c r="E725" s="9" t="s">
        <v>219</v>
      </c>
      <c r="F725" s="9">
        <v>42</v>
      </c>
      <c r="G725" s="9">
        <v>15</v>
      </c>
      <c r="H725" s="9" t="s">
        <v>5783</v>
      </c>
      <c r="I725" t="s">
        <v>171</v>
      </c>
      <c r="J725" t="s">
        <v>177</v>
      </c>
      <c r="K725" t="s">
        <v>173</v>
      </c>
      <c r="T725" t="s">
        <v>3723</v>
      </c>
      <c r="U725" t="s">
        <v>4343</v>
      </c>
      <c r="V725" t="s">
        <v>5784</v>
      </c>
      <c r="X725"/>
      <c r="Y725"/>
      <c r="Z725"/>
    </row>
    <row r="726" spans="1:26" ht="15.75" customHeight="1" x14ac:dyDescent="0.15">
      <c r="A726" s="9">
        <v>720</v>
      </c>
      <c r="B726" t="s">
        <v>75</v>
      </c>
      <c r="C726" t="s">
        <v>4267</v>
      </c>
      <c r="D726" t="s">
        <v>5785</v>
      </c>
      <c r="E726" s="9" t="s">
        <v>219</v>
      </c>
      <c r="F726" s="9">
        <v>42</v>
      </c>
      <c r="G726" s="9">
        <v>16</v>
      </c>
      <c r="H726" s="9" t="s">
        <v>5786</v>
      </c>
      <c r="I726" t="s">
        <v>171</v>
      </c>
      <c r="J726" t="s">
        <v>177</v>
      </c>
      <c r="K726" t="s">
        <v>173</v>
      </c>
      <c r="T726" t="s">
        <v>3723</v>
      </c>
      <c r="U726" t="s">
        <v>4343</v>
      </c>
      <c r="V726" t="s">
        <v>5787</v>
      </c>
      <c r="X726"/>
      <c r="Y726"/>
      <c r="Z726"/>
    </row>
    <row r="727" spans="1:26" ht="15.75" customHeight="1" x14ac:dyDescent="0.15">
      <c r="A727" s="9">
        <v>721</v>
      </c>
      <c r="B727" t="s">
        <v>75</v>
      </c>
      <c r="C727" t="s">
        <v>4267</v>
      </c>
      <c r="D727" t="s">
        <v>5788</v>
      </c>
      <c r="E727" s="9" t="s">
        <v>219</v>
      </c>
      <c r="F727" s="9">
        <v>42</v>
      </c>
      <c r="G727" s="9">
        <v>17</v>
      </c>
      <c r="H727" s="9" t="s">
        <v>5789</v>
      </c>
      <c r="I727" t="s">
        <v>171</v>
      </c>
      <c r="J727" t="s">
        <v>177</v>
      </c>
      <c r="K727" t="s">
        <v>173</v>
      </c>
      <c r="T727" t="s">
        <v>3723</v>
      </c>
      <c r="U727" t="s">
        <v>4343</v>
      </c>
      <c r="V727" t="s">
        <v>5790</v>
      </c>
      <c r="X727"/>
      <c r="Y727"/>
      <c r="Z727"/>
    </row>
    <row r="728" spans="1:26" ht="15.75" customHeight="1" x14ac:dyDescent="0.15">
      <c r="A728" s="9">
        <v>722</v>
      </c>
      <c r="B728" t="s">
        <v>75</v>
      </c>
      <c r="C728" t="s">
        <v>4267</v>
      </c>
      <c r="D728" t="s">
        <v>5791</v>
      </c>
      <c r="E728" s="9" t="s">
        <v>219</v>
      </c>
      <c r="F728" s="9">
        <v>42</v>
      </c>
      <c r="G728" s="9">
        <v>18</v>
      </c>
      <c r="H728" s="9" t="s">
        <v>5792</v>
      </c>
      <c r="I728" t="s">
        <v>171</v>
      </c>
      <c r="J728" t="s">
        <v>177</v>
      </c>
      <c r="K728" t="s">
        <v>173</v>
      </c>
      <c r="T728" t="s">
        <v>3723</v>
      </c>
      <c r="U728" t="s">
        <v>4343</v>
      </c>
      <c r="V728" t="s">
        <v>5793</v>
      </c>
      <c r="X728"/>
      <c r="Y728"/>
      <c r="Z728"/>
    </row>
    <row r="729" spans="1:26" ht="15.75" customHeight="1" x14ac:dyDescent="0.15">
      <c r="A729" s="9">
        <v>723</v>
      </c>
      <c r="B729" t="s">
        <v>75</v>
      </c>
      <c r="C729" t="s">
        <v>4267</v>
      </c>
      <c r="D729" t="s">
        <v>5794</v>
      </c>
      <c r="E729" s="9" t="s">
        <v>219</v>
      </c>
      <c r="F729" s="9">
        <v>42</v>
      </c>
      <c r="G729" s="9">
        <v>19</v>
      </c>
      <c r="H729" s="9" t="s">
        <v>5795</v>
      </c>
      <c r="I729" t="s">
        <v>171</v>
      </c>
      <c r="J729" t="s">
        <v>177</v>
      </c>
      <c r="K729" t="s">
        <v>173</v>
      </c>
      <c r="T729" t="s">
        <v>3723</v>
      </c>
      <c r="U729" t="s">
        <v>4343</v>
      </c>
      <c r="V729" t="s">
        <v>5796</v>
      </c>
      <c r="X729"/>
      <c r="Y729"/>
      <c r="Z729"/>
    </row>
    <row r="730" spans="1:26" ht="15.75" customHeight="1" x14ac:dyDescent="0.15">
      <c r="A730" s="9">
        <v>724</v>
      </c>
      <c r="B730" t="s">
        <v>75</v>
      </c>
      <c r="C730" t="s">
        <v>4267</v>
      </c>
      <c r="D730" t="s">
        <v>5797</v>
      </c>
      <c r="E730" s="9" t="s">
        <v>219</v>
      </c>
      <c r="F730" s="9">
        <v>43</v>
      </c>
      <c r="G730" s="9"/>
      <c r="H730" s="9"/>
      <c r="I730" t="s">
        <v>196</v>
      </c>
      <c r="L730" t="s">
        <v>61</v>
      </c>
      <c r="M730">
        <v>1</v>
      </c>
      <c r="T730" t="s">
        <v>3723</v>
      </c>
      <c r="U730" t="s">
        <v>3853</v>
      </c>
      <c r="V730" t="s">
        <v>5798</v>
      </c>
      <c r="X730"/>
      <c r="Y730"/>
      <c r="Z730"/>
    </row>
    <row r="731" spans="1:26" ht="15.75" customHeight="1" x14ac:dyDescent="0.15">
      <c r="A731" s="9">
        <v>725</v>
      </c>
      <c r="B731" t="s">
        <v>75</v>
      </c>
      <c r="C731" t="s">
        <v>4267</v>
      </c>
      <c r="D731" t="s">
        <v>5799</v>
      </c>
      <c r="E731" s="9" t="s">
        <v>219</v>
      </c>
      <c r="F731" s="9">
        <v>43</v>
      </c>
      <c r="G731" s="9">
        <v>0</v>
      </c>
      <c r="H731" s="9" t="s">
        <v>5800</v>
      </c>
      <c r="I731" t="s">
        <v>171</v>
      </c>
      <c r="J731" t="s">
        <v>177</v>
      </c>
      <c r="K731" t="s">
        <v>173</v>
      </c>
      <c r="T731" t="s">
        <v>3723</v>
      </c>
      <c r="U731" t="s">
        <v>4343</v>
      </c>
      <c r="V731" t="s">
        <v>5801</v>
      </c>
      <c r="X731"/>
      <c r="Y731"/>
      <c r="Z731"/>
    </row>
    <row r="732" spans="1:26" ht="15.75" customHeight="1" x14ac:dyDescent="0.15">
      <c r="A732" s="9">
        <v>726</v>
      </c>
      <c r="B732" t="s">
        <v>75</v>
      </c>
      <c r="C732" t="s">
        <v>4267</v>
      </c>
      <c r="D732" t="s">
        <v>5802</v>
      </c>
      <c r="E732" s="9" t="s">
        <v>219</v>
      </c>
      <c r="F732" s="9">
        <v>43</v>
      </c>
      <c r="G732" s="9">
        <v>1</v>
      </c>
      <c r="H732" s="9" t="s">
        <v>5803</v>
      </c>
      <c r="I732" t="s">
        <v>171</v>
      </c>
      <c r="J732" t="s">
        <v>177</v>
      </c>
      <c r="K732" t="s">
        <v>173</v>
      </c>
      <c r="T732" t="s">
        <v>3723</v>
      </c>
      <c r="U732" t="s">
        <v>4343</v>
      </c>
      <c r="V732" t="s">
        <v>5804</v>
      </c>
      <c r="X732"/>
      <c r="Y732"/>
      <c r="Z732"/>
    </row>
    <row r="733" spans="1:26" ht="15.75" customHeight="1" x14ac:dyDescent="0.15">
      <c r="A733" s="9">
        <v>727</v>
      </c>
      <c r="B733" t="s">
        <v>75</v>
      </c>
      <c r="C733" t="s">
        <v>4267</v>
      </c>
      <c r="D733" t="s">
        <v>5805</v>
      </c>
      <c r="E733" s="9" t="s">
        <v>219</v>
      </c>
      <c r="F733" s="9">
        <v>43</v>
      </c>
      <c r="G733" s="9">
        <v>2</v>
      </c>
      <c r="H733" s="9" t="s">
        <v>5806</v>
      </c>
      <c r="I733" t="s">
        <v>171</v>
      </c>
      <c r="J733" t="s">
        <v>177</v>
      </c>
      <c r="K733" t="s">
        <v>173</v>
      </c>
      <c r="T733" t="s">
        <v>3723</v>
      </c>
      <c r="U733" t="s">
        <v>4343</v>
      </c>
      <c r="V733" t="s">
        <v>5807</v>
      </c>
      <c r="X733"/>
      <c r="Y733"/>
      <c r="Z733"/>
    </row>
    <row r="734" spans="1:26" ht="15.75" customHeight="1" x14ac:dyDescent="0.15">
      <c r="A734" s="9">
        <v>728</v>
      </c>
      <c r="B734" t="s">
        <v>75</v>
      </c>
      <c r="C734" t="s">
        <v>4267</v>
      </c>
      <c r="D734" t="s">
        <v>5808</v>
      </c>
      <c r="E734" s="9" t="s">
        <v>219</v>
      </c>
      <c r="F734" s="9">
        <v>43</v>
      </c>
      <c r="G734" s="9">
        <v>3</v>
      </c>
      <c r="H734" s="9" t="s">
        <v>5809</v>
      </c>
      <c r="I734" t="s">
        <v>171</v>
      </c>
      <c r="J734" t="s">
        <v>177</v>
      </c>
      <c r="K734" t="s">
        <v>173</v>
      </c>
      <c r="T734" t="s">
        <v>3723</v>
      </c>
      <c r="U734" t="s">
        <v>4343</v>
      </c>
      <c r="V734" t="s">
        <v>5810</v>
      </c>
      <c r="X734"/>
      <c r="Y734"/>
      <c r="Z734"/>
    </row>
    <row r="735" spans="1:26" ht="15.75" customHeight="1" x14ac:dyDescent="0.15">
      <c r="A735" s="9">
        <v>729</v>
      </c>
      <c r="B735" t="s">
        <v>75</v>
      </c>
      <c r="C735" t="s">
        <v>4267</v>
      </c>
      <c r="D735" t="s">
        <v>5811</v>
      </c>
      <c r="E735" s="9" t="s">
        <v>219</v>
      </c>
      <c r="F735" s="9">
        <v>43</v>
      </c>
      <c r="G735" s="9">
        <v>4</v>
      </c>
      <c r="H735" s="9" t="s">
        <v>5812</v>
      </c>
      <c r="I735" t="s">
        <v>171</v>
      </c>
      <c r="J735" t="s">
        <v>177</v>
      </c>
      <c r="K735" t="s">
        <v>173</v>
      </c>
      <c r="T735" t="s">
        <v>3723</v>
      </c>
      <c r="U735" t="s">
        <v>4343</v>
      </c>
      <c r="V735" t="s">
        <v>5813</v>
      </c>
      <c r="X735"/>
      <c r="Y735"/>
      <c r="Z735"/>
    </row>
    <row r="736" spans="1:26" ht="15.75" customHeight="1" x14ac:dyDescent="0.15">
      <c r="A736" s="9">
        <v>730</v>
      </c>
      <c r="B736" t="s">
        <v>75</v>
      </c>
      <c r="C736" t="s">
        <v>4267</v>
      </c>
      <c r="D736" t="s">
        <v>5814</v>
      </c>
      <c r="E736" s="9" t="s">
        <v>219</v>
      </c>
      <c r="F736" s="9">
        <v>43</v>
      </c>
      <c r="G736" s="9">
        <v>5</v>
      </c>
      <c r="H736" s="9" t="s">
        <v>5815</v>
      </c>
      <c r="I736" t="s">
        <v>171</v>
      </c>
      <c r="J736" t="s">
        <v>177</v>
      </c>
      <c r="K736" t="s">
        <v>173</v>
      </c>
      <c r="T736" t="s">
        <v>3723</v>
      </c>
      <c r="U736" t="s">
        <v>4343</v>
      </c>
      <c r="V736" t="s">
        <v>5816</v>
      </c>
      <c r="X736"/>
      <c r="Y736"/>
      <c r="Z736"/>
    </row>
    <row r="737" spans="1:26" ht="15.75" customHeight="1" x14ac:dyDescent="0.15">
      <c r="A737" s="9">
        <v>731</v>
      </c>
      <c r="B737" t="s">
        <v>75</v>
      </c>
      <c r="C737" t="s">
        <v>4267</v>
      </c>
      <c r="D737" t="s">
        <v>5817</v>
      </c>
      <c r="E737" s="9" t="s">
        <v>219</v>
      </c>
      <c r="F737" s="9">
        <v>43</v>
      </c>
      <c r="G737" s="9">
        <v>6</v>
      </c>
      <c r="H737" s="9" t="s">
        <v>5818</v>
      </c>
      <c r="I737" t="s">
        <v>171</v>
      </c>
      <c r="J737" t="s">
        <v>177</v>
      </c>
      <c r="K737" t="s">
        <v>173</v>
      </c>
      <c r="T737" t="s">
        <v>3723</v>
      </c>
      <c r="U737" t="s">
        <v>4343</v>
      </c>
      <c r="V737" t="s">
        <v>5819</v>
      </c>
      <c r="X737"/>
      <c r="Y737"/>
      <c r="Z737"/>
    </row>
    <row r="738" spans="1:26" ht="15.75" customHeight="1" x14ac:dyDescent="0.15">
      <c r="A738" s="9">
        <v>732</v>
      </c>
      <c r="B738" t="s">
        <v>75</v>
      </c>
      <c r="C738" t="s">
        <v>4267</v>
      </c>
      <c r="D738" t="s">
        <v>5820</v>
      </c>
      <c r="E738" s="9" t="s">
        <v>219</v>
      </c>
      <c r="F738" s="9">
        <v>43</v>
      </c>
      <c r="G738" s="9">
        <v>7</v>
      </c>
      <c r="H738" s="9" t="s">
        <v>5821</v>
      </c>
      <c r="I738" t="s">
        <v>171</v>
      </c>
      <c r="J738" t="s">
        <v>177</v>
      </c>
      <c r="K738" t="s">
        <v>173</v>
      </c>
      <c r="T738" t="s">
        <v>3723</v>
      </c>
      <c r="U738" t="s">
        <v>4343</v>
      </c>
      <c r="V738" t="s">
        <v>5822</v>
      </c>
      <c r="X738"/>
      <c r="Y738"/>
      <c r="Z738"/>
    </row>
    <row r="739" spans="1:26" ht="15.75" customHeight="1" x14ac:dyDescent="0.15">
      <c r="A739" s="9">
        <v>733</v>
      </c>
      <c r="B739" t="s">
        <v>75</v>
      </c>
      <c r="C739" t="s">
        <v>4267</v>
      </c>
      <c r="D739" t="s">
        <v>5823</v>
      </c>
      <c r="E739" s="9" t="s">
        <v>219</v>
      </c>
      <c r="F739" s="9">
        <v>43</v>
      </c>
      <c r="G739" s="9">
        <v>8</v>
      </c>
      <c r="H739" s="9" t="s">
        <v>5824</v>
      </c>
      <c r="I739" t="s">
        <v>171</v>
      </c>
      <c r="J739" t="s">
        <v>177</v>
      </c>
      <c r="K739" t="s">
        <v>173</v>
      </c>
      <c r="T739" t="s">
        <v>3723</v>
      </c>
      <c r="U739" t="s">
        <v>4343</v>
      </c>
      <c r="V739" t="s">
        <v>5825</v>
      </c>
      <c r="X739"/>
      <c r="Y739"/>
      <c r="Z739"/>
    </row>
    <row r="740" spans="1:26" ht="15.75" customHeight="1" x14ac:dyDescent="0.15">
      <c r="A740" s="9">
        <v>734</v>
      </c>
      <c r="B740" t="s">
        <v>75</v>
      </c>
      <c r="C740" t="s">
        <v>4267</v>
      </c>
      <c r="D740" t="s">
        <v>5826</v>
      </c>
      <c r="E740" s="9" t="s">
        <v>219</v>
      </c>
      <c r="F740" s="9">
        <v>43</v>
      </c>
      <c r="G740" s="9">
        <v>9</v>
      </c>
      <c r="H740" s="9" t="s">
        <v>5827</v>
      </c>
      <c r="I740" t="s">
        <v>171</v>
      </c>
      <c r="J740" t="s">
        <v>177</v>
      </c>
      <c r="K740" t="s">
        <v>173</v>
      </c>
      <c r="T740" t="s">
        <v>3723</v>
      </c>
      <c r="U740" t="s">
        <v>4343</v>
      </c>
      <c r="V740" t="s">
        <v>5828</v>
      </c>
      <c r="X740"/>
      <c r="Y740"/>
      <c r="Z740"/>
    </row>
    <row r="741" spans="1:26" ht="15.75" customHeight="1" x14ac:dyDescent="0.15">
      <c r="A741" s="9">
        <v>735</v>
      </c>
      <c r="B741" t="s">
        <v>75</v>
      </c>
      <c r="C741" t="s">
        <v>4267</v>
      </c>
      <c r="D741" t="s">
        <v>5829</v>
      </c>
      <c r="E741" s="9" t="s">
        <v>219</v>
      </c>
      <c r="F741" s="9">
        <v>43</v>
      </c>
      <c r="G741" s="9">
        <v>10</v>
      </c>
      <c r="H741" s="9" t="s">
        <v>5830</v>
      </c>
      <c r="I741" t="s">
        <v>171</v>
      </c>
      <c r="J741" t="s">
        <v>177</v>
      </c>
      <c r="K741" t="s">
        <v>173</v>
      </c>
      <c r="T741" t="s">
        <v>3723</v>
      </c>
      <c r="U741" t="s">
        <v>4343</v>
      </c>
      <c r="V741" t="s">
        <v>5831</v>
      </c>
      <c r="X741"/>
      <c r="Y741"/>
      <c r="Z741"/>
    </row>
    <row r="742" spans="1:26" ht="15.75" customHeight="1" x14ac:dyDescent="0.15">
      <c r="A742" s="9">
        <v>736</v>
      </c>
      <c r="B742" t="s">
        <v>75</v>
      </c>
      <c r="C742" t="s">
        <v>4267</v>
      </c>
      <c r="D742" t="s">
        <v>5832</v>
      </c>
      <c r="E742" s="9" t="s">
        <v>219</v>
      </c>
      <c r="F742" s="9">
        <v>43</v>
      </c>
      <c r="G742" s="9">
        <v>11</v>
      </c>
      <c r="H742" s="9" t="s">
        <v>5833</v>
      </c>
      <c r="I742" t="s">
        <v>171</v>
      </c>
      <c r="J742" t="s">
        <v>177</v>
      </c>
      <c r="K742" t="s">
        <v>173</v>
      </c>
      <c r="T742" t="s">
        <v>3723</v>
      </c>
      <c r="U742" t="s">
        <v>4343</v>
      </c>
      <c r="V742" t="s">
        <v>5834</v>
      </c>
      <c r="X742"/>
      <c r="Y742"/>
      <c r="Z742"/>
    </row>
    <row r="743" spans="1:26" ht="15.75" customHeight="1" x14ac:dyDescent="0.15">
      <c r="A743" s="9">
        <v>737</v>
      </c>
      <c r="B743" t="s">
        <v>75</v>
      </c>
      <c r="C743" t="s">
        <v>4267</v>
      </c>
      <c r="D743" t="s">
        <v>5835</v>
      </c>
      <c r="E743" s="9" t="s">
        <v>219</v>
      </c>
      <c r="F743" s="9">
        <v>43</v>
      </c>
      <c r="G743" s="9">
        <v>12</v>
      </c>
      <c r="H743" s="9" t="s">
        <v>5836</v>
      </c>
      <c r="I743" t="s">
        <v>171</v>
      </c>
      <c r="J743" t="s">
        <v>177</v>
      </c>
      <c r="K743" t="s">
        <v>173</v>
      </c>
      <c r="T743" t="s">
        <v>3723</v>
      </c>
      <c r="U743" t="s">
        <v>4343</v>
      </c>
      <c r="V743" t="s">
        <v>5837</v>
      </c>
      <c r="X743"/>
      <c r="Y743"/>
      <c r="Z743"/>
    </row>
    <row r="744" spans="1:26" ht="15.75" customHeight="1" x14ac:dyDescent="0.15">
      <c r="A744" s="9">
        <v>738</v>
      </c>
      <c r="B744" t="s">
        <v>75</v>
      </c>
      <c r="C744" t="s">
        <v>4267</v>
      </c>
      <c r="D744" t="s">
        <v>5838</v>
      </c>
      <c r="E744" s="9" t="s">
        <v>219</v>
      </c>
      <c r="F744" s="9">
        <v>43</v>
      </c>
      <c r="G744" s="9">
        <v>13</v>
      </c>
      <c r="H744" s="9" t="s">
        <v>5839</v>
      </c>
      <c r="I744" t="s">
        <v>171</v>
      </c>
      <c r="J744" t="s">
        <v>177</v>
      </c>
      <c r="K744" t="s">
        <v>173</v>
      </c>
      <c r="T744" t="s">
        <v>3723</v>
      </c>
      <c r="U744" t="s">
        <v>4343</v>
      </c>
      <c r="V744" t="s">
        <v>5840</v>
      </c>
      <c r="X744"/>
      <c r="Y744"/>
      <c r="Z744"/>
    </row>
    <row r="745" spans="1:26" ht="15.75" customHeight="1" x14ac:dyDescent="0.15">
      <c r="A745" s="9">
        <v>739</v>
      </c>
      <c r="B745" t="s">
        <v>75</v>
      </c>
      <c r="C745" t="s">
        <v>4267</v>
      </c>
      <c r="D745" t="s">
        <v>5841</v>
      </c>
      <c r="E745" s="9" t="s">
        <v>219</v>
      </c>
      <c r="F745" s="9">
        <v>43</v>
      </c>
      <c r="G745" s="9">
        <v>14</v>
      </c>
      <c r="H745" s="9" t="s">
        <v>5842</v>
      </c>
      <c r="I745" t="s">
        <v>171</v>
      </c>
      <c r="J745" t="s">
        <v>177</v>
      </c>
      <c r="K745" t="s">
        <v>173</v>
      </c>
      <c r="T745" t="s">
        <v>3723</v>
      </c>
      <c r="U745" t="s">
        <v>4343</v>
      </c>
      <c r="V745" t="s">
        <v>5843</v>
      </c>
      <c r="X745"/>
      <c r="Y745"/>
      <c r="Z745"/>
    </row>
    <row r="746" spans="1:26" ht="15.75" customHeight="1" x14ac:dyDescent="0.15">
      <c r="A746" s="9">
        <v>740</v>
      </c>
      <c r="B746" t="s">
        <v>75</v>
      </c>
      <c r="C746" t="s">
        <v>4267</v>
      </c>
      <c r="D746" t="s">
        <v>5844</v>
      </c>
      <c r="E746" s="9" t="s">
        <v>219</v>
      </c>
      <c r="F746" s="9">
        <v>43</v>
      </c>
      <c r="G746" s="9">
        <v>15</v>
      </c>
      <c r="H746" s="9" t="s">
        <v>5845</v>
      </c>
      <c r="I746" t="s">
        <v>171</v>
      </c>
      <c r="J746" t="s">
        <v>177</v>
      </c>
      <c r="K746" t="s">
        <v>173</v>
      </c>
      <c r="T746" t="s">
        <v>3723</v>
      </c>
      <c r="U746" t="s">
        <v>4343</v>
      </c>
      <c r="V746" t="s">
        <v>5846</v>
      </c>
      <c r="X746"/>
      <c r="Y746"/>
      <c r="Z746"/>
    </row>
    <row r="747" spans="1:26" ht="15.75" customHeight="1" x14ac:dyDescent="0.15">
      <c r="A747" s="9">
        <v>741</v>
      </c>
      <c r="B747" t="s">
        <v>75</v>
      </c>
      <c r="C747" t="s">
        <v>4267</v>
      </c>
      <c r="D747" t="s">
        <v>5847</v>
      </c>
      <c r="E747" s="9" t="s">
        <v>219</v>
      </c>
      <c r="F747" s="9">
        <v>43</v>
      </c>
      <c r="G747" s="9">
        <v>16</v>
      </c>
      <c r="H747" s="9" t="s">
        <v>5848</v>
      </c>
      <c r="I747" t="s">
        <v>171</v>
      </c>
      <c r="J747" t="s">
        <v>177</v>
      </c>
      <c r="K747" t="s">
        <v>173</v>
      </c>
      <c r="T747" t="s">
        <v>3723</v>
      </c>
      <c r="U747" t="s">
        <v>4343</v>
      </c>
      <c r="V747" t="s">
        <v>5849</v>
      </c>
      <c r="X747"/>
      <c r="Y747"/>
      <c r="Z747"/>
    </row>
    <row r="748" spans="1:26" ht="15.75" customHeight="1" x14ac:dyDescent="0.15">
      <c r="A748" s="9">
        <v>742</v>
      </c>
      <c r="B748" t="s">
        <v>75</v>
      </c>
      <c r="C748" t="s">
        <v>4267</v>
      </c>
      <c r="D748" t="s">
        <v>5850</v>
      </c>
      <c r="E748" s="9" t="s">
        <v>219</v>
      </c>
      <c r="F748" s="9">
        <v>43</v>
      </c>
      <c r="G748" s="9">
        <v>17</v>
      </c>
      <c r="H748" s="9" t="s">
        <v>5851</v>
      </c>
      <c r="I748" t="s">
        <v>171</v>
      </c>
      <c r="J748" t="s">
        <v>177</v>
      </c>
      <c r="K748" t="s">
        <v>173</v>
      </c>
      <c r="T748" t="s">
        <v>3723</v>
      </c>
      <c r="U748" t="s">
        <v>4343</v>
      </c>
      <c r="V748" t="s">
        <v>5852</v>
      </c>
      <c r="X748"/>
      <c r="Y748"/>
      <c r="Z748"/>
    </row>
    <row r="749" spans="1:26" ht="15.75" customHeight="1" x14ac:dyDescent="0.15">
      <c r="A749" s="9">
        <v>743</v>
      </c>
      <c r="B749" t="s">
        <v>75</v>
      </c>
      <c r="C749" t="s">
        <v>4267</v>
      </c>
      <c r="D749" t="s">
        <v>5853</v>
      </c>
      <c r="E749" s="9" t="s">
        <v>219</v>
      </c>
      <c r="F749" s="9">
        <v>43</v>
      </c>
      <c r="G749" s="9">
        <v>18</v>
      </c>
      <c r="H749" s="9" t="s">
        <v>5854</v>
      </c>
      <c r="I749" t="s">
        <v>171</v>
      </c>
      <c r="J749" t="s">
        <v>177</v>
      </c>
      <c r="K749" t="s">
        <v>173</v>
      </c>
      <c r="T749" t="s">
        <v>3723</v>
      </c>
      <c r="U749" t="s">
        <v>4343</v>
      </c>
      <c r="V749" t="s">
        <v>5855</v>
      </c>
      <c r="X749"/>
      <c r="Y749"/>
      <c r="Z749"/>
    </row>
    <row r="750" spans="1:26" ht="15.75" customHeight="1" x14ac:dyDescent="0.15">
      <c r="A750" s="9">
        <v>744</v>
      </c>
      <c r="B750" t="s">
        <v>75</v>
      </c>
      <c r="C750" t="s">
        <v>4267</v>
      </c>
      <c r="D750" t="s">
        <v>5856</v>
      </c>
      <c r="E750" s="9" t="s">
        <v>219</v>
      </c>
      <c r="F750" s="9">
        <v>43</v>
      </c>
      <c r="G750" s="9">
        <v>19</v>
      </c>
      <c r="H750" s="9" t="s">
        <v>5857</v>
      </c>
      <c r="I750" t="s">
        <v>171</v>
      </c>
      <c r="J750" t="s">
        <v>177</v>
      </c>
      <c r="K750" t="s">
        <v>173</v>
      </c>
      <c r="T750" t="s">
        <v>3723</v>
      </c>
      <c r="U750" t="s">
        <v>4343</v>
      </c>
      <c r="V750" t="s">
        <v>5858</v>
      </c>
      <c r="X750"/>
      <c r="Y750"/>
      <c r="Z750"/>
    </row>
    <row r="751" spans="1:26" ht="15.75" customHeight="1" x14ac:dyDescent="0.15">
      <c r="A751" s="9">
        <v>745</v>
      </c>
      <c r="B751" t="s">
        <v>75</v>
      </c>
      <c r="C751" t="s">
        <v>4267</v>
      </c>
      <c r="D751" t="s">
        <v>5684</v>
      </c>
      <c r="E751" s="9" t="s">
        <v>219</v>
      </c>
      <c r="F751" s="9">
        <v>43</v>
      </c>
      <c r="G751" s="9">
        <v>20</v>
      </c>
      <c r="H751" s="9" t="s">
        <v>5859</v>
      </c>
      <c r="I751" t="s">
        <v>171</v>
      </c>
      <c r="J751" t="s">
        <v>177</v>
      </c>
      <c r="K751" t="s">
        <v>173</v>
      </c>
      <c r="T751" t="s">
        <v>3723</v>
      </c>
      <c r="U751" t="s">
        <v>4343</v>
      </c>
      <c r="V751" t="s">
        <v>5860</v>
      </c>
      <c r="X751"/>
      <c r="Y751"/>
      <c r="Z751"/>
    </row>
    <row r="752" spans="1:26" ht="15.75" customHeight="1" x14ac:dyDescent="0.15">
      <c r="A752" s="9">
        <v>746</v>
      </c>
      <c r="B752" t="s">
        <v>75</v>
      </c>
      <c r="C752" t="s">
        <v>4267</v>
      </c>
      <c r="D752" t="s">
        <v>5861</v>
      </c>
      <c r="E752" s="9" t="s">
        <v>219</v>
      </c>
      <c r="F752" s="9">
        <v>43</v>
      </c>
      <c r="G752" s="9">
        <v>21</v>
      </c>
      <c r="H752" s="9" t="s">
        <v>5862</v>
      </c>
      <c r="I752" t="s">
        <v>171</v>
      </c>
      <c r="J752" t="s">
        <v>177</v>
      </c>
      <c r="K752" t="s">
        <v>173</v>
      </c>
      <c r="T752" t="s">
        <v>3723</v>
      </c>
      <c r="U752" t="s">
        <v>4343</v>
      </c>
      <c r="V752" t="s">
        <v>5863</v>
      </c>
      <c r="X752"/>
      <c r="Y752"/>
      <c r="Z752"/>
    </row>
    <row r="753" spans="1:26" ht="15.75" customHeight="1" x14ac:dyDescent="0.15">
      <c r="A753" s="9">
        <v>747</v>
      </c>
      <c r="B753" t="s">
        <v>75</v>
      </c>
      <c r="C753" t="s">
        <v>4267</v>
      </c>
      <c r="D753" t="s">
        <v>5864</v>
      </c>
      <c r="E753" s="9" t="s">
        <v>219</v>
      </c>
      <c r="F753" s="9">
        <v>43</v>
      </c>
      <c r="G753" s="9">
        <v>22</v>
      </c>
      <c r="H753" s="9" t="s">
        <v>5865</v>
      </c>
      <c r="I753" t="s">
        <v>171</v>
      </c>
      <c r="J753" t="s">
        <v>177</v>
      </c>
      <c r="K753" t="s">
        <v>173</v>
      </c>
      <c r="T753" t="s">
        <v>3723</v>
      </c>
      <c r="U753" t="s">
        <v>4343</v>
      </c>
      <c r="V753" t="s">
        <v>5866</v>
      </c>
      <c r="X753"/>
      <c r="Y753"/>
      <c r="Z753"/>
    </row>
    <row r="754" spans="1:26" ht="15.75" customHeight="1" x14ac:dyDescent="0.15">
      <c r="A754" s="9">
        <v>748</v>
      </c>
      <c r="C754" t="s">
        <v>4267</v>
      </c>
      <c r="D754" t="s">
        <v>5867</v>
      </c>
      <c r="E754" s="9" t="s">
        <v>219</v>
      </c>
      <c r="F754" s="9">
        <v>44</v>
      </c>
      <c r="G754" s="9"/>
      <c r="H754" s="9"/>
      <c r="I754" t="s">
        <v>196</v>
      </c>
      <c r="L754" t="s">
        <v>61</v>
      </c>
      <c r="M754">
        <v>1</v>
      </c>
      <c r="T754" t="s">
        <v>3723</v>
      </c>
      <c r="U754" t="s">
        <v>3853</v>
      </c>
      <c r="V754" t="s">
        <v>5868</v>
      </c>
      <c r="X754"/>
      <c r="Y754"/>
      <c r="Z754"/>
    </row>
    <row r="755" spans="1:26" ht="15.75" customHeight="1" x14ac:dyDescent="0.15">
      <c r="A755" s="9">
        <v>749</v>
      </c>
      <c r="C755" t="s">
        <v>4267</v>
      </c>
      <c r="D755" t="s">
        <v>5869</v>
      </c>
      <c r="E755" s="9" t="s">
        <v>219</v>
      </c>
      <c r="F755" s="9">
        <v>44</v>
      </c>
      <c r="G755" s="9">
        <v>1</v>
      </c>
      <c r="H755" s="9" t="s">
        <v>5870</v>
      </c>
      <c r="I755" t="s">
        <v>171</v>
      </c>
      <c r="J755" t="s">
        <v>177</v>
      </c>
      <c r="K755" t="s">
        <v>173</v>
      </c>
      <c r="T755" t="s">
        <v>3723</v>
      </c>
      <c r="U755" t="s">
        <v>4343</v>
      </c>
      <c r="V755" t="s">
        <v>5871</v>
      </c>
      <c r="X755"/>
      <c r="Y755"/>
      <c r="Z755"/>
    </row>
    <row r="756" spans="1:26" ht="15.75" customHeight="1" x14ac:dyDescent="0.15">
      <c r="A756" s="9">
        <v>750</v>
      </c>
      <c r="C756" t="s">
        <v>4267</v>
      </c>
      <c r="D756" t="s">
        <v>5872</v>
      </c>
      <c r="E756" s="9" t="s">
        <v>219</v>
      </c>
      <c r="F756" s="9">
        <v>44</v>
      </c>
      <c r="G756" s="9">
        <v>2</v>
      </c>
      <c r="H756" s="9" t="s">
        <v>5873</v>
      </c>
      <c r="I756" t="s">
        <v>171</v>
      </c>
      <c r="J756" t="s">
        <v>177</v>
      </c>
      <c r="K756" t="s">
        <v>173</v>
      </c>
      <c r="T756" t="s">
        <v>3723</v>
      </c>
      <c r="U756" t="s">
        <v>4343</v>
      </c>
      <c r="V756" t="s">
        <v>5874</v>
      </c>
      <c r="X756"/>
      <c r="Y756"/>
      <c r="Z756"/>
    </row>
    <row r="757" spans="1:26" ht="15.75" customHeight="1" x14ac:dyDescent="0.15">
      <c r="A757" s="9">
        <v>751</v>
      </c>
      <c r="C757" t="s">
        <v>4267</v>
      </c>
      <c r="D757" t="s">
        <v>5875</v>
      </c>
      <c r="E757" s="9" t="s">
        <v>219</v>
      </c>
      <c r="F757" s="9">
        <v>44</v>
      </c>
      <c r="G757" s="9">
        <v>3</v>
      </c>
      <c r="H757" s="9" t="s">
        <v>5876</v>
      </c>
      <c r="I757" t="s">
        <v>171</v>
      </c>
      <c r="J757" t="s">
        <v>177</v>
      </c>
      <c r="K757" t="s">
        <v>173</v>
      </c>
      <c r="T757" t="s">
        <v>3723</v>
      </c>
      <c r="U757" t="s">
        <v>4343</v>
      </c>
      <c r="V757" t="s">
        <v>5877</v>
      </c>
      <c r="X757"/>
      <c r="Y757"/>
      <c r="Z757"/>
    </row>
    <row r="758" spans="1:26" ht="15.75" customHeight="1" x14ac:dyDescent="0.15">
      <c r="A758" s="9">
        <v>752</v>
      </c>
      <c r="C758" t="s">
        <v>4267</v>
      </c>
      <c r="D758" t="s">
        <v>5878</v>
      </c>
      <c r="E758" s="9" t="s">
        <v>219</v>
      </c>
      <c r="F758" s="9">
        <v>44</v>
      </c>
      <c r="G758" s="9">
        <v>4</v>
      </c>
      <c r="H758" s="9" t="s">
        <v>5879</v>
      </c>
      <c r="I758" t="s">
        <v>171</v>
      </c>
      <c r="J758" t="s">
        <v>177</v>
      </c>
      <c r="K758" t="s">
        <v>173</v>
      </c>
      <c r="T758" t="s">
        <v>3723</v>
      </c>
      <c r="U758" t="s">
        <v>4343</v>
      </c>
      <c r="V758" t="s">
        <v>5880</v>
      </c>
      <c r="X758"/>
      <c r="Y758"/>
      <c r="Z758"/>
    </row>
    <row r="759" spans="1:26" ht="15.75" customHeight="1" x14ac:dyDescent="0.15">
      <c r="A759" s="9">
        <v>753</v>
      </c>
      <c r="C759" t="s">
        <v>4267</v>
      </c>
      <c r="D759" t="s">
        <v>5881</v>
      </c>
      <c r="E759" s="9" t="s">
        <v>219</v>
      </c>
      <c r="F759" s="9">
        <v>44</v>
      </c>
      <c r="G759" s="9">
        <v>5</v>
      </c>
      <c r="H759" s="9" t="s">
        <v>5882</v>
      </c>
      <c r="I759" t="s">
        <v>171</v>
      </c>
      <c r="J759" t="s">
        <v>177</v>
      </c>
      <c r="K759" t="s">
        <v>173</v>
      </c>
      <c r="T759" t="s">
        <v>3723</v>
      </c>
      <c r="U759" t="s">
        <v>4343</v>
      </c>
      <c r="V759" t="s">
        <v>5883</v>
      </c>
      <c r="X759"/>
      <c r="Y759"/>
      <c r="Z759"/>
    </row>
    <row r="760" spans="1:26" ht="15.75" customHeight="1" x14ac:dyDescent="0.15">
      <c r="A760" s="9">
        <v>754</v>
      </c>
      <c r="C760" t="s">
        <v>4267</v>
      </c>
      <c r="D760" t="s">
        <v>5884</v>
      </c>
      <c r="E760" s="9" t="s">
        <v>219</v>
      </c>
      <c r="F760" s="9">
        <v>44</v>
      </c>
      <c r="G760" s="9">
        <v>6</v>
      </c>
      <c r="H760" s="9" t="s">
        <v>5885</v>
      </c>
      <c r="I760" t="s">
        <v>171</v>
      </c>
      <c r="J760" t="s">
        <v>177</v>
      </c>
      <c r="K760" t="s">
        <v>173</v>
      </c>
      <c r="T760" t="s">
        <v>3723</v>
      </c>
      <c r="U760" t="s">
        <v>4343</v>
      </c>
      <c r="V760" t="s">
        <v>5886</v>
      </c>
      <c r="X760"/>
      <c r="Y760"/>
      <c r="Z760"/>
    </row>
    <row r="761" spans="1:26" ht="15.75" customHeight="1" x14ac:dyDescent="0.15">
      <c r="A761" s="9">
        <v>755</v>
      </c>
      <c r="C761" t="s">
        <v>4267</v>
      </c>
      <c r="D761" t="s">
        <v>5887</v>
      </c>
      <c r="E761" s="9" t="s">
        <v>219</v>
      </c>
      <c r="F761" s="9">
        <v>44</v>
      </c>
      <c r="G761" s="9">
        <v>7</v>
      </c>
      <c r="H761" s="9" t="s">
        <v>5888</v>
      </c>
      <c r="I761" t="s">
        <v>171</v>
      </c>
      <c r="J761" t="s">
        <v>177</v>
      </c>
      <c r="K761" t="s">
        <v>173</v>
      </c>
      <c r="T761" t="s">
        <v>3723</v>
      </c>
      <c r="U761" t="s">
        <v>4343</v>
      </c>
      <c r="V761" t="s">
        <v>5889</v>
      </c>
      <c r="X761"/>
      <c r="Y761"/>
      <c r="Z761"/>
    </row>
    <row r="762" spans="1:26" ht="15.75" customHeight="1" x14ac:dyDescent="0.15">
      <c r="A762" s="9">
        <v>756</v>
      </c>
      <c r="C762" t="s">
        <v>4267</v>
      </c>
      <c r="D762" t="s">
        <v>5890</v>
      </c>
      <c r="E762" s="9" t="s">
        <v>219</v>
      </c>
      <c r="F762" s="9">
        <v>44</v>
      </c>
      <c r="G762" s="9">
        <v>11</v>
      </c>
      <c r="H762" s="9" t="s">
        <v>5891</v>
      </c>
      <c r="I762" t="s">
        <v>171</v>
      </c>
      <c r="J762" t="s">
        <v>177</v>
      </c>
      <c r="K762" t="s">
        <v>173</v>
      </c>
      <c r="T762" t="s">
        <v>3723</v>
      </c>
      <c r="U762" t="s">
        <v>4343</v>
      </c>
      <c r="V762" t="s">
        <v>5892</v>
      </c>
      <c r="X762"/>
      <c r="Y762"/>
      <c r="Z762"/>
    </row>
    <row r="763" spans="1:26" ht="15.75" customHeight="1" x14ac:dyDescent="0.15">
      <c r="A763" s="9">
        <v>757</v>
      </c>
      <c r="C763" t="s">
        <v>4267</v>
      </c>
      <c r="D763" t="s">
        <v>5893</v>
      </c>
      <c r="E763" s="9" t="s">
        <v>219</v>
      </c>
      <c r="F763" s="9">
        <v>44</v>
      </c>
      <c r="G763" s="9">
        <v>12</v>
      </c>
      <c r="H763" s="9" t="s">
        <v>5894</v>
      </c>
      <c r="I763" t="s">
        <v>171</v>
      </c>
      <c r="J763" t="s">
        <v>177</v>
      </c>
      <c r="K763" t="s">
        <v>173</v>
      </c>
      <c r="T763" t="s">
        <v>3723</v>
      </c>
      <c r="U763" t="s">
        <v>4343</v>
      </c>
      <c r="V763" t="s">
        <v>5895</v>
      </c>
      <c r="X763"/>
      <c r="Y763"/>
      <c r="Z763"/>
    </row>
    <row r="764" spans="1:26" ht="15.75" customHeight="1" x14ac:dyDescent="0.15">
      <c r="A764" s="9">
        <v>758</v>
      </c>
      <c r="C764" t="s">
        <v>4267</v>
      </c>
      <c r="D764" t="s">
        <v>5896</v>
      </c>
      <c r="E764" s="9" t="s">
        <v>219</v>
      </c>
      <c r="F764" s="9">
        <v>44</v>
      </c>
      <c r="G764" s="9">
        <v>13</v>
      </c>
      <c r="H764" s="9" t="s">
        <v>5897</v>
      </c>
      <c r="I764" t="s">
        <v>171</v>
      </c>
      <c r="J764" t="s">
        <v>177</v>
      </c>
      <c r="K764" t="s">
        <v>173</v>
      </c>
      <c r="T764" t="s">
        <v>3723</v>
      </c>
      <c r="U764" t="s">
        <v>4343</v>
      </c>
      <c r="V764" t="s">
        <v>5898</v>
      </c>
      <c r="X764"/>
      <c r="Y764"/>
      <c r="Z764"/>
    </row>
    <row r="765" spans="1:26" ht="15.75" customHeight="1" x14ac:dyDescent="0.15">
      <c r="A765" s="9">
        <v>759</v>
      </c>
      <c r="C765" t="s">
        <v>4267</v>
      </c>
      <c r="D765" t="s">
        <v>5899</v>
      </c>
      <c r="E765" s="9" t="s">
        <v>219</v>
      </c>
      <c r="F765" s="9">
        <v>44</v>
      </c>
      <c r="G765" s="9">
        <v>14</v>
      </c>
      <c r="H765" s="9" t="s">
        <v>5900</v>
      </c>
      <c r="I765" t="s">
        <v>171</v>
      </c>
      <c r="J765" t="s">
        <v>177</v>
      </c>
      <c r="K765" t="s">
        <v>173</v>
      </c>
      <c r="T765" t="s">
        <v>3723</v>
      </c>
      <c r="U765" t="s">
        <v>4343</v>
      </c>
      <c r="V765" t="s">
        <v>5901</v>
      </c>
      <c r="X765"/>
      <c r="Y765"/>
      <c r="Z765"/>
    </row>
    <row r="766" spans="1:26" ht="15.75" customHeight="1" x14ac:dyDescent="0.15">
      <c r="A766" s="9">
        <v>760</v>
      </c>
      <c r="C766" t="s">
        <v>4267</v>
      </c>
      <c r="D766" t="s">
        <v>5902</v>
      </c>
      <c r="E766" s="9" t="s">
        <v>219</v>
      </c>
      <c r="F766" s="9">
        <v>44</v>
      </c>
      <c r="G766" s="9">
        <v>15</v>
      </c>
      <c r="H766" s="9" t="s">
        <v>5903</v>
      </c>
      <c r="I766" t="s">
        <v>171</v>
      </c>
      <c r="J766" t="s">
        <v>177</v>
      </c>
      <c r="K766" t="s">
        <v>173</v>
      </c>
      <c r="T766" t="s">
        <v>3723</v>
      </c>
      <c r="U766" t="s">
        <v>4343</v>
      </c>
      <c r="V766" t="s">
        <v>5904</v>
      </c>
      <c r="X766"/>
      <c r="Y766"/>
      <c r="Z766"/>
    </row>
    <row r="767" spans="1:26" ht="15.75" customHeight="1" x14ac:dyDescent="0.15">
      <c r="A767" s="9">
        <v>761</v>
      </c>
      <c r="C767" t="s">
        <v>4267</v>
      </c>
      <c r="D767" t="s">
        <v>5905</v>
      </c>
      <c r="E767" s="9" t="s">
        <v>219</v>
      </c>
      <c r="F767" s="9">
        <v>44</v>
      </c>
      <c r="G767" s="9">
        <v>16</v>
      </c>
      <c r="H767" s="9" t="s">
        <v>5906</v>
      </c>
      <c r="I767" t="s">
        <v>171</v>
      </c>
      <c r="J767" t="s">
        <v>177</v>
      </c>
      <c r="K767" t="s">
        <v>173</v>
      </c>
      <c r="T767" t="s">
        <v>3723</v>
      </c>
      <c r="U767" t="s">
        <v>4343</v>
      </c>
      <c r="V767" t="s">
        <v>5907</v>
      </c>
      <c r="X767"/>
      <c r="Y767"/>
      <c r="Z767"/>
    </row>
    <row r="768" spans="1:26" ht="15.75" customHeight="1" x14ac:dyDescent="0.15">
      <c r="A768" s="9">
        <v>762</v>
      </c>
      <c r="C768" t="s">
        <v>4267</v>
      </c>
      <c r="D768" t="s">
        <v>5908</v>
      </c>
      <c r="E768" s="9" t="s">
        <v>219</v>
      </c>
      <c r="F768" s="9">
        <v>44</v>
      </c>
      <c r="G768" s="9">
        <v>17</v>
      </c>
      <c r="H768" s="9" t="s">
        <v>5909</v>
      </c>
      <c r="I768" t="s">
        <v>171</v>
      </c>
      <c r="J768" t="s">
        <v>177</v>
      </c>
      <c r="K768" t="s">
        <v>173</v>
      </c>
      <c r="T768" t="s">
        <v>3723</v>
      </c>
      <c r="U768" t="s">
        <v>4343</v>
      </c>
      <c r="V768" t="s">
        <v>5910</v>
      </c>
      <c r="X768"/>
      <c r="Y768"/>
      <c r="Z768"/>
    </row>
    <row r="769" spans="1:26" ht="15.75" customHeight="1" x14ac:dyDescent="0.15">
      <c r="A769" s="9">
        <v>763</v>
      </c>
      <c r="B769" t="s">
        <v>75</v>
      </c>
      <c r="C769" t="s">
        <v>4267</v>
      </c>
      <c r="D769" t="s">
        <v>5911</v>
      </c>
      <c r="E769" s="9" t="s">
        <v>219</v>
      </c>
      <c r="F769" s="9">
        <v>100</v>
      </c>
      <c r="G769" s="9"/>
      <c r="H769" s="9" t="s">
        <v>5912</v>
      </c>
      <c r="L769" t="s">
        <v>61</v>
      </c>
      <c r="M769">
        <v>1</v>
      </c>
      <c r="T769" t="s">
        <v>3723</v>
      </c>
      <c r="U769" t="s">
        <v>3853</v>
      </c>
      <c r="V769" t="s">
        <v>5913</v>
      </c>
      <c r="X769"/>
      <c r="Y769"/>
      <c r="Z769"/>
    </row>
    <row r="770" spans="1:26" ht="15.75" customHeight="1" x14ac:dyDescent="0.15">
      <c r="A770" s="9">
        <v>764</v>
      </c>
      <c r="B770" t="s">
        <v>75</v>
      </c>
      <c r="C770" t="s">
        <v>4267</v>
      </c>
      <c r="D770" t="s">
        <v>5914</v>
      </c>
      <c r="E770" s="9" t="s">
        <v>219</v>
      </c>
      <c r="F770" s="9">
        <v>101</v>
      </c>
      <c r="G770" s="9"/>
      <c r="H770" s="9" t="s">
        <v>5915</v>
      </c>
      <c r="L770" t="s">
        <v>61</v>
      </c>
      <c r="M770">
        <v>1</v>
      </c>
      <c r="T770" t="s">
        <v>3723</v>
      </c>
      <c r="U770" t="s">
        <v>3853</v>
      </c>
      <c r="V770" t="s">
        <v>5916</v>
      </c>
      <c r="X770"/>
      <c r="Y770"/>
      <c r="Z770"/>
    </row>
    <row r="771" spans="1:26" ht="15.75" customHeight="1" x14ac:dyDescent="0.15">
      <c r="A771" s="9">
        <v>765</v>
      </c>
      <c r="B771" t="s">
        <v>75</v>
      </c>
      <c r="C771" t="s">
        <v>4267</v>
      </c>
      <c r="D771" t="s">
        <v>5917</v>
      </c>
      <c r="E771" s="9" t="s">
        <v>219</v>
      </c>
      <c r="F771" s="9">
        <v>102</v>
      </c>
      <c r="G771" s="9"/>
      <c r="H771" s="9" t="s">
        <v>5918</v>
      </c>
      <c r="L771" t="s">
        <v>61</v>
      </c>
      <c r="M771">
        <v>1</v>
      </c>
      <c r="T771" t="s">
        <v>3723</v>
      </c>
      <c r="U771" t="s">
        <v>3853</v>
      </c>
      <c r="V771" t="s">
        <v>5919</v>
      </c>
      <c r="X771"/>
      <c r="Y771"/>
      <c r="Z771"/>
    </row>
    <row r="772" spans="1:26" ht="15.75" customHeight="1" x14ac:dyDescent="0.15">
      <c r="A772" s="9">
        <v>766</v>
      </c>
      <c r="B772" t="s">
        <v>75</v>
      </c>
      <c r="C772" t="s">
        <v>4267</v>
      </c>
      <c r="D772" t="s">
        <v>5920</v>
      </c>
      <c r="E772" s="9" t="s">
        <v>219</v>
      </c>
      <c r="F772" s="9">
        <v>103</v>
      </c>
      <c r="G772" s="9"/>
      <c r="H772" s="9" t="s">
        <v>5921</v>
      </c>
      <c r="L772" t="s">
        <v>61</v>
      </c>
      <c r="M772">
        <v>1</v>
      </c>
      <c r="T772" t="s">
        <v>3723</v>
      </c>
      <c r="U772" t="s">
        <v>3853</v>
      </c>
      <c r="V772" t="s">
        <v>5922</v>
      </c>
      <c r="X772"/>
      <c r="Y772"/>
      <c r="Z772"/>
    </row>
    <row r="773" spans="1:26" ht="15.75" customHeight="1" x14ac:dyDescent="0.15">
      <c r="A773" s="9">
        <v>767</v>
      </c>
      <c r="B773" t="s">
        <v>75</v>
      </c>
      <c r="C773" t="s">
        <v>4267</v>
      </c>
      <c r="D773" t="s">
        <v>5923</v>
      </c>
      <c r="E773" s="9" t="s">
        <v>219</v>
      </c>
      <c r="F773" s="9">
        <v>104</v>
      </c>
      <c r="G773" s="9"/>
      <c r="H773" s="9" t="s">
        <v>5924</v>
      </c>
      <c r="L773" t="s">
        <v>61</v>
      </c>
      <c r="M773">
        <v>1</v>
      </c>
      <c r="T773" t="s">
        <v>3723</v>
      </c>
      <c r="U773" t="s">
        <v>3853</v>
      </c>
      <c r="V773" t="s">
        <v>5925</v>
      </c>
      <c r="X773"/>
      <c r="Y773"/>
      <c r="Z773"/>
    </row>
    <row r="774" spans="1:26" ht="15.75" customHeight="1" x14ac:dyDescent="0.15">
      <c r="A774" s="9">
        <v>768</v>
      </c>
      <c r="B774" t="s">
        <v>75</v>
      </c>
      <c r="C774" t="s">
        <v>4267</v>
      </c>
      <c r="D774" t="s">
        <v>5926</v>
      </c>
      <c r="E774" s="9" t="s">
        <v>219</v>
      </c>
      <c r="F774" s="9">
        <v>105</v>
      </c>
      <c r="G774" s="9"/>
      <c r="H774" s="9" t="s">
        <v>5927</v>
      </c>
      <c r="L774" t="s">
        <v>61</v>
      </c>
      <c r="M774">
        <v>1</v>
      </c>
      <c r="T774" t="s">
        <v>3723</v>
      </c>
      <c r="U774" t="s">
        <v>3853</v>
      </c>
      <c r="V774" t="s">
        <v>5928</v>
      </c>
      <c r="X774"/>
      <c r="Y774"/>
      <c r="Z774"/>
    </row>
    <row r="775" spans="1:26" ht="15.75" customHeight="1" x14ac:dyDescent="0.15">
      <c r="A775" s="9">
        <v>769</v>
      </c>
      <c r="B775" t="s">
        <v>75</v>
      </c>
      <c r="C775" t="s">
        <v>4267</v>
      </c>
      <c r="D775" t="s">
        <v>5929</v>
      </c>
      <c r="E775" s="9" t="s">
        <v>219</v>
      </c>
      <c r="F775" s="9">
        <v>106</v>
      </c>
      <c r="G775" s="9"/>
      <c r="H775" s="9" t="s">
        <v>5930</v>
      </c>
      <c r="L775" t="s">
        <v>61</v>
      </c>
      <c r="M775">
        <v>1</v>
      </c>
      <c r="T775" t="s">
        <v>3723</v>
      </c>
      <c r="U775" t="s">
        <v>3853</v>
      </c>
      <c r="V775" t="s">
        <v>5931</v>
      </c>
      <c r="X775"/>
      <c r="Y775"/>
      <c r="Z775"/>
    </row>
    <row r="776" spans="1:26" ht="15.75" customHeight="1" x14ac:dyDescent="0.15">
      <c r="A776" s="9">
        <v>770</v>
      </c>
      <c r="B776" t="s">
        <v>75</v>
      </c>
      <c r="C776" t="s">
        <v>4267</v>
      </c>
      <c r="D776" t="s">
        <v>5932</v>
      </c>
      <c r="E776" s="9" t="s">
        <v>219</v>
      </c>
      <c r="F776" s="9">
        <v>107</v>
      </c>
      <c r="G776" s="9"/>
      <c r="H776" s="9" t="s">
        <v>5933</v>
      </c>
      <c r="L776" t="s">
        <v>61</v>
      </c>
      <c r="M776">
        <v>1</v>
      </c>
      <c r="T776" t="s">
        <v>3723</v>
      </c>
      <c r="U776" t="s">
        <v>3853</v>
      </c>
      <c r="V776" t="s">
        <v>5934</v>
      </c>
      <c r="X776"/>
      <c r="Y776"/>
      <c r="Z776"/>
    </row>
    <row r="777" spans="1:26" ht="15.75" customHeight="1" x14ac:dyDescent="0.15">
      <c r="A777" s="9">
        <v>771</v>
      </c>
      <c r="B777" t="s">
        <v>75</v>
      </c>
      <c r="C777" t="s">
        <v>4267</v>
      </c>
      <c r="D777" t="s">
        <v>5935</v>
      </c>
      <c r="E777" s="9" t="s">
        <v>219</v>
      </c>
      <c r="F777" s="9">
        <v>108</v>
      </c>
      <c r="G777" s="9"/>
      <c r="H777" s="9" t="s">
        <v>5936</v>
      </c>
      <c r="L777" t="s">
        <v>61</v>
      </c>
      <c r="M777">
        <v>1</v>
      </c>
      <c r="T777" t="s">
        <v>3723</v>
      </c>
      <c r="U777" t="s">
        <v>3853</v>
      </c>
      <c r="V777" t="s">
        <v>5937</v>
      </c>
      <c r="X777"/>
      <c r="Y777"/>
      <c r="Z777"/>
    </row>
    <row r="778" spans="1:26" ht="15.75" customHeight="1" x14ac:dyDescent="0.15">
      <c r="A778" s="9">
        <v>772</v>
      </c>
      <c r="B778" t="s">
        <v>75</v>
      </c>
      <c r="C778" t="s">
        <v>4267</v>
      </c>
      <c r="D778" t="s">
        <v>5938</v>
      </c>
      <c r="E778" s="9" t="s">
        <v>219</v>
      </c>
      <c r="F778" s="9">
        <v>109</v>
      </c>
      <c r="G778" s="9"/>
      <c r="H778" s="9" t="s">
        <v>5939</v>
      </c>
      <c r="L778" t="s">
        <v>61</v>
      </c>
      <c r="M778">
        <v>1</v>
      </c>
      <c r="T778" t="s">
        <v>3723</v>
      </c>
      <c r="U778" t="s">
        <v>3853</v>
      </c>
      <c r="V778" t="s">
        <v>5940</v>
      </c>
      <c r="X778"/>
      <c r="Y778"/>
      <c r="Z778"/>
    </row>
    <row r="779" spans="1:26" ht="15.75" customHeight="1" x14ac:dyDescent="0.15">
      <c r="A779" s="9">
        <v>773</v>
      </c>
      <c r="B779" t="s">
        <v>75</v>
      </c>
      <c r="C779" t="s">
        <v>4267</v>
      </c>
      <c r="D779" t="s">
        <v>5941</v>
      </c>
      <c r="E779" s="9" t="s">
        <v>219</v>
      </c>
      <c r="F779" s="9">
        <v>110</v>
      </c>
      <c r="G779" s="9"/>
      <c r="H779" s="9" t="s">
        <v>5942</v>
      </c>
      <c r="L779" t="s">
        <v>61</v>
      </c>
      <c r="M779">
        <v>1</v>
      </c>
      <c r="T779" t="s">
        <v>3723</v>
      </c>
      <c r="U779" t="s">
        <v>3853</v>
      </c>
      <c r="V779" t="s">
        <v>5943</v>
      </c>
      <c r="X779"/>
      <c r="Y779"/>
      <c r="Z779"/>
    </row>
    <row r="780" spans="1:26" ht="15.75" customHeight="1" x14ac:dyDescent="0.15">
      <c r="A780" s="9">
        <v>774</v>
      </c>
      <c r="B780" t="s">
        <v>75</v>
      </c>
      <c r="C780" t="s">
        <v>4267</v>
      </c>
      <c r="D780" t="s">
        <v>5944</v>
      </c>
      <c r="E780" s="9" t="s">
        <v>219</v>
      </c>
      <c r="F780" s="9">
        <v>111</v>
      </c>
      <c r="G780" s="9"/>
      <c r="H780" s="9" t="s">
        <v>5945</v>
      </c>
      <c r="L780" t="s">
        <v>61</v>
      </c>
      <c r="M780">
        <v>1</v>
      </c>
      <c r="T780" t="s">
        <v>3723</v>
      </c>
      <c r="U780" t="s">
        <v>3853</v>
      </c>
      <c r="V780" t="s">
        <v>5946</v>
      </c>
      <c r="X780"/>
      <c r="Y780"/>
      <c r="Z780"/>
    </row>
    <row r="781" spans="1:26" ht="15.75" customHeight="1" x14ac:dyDescent="0.15">
      <c r="A781" s="9">
        <v>775</v>
      </c>
      <c r="B781" t="s">
        <v>75</v>
      </c>
      <c r="C781" t="s">
        <v>4267</v>
      </c>
      <c r="D781" t="s">
        <v>5947</v>
      </c>
      <c r="E781" s="9" t="s">
        <v>219</v>
      </c>
      <c r="F781" s="9">
        <v>112</v>
      </c>
      <c r="G781" s="9"/>
      <c r="H781" s="9" t="s">
        <v>5948</v>
      </c>
      <c r="L781" t="s">
        <v>61</v>
      </c>
      <c r="M781">
        <v>1</v>
      </c>
      <c r="T781" t="s">
        <v>3723</v>
      </c>
      <c r="U781" t="s">
        <v>3853</v>
      </c>
      <c r="V781" t="s">
        <v>5949</v>
      </c>
      <c r="X781"/>
      <c r="Y781"/>
      <c r="Z781"/>
    </row>
    <row r="782" spans="1:26" ht="15.75" customHeight="1" x14ac:dyDescent="0.15">
      <c r="A782" s="9">
        <v>776</v>
      </c>
      <c r="B782" t="s">
        <v>75</v>
      </c>
      <c r="C782" t="s">
        <v>4267</v>
      </c>
      <c r="D782" t="s">
        <v>5950</v>
      </c>
      <c r="E782" s="9" t="s">
        <v>219</v>
      </c>
      <c r="F782" s="9">
        <v>113</v>
      </c>
      <c r="G782" s="9"/>
      <c r="H782" s="9" t="s">
        <v>5951</v>
      </c>
      <c r="L782" t="s">
        <v>61</v>
      </c>
      <c r="M782">
        <v>1</v>
      </c>
      <c r="T782" t="s">
        <v>3723</v>
      </c>
      <c r="U782" t="s">
        <v>3853</v>
      </c>
      <c r="V782" t="s">
        <v>5952</v>
      </c>
      <c r="X782"/>
      <c r="Y782"/>
      <c r="Z782"/>
    </row>
    <row r="783" spans="1:26" ht="15.75" customHeight="1" x14ac:dyDescent="0.15">
      <c r="A783" s="9">
        <v>777</v>
      </c>
      <c r="B783" t="s">
        <v>75</v>
      </c>
      <c r="C783" t="s">
        <v>4267</v>
      </c>
      <c r="D783" t="s">
        <v>5953</v>
      </c>
      <c r="E783" s="9" t="s">
        <v>219</v>
      </c>
      <c r="F783" s="9">
        <v>114</v>
      </c>
      <c r="G783" s="9"/>
      <c r="H783" s="9" t="s">
        <v>5954</v>
      </c>
      <c r="L783" t="s">
        <v>61</v>
      </c>
      <c r="M783">
        <v>1</v>
      </c>
      <c r="T783" t="s">
        <v>3723</v>
      </c>
      <c r="U783" t="s">
        <v>3853</v>
      </c>
      <c r="V783" t="s">
        <v>5955</v>
      </c>
      <c r="X783"/>
      <c r="Y783"/>
      <c r="Z783"/>
    </row>
    <row r="784" spans="1:26" ht="15.75" customHeight="1" x14ac:dyDescent="0.15">
      <c r="A784" s="9">
        <v>778</v>
      </c>
      <c r="B784" t="s">
        <v>75</v>
      </c>
      <c r="C784" t="s">
        <v>4267</v>
      </c>
      <c r="D784" t="s">
        <v>5956</v>
      </c>
      <c r="E784" s="9" t="s">
        <v>219</v>
      </c>
      <c r="F784" s="9">
        <v>115</v>
      </c>
      <c r="G784" s="9"/>
      <c r="H784" s="9" t="s">
        <v>5957</v>
      </c>
      <c r="L784" t="s">
        <v>61</v>
      </c>
      <c r="M784">
        <v>1</v>
      </c>
      <c r="T784" t="s">
        <v>3723</v>
      </c>
      <c r="U784" t="s">
        <v>3853</v>
      </c>
      <c r="V784" t="s">
        <v>5958</v>
      </c>
      <c r="X784"/>
      <c r="Y784" t="s">
        <v>5959</v>
      </c>
      <c r="Z784"/>
    </row>
    <row r="785" spans="1:26" ht="15.75" customHeight="1" x14ac:dyDescent="0.15">
      <c r="A785" s="9">
        <v>779</v>
      </c>
      <c r="B785" t="s">
        <v>75</v>
      </c>
      <c r="C785" t="s">
        <v>4267</v>
      </c>
      <c r="D785" t="s">
        <v>5960</v>
      </c>
      <c r="E785" s="9" t="s">
        <v>219</v>
      </c>
      <c r="F785" s="9">
        <v>116</v>
      </c>
      <c r="G785" s="9"/>
      <c r="H785" s="9" t="s">
        <v>5961</v>
      </c>
      <c r="L785" t="s">
        <v>61</v>
      </c>
      <c r="M785">
        <v>1</v>
      </c>
      <c r="T785" t="s">
        <v>3723</v>
      </c>
      <c r="U785" t="s">
        <v>3853</v>
      </c>
      <c r="V785" t="s">
        <v>5962</v>
      </c>
      <c r="X785"/>
      <c r="Y785"/>
      <c r="Z785"/>
    </row>
    <row r="786" spans="1:26" ht="15.75" customHeight="1" x14ac:dyDescent="0.15">
      <c r="A786" s="9">
        <v>780</v>
      </c>
      <c r="C786" t="s">
        <v>4267</v>
      </c>
      <c r="D786" t="s">
        <v>5963</v>
      </c>
      <c r="E786" s="9" t="s">
        <v>219</v>
      </c>
      <c r="F786" s="9">
        <v>117</v>
      </c>
      <c r="G786" s="9"/>
      <c r="H786" s="9" t="s">
        <v>5964</v>
      </c>
      <c r="L786" t="s">
        <v>61</v>
      </c>
      <c r="M786">
        <v>1</v>
      </c>
      <c r="T786" t="s">
        <v>3723</v>
      </c>
      <c r="U786" t="s">
        <v>3853</v>
      </c>
      <c r="V786" t="s">
        <v>5965</v>
      </c>
      <c r="X786"/>
      <c r="Y786"/>
      <c r="Z786"/>
    </row>
    <row r="787" spans="1:26" ht="15.75" customHeight="1" x14ac:dyDescent="0.15">
      <c r="A787" s="9">
        <v>781</v>
      </c>
      <c r="C787" t="s">
        <v>4267</v>
      </c>
      <c r="D787" t="s">
        <v>5966</v>
      </c>
      <c r="E787" s="9" t="s">
        <v>219</v>
      </c>
      <c r="F787" s="9">
        <v>118</v>
      </c>
      <c r="G787" s="9"/>
      <c r="H787" s="9" t="s">
        <v>5967</v>
      </c>
      <c r="L787" t="s">
        <v>61</v>
      </c>
      <c r="M787">
        <v>1</v>
      </c>
      <c r="T787" t="s">
        <v>3723</v>
      </c>
      <c r="U787" t="s">
        <v>3853</v>
      </c>
      <c r="V787" t="s">
        <v>5968</v>
      </c>
      <c r="X787"/>
      <c r="Y787"/>
      <c r="Z787"/>
    </row>
    <row r="788" spans="1:26" ht="15.75" customHeight="1" x14ac:dyDescent="0.15">
      <c r="A788" s="9">
        <v>782</v>
      </c>
      <c r="C788" t="s">
        <v>4267</v>
      </c>
      <c r="D788" t="s">
        <v>5969</v>
      </c>
      <c r="E788" s="9" t="s">
        <v>219</v>
      </c>
      <c r="F788" s="9">
        <v>119</v>
      </c>
      <c r="G788" s="9"/>
      <c r="H788" s="9" t="s">
        <v>5970</v>
      </c>
      <c r="L788" t="s">
        <v>61</v>
      </c>
      <c r="M788">
        <v>1</v>
      </c>
      <c r="T788" t="s">
        <v>3723</v>
      </c>
      <c r="U788" t="s">
        <v>3853</v>
      </c>
      <c r="V788" t="s">
        <v>5971</v>
      </c>
      <c r="X788"/>
      <c r="Y788"/>
      <c r="Z788"/>
    </row>
    <row r="789" spans="1:26" ht="15.75" customHeight="1" x14ac:dyDescent="0.15">
      <c r="A789" s="9">
        <v>783</v>
      </c>
      <c r="C789" t="s">
        <v>4267</v>
      </c>
      <c r="D789" t="s">
        <v>5972</v>
      </c>
      <c r="E789" s="9" t="s">
        <v>219</v>
      </c>
      <c r="F789" s="9">
        <v>120</v>
      </c>
      <c r="G789" s="9"/>
      <c r="H789" s="9" t="s">
        <v>5973</v>
      </c>
      <c r="L789" t="s">
        <v>61</v>
      </c>
      <c r="M789">
        <v>1</v>
      </c>
      <c r="T789" t="s">
        <v>3723</v>
      </c>
      <c r="U789" t="s">
        <v>3853</v>
      </c>
      <c r="V789" t="s">
        <v>5974</v>
      </c>
      <c r="X789"/>
      <c r="Y789"/>
      <c r="Z789"/>
    </row>
    <row r="790" spans="1:26" ht="15.75" customHeight="1" x14ac:dyDescent="0.15">
      <c r="A790" s="9">
        <v>784</v>
      </c>
      <c r="C790" t="s">
        <v>4267</v>
      </c>
      <c r="D790" t="s">
        <v>5975</v>
      </c>
      <c r="E790" s="9" t="s">
        <v>219</v>
      </c>
      <c r="F790" s="9">
        <v>121</v>
      </c>
      <c r="G790" s="9"/>
      <c r="H790" s="9" t="s">
        <v>5976</v>
      </c>
      <c r="L790" t="s">
        <v>61</v>
      </c>
      <c r="M790">
        <v>1</v>
      </c>
      <c r="T790" t="s">
        <v>3723</v>
      </c>
      <c r="U790" t="s">
        <v>3853</v>
      </c>
      <c r="V790" t="s">
        <v>5977</v>
      </c>
      <c r="X790"/>
      <c r="Y790"/>
      <c r="Z790"/>
    </row>
    <row r="791" spans="1:26" ht="15.75" customHeight="1" x14ac:dyDescent="0.15">
      <c r="A791" s="9">
        <v>785</v>
      </c>
      <c r="C791" t="s">
        <v>4267</v>
      </c>
      <c r="D791" t="s">
        <v>5978</v>
      </c>
      <c r="E791" s="9" t="s">
        <v>219</v>
      </c>
      <c r="F791" s="9">
        <v>122</v>
      </c>
      <c r="G791" s="9"/>
      <c r="H791" s="9" t="s">
        <v>5979</v>
      </c>
      <c r="L791" t="s">
        <v>61</v>
      </c>
      <c r="M791">
        <v>1</v>
      </c>
      <c r="T791" t="s">
        <v>3723</v>
      </c>
      <c r="U791" t="s">
        <v>3853</v>
      </c>
      <c r="V791" t="s">
        <v>5980</v>
      </c>
      <c r="X791"/>
      <c r="Y791"/>
      <c r="Z791"/>
    </row>
    <row r="792" spans="1:26" ht="15.75" customHeight="1" x14ac:dyDescent="0.15">
      <c r="A792" s="9">
        <v>786</v>
      </c>
      <c r="C792" t="s">
        <v>4267</v>
      </c>
      <c r="D792" t="s">
        <v>5981</v>
      </c>
      <c r="E792" s="9" t="s">
        <v>219</v>
      </c>
      <c r="F792" s="9">
        <v>123</v>
      </c>
      <c r="G792" s="9"/>
      <c r="H792" s="9" t="s">
        <v>5982</v>
      </c>
      <c r="L792" t="s">
        <v>61</v>
      </c>
      <c r="M792">
        <v>1</v>
      </c>
      <c r="T792" t="s">
        <v>3723</v>
      </c>
      <c r="U792" t="s">
        <v>3853</v>
      </c>
      <c r="V792" t="s">
        <v>5983</v>
      </c>
      <c r="X792"/>
      <c r="Y792"/>
      <c r="Z792"/>
    </row>
    <row r="793" spans="1:26" ht="15.75" customHeight="1" x14ac:dyDescent="0.15">
      <c r="A793" s="9">
        <v>787</v>
      </c>
      <c r="C793" t="s">
        <v>4267</v>
      </c>
      <c r="D793" t="s">
        <v>5984</v>
      </c>
      <c r="E793" s="9" t="s">
        <v>219</v>
      </c>
      <c r="F793" s="9">
        <v>124</v>
      </c>
      <c r="G793" s="9"/>
      <c r="H793" s="9" t="s">
        <v>5985</v>
      </c>
      <c r="L793" t="s">
        <v>61</v>
      </c>
      <c r="M793">
        <v>1</v>
      </c>
      <c r="T793" t="s">
        <v>3723</v>
      </c>
      <c r="U793" t="s">
        <v>3853</v>
      </c>
      <c r="V793" t="s">
        <v>5986</v>
      </c>
      <c r="X793"/>
      <c r="Y793"/>
      <c r="Z793"/>
    </row>
    <row r="794" spans="1:26" ht="15.75" customHeight="1" x14ac:dyDescent="0.15">
      <c r="A794" s="9">
        <v>788</v>
      </c>
      <c r="C794" t="s">
        <v>4267</v>
      </c>
      <c r="D794" t="s">
        <v>5987</v>
      </c>
      <c r="E794" s="9" t="s">
        <v>219</v>
      </c>
      <c r="F794" s="9">
        <v>125</v>
      </c>
      <c r="G794" s="9"/>
      <c r="H794" s="9" t="s">
        <v>5988</v>
      </c>
      <c r="L794" t="s">
        <v>61</v>
      </c>
      <c r="M794">
        <v>1</v>
      </c>
      <c r="T794" t="s">
        <v>3723</v>
      </c>
      <c r="U794" t="s">
        <v>3853</v>
      </c>
      <c r="V794" t="s">
        <v>5989</v>
      </c>
      <c r="X794"/>
      <c r="Y794"/>
      <c r="Z794"/>
    </row>
    <row r="795" spans="1:26" ht="15.75" customHeight="1" x14ac:dyDescent="0.15">
      <c r="A795" s="9">
        <v>789</v>
      </c>
      <c r="C795" t="s">
        <v>4267</v>
      </c>
      <c r="D795" t="s">
        <v>5990</v>
      </c>
      <c r="E795" s="9" t="s">
        <v>219</v>
      </c>
      <c r="F795" s="9">
        <v>126</v>
      </c>
      <c r="G795" s="9"/>
      <c r="H795" s="9" t="s">
        <v>5991</v>
      </c>
      <c r="L795" t="s">
        <v>61</v>
      </c>
      <c r="M795">
        <v>1</v>
      </c>
      <c r="T795" t="s">
        <v>3723</v>
      </c>
      <c r="U795" t="s">
        <v>3853</v>
      </c>
      <c r="V795" t="s">
        <v>5992</v>
      </c>
      <c r="X795"/>
      <c r="Y795"/>
      <c r="Z795"/>
    </row>
    <row r="796" spans="1:26" ht="15.75" customHeight="1" x14ac:dyDescent="0.15">
      <c r="A796" s="9">
        <v>790</v>
      </c>
      <c r="C796" t="s">
        <v>4267</v>
      </c>
      <c r="D796" t="s">
        <v>5993</v>
      </c>
      <c r="E796" s="9" t="s">
        <v>219</v>
      </c>
      <c r="F796" s="9">
        <v>127</v>
      </c>
      <c r="G796" s="9"/>
      <c r="H796" s="9" t="s">
        <v>5994</v>
      </c>
      <c r="L796" t="s">
        <v>61</v>
      </c>
      <c r="M796">
        <v>1</v>
      </c>
      <c r="T796" t="s">
        <v>3723</v>
      </c>
      <c r="U796" t="s">
        <v>3853</v>
      </c>
      <c r="V796" t="s">
        <v>5995</v>
      </c>
      <c r="X796"/>
      <c r="Y796"/>
      <c r="Z796"/>
    </row>
    <row r="797" spans="1:26" ht="15.75" customHeight="1" x14ac:dyDescent="0.15">
      <c r="A797" s="9">
        <v>791</v>
      </c>
      <c r="C797" t="s">
        <v>4267</v>
      </c>
      <c r="D797" t="s">
        <v>5996</v>
      </c>
      <c r="E797" s="9" t="s">
        <v>219</v>
      </c>
      <c r="F797" s="9">
        <v>128</v>
      </c>
      <c r="G797" s="9"/>
      <c r="H797" s="9" t="s">
        <v>5997</v>
      </c>
      <c r="L797" t="s">
        <v>61</v>
      </c>
      <c r="M797">
        <v>1</v>
      </c>
      <c r="T797" t="s">
        <v>3723</v>
      </c>
      <c r="U797" t="s">
        <v>3853</v>
      </c>
      <c r="V797" t="s">
        <v>5998</v>
      </c>
      <c r="X797"/>
      <c r="Y797"/>
      <c r="Z797"/>
    </row>
    <row r="798" spans="1:26" ht="15.75" customHeight="1" x14ac:dyDescent="0.15">
      <c r="A798" s="9">
        <v>792</v>
      </c>
      <c r="C798" t="s">
        <v>4267</v>
      </c>
      <c r="D798" t="s">
        <v>5999</v>
      </c>
      <c r="E798" s="9" t="s">
        <v>219</v>
      </c>
      <c r="F798" s="9">
        <v>129</v>
      </c>
      <c r="G798" s="9"/>
      <c r="H798" s="9" t="s">
        <v>6000</v>
      </c>
      <c r="L798" t="s">
        <v>61</v>
      </c>
      <c r="M798">
        <v>1</v>
      </c>
      <c r="T798" t="s">
        <v>3723</v>
      </c>
      <c r="U798" t="s">
        <v>3853</v>
      </c>
      <c r="V798" t="s">
        <v>6001</v>
      </c>
      <c r="X798"/>
      <c r="Y798"/>
      <c r="Z798"/>
    </row>
    <row r="799" spans="1:26" ht="15.75" customHeight="1" x14ac:dyDescent="0.15">
      <c r="A799" s="9">
        <v>793</v>
      </c>
      <c r="C799" t="s">
        <v>4267</v>
      </c>
      <c r="D799" t="s">
        <v>6002</v>
      </c>
      <c r="E799" s="9" t="s">
        <v>219</v>
      </c>
      <c r="F799" s="9">
        <v>130</v>
      </c>
      <c r="G799" s="9"/>
      <c r="H799" s="9" t="s">
        <v>6003</v>
      </c>
      <c r="L799" t="s">
        <v>61</v>
      </c>
      <c r="M799">
        <v>1</v>
      </c>
      <c r="T799" t="s">
        <v>3723</v>
      </c>
      <c r="U799" t="s">
        <v>3853</v>
      </c>
      <c r="V799" t="s">
        <v>6004</v>
      </c>
      <c r="X799"/>
      <c r="Y799"/>
      <c r="Z799"/>
    </row>
    <row r="800" spans="1:26" ht="15.75" customHeight="1" x14ac:dyDescent="0.15">
      <c r="A800" s="9">
        <v>794</v>
      </c>
      <c r="C800" t="s">
        <v>4267</v>
      </c>
      <c r="D800" t="s">
        <v>6005</v>
      </c>
      <c r="E800" s="9" t="s">
        <v>219</v>
      </c>
      <c r="F800" s="9">
        <v>131</v>
      </c>
      <c r="G800" s="9"/>
      <c r="H800" s="9" t="s">
        <v>6006</v>
      </c>
      <c r="L800" t="s">
        <v>61</v>
      </c>
      <c r="M800">
        <v>1</v>
      </c>
      <c r="T800" t="s">
        <v>3723</v>
      </c>
      <c r="U800" t="s">
        <v>3853</v>
      </c>
      <c r="V800" t="s">
        <v>6007</v>
      </c>
      <c r="X800"/>
      <c r="Y800"/>
      <c r="Z800"/>
    </row>
    <row r="801" spans="1:26" ht="15.75" customHeight="1" x14ac:dyDescent="0.15">
      <c r="A801" s="9">
        <v>795</v>
      </c>
      <c r="C801" t="s">
        <v>4267</v>
      </c>
      <c r="D801" t="s">
        <v>6008</v>
      </c>
      <c r="E801" s="9" t="s">
        <v>219</v>
      </c>
      <c r="F801" s="9">
        <v>132</v>
      </c>
      <c r="G801" s="9"/>
      <c r="H801" s="9" t="s">
        <v>6009</v>
      </c>
      <c r="L801" t="s">
        <v>61</v>
      </c>
      <c r="M801">
        <v>1</v>
      </c>
      <c r="T801" t="s">
        <v>3723</v>
      </c>
      <c r="U801" t="s">
        <v>3853</v>
      </c>
      <c r="V801" t="s">
        <v>6010</v>
      </c>
      <c r="X801"/>
      <c r="Y801"/>
      <c r="Z801"/>
    </row>
    <row r="802" spans="1:26" ht="15.75" customHeight="1" x14ac:dyDescent="0.15">
      <c r="A802" s="9">
        <v>796</v>
      </c>
      <c r="C802" t="s">
        <v>4267</v>
      </c>
      <c r="D802" t="s">
        <v>6011</v>
      </c>
      <c r="E802" s="9" t="s">
        <v>219</v>
      </c>
      <c r="F802" s="9">
        <v>133</v>
      </c>
      <c r="G802" s="9"/>
      <c r="H802" s="9" t="s">
        <v>6012</v>
      </c>
      <c r="L802" t="s">
        <v>61</v>
      </c>
      <c r="M802">
        <v>1</v>
      </c>
      <c r="T802" t="s">
        <v>3723</v>
      </c>
      <c r="U802" t="s">
        <v>3853</v>
      </c>
      <c r="V802" t="s">
        <v>6013</v>
      </c>
      <c r="X802"/>
      <c r="Y802"/>
      <c r="Z802"/>
    </row>
    <row r="803" spans="1:26" ht="15.75" customHeight="1" x14ac:dyDescent="0.15">
      <c r="A803" s="9">
        <v>797</v>
      </c>
      <c r="C803" t="s">
        <v>4267</v>
      </c>
      <c r="D803" t="s">
        <v>6014</v>
      </c>
      <c r="E803" s="9" t="s">
        <v>219</v>
      </c>
      <c r="F803" s="9">
        <v>134</v>
      </c>
      <c r="G803" s="9"/>
      <c r="H803" s="9" t="s">
        <v>6015</v>
      </c>
      <c r="L803" t="s">
        <v>61</v>
      </c>
      <c r="M803">
        <v>1</v>
      </c>
      <c r="T803" t="s">
        <v>3723</v>
      </c>
      <c r="U803" t="s">
        <v>3853</v>
      </c>
      <c r="V803" t="s">
        <v>6016</v>
      </c>
      <c r="X803"/>
      <c r="Y803"/>
      <c r="Z803"/>
    </row>
    <row r="804" spans="1:26" ht="15.75" customHeight="1" x14ac:dyDescent="0.15">
      <c r="A804" s="9">
        <v>798</v>
      </c>
      <c r="C804" t="s">
        <v>4267</v>
      </c>
      <c r="D804" t="s">
        <v>6017</v>
      </c>
      <c r="E804" s="9" t="s">
        <v>219</v>
      </c>
      <c r="F804" s="9">
        <v>135</v>
      </c>
      <c r="G804" s="9"/>
      <c r="H804" s="9" t="s">
        <v>6018</v>
      </c>
      <c r="L804" t="s">
        <v>61</v>
      </c>
      <c r="M804">
        <v>1</v>
      </c>
      <c r="T804" t="s">
        <v>3723</v>
      </c>
      <c r="U804" t="s">
        <v>3853</v>
      </c>
      <c r="V804" t="s">
        <v>6019</v>
      </c>
      <c r="X804"/>
      <c r="Y804"/>
      <c r="Z804"/>
    </row>
    <row r="805" spans="1:26" ht="15.75" customHeight="1" x14ac:dyDescent="0.15">
      <c r="A805" s="9">
        <v>799</v>
      </c>
      <c r="C805" t="s">
        <v>4267</v>
      </c>
      <c r="D805" t="s">
        <v>6020</v>
      </c>
      <c r="E805" s="9" t="s">
        <v>219</v>
      </c>
      <c r="F805" s="9">
        <v>136</v>
      </c>
      <c r="G805" s="9"/>
      <c r="H805" s="9" t="s">
        <v>6021</v>
      </c>
      <c r="L805" t="s">
        <v>61</v>
      </c>
      <c r="M805">
        <v>1</v>
      </c>
      <c r="T805" t="s">
        <v>3723</v>
      </c>
      <c r="U805" t="s">
        <v>3853</v>
      </c>
      <c r="V805" t="s">
        <v>6022</v>
      </c>
      <c r="X805"/>
      <c r="Y805"/>
      <c r="Z805"/>
    </row>
    <row r="806" spans="1:26" ht="15.75" customHeight="1" x14ac:dyDescent="0.15">
      <c r="A806" s="9">
        <v>800</v>
      </c>
      <c r="C806" t="s">
        <v>4267</v>
      </c>
      <c r="D806" t="s">
        <v>6023</v>
      </c>
      <c r="E806" s="9" t="s">
        <v>219</v>
      </c>
      <c r="F806" s="9">
        <v>137</v>
      </c>
      <c r="G806" s="9"/>
      <c r="H806" s="9" t="s">
        <v>6024</v>
      </c>
      <c r="L806" t="s">
        <v>61</v>
      </c>
      <c r="M806">
        <v>1</v>
      </c>
      <c r="T806" t="s">
        <v>3723</v>
      </c>
      <c r="U806" t="s">
        <v>3853</v>
      </c>
      <c r="V806" t="s">
        <v>6025</v>
      </c>
      <c r="X806"/>
      <c r="Y806"/>
      <c r="Z806"/>
    </row>
    <row r="807" spans="1:26" ht="15.75" customHeight="1" x14ac:dyDescent="0.15">
      <c r="A807" s="9">
        <v>801</v>
      </c>
      <c r="C807" t="s">
        <v>4267</v>
      </c>
      <c r="D807" t="s">
        <v>6026</v>
      </c>
      <c r="E807" s="9" t="s">
        <v>219</v>
      </c>
      <c r="F807" s="9">
        <v>138</v>
      </c>
      <c r="G807" s="9"/>
      <c r="H807" s="9" t="s">
        <v>6027</v>
      </c>
      <c r="L807" t="s">
        <v>61</v>
      </c>
      <c r="M807">
        <v>1</v>
      </c>
      <c r="T807" t="s">
        <v>3723</v>
      </c>
      <c r="U807" t="s">
        <v>3853</v>
      </c>
      <c r="V807" t="s">
        <v>6028</v>
      </c>
      <c r="X807"/>
      <c r="Y807"/>
      <c r="Z807"/>
    </row>
    <row r="808" spans="1:26" ht="15.75" customHeight="1" x14ac:dyDescent="0.15">
      <c r="A808" s="9">
        <v>802</v>
      </c>
      <c r="C808" t="s">
        <v>4267</v>
      </c>
      <c r="D808" t="s">
        <v>6029</v>
      </c>
      <c r="E808" s="9" t="s">
        <v>219</v>
      </c>
      <c r="F808" s="9">
        <v>139</v>
      </c>
      <c r="G808" s="9"/>
      <c r="H808" s="9" t="s">
        <v>6030</v>
      </c>
      <c r="L808" t="s">
        <v>61</v>
      </c>
      <c r="M808">
        <v>1</v>
      </c>
      <c r="T808" t="s">
        <v>3723</v>
      </c>
      <c r="U808" t="s">
        <v>3853</v>
      </c>
      <c r="V808" t="s">
        <v>6031</v>
      </c>
      <c r="X808"/>
      <c r="Y808"/>
      <c r="Z808"/>
    </row>
    <row r="809" spans="1:26" ht="15.75" customHeight="1" x14ac:dyDescent="0.15">
      <c r="A809" s="9">
        <v>803</v>
      </c>
      <c r="C809" t="s">
        <v>4267</v>
      </c>
      <c r="D809" t="s">
        <v>6032</v>
      </c>
      <c r="E809" s="9" t="s">
        <v>219</v>
      </c>
      <c r="F809" s="9">
        <v>140</v>
      </c>
      <c r="G809" s="9"/>
      <c r="H809" s="9" t="s">
        <v>6033</v>
      </c>
      <c r="L809" t="s">
        <v>61</v>
      </c>
      <c r="M809">
        <v>1</v>
      </c>
      <c r="T809" t="s">
        <v>3723</v>
      </c>
      <c r="U809" t="s">
        <v>3853</v>
      </c>
      <c r="V809" t="s">
        <v>6034</v>
      </c>
      <c r="X809"/>
      <c r="Y809"/>
      <c r="Z809"/>
    </row>
    <row r="810" spans="1:26" ht="15.75" customHeight="1" x14ac:dyDescent="0.15">
      <c r="A810" s="9">
        <v>804</v>
      </c>
      <c r="B810" t="s">
        <v>75</v>
      </c>
      <c r="C810" t="s">
        <v>6035</v>
      </c>
      <c r="D810" t="s">
        <v>6036</v>
      </c>
      <c r="E810" s="9" t="s">
        <v>169</v>
      </c>
      <c r="F810" s="9">
        <v>0</v>
      </c>
      <c r="G810" s="9"/>
      <c r="H810" s="9" t="s">
        <v>3721</v>
      </c>
      <c r="I810" t="s">
        <v>196</v>
      </c>
      <c r="J810" t="s">
        <v>177</v>
      </c>
      <c r="K810" t="s">
        <v>173</v>
      </c>
      <c r="T810" t="s">
        <v>3723</v>
      </c>
      <c r="U810" t="s">
        <v>3708</v>
      </c>
      <c r="V810" t="s">
        <v>6037</v>
      </c>
      <c r="X810"/>
      <c r="Y810" t="s">
        <v>6038</v>
      </c>
      <c r="Z810"/>
    </row>
    <row r="811" spans="1:26" ht="15.75" customHeight="1" x14ac:dyDescent="0.15">
      <c r="A811" s="9">
        <v>805</v>
      </c>
      <c r="B811" t="s">
        <v>75</v>
      </c>
      <c r="C811" t="s">
        <v>6035</v>
      </c>
      <c r="D811" t="s">
        <v>6039</v>
      </c>
      <c r="E811" s="9" t="s">
        <v>169</v>
      </c>
      <c r="F811" s="9">
        <v>1</v>
      </c>
      <c r="G811" s="9"/>
      <c r="H811" s="9" t="s">
        <v>3721</v>
      </c>
      <c r="I811" t="s">
        <v>196</v>
      </c>
      <c r="J811" t="s">
        <v>177</v>
      </c>
      <c r="K811" t="s">
        <v>173</v>
      </c>
      <c r="T811" t="s">
        <v>3723</v>
      </c>
      <c r="U811" t="s">
        <v>3708</v>
      </c>
      <c r="V811" t="s">
        <v>6040</v>
      </c>
      <c r="X811"/>
      <c r="Y811" t="s">
        <v>6041</v>
      </c>
      <c r="Z811"/>
    </row>
    <row r="812" spans="1:26" ht="15.75" customHeight="1" x14ac:dyDescent="0.15">
      <c r="A812" s="9">
        <v>806</v>
      </c>
      <c r="B812" t="s">
        <v>75</v>
      </c>
      <c r="C812" t="s">
        <v>6035</v>
      </c>
      <c r="D812" t="s">
        <v>6042</v>
      </c>
      <c r="E812" s="9" t="s">
        <v>169</v>
      </c>
      <c r="F812" s="9">
        <v>2</v>
      </c>
      <c r="G812" s="9"/>
      <c r="H812" s="9" t="s">
        <v>3721</v>
      </c>
      <c r="I812" t="s">
        <v>171</v>
      </c>
      <c r="J812" t="s">
        <v>177</v>
      </c>
      <c r="K812" t="s">
        <v>173</v>
      </c>
      <c r="T812" t="s">
        <v>3723</v>
      </c>
      <c r="U812" t="s">
        <v>3708</v>
      </c>
      <c r="V812" t="s">
        <v>6043</v>
      </c>
      <c r="X812"/>
      <c r="Y812" t="s">
        <v>6044</v>
      </c>
      <c r="Z812"/>
    </row>
    <row r="813" spans="1:26" ht="15.75" customHeight="1" x14ac:dyDescent="0.15">
      <c r="A813" s="9">
        <v>807</v>
      </c>
      <c r="B813" t="s">
        <v>75</v>
      </c>
      <c r="C813" t="s">
        <v>6035</v>
      </c>
      <c r="D813" t="s">
        <v>6045</v>
      </c>
      <c r="E813" s="9" t="s">
        <v>169</v>
      </c>
      <c r="F813" s="9">
        <v>3</v>
      </c>
      <c r="G813" s="9"/>
      <c r="H813" s="9" t="s">
        <v>3721</v>
      </c>
      <c r="I813" t="s">
        <v>171</v>
      </c>
      <c r="J813" t="s">
        <v>6046</v>
      </c>
      <c r="K813" t="s">
        <v>6047</v>
      </c>
      <c r="T813" t="s">
        <v>3723</v>
      </c>
      <c r="U813" t="s">
        <v>3708</v>
      </c>
      <c r="V813" t="s">
        <v>6048</v>
      </c>
      <c r="X813"/>
      <c r="Y813" t="s">
        <v>6049</v>
      </c>
      <c r="Z813"/>
    </row>
    <row r="814" spans="1:26" ht="15.75" customHeight="1" x14ac:dyDescent="0.15">
      <c r="A814" s="9">
        <v>808</v>
      </c>
      <c r="B814" t="s">
        <v>75</v>
      </c>
      <c r="C814" t="s">
        <v>6050</v>
      </c>
      <c r="D814" t="s">
        <v>6051</v>
      </c>
      <c r="E814" s="9" t="s">
        <v>3192</v>
      </c>
      <c r="F814" s="9">
        <v>0</v>
      </c>
      <c r="G814" s="9"/>
      <c r="H814" s="9" t="s">
        <v>3721</v>
      </c>
      <c r="L814" t="s">
        <v>82</v>
      </c>
      <c r="M814">
        <v>1</v>
      </c>
      <c r="N814">
        <v>-3.40282346639E+38</v>
      </c>
      <c r="O814">
        <v>3.40282346639E+38</v>
      </c>
      <c r="P814">
        <v>-3.40282346639E+38</v>
      </c>
      <c r="Q814">
        <v>3.40282346639E+38</v>
      </c>
      <c r="T814" t="s">
        <v>3807</v>
      </c>
      <c r="U814" t="s">
        <v>3950</v>
      </c>
      <c r="V814" t="s">
        <v>6052</v>
      </c>
      <c r="X814"/>
      <c r="Y814"/>
      <c r="Z814"/>
    </row>
    <row r="815" spans="1:26" ht="15.75" customHeight="1" x14ac:dyDescent="0.15">
      <c r="A815" s="9">
        <v>809</v>
      </c>
      <c r="B815" t="s">
        <v>75</v>
      </c>
      <c r="C815" t="s">
        <v>6050</v>
      </c>
      <c r="D815" t="s">
        <v>6053</v>
      </c>
      <c r="E815" s="9" t="s">
        <v>3192</v>
      </c>
      <c r="F815" s="9">
        <v>1</v>
      </c>
      <c r="G815" s="9"/>
      <c r="H815" s="9" t="s">
        <v>3721</v>
      </c>
      <c r="L815" t="s">
        <v>3791</v>
      </c>
      <c r="M815">
        <v>1</v>
      </c>
      <c r="N815">
        <v>-3.40282346639E+38</v>
      </c>
      <c r="O815">
        <v>3.40282346639E+38</v>
      </c>
      <c r="P815">
        <v>-3.40282346639E+38</v>
      </c>
      <c r="Q815">
        <v>3.40282346639E+38</v>
      </c>
      <c r="T815" t="s">
        <v>3807</v>
      </c>
      <c r="U815" t="s">
        <v>3950</v>
      </c>
      <c r="V815" t="s">
        <v>6054</v>
      </c>
      <c r="X815"/>
      <c r="Y815"/>
      <c r="Z815"/>
    </row>
    <row r="816" spans="1:26" ht="15.75" customHeight="1" x14ac:dyDescent="0.15">
      <c r="A816" s="9">
        <v>810</v>
      </c>
      <c r="B816" t="s">
        <v>75</v>
      </c>
      <c r="C816" t="s">
        <v>6050</v>
      </c>
      <c r="D816" t="s">
        <v>6055</v>
      </c>
      <c r="E816" s="9" t="s">
        <v>107</v>
      </c>
      <c r="F816" s="9">
        <v>2</v>
      </c>
      <c r="G816" s="9"/>
      <c r="H816" s="9" t="s">
        <v>3721</v>
      </c>
      <c r="L816" t="s">
        <v>3722</v>
      </c>
      <c r="M816">
        <v>1</v>
      </c>
      <c r="N816">
        <v>-2147483648</v>
      </c>
      <c r="O816">
        <v>2147483647</v>
      </c>
      <c r="P816">
        <v>-2147483648</v>
      </c>
      <c r="Q816">
        <v>2147483647</v>
      </c>
      <c r="T816" t="s">
        <v>3807</v>
      </c>
      <c r="U816" t="s">
        <v>3950</v>
      </c>
      <c r="V816" t="s">
        <v>6056</v>
      </c>
      <c r="W816" t="s">
        <v>2351</v>
      </c>
      <c r="X816" t="s">
        <v>6057</v>
      </c>
      <c r="Y816"/>
      <c r="Z816"/>
    </row>
    <row r="817" spans="1:26" ht="15.75" customHeight="1" x14ac:dyDescent="0.15">
      <c r="A817" s="9">
        <v>811</v>
      </c>
      <c r="B817" t="s">
        <v>75</v>
      </c>
      <c r="C817" t="s">
        <v>6058</v>
      </c>
      <c r="D817" t="s">
        <v>6059</v>
      </c>
      <c r="E817" s="9" t="s">
        <v>169</v>
      </c>
      <c r="F817" s="9">
        <v>0</v>
      </c>
      <c r="G817" s="9"/>
      <c r="H817" s="9" t="s">
        <v>3721</v>
      </c>
      <c r="I817" t="s">
        <v>196</v>
      </c>
      <c r="J817" t="s">
        <v>6046</v>
      </c>
      <c r="K817" t="s">
        <v>6047</v>
      </c>
      <c r="T817" t="s">
        <v>3723</v>
      </c>
      <c r="U817" t="s">
        <v>3950</v>
      </c>
      <c r="V817" t="s">
        <v>6060</v>
      </c>
      <c r="X817"/>
      <c r="Y817"/>
      <c r="Z817"/>
    </row>
    <row r="818" spans="1:26" ht="15.75" customHeight="1" x14ac:dyDescent="0.15">
      <c r="A818" s="9">
        <v>812</v>
      </c>
      <c r="B818" t="s">
        <v>75</v>
      </c>
      <c r="C818" t="s">
        <v>6058</v>
      </c>
      <c r="D818" t="s">
        <v>6061</v>
      </c>
      <c r="E818" s="9" t="s">
        <v>169</v>
      </c>
      <c r="F818" s="9">
        <v>1</v>
      </c>
      <c r="G818" s="9"/>
      <c r="H818" s="9" t="s">
        <v>3721</v>
      </c>
      <c r="I818" t="s">
        <v>196</v>
      </c>
      <c r="J818" t="s">
        <v>6062</v>
      </c>
      <c r="K818" t="s">
        <v>6063</v>
      </c>
      <c r="T818" t="s">
        <v>3723</v>
      </c>
      <c r="U818" t="s">
        <v>3950</v>
      </c>
      <c r="V818" t="s">
        <v>6064</v>
      </c>
      <c r="X818"/>
      <c r="Y818"/>
      <c r="Z818"/>
    </row>
    <row r="819" spans="1:26" ht="15.75" customHeight="1" x14ac:dyDescent="0.15">
      <c r="A819" s="9">
        <v>813</v>
      </c>
      <c r="B819" t="s">
        <v>75</v>
      </c>
      <c r="C819" t="s">
        <v>6058</v>
      </c>
      <c r="D819" t="s">
        <v>6065</v>
      </c>
      <c r="E819" s="9" t="s">
        <v>169</v>
      </c>
      <c r="F819" s="9">
        <v>2</v>
      </c>
      <c r="G819" s="9"/>
      <c r="H819" s="9" t="s">
        <v>6066</v>
      </c>
      <c r="I819" t="s">
        <v>196</v>
      </c>
      <c r="J819" t="s">
        <v>6067</v>
      </c>
      <c r="K819" t="s">
        <v>173</v>
      </c>
      <c r="T819" t="s">
        <v>3723</v>
      </c>
      <c r="U819" t="s">
        <v>3950</v>
      </c>
      <c r="V819" t="s">
        <v>6068</v>
      </c>
      <c r="X819"/>
      <c r="Y819"/>
      <c r="Z819"/>
    </row>
    <row r="820" spans="1:26" ht="15.75" customHeight="1" x14ac:dyDescent="0.15">
      <c r="A820" s="9">
        <v>814</v>
      </c>
      <c r="B820" t="s">
        <v>75</v>
      </c>
      <c r="C820" t="s">
        <v>6058</v>
      </c>
      <c r="D820" t="s">
        <v>6069</v>
      </c>
      <c r="E820" s="9" t="s">
        <v>169</v>
      </c>
      <c r="F820" s="9">
        <v>3</v>
      </c>
      <c r="G820" s="9"/>
      <c r="H820" s="9" t="s">
        <v>6070</v>
      </c>
      <c r="I820" t="s">
        <v>196</v>
      </c>
      <c r="J820" t="s">
        <v>6071</v>
      </c>
      <c r="K820" t="s">
        <v>198</v>
      </c>
      <c r="T820" t="s">
        <v>3723</v>
      </c>
      <c r="U820" t="s">
        <v>3950</v>
      </c>
      <c r="V820" t="s">
        <v>6072</v>
      </c>
      <c r="X820"/>
      <c r="Y820"/>
      <c r="Z820"/>
    </row>
    <row r="821" spans="1:26" ht="16.149999999999999" customHeight="1" x14ac:dyDescent="0.15">
      <c r="A821" s="9"/>
      <c r="E821" s="9"/>
      <c r="F821" s="9"/>
      <c r="G821" s="9"/>
      <c r="H821" s="9"/>
      <c r="V821"/>
      <c r="X821"/>
      <c r="Y821"/>
      <c r="Z821"/>
    </row>
    <row r="822" spans="1:26" ht="16.149999999999999" customHeight="1" x14ac:dyDescent="0.15">
      <c r="A822" s="9"/>
      <c r="E822" s="9"/>
      <c r="F822" s="9"/>
      <c r="G822" s="9"/>
      <c r="H822" s="9"/>
      <c r="V822"/>
      <c r="X822"/>
      <c r="Y822"/>
      <c r="Z822"/>
    </row>
    <row r="823" spans="1:26" ht="16.149999999999999" customHeight="1" x14ac:dyDescent="0.15">
      <c r="A823" s="38"/>
      <c r="B823" s="18"/>
      <c r="C823" s="44"/>
      <c r="D823" s="43"/>
      <c r="E823" s="36"/>
      <c r="F823" s="19"/>
      <c r="G823" s="6"/>
      <c r="H823" s="34"/>
      <c r="I823" s="38"/>
      <c r="J823" s="38"/>
      <c r="K823" s="38"/>
      <c r="L823" s="6"/>
      <c r="M823" s="48"/>
      <c r="N823" s="45"/>
      <c r="O823" s="2"/>
      <c r="P823" s="38"/>
      <c r="Q823" s="36"/>
      <c r="R823" s="34"/>
      <c r="S823" s="34"/>
      <c r="T823" s="34"/>
      <c r="U823" s="33"/>
      <c r="V823" s="33"/>
      <c r="W823" s="33"/>
      <c r="X823" s="33"/>
      <c r="Y823" s="77"/>
      <c r="Z823" s="77"/>
    </row>
    <row r="824" spans="1:26" ht="16.149999999999999" customHeight="1" x14ac:dyDescent="0.15">
      <c r="A824" s="38"/>
      <c r="B824" s="18"/>
      <c r="C824" s="44"/>
      <c r="D824" s="43"/>
      <c r="E824" s="36"/>
      <c r="F824" s="19"/>
      <c r="G824" s="6"/>
      <c r="H824" s="34"/>
      <c r="I824" s="38"/>
      <c r="J824" s="38"/>
      <c r="K824" s="38"/>
      <c r="L824" s="6"/>
      <c r="M824" s="48"/>
      <c r="N824" s="45"/>
      <c r="O824" s="2"/>
      <c r="P824" s="38"/>
      <c r="Q824" s="36"/>
      <c r="R824" s="34"/>
      <c r="S824" s="34"/>
      <c r="T824" s="34"/>
      <c r="U824" s="33"/>
      <c r="V824" s="33"/>
      <c r="W824" s="33"/>
      <c r="X824" s="33"/>
      <c r="Y824" s="77"/>
      <c r="Z824" s="77"/>
    </row>
    <row r="825" spans="1:26" ht="16.149999999999999" customHeight="1" x14ac:dyDescent="0.15">
      <c r="A825" s="38"/>
      <c r="B825" s="18"/>
      <c r="C825" s="44"/>
      <c r="D825" s="43"/>
      <c r="E825" s="36"/>
      <c r="F825" s="19"/>
      <c r="G825" s="6"/>
      <c r="H825" s="34"/>
      <c r="I825" s="38"/>
      <c r="J825" s="38"/>
      <c r="K825" s="38"/>
      <c r="L825" s="6"/>
      <c r="M825" s="48"/>
      <c r="N825" s="45"/>
      <c r="O825" s="2"/>
      <c r="P825" s="38"/>
      <c r="Q825" s="36"/>
      <c r="R825" s="34"/>
      <c r="S825" s="34"/>
      <c r="T825" s="34"/>
      <c r="U825" s="33"/>
      <c r="V825" s="33"/>
      <c r="W825" s="33"/>
      <c r="X825" s="33"/>
      <c r="Y825" s="77"/>
      <c r="Z825" s="77"/>
    </row>
    <row r="826" spans="1:26" ht="16.149999999999999" customHeight="1" x14ac:dyDescent="0.15">
      <c r="A826" s="38"/>
      <c r="B826" s="18"/>
      <c r="C826" s="44"/>
      <c r="D826" s="43"/>
      <c r="E826" s="36"/>
      <c r="F826" s="19"/>
      <c r="G826" s="6"/>
      <c r="H826" s="34"/>
      <c r="I826" s="38"/>
      <c r="J826" s="38"/>
      <c r="K826" s="38"/>
      <c r="L826" s="6"/>
      <c r="M826" s="48"/>
      <c r="N826" s="45"/>
      <c r="O826" s="2"/>
      <c r="P826" s="38"/>
      <c r="Q826" s="36"/>
      <c r="R826" s="34"/>
      <c r="S826" s="34"/>
      <c r="T826" s="34"/>
      <c r="U826" s="33"/>
      <c r="V826" s="33"/>
      <c r="W826" s="33"/>
      <c r="X826" s="33"/>
      <c r="Y826" s="77"/>
      <c r="Z826" s="77"/>
    </row>
    <row r="827" spans="1:26" ht="16.149999999999999" customHeight="1" x14ac:dyDescent="0.15">
      <c r="A827" s="38"/>
      <c r="B827" s="18"/>
      <c r="C827" s="44"/>
      <c r="D827" s="43"/>
      <c r="E827" s="36"/>
      <c r="F827" s="19"/>
      <c r="G827" s="6"/>
      <c r="H827" s="34"/>
      <c r="I827" s="38"/>
      <c r="J827" s="38"/>
      <c r="K827" s="38"/>
      <c r="L827" s="6"/>
      <c r="M827" s="48"/>
      <c r="N827" s="45"/>
      <c r="O827" s="2"/>
      <c r="P827" s="38"/>
      <c r="Q827" s="36"/>
      <c r="R827" s="34"/>
      <c r="S827" s="34"/>
      <c r="T827" s="34"/>
      <c r="U827" s="33"/>
      <c r="V827" s="33"/>
      <c r="W827" s="33"/>
      <c r="X827" s="33"/>
      <c r="Y827" s="77"/>
      <c r="Z827" s="77"/>
    </row>
    <row r="828" spans="1:26" ht="16.149999999999999" customHeight="1" x14ac:dyDescent="0.15">
      <c r="A828" s="38"/>
      <c r="B828" s="18"/>
      <c r="C828" s="44"/>
      <c r="D828" s="43"/>
      <c r="E828" s="36"/>
      <c r="F828" s="19"/>
      <c r="G828" s="6"/>
      <c r="H828" s="34"/>
      <c r="I828" s="38"/>
      <c r="J828" s="38"/>
      <c r="K828" s="38"/>
      <c r="L828" s="6"/>
      <c r="M828" s="48"/>
      <c r="N828" s="45"/>
      <c r="O828" s="2"/>
      <c r="P828" s="38"/>
      <c r="Q828" s="36"/>
      <c r="R828" s="34"/>
      <c r="S828" s="34"/>
      <c r="T828" s="34"/>
      <c r="U828" s="33"/>
      <c r="V828" s="33"/>
      <c r="W828" s="33"/>
      <c r="X828" s="33"/>
      <c r="Y828" s="77"/>
      <c r="Z828" s="77"/>
    </row>
    <row r="829" spans="1:26" ht="16.149999999999999" customHeight="1" x14ac:dyDescent="0.15">
      <c r="A829" s="38"/>
      <c r="B829" s="18"/>
      <c r="C829" s="44"/>
      <c r="D829" s="43"/>
      <c r="E829" s="36"/>
      <c r="F829" s="19"/>
      <c r="G829" s="6"/>
      <c r="H829" s="34"/>
      <c r="I829" s="38"/>
      <c r="J829" s="38"/>
      <c r="K829" s="38"/>
      <c r="L829" s="6"/>
      <c r="M829" s="48"/>
      <c r="N829" s="45"/>
      <c r="O829" s="2"/>
      <c r="P829" s="38"/>
      <c r="Q829" s="36"/>
      <c r="R829" s="34"/>
      <c r="S829" s="34"/>
      <c r="T829" s="34"/>
      <c r="U829" s="33"/>
      <c r="V829" s="33"/>
      <c r="W829" s="33"/>
      <c r="X829" s="33"/>
      <c r="Y829" s="77"/>
      <c r="Z829" s="77"/>
    </row>
    <row r="830" spans="1:26" ht="16.149999999999999" customHeight="1" x14ac:dyDescent="0.15">
      <c r="A830" s="38"/>
      <c r="B830" s="18"/>
      <c r="C830" s="44"/>
      <c r="D830" s="43"/>
      <c r="E830" s="36"/>
      <c r="F830" s="19"/>
      <c r="G830" s="6"/>
      <c r="H830" s="34"/>
      <c r="I830" s="38"/>
      <c r="J830" s="38"/>
      <c r="K830" s="38"/>
      <c r="L830" s="6"/>
      <c r="M830" s="48"/>
      <c r="N830" s="45"/>
      <c r="O830" s="2"/>
      <c r="P830" s="38"/>
      <c r="Q830" s="36"/>
      <c r="R830" s="34"/>
      <c r="S830" s="34"/>
      <c r="T830" s="34"/>
      <c r="U830" s="33"/>
      <c r="V830" s="33"/>
      <c r="W830" s="33"/>
      <c r="X830" s="33"/>
      <c r="Y830" s="77"/>
      <c r="Z830" s="77"/>
    </row>
    <row r="831" spans="1:26" ht="16.149999999999999" customHeight="1" x14ac:dyDescent="0.15">
      <c r="A831" s="38"/>
      <c r="B831" s="18"/>
      <c r="C831" s="44"/>
      <c r="D831" s="43"/>
      <c r="E831" s="36"/>
      <c r="F831" s="19"/>
      <c r="G831" s="6"/>
      <c r="H831" s="34"/>
      <c r="I831" s="38"/>
      <c r="J831" s="38"/>
      <c r="K831" s="38"/>
      <c r="L831" s="6"/>
      <c r="M831" s="48"/>
      <c r="N831" s="45"/>
      <c r="O831" s="2"/>
      <c r="P831" s="38"/>
      <c r="Q831" s="36"/>
      <c r="R831" s="34"/>
      <c r="S831" s="34"/>
      <c r="T831" s="34"/>
      <c r="U831" s="33"/>
      <c r="V831" s="33"/>
      <c r="W831" s="33"/>
      <c r="X831" s="33"/>
      <c r="Y831" s="77"/>
      <c r="Z831" s="77"/>
    </row>
    <row r="832" spans="1:26" ht="16.149999999999999" customHeight="1" x14ac:dyDescent="0.15">
      <c r="A832" s="38"/>
      <c r="B832" s="18"/>
      <c r="C832" s="44"/>
      <c r="D832" s="43"/>
      <c r="E832" s="36"/>
      <c r="F832" s="19"/>
      <c r="G832" s="6"/>
      <c r="H832" s="34"/>
      <c r="I832" s="38"/>
      <c r="J832" s="38"/>
      <c r="K832" s="38"/>
      <c r="L832" s="6"/>
      <c r="M832" s="48"/>
      <c r="N832" s="45"/>
      <c r="O832" s="2"/>
      <c r="P832" s="38"/>
      <c r="Q832" s="36"/>
      <c r="R832" s="34"/>
      <c r="S832" s="34"/>
      <c r="T832" s="34"/>
      <c r="U832" s="33"/>
      <c r="V832" s="33"/>
      <c r="W832" s="33"/>
      <c r="X832" s="33"/>
      <c r="Y832" s="77"/>
      <c r="Z832" s="77"/>
    </row>
    <row r="833" spans="1:26" ht="16.149999999999999" customHeight="1" x14ac:dyDescent="0.15">
      <c r="A833" s="38"/>
      <c r="B833" s="18"/>
      <c r="C833" s="44"/>
      <c r="D833" s="43"/>
      <c r="E833" s="36"/>
      <c r="F833" s="19"/>
      <c r="G833" s="6"/>
      <c r="H833" s="34"/>
      <c r="I833" s="38"/>
      <c r="J833" s="38"/>
      <c r="K833" s="38"/>
      <c r="L833" s="6"/>
      <c r="M833" s="48"/>
      <c r="N833" s="45"/>
      <c r="O833" s="2"/>
      <c r="P833" s="38"/>
      <c r="Q833" s="36"/>
      <c r="R833" s="34"/>
      <c r="S833" s="34"/>
      <c r="T833" s="34"/>
      <c r="U833" s="33"/>
      <c r="V833" s="33"/>
      <c r="W833" s="33"/>
      <c r="X833" s="33"/>
      <c r="Y833" s="77"/>
      <c r="Z833" s="77"/>
    </row>
    <row r="834" spans="1:26" ht="16.149999999999999" customHeight="1" x14ac:dyDescent="0.15">
      <c r="A834" s="38"/>
      <c r="B834" s="18"/>
      <c r="C834" s="44"/>
      <c r="D834" s="43"/>
      <c r="E834" s="36"/>
      <c r="F834" s="19"/>
      <c r="G834" s="6"/>
      <c r="H834" s="34"/>
      <c r="I834" s="38"/>
      <c r="J834" s="38"/>
      <c r="K834" s="38"/>
      <c r="L834" s="6"/>
      <c r="M834" s="48"/>
      <c r="N834" s="45"/>
      <c r="O834" s="2"/>
      <c r="P834" s="38"/>
      <c r="Q834" s="36"/>
      <c r="R834" s="34"/>
      <c r="S834" s="34"/>
      <c r="T834" s="34"/>
      <c r="U834" s="33"/>
      <c r="V834" s="33"/>
      <c r="W834" s="33"/>
      <c r="X834" s="33"/>
      <c r="Y834" s="77"/>
      <c r="Z834" s="77"/>
    </row>
    <row r="835" spans="1:26" ht="16.149999999999999" customHeight="1" x14ac:dyDescent="0.15">
      <c r="A835" s="38"/>
      <c r="B835" s="18"/>
      <c r="C835" s="44"/>
      <c r="D835" s="43"/>
      <c r="E835" s="36"/>
      <c r="F835" s="19"/>
      <c r="G835" s="6"/>
      <c r="H835" s="34"/>
      <c r="I835" s="38"/>
      <c r="J835" s="38"/>
      <c r="K835" s="38"/>
      <c r="L835" s="6"/>
      <c r="M835" s="48"/>
      <c r="N835" s="45"/>
      <c r="O835" s="2"/>
      <c r="P835" s="38"/>
      <c r="Q835" s="36"/>
      <c r="R835" s="34"/>
      <c r="S835" s="34"/>
      <c r="T835" s="34"/>
      <c r="U835" s="33"/>
      <c r="V835" s="33"/>
      <c r="W835" s="33"/>
      <c r="X835" s="33"/>
      <c r="Y835" s="77"/>
      <c r="Z835" s="77"/>
    </row>
    <row r="836" spans="1:26" ht="16.149999999999999" customHeight="1" x14ac:dyDescent="0.15">
      <c r="A836" s="38"/>
      <c r="B836" s="18"/>
      <c r="C836" s="44"/>
      <c r="D836" s="43"/>
      <c r="E836" s="36"/>
      <c r="F836" s="19"/>
      <c r="G836" s="6"/>
      <c r="H836" s="34"/>
      <c r="I836" s="38"/>
      <c r="J836" s="38"/>
      <c r="K836" s="38"/>
      <c r="L836" s="6"/>
      <c r="M836" s="48"/>
      <c r="N836" s="45"/>
      <c r="O836" s="2"/>
      <c r="P836" s="38"/>
      <c r="Q836" s="36"/>
      <c r="R836" s="34"/>
      <c r="S836" s="34"/>
      <c r="T836" s="34"/>
      <c r="U836" s="33"/>
      <c r="V836" s="33"/>
      <c r="W836" s="33"/>
      <c r="X836" s="33"/>
      <c r="Y836" s="77"/>
      <c r="Z836" s="77"/>
    </row>
    <row r="837" spans="1:26" ht="16.149999999999999" customHeight="1" x14ac:dyDescent="0.15">
      <c r="A837" s="38"/>
      <c r="B837" s="18"/>
      <c r="C837" s="44"/>
      <c r="D837" s="43"/>
      <c r="E837" s="36"/>
      <c r="F837" s="19"/>
      <c r="G837" s="6"/>
      <c r="H837" s="34"/>
      <c r="I837" s="38"/>
      <c r="J837" s="38"/>
      <c r="K837" s="38"/>
      <c r="L837" s="6"/>
      <c r="M837" s="48"/>
      <c r="N837" s="45"/>
      <c r="O837" s="2"/>
      <c r="P837" s="38"/>
      <c r="Q837" s="36"/>
      <c r="R837" s="34"/>
      <c r="S837" s="34"/>
      <c r="T837" s="34"/>
      <c r="U837" s="33"/>
      <c r="V837" s="33"/>
      <c r="W837" s="33"/>
      <c r="X837" s="33"/>
      <c r="Y837" s="77"/>
      <c r="Z837" s="77"/>
    </row>
    <row r="838" spans="1:26" ht="16.149999999999999" customHeight="1" x14ac:dyDescent="0.15">
      <c r="A838" s="38"/>
      <c r="B838" s="18"/>
      <c r="C838" s="44"/>
      <c r="D838" s="43"/>
      <c r="E838" s="36"/>
      <c r="F838" s="19"/>
      <c r="G838" s="6"/>
      <c r="H838" s="34"/>
      <c r="I838" s="38"/>
      <c r="J838" s="38"/>
      <c r="K838" s="38"/>
      <c r="L838" s="6"/>
      <c r="M838" s="48"/>
      <c r="N838" s="45"/>
      <c r="O838" s="2"/>
      <c r="P838" s="38"/>
      <c r="Q838" s="36"/>
      <c r="R838" s="34"/>
      <c r="S838" s="34"/>
      <c r="T838" s="34"/>
      <c r="U838" s="33"/>
      <c r="V838" s="33"/>
      <c r="W838" s="33"/>
      <c r="X838" s="33"/>
      <c r="Y838" s="77"/>
      <c r="Z838" s="77"/>
    </row>
    <row r="839" spans="1:26" ht="16.149999999999999" customHeight="1" x14ac:dyDescent="0.15">
      <c r="A839" s="38"/>
      <c r="B839" s="18"/>
      <c r="C839" s="44"/>
      <c r="D839" s="43"/>
      <c r="E839" s="36"/>
      <c r="F839" s="19"/>
      <c r="G839" s="6"/>
      <c r="H839" s="34"/>
      <c r="I839" s="38"/>
      <c r="J839" s="38"/>
      <c r="K839" s="38"/>
      <c r="L839" s="6"/>
      <c r="M839" s="48"/>
      <c r="N839" s="45"/>
      <c r="O839" s="2"/>
      <c r="P839" s="38"/>
      <c r="Q839" s="36"/>
      <c r="R839" s="34"/>
      <c r="S839" s="34"/>
      <c r="T839" s="34"/>
      <c r="U839" s="33"/>
      <c r="V839" s="33"/>
      <c r="W839" s="33"/>
      <c r="X839" s="33"/>
      <c r="Y839" s="77"/>
      <c r="Z839" s="77"/>
    </row>
    <row r="840" spans="1:26" ht="16.149999999999999" customHeight="1" x14ac:dyDescent="0.15">
      <c r="A840" s="38"/>
      <c r="B840" s="18"/>
      <c r="C840" s="44"/>
      <c r="D840" s="43"/>
      <c r="E840" s="36"/>
      <c r="F840" s="19"/>
      <c r="G840" s="6"/>
      <c r="H840" s="34"/>
      <c r="I840" s="38"/>
      <c r="J840" s="38"/>
      <c r="K840" s="38"/>
      <c r="L840" s="6"/>
      <c r="M840" s="48"/>
      <c r="N840" s="45"/>
      <c r="O840" s="2"/>
      <c r="P840" s="38"/>
      <c r="Q840" s="36"/>
      <c r="R840" s="34"/>
      <c r="S840" s="34"/>
      <c r="T840" s="34"/>
      <c r="U840" s="33"/>
      <c r="V840" s="33"/>
      <c r="W840" s="33"/>
      <c r="X840" s="33"/>
      <c r="Y840" s="77"/>
      <c r="Z840" s="77"/>
    </row>
    <row r="841" spans="1:26" ht="16.149999999999999" customHeight="1" x14ac:dyDescent="0.15">
      <c r="A841" s="38"/>
      <c r="B841" s="18"/>
      <c r="C841" s="44"/>
      <c r="D841" s="43"/>
      <c r="E841" s="36"/>
      <c r="F841" s="19"/>
      <c r="G841" s="6"/>
      <c r="H841" s="34"/>
      <c r="I841" s="38"/>
      <c r="J841" s="38"/>
      <c r="K841" s="38"/>
      <c r="L841" s="6"/>
      <c r="M841" s="48"/>
      <c r="N841" s="45"/>
      <c r="O841" s="2"/>
      <c r="P841" s="38"/>
      <c r="Q841" s="36"/>
      <c r="R841" s="34"/>
      <c r="S841" s="34"/>
      <c r="T841" s="34"/>
      <c r="U841" s="33"/>
      <c r="V841" s="33"/>
      <c r="W841" s="33"/>
      <c r="X841" s="33"/>
      <c r="Y841" s="77"/>
      <c r="Z841" s="77"/>
    </row>
    <row r="842" spans="1:26" ht="16.149999999999999" customHeight="1" x14ac:dyDescent="0.15">
      <c r="A842" s="38"/>
      <c r="B842" s="18"/>
      <c r="C842" s="44"/>
      <c r="D842" s="43"/>
      <c r="E842" s="36"/>
      <c r="F842" s="19"/>
      <c r="G842" s="6"/>
      <c r="H842" s="34"/>
      <c r="I842" s="38"/>
      <c r="J842" s="38"/>
      <c r="K842" s="38"/>
      <c r="L842" s="6"/>
      <c r="M842" s="48"/>
      <c r="N842" s="45"/>
      <c r="O842" s="2"/>
      <c r="P842" s="38"/>
      <c r="Q842" s="36"/>
      <c r="R842" s="34"/>
      <c r="S842" s="34"/>
      <c r="T842" s="34"/>
      <c r="U842" s="33"/>
      <c r="V842" s="33"/>
      <c r="W842" s="33"/>
      <c r="X842" s="33"/>
      <c r="Y842" s="77"/>
      <c r="Z842" s="77"/>
    </row>
    <row r="843" spans="1:26" ht="16.149999999999999" customHeight="1" x14ac:dyDescent="0.15">
      <c r="A843" s="38"/>
      <c r="B843" s="18"/>
      <c r="C843" s="44"/>
      <c r="D843" s="43"/>
      <c r="E843" s="36"/>
      <c r="F843" s="19"/>
      <c r="G843" s="6"/>
      <c r="H843" s="34"/>
      <c r="I843" s="38"/>
      <c r="J843" s="38"/>
      <c r="K843" s="38"/>
      <c r="L843" s="6"/>
      <c r="M843" s="48"/>
      <c r="N843" s="45"/>
      <c r="O843" s="2"/>
      <c r="P843" s="38"/>
      <c r="Q843" s="36"/>
      <c r="R843" s="34"/>
      <c r="S843" s="34"/>
      <c r="T843" s="34"/>
      <c r="U843" s="33"/>
      <c r="V843" s="33"/>
      <c r="W843" s="33"/>
      <c r="X843" s="33"/>
      <c r="Y843" s="77"/>
      <c r="Z843" s="77"/>
    </row>
    <row r="844" spans="1:26" ht="16.149999999999999" customHeight="1" x14ac:dyDescent="0.15">
      <c r="A844" s="38"/>
      <c r="B844" s="18"/>
      <c r="C844" s="44"/>
      <c r="D844" s="43"/>
      <c r="E844" s="36"/>
      <c r="F844" s="19"/>
      <c r="G844" s="6"/>
      <c r="H844" s="34"/>
      <c r="I844" s="38"/>
      <c r="J844" s="38"/>
      <c r="K844" s="38"/>
      <c r="L844" s="6"/>
      <c r="M844" s="48"/>
      <c r="N844" s="45"/>
      <c r="O844" s="2"/>
      <c r="P844" s="38"/>
      <c r="Q844" s="36"/>
      <c r="R844" s="34"/>
      <c r="S844" s="34"/>
      <c r="T844" s="34"/>
      <c r="U844" s="33"/>
      <c r="V844" s="33"/>
      <c r="W844" s="33"/>
      <c r="X844" s="33"/>
      <c r="Y844" s="77"/>
      <c r="Z844" s="77"/>
    </row>
    <row r="845" spans="1:26" ht="16.149999999999999" customHeight="1" x14ac:dyDescent="0.15">
      <c r="A845" s="38"/>
      <c r="B845" s="18"/>
      <c r="C845" s="44"/>
      <c r="D845" s="43"/>
      <c r="E845" s="36"/>
      <c r="F845" s="19"/>
      <c r="G845" s="6"/>
      <c r="H845" s="34"/>
      <c r="I845" s="38"/>
      <c r="J845" s="38"/>
      <c r="K845" s="38"/>
      <c r="L845" s="6"/>
      <c r="M845" s="48"/>
      <c r="N845" s="45"/>
      <c r="O845" s="2"/>
      <c r="P845" s="38"/>
      <c r="Q845" s="36"/>
      <c r="R845" s="34"/>
      <c r="S845" s="34"/>
      <c r="T845" s="34"/>
      <c r="U845" s="33"/>
      <c r="V845" s="33"/>
      <c r="W845" s="33"/>
      <c r="X845" s="33"/>
      <c r="Y845" s="77"/>
      <c r="Z845" s="77"/>
    </row>
    <row r="846" spans="1:26" ht="16.149999999999999" customHeight="1" x14ac:dyDescent="0.15">
      <c r="A846" s="38"/>
      <c r="B846" s="18"/>
      <c r="C846" s="44"/>
      <c r="D846" s="43"/>
      <c r="E846" s="36"/>
      <c r="F846" s="19"/>
      <c r="G846" s="6"/>
      <c r="H846" s="34"/>
      <c r="I846" s="38"/>
      <c r="J846" s="38"/>
      <c r="K846" s="38"/>
      <c r="L846" s="6"/>
      <c r="M846" s="48"/>
      <c r="N846" s="45"/>
      <c r="O846" s="2"/>
      <c r="P846" s="38"/>
      <c r="Q846" s="36"/>
      <c r="R846" s="34"/>
      <c r="S846" s="34"/>
      <c r="T846" s="34"/>
      <c r="U846" s="33"/>
      <c r="V846" s="33"/>
      <c r="W846" s="33"/>
      <c r="X846" s="33"/>
      <c r="Y846" s="77"/>
      <c r="Z846" s="77"/>
    </row>
    <row r="847" spans="1:26" ht="16.149999999999999" customHeight="1" x14ac:dyDescent="0.15">
      <c r="A847" s="38"/>
      <c r="B847" s="18"/>
      <c r="C847" s="44"/>
      <c r="D847" s="43"/>
      <c r="E847" s="36"/>
      <c r="F847" s="19"/>
      <c r="G847" s="6"/>
      <c r="H847" s="34"/>
      <c r="I847" s="38"/>
      <c r="J847" s="38"/>
      <c r="K847" s="38"/>
      <c r="L847" s="6"/>
      <c r="M847" s="48"/>
      <c r="N847" s="45"/>
      <c r="O847" s="2"/>
      <c r="P847" s="38"/>
      <c r="Q847" s="36"/>
      <c r="R847" s="34"/>
      <c r="S847" s="34"/>
      <c r="T847" s="34"/>
      <c r="U847" s="33"/>
      <c r="V847" s="33"/>
      <c r="W847" s="33"/>
      <c r="X847" s="33"/>
      <c r="Y847" s="77"/>
      <c r="Z847" s="77"/>
    </row>
    <row r="848" spans="1:26" ht="16.149999999999999" customHeight="1" x14ac:dyDescent="0.15">
      <c r="A848" s="38"/>
      <c r="B848" s="18"/>
      <c r="C848" s="44"/>
      <c r="D848" s="43"/>
      <c r="E848" s="36"/>
      <c r="F848" s="19"/>
      <c r="G848" s="6"/>
      <c r="H848" s="34"/>
      <c r="I848" s="38"/>
      <c r="J848" s="38"/>
      <c r="K848" s="38"/>
      <c r="L848" s="6"/>
      <c r="M848" s="48"/>
      <c r="N848" s="45"/>
      <c r="O848" s="2"/>
      <c r="P848" s="38"/>
      <c r="Q848" s="36"/>
      <c r="R848" s="34"/>
      <c r="S848" s="34"/>
      <c r="T848" s="34"/>
      <c r="U848" s="33"/>
      <c r="V848" s="33"/>
      <c r="W848" s="33"/>
      <c r="X848" s="33"/>
      <c r="Y848" s="77"/>
      <c r="Z848" s="77"/>
    </row>
    <row r="849" spans="1:26" ht="16.149999999999999" customHeight="1" x14ac:dyDescent="0.15">
      <c r="A849" s="38"/>
      <c r="B849" s="18"/>
      <c r="C849" s="44"/>
      <c r="D849" s="43"/>
      <c r="E849" s="36"/>
      <c r="F849" s="19"/>
      <c r="G849" s="6"/>
      <c r="H849" s="34"/>
      <c r="I849" s="38"/>
      <c r="J849" s="38"/>
      <c r="K849" s="38"/>
      <c r="L849" s="6"/>
      <c r="M849" s="48"/>
      <c r="N849" s="45"/>
      <c r="O849" s="2"/>
      <c r="P849" s="38"/>
      <c r="Q849" s="36"/>
      <c r="R849" s="34"/>
      <c r="S849" s="34"/>
      <c r="T849" s="34"/>
      <c r="U849" s="33"/>
      <c r="V849" s="33"/>
      <c r="W849" s="33"/>
      <c r="X849" s="33"/>
      <c r="Y849" s="77"/>
      <c r="Z849" s="77"/>
    </row>
    <row r="850" spans="1:26" ht="16.149999999999999" customHeight="1" x14ac:dyDescent="0.15">
      <c r="A850" s="38"/>
      <c r="B850" s="18"/>
      <c r="C850" s="44"/>
      <c r="D850" s="43"/>
      <c r="E850" s="36"/>
      <c r="F850" s="19"/>
      <c r="G850" s="6"/>
      <c r="H850" s="34"/>
      <c r="I850" s="38"/>
      <c r="J850" s="38"/>
      <c r="K850" s="38"/>
      <c r="L850" s="6"/>
      <c r="M850" s="48"/>
      <c r="N850" s="45"/>
      <c r="O850" s="2"/>
      <c r="P850" s="38"/>
      <c r="Q850" s="36"/>
      <c r="R850" s="34"/>
      <c r="S850" s="34"/>
      <c r="T850" s="34"/>
      <c r="U850" s="33"/>
      <c r="V850" s="33"/>
      <c r="W850" s="33"/>
      <c r="X850" s="33"/>
      <c r="Y850" s="77"/>
      <c r="Z850" s="77"/>
    </row>
    <row r="851" spans="1:26" ht="16.149999999999999" customHeight="1" x14ac:dyDescent="0.15">
      <c r="A851" s="38"/>
      <c r="B851" s="18"/>
      <c r="C851" s="44"/>
      <c r="D851" s="43"/>
      <c r="E851" s="36"/>
      <c r="F851" s="19"/>
      <c r="G851" s="6"/>
      <c r="H851" s="34"/>
      <c r="I851" s="38"/>
      <c r="J851" s="38"/>
      <c r="K851" s="38"/>
      <c r="L851" s="6"/>
      <c r="M851" s="48"/>
      <c r="N851" s="45"/>
      <c r="O851" s="2"/>
      <c r="P851" s="38"/>
      <c r="Q851" s="36"/>
      <c r="R851" s="34"/>
      <c r="S851" s="34"/>
      <c r="T851" s="34"/>
      <c r="U851" s="33"/>
      <c r="V851" s="33"/>
      <c r="W851" s="33"/>
      <c r="X851" s="33"/>
      <c r="Y851" s="77"/>
      <c r="Z851" s="77"/>
    </row>
    <row r="852" spans="1:26" ht="16.149999999999999" customHeight="1" x14ac:dyDescent="0.15">
      <c r="A852" s="38"/>
      <c r="B852" s="18"/>
      <c r="C852" s="44"/>
      <c r="D852" s="43"/>
      <c r="E852" s="36"/>
      <c r="F852" s="19"/>
      <c r="G852" s="6"/>
      <c r="H852" s="34"/>
      <c r="I852" s="38"/>
      <c r="J852" s="38"/>
      <c r="K852" s="38"/>
      <c r="L852" s="6"/>
      <c r="M852" s="48"/>
      <c r="N852" s="45"/>
      <c r="O852" s="2"/>
      <c r="P852" s="38"/>
      <c r="Q852" s="36"/>
      <c r="R852" s="34"/>
      <c r="S852" s="34"/>
      <c r="T852" s="34"/>
      <c r="U852" s="33"/>
      <c r="V852" s="33"/>
      <c r="W852" s="33"/>
      <c r="X852" s="33"/>
      <c r="Y852" s="77"/>
      <c r="Z852" s="77"/>
    </row>
    <row r="853" spans="1:26" ht="16.149999999999999" customHeight="1" x14ac:dyDescent="0.15">
      <c r="A853" s="38"/>
      <c r="B853" s="18"/>
      <c r="C853" s="44"/>
      <c r="D853" s="43"/>
      <c r="E853" s="36"/>
      <c r="F853" s="19"/>
      <c r="G853" s="6"/>
      <c r="H853" s="34"/>
      <c r="I853" s="38"/>
      <c r="J853" s="38"/>
      <c r="K853" s="38"/>
      <c r="L853" s="6"/>
      <c r="M853" s="48"/>
      <c r="N853" s="45"/>
      <c r="O853" s="2"/>
      <c r="P853" s="38"/>
      <c r="Q853" s="36"/>
      <c r="R853" s="34"/>
      <c r="S853" s="34"/>
      <c r="T853" s="34"/>
      <c r="U853" s="33"/>
      <c r="V853" s="33"/>
      <c r="W853" s="33"/>
      <c r="X853" s="33"/>
      <c r="Y853" s="77"/>
      <c r="Z853" s="77"/>
    </row>
    <row r="854" spans="1:26" ht="16.149999999999999" customHeight="1" x14ac:dyDescent="0.15">
      <c r="A854" s="38"/>
      <c r="B854" s="18"/>
      <c r="C854" s="44"/>
      <c r="D854" s="43"/>
      <c r="E854" s="36"/>
      <c r="F854" s="19"/>
      <c r="G854" s="6"/>
      <c r="H854" s="34"/>
      <c r="I854" s="38"/>
      <c r="J854" s="38"/>
      <c r="K854" s="38"/>
      <c r="L854" s="6"/>
      <c r="M854" s="48"/>
      <c r="N854" s="45"/>
      <c r="O854" s="2"/>
      <c r="P854" s="38"/>
      <c r="Q854" s="36"/>
      <c r="R854" s="34"/>
      <c r="S854" s="34"/>
      <c r="T854" s="34"/>
      <c r="U854" s="33"/>
      <c r="V854" s="33"/>
      <c r="W854" s="33"/>
      <c r="X854" s="33"/>
      <c r="Y854" s="77"/>
      <c r="Z854" s="77"/>
    </row>
    <row r="855" spans="1:26" ht="16.149999999999999" customHeight="1" x14ac:dyDescent="0.15">
      <c r="A855" s="38"/>
      <c r="B855" s="18"/>
      <c r="C855" s="44"/>
      <c r="D855" s="43"/>
      <c r="E855" s="36"/>
      <c r="F855" s="19"/>
      <c r="G855" s="6"/>
      <c r="H855" s="34"/>
      <c r="I855" s="38"/>
      <c r="J855" s="38"/>
      <c r="K855" s="38"/>
      <c r="L855" s="6"/>
      <c r="M855" s="48"/>
      <c r="N855" s="45"/>
      <c r="O855" s="2"/>
      <c r="P855" s="38"/>
      <c r="Q855" s="36"/>
      <c r="R855" s="34"/>
      <c r="S855" s="34"/>
      <c r="T855" s="34"/>
      <c r="U855" s="33"/>
      <c r="V855" s="33"/>
      <c r="W855" s="33"/>
      <c r="X855" s="33"/>
      <c r="Y855" s="77"/>
      <c r="Z855" s="77"/>
    </row>
    <row r="856" spans="1:26" ht="16.149999999999999" customHeight="1" x14ac:dyDescent="0.15">
      <c r="A856" s="38"/>
      <c r="B856" s="18"/>
      <c r="C856" s="44"/>
      <c r="D856" s="43"/>
      <c r="E856" s="36"/>
      <c r="F856" s="19"/>
      <c r="G856" s="6"/>
      <c r="H856" s="34"/>
      <c r="I856" s="38"/>
      <c r="J856" s="38"/>
      <c r="K856" s="38"/>
      <c r="L856" s="6"/>
      <c r="M856" s="48"/>
      <c r="N856" s="45"/>
      <c r="O856" s="2"/>
      <c r="P856" s="38"/>
      <c r="Q856" s="36"/>
      <c r="R856" s="34"/>
      <c r="S856" s="34"/>
      <c r="T856" s="34"/>
      <c r="U856" s="33"/>
      <c r="V856" s="33"/>
      <c r="W856" s="33"/>
      <c r="X856" s="33"/>
      <c r="Y856" s="77"/>
      <c r="Z856" s="77"/>
    </row>
    <row r="857" spans="1:26" ht="16.149999999999999" customHeight="1" x14ac:dyDescent="0.15">
      <c r="A857" s="38"/>
      <c r="B857" s="18"/>
      <c r="C857" s="44"/>
      <c r="D857" s="43"/>
      <c r="E857" s="36"/>
      <c r="F857" s="19"/>
      <c r="G857" s="6"/>
      <c r="H857" s="34"/>
      <c r="I857" s="38"/>
      <c r="J857" s="38"/>
      <c r="K857" s="38"/>
      <c r="L857" s="6"/>
      <c r="M857" s="48"/>
      <c r="N857" s="45"/>
      <c r="O857" s="2"/>
      <c r="P857" s="38"/>
      <c r="Q857" s="36"/>
      <c r="R857" s="34"/>
      <c r="S857" s="34"/>
      <c r="T857" s="34"/>
      <c r="U857" s="33"/>
      <c r="V857" s="33"/>
      <c r="W857" s="33"/>
      <c r="X857" s="33"/>
      <c r="Y857" s="77"/>
      <c r="Z857" s="77"/>
    </row>
    <row r="858" spans="1:26" ht="16.149999999999999" customHeight="1" x14ac:dyDescent="0.15">
      <c r="A858" s="38"/>
      <c r="B858" s="18"/>
      <c r="C858" s="44"/>
      <c r="D858" s="43"/>
      <c r="E858" s="36"/>
      <c r="F858" s="19"/>
      <c r="G858" s="6"/>
      <c r="H858" s="34"/>
      <c r="I858" s="38"/>
      <c r="J858" s="38"/>
      <c r="K858" s="38"/>
      <c r="L858" s="6"/>
      <c r="M858" s="48"/>
      <c r="N858" s="45"/>
      <c r="O858" s="2"/>
      <c r="P858" s="38"/>
      <c r="Q858" s="36"/>
      <c r="R858" s="34"/>
      <c r="S858" s="34"/>
      <c r="T858" s="34"/>
      <c r="U858" s="33"/>
      <c r="V858" s="33"/>
      <c r="W858" s="33"/>
      <c r="X858" s="33"/>
      <c r="Y858" s="77"/>
      <c r="Z858" s="77"/>
    </row>
    <row r="859" spans="1:26" ht="16.149999999999999" customHeight="1" x14ac:dyDescent="0.15">
      <c r="A859" s="38"/>
      <c r="B859" s="18"/>
      <c r="C859" s="44"/>
      <c r="D859" s="43"/>
      <c r="E859" s="36"/>
      <c r="F859" s="19"/>
      <c r="G859" s="6"/>
      <c r="H859" s="34"/>
      <c r="I859" s="38"/>
      <c r="J859" s="38"/>
      <c r="K859" s="38"/>
      <c r="L859" s="6"/>
      <c r="M859" s="48"/>
      <c r="N859" s="45"/>
      <c r="O859" s="2"/>
      <c r="P859" s="38"/>
      <c r="Q859" s="36"/>
      <c r="R859" s="34"/>
      <c r="S859" s="34"/>
      <c r="T859" s="34"/>
      <c r="U859" s="33"/>
      <c r="V859" s="33"/>
      <c r="W859" s="33"/>
      <c r="X859" s="33"/>
      <c r="Y859" s="77"/>
      <c r="Z859" s="77"/>
    </row>
    <row r="860" spans="1:26" ht="16.149999999999999" customHeight="1" x14ac:dyDescent="0.15">
      <c r="A860" s="38"/>
      <c r="B860" s="18"/>
      <c r="C860" s="44"/>
      <c r="D860" s="43"/>
      <c r="E860" s="36"/>
      <c r="F860" s="19"/>
      <c r="G860" s="6"/>
      <c r="H860" s="34"/>
      <c r="I860" s="38"/>
      <c r="J860" s="38"/>
      <c r="K860" s="38"/>
      <c r="L860" s="6"/>
      <c r="M860" s="48"/>
      <c r="N860" s="45"/>
      <c r="O860" s="2"/>
      <c r="P860" s="38"/>
      <c r="Q860" s="36"/>
      <c r="R860" s="34"/>
      <c r="S860" s="34"/>
      <c r="T860" s="34"/>
      <c r="U860" s="33"/>
      <c r="V860" s="33"/>
      <c r="W860" s="33"/>
      <c r="X860" s="33"/>
      <c r="Y860" s="77"/>
      <c r="Z860" s="77"/>
    </row>
    <row r="861" spans="1:26" ht="16.149999999999999" customHeight="1" x14ac:dyDescent="0.15">
      <c r="A861" s="38"/>
      <c r="B861" s="18"/>
      <c r="C861" s="44"/>
      <c r="D861" s="43"/>
      <c r="E861" s="36"/>
      <c r="F861" s="19"/>
      <c r="G861" s="6"/>
      <c r="H861" s="34"/>
      <c r="I861" s="38"/>
      <c r="J861" s="38"/>
      <c r="K861" s="38"/>
      <c r="L861" s="6"/>
      <c r="M861" s="48"/>
      <c r="N861" s="45"/>
      <c r="O861" s="2"/>
      <c r="P861" s="38"/>
      <c r="Q861" s="36"/>
      <c r="R861" s="34"/>
      <c r="S861" s="34"/>
      <c r="T861" s="34"/>
      <c r="U861" s="33"/>
      <c r="V861" s="33"/>
      <c r="W861" s="33"/>
      <c r="X861" s="33"/>
      <c r="Y861" s="77"/>
      <c r="Z861" s="77"/>
    </row>
    <row r="862" spans="1:26" ht="16.149999999999999" customHeight="1" x14ac:dyDescent="0.15">
      <c r="A862" s="38"/>
      <c r="B862" s="18"/>
      <c r="C862" s="44"/>
      <c r="D862" s="43"/>
      <c r="E862" s="36"/>
      <c r="F862" s="19"/>
      <c r="G862" s="6"/>
      <c r="H862" s="34"/>
      <c r="I862" s="38"/>
      <c r="J862" s="38"/>
      <c r="K862" s="38"/>
      <c r="L862" s="6"/>
      <c r="M862" s="48"/>
      <c r="N862" s="45"/>
      <c r="O862" s="2"/>
      <c r="P862" s="38"/>
      <c r="Q862" s="36"/>
      <c r="R862" s="34"/>
      <c r="S862" s="34"/>
      <c r="T862" s="34"/>
      <c r="U862" s="33"/>
      <c r="V862" s="33"/>
      <c r="W862" s="33"/>
      <c r="X862" s="33"/>
      <c r="Y862" s="77"/>
      <c r="Z862" s="77"/>
    </row>
    <row r="863" spans="1:26" ht="16.149999999999999" customHeight="1" x14ac:dyDescent="0.15">
      <c r="A863" s="38"/>
      <c r="B863" s="18"/>
      <c r="C863" s="44"/>
      <c r="D863" s="43"/>
      <c r="E863" s="36"/>
      <c r="F863" s="19"/>
      <c r="G863" s="6"/>
      <c r="H863" s="34"/>
      <c r="I863" s="38"/>
      <c r="J863" s="38"/>
      <c r="K863" s="38"/>
      <c r="L863" s="6"/>
      <c r="M863" s="48"/>
      <c r="N863" s="45"/>
      <c r="O863" s="2"/>
      <c r="P863" s="38"/>
      <c r="Q863" s="36"/>
      <c r="R863" s="34"/>
      <c r="S863" s="34"/>
      <c r="T863" s="34"/>
      <c r="U863" s="33"/>
      <c r="V863" s="33"/>
      <c r="W863" s="33"/>
      <c r="X863" s="33"/>
      <c r="Y863" s="77"/>
      <c r="Z863" s="77"/>
    </row>
    <row r="864" spans="1:26" ht="16.149999999999999" customHeight="1" x14ac:dyDescent="0.15">
      <c r="A864" s="38"/>
      <c r="B864" s="18"/>
      <c r="C864" s="44"/>
      <c r="D864" s="43"/>
      <c r="E864" s="36"/>
      <c r="F864" s="19"/>
      <c r="G864" s="6"/>
      <c r="H864" s="34"/>
      <c r="I864" s="38"/>
      <c r="J864" s="38"/>
      <c r="K864" s="38"/>
      <c r="L864" s="6"/>
      <c r="M864" s="48"/>
      <c r="N864" s="45"/>
      <c r="O864" s="2"/>
      <c r="P864" s="38"/>
      <c r="Q864" s="36"/>
      <c r="R864" s="34"/>
      <c r="S864" s="34"/>
      <c r="T864" s="34"/>
      <c r="U864" s="33"/>
      <c r="V864" s="33"/>
      <c r="W864" s="33"/>
      <c r="X864" s="33"/>
      <c r="Y864" s="77"/>
      <c r="Z864" s="77"/>
    </row>
    <row r="865" spans="1:26" ht="16.149999999999999" customHeight="1" x14ac:dyDescent="0.15">
      <c r="A865" s="38"/>
      <c r="B865" s="18"/>
      <c r="C865" s="44"/>
      <c r="D865" s="43"/>
      <c r="E865" s="36"/>
      <c r="F865" s="19"/>
      <c r="G865" s="6"/>
      <c r="H865" s="34"/>
      <c r="I865" s="38"/>
      <c r="J865" s="38"/>
      <c r="K865" s="38"/>
      <c r="L865" s="6"/>
      <c r="M865" s="48"/>
      <c r="N865" s="45"/>
      <c r="O865" s="2"/>
      <c r="P865" s="38"/>
      <c r="Q865" s="36"/>
      <c r="R865" s="34"/>
      <c r="S865" s="34"/>
      <c r="T865" s="34"/>
      <c r="U865" s="33"/>
      <c r="V865" s="33"/>
      <c r="W865" s="33"/>
      <c r="X865" s="33"/>
      <c r="Y865" s="77"/>
      <c r="Z865" s="77"/>
    </row>
    <row r="866" spans="1:26" ht="16.149999999999999" customHeight="1" x14ac:dyDescent="0.15">
      <c r="A866" s="38"/>
      <c r="B866" s="18"/>
      <c r="C866" s="44"/>
      <c r="D866" s="43"/>
      <c r="E866" s="36"/>
      <c r="F866" s="19"/>
      <c r="G866" s="6"/>
      <c r="H866" s="34"/>
      <c r="I866" s="38"/>
      <c r="J866" s="38"/>
      <c r="K866" s="38"/>
      <c r="L866" s="6"/>
      <c r="M866" s="48"/>
      <c r="N866" s="45"/>
      <c r="O866" s="2"/>
      <c r="P866" s="38"/>
      <c r="Q866" s="36"/>
      <c r="R866" s="34"/>
      <c r="S866" s="34"/>
      <c r="T866" s="34"/>
      <c r="U866" s="33"/>
      <c r="V866" s="33"/>
      <c r="W866" s="33"/>
      <c r="X866" s="33"/>
      <c r="Y866" s="77"/>
      <c r="Z866" s="77"/>
    </row>
    <row r="867" spans="1:26" ht="16.149999999999999" customHeight="1" x14ac:dyDescent="0.15">
      <c r="A867" s="38"/>
      <c r="B867" s="18"/>
      <c r="C867" s="44"/>
      <c r="D867" s="43"/>
      <c r="E867" s="36"/>
      <c r="F867" s="19"/>
      <c r="G867" s="6"/>
      <c r="H867" s="34"/>
      <c r="I867" s="38"/>
      <c r="J867" s="38"/>
      <c r="K867" s="38"/>
      <c r="L867" s="6"/>
      <c r="M867" s="48"/>
      <c r="N867" s="45"/>
      <c r="O867" s="2"/>
      <c r="P867" s="38"/>
      <c r="Q867" s="36"/>
      <c r="R867" s="34"/>
      <c r="S867" s="34"/>
      <c r="T867" s="34"/>
      <c r="U867" s="33"/>
      <c r="V867" s="33"/>
      <c r="W867" s="33"/>
      <c r="X867" s="33"/>
      <c r="Y867" s="77"/>
      <c r="Z867" s="77"/>
    </row>
    <row r="868" spans="1:26" ht="16.149999999999999" customHeight="1" x14ac:dyDescent="0.15">
      <c r="A868" s="38"/>
      <c r="B868" s="18"/>
      <c r="C868" s="44"/>
      <c r="D868" s="43"/>
      <c r="E868" s="36"/>
      <c r="F868" s="19"/>
      <c r="G868" s="6"/>
      <c r="H868" s="34"/>
      <c r="I868" s="38"/>
      <c r="J868" s="38"/>
      <c r="K868" s="38"/>
      <c r="L868" s="6"/>
      <c r="M868" s="48"/>
      <c r="N868" s="45"/>
      <c r="O868" s="2"/>
      <c r="P868" s="38"/>
      <c r="Q868" s="36"/>
      <c r="R868" s="34"/>
      <c r="S868" s="34"/>
      <c r="T868" s="34"/>
      <c r="U868" s="33"/>
      <c r="V868" s="33"/>
      <c r="W868" s="33"/>
      <c r="X868" s="33"/>
      <c r="Y868" s="77"/>
      <c r="Z868" s="77"/>
    </row>
    <row r="869" spans="1:26" ht="16.149999999999999" customHeight="1" x14ac:dyDescent="0.15">
      <c r="A869" s="38"/>
      <c r="B869" s="18"/>
      <c r="C869" s="44"/>
      <c r="D869" s="43"/>
      <c r="E869" s="36"/>
      <c r="F869" s="19"/>
      <c r="G869" s="6"/>
      <c r="H869" s="34"/>
      <c r="I869" s="38"/>
      <c r="J869" s="38"/>
      <c r="K869" s="38"/>
      <c r="L869" s="6"/>
      <c r="M869" s="48"/>
      <c r="N869" s="45"/>
      <c r="O869" s="2"/>
      <c r="P869" s="38"/>
      <c r="Q869" s="36"/>
      <c r="R869" s="34"/>
      <c r="S869" s="34"/>
      <c r="T869" s="34"/>
      <c r="U869" s="33"/>
      <c r="V869" s="33"/>
      <c r="W869" s="33"/>
      <c r="X869" s="33"/>
      <c r="Y869" s="77"/>
      <c r="Z869" s="77"/>
    </row>
    <row r="870" spans="1:26" ht="16.149999999999999" customHeight="1" x14ac:dyDescent="0.15">
      <c r="A870" s="38"/>
      <c r="B870" s="18"/>
      <c r="C870" s="44"/>
      <c r="D870" s="43"/>
      <c r="E870" s="36"/>
      <c r="F870" s="19"/>
      <c r="G870" s="6"/>
      <c r="H870" s="34"/>
      <c r="I870" s="38"/>
      <c r="J870" s="38"/>
      <c r="K870" s="38"/>
      <c r="L870" s="6"/>
      <c r="M870" s="48"/>
      <c r="N870" s="45"/>
      <c r="O870" s="2"/>
      <c r="P870" s="38"/>
      <c r="Q870" s="36"/>
      <c r="R870" s="34"/>
      <c r="S870" s="34"/>
      <c r="T870" s="34"/>
      <c r="U870" s="33"/>
      <c r="V870" s="33"/>
      <c r="W870" s="33"/>
      <c r="X870" s="33"/>
      <c r="Y870" s="77"/>
      <c r="Z870" s="77"/>
    </row>
    <row r="871" spans="1:26" ht="16.149999999999999" customHeight="1" x14ac:dyDescent="0.15">
      <c r="A871" s="38"/>
      <c r="B871" s="18"/>
      <c r="C871" s="44"/>
      <c r="D871" s="43"/>
      <c r="E871" s="36"/>
      <c r="F871" s="19"/>
      <c r="G871" s="6"/>
      <c r="H871" s="34"/>
      <c r="I871" s="38"/>
      <c r="J871" s="38"/>
      <c r="K871" s="38"/>
      <c r="L871" s="6"/>
      <c r="M871" s="48"/>
      <c r="N871" s="45"/>
      <c r="O871" s="2"/>
      <c r="P871" s="38"/>
      <c r="Q871" s="36"/>
      <c r="R871" s="34"/>
      <c r="S871" s="34"/>
      <c r="T871" s="34"/>
      <c r="U871" s="33"/>
      <c r="V871" s="33"/>
      <c r="W871" s="33"/>
      <c r="X871" s="33"/>
      <c r="Y871" s="77"/>
      <c r="Z871" s="77"/>
    </row>
    <row r="872" spans="1:26" ht="16.149999999999999" customHeight="1" x14ac:dyDescent="0.15">
      <c r="A872" s="38"/>
      <c r="B872" s="18"/>
      <c r="C872" s="44"/>
      <c r="D872" s="43"/>
      <c r="E872" s="36"/>
      <c r="F872" s="19"/>
      <c r="G872" s="6"/>
      <c r="H872" s="34"/>
      <c r="I872" s="38"/>
      <c r="J872" s="38"/>
      <c r="K872" s="38"/>
      <c r="L872" s="6"/>
      <c r="M872" s="48"/>
      <c r="N872" s="45"/>
      <c r="O872" s="2"/>
      <c r="P872" s="38"/>
      <c r="Q872" s="36"/>
      <c r="R872" s="34"/>
      <c r="S872" s="34"/>
      <c r="T872" s="34"/>
      <c r="U872" s="33"/>
      <c r="V872" s="33"/>
      <c r="W872" s="33"/>
      <c r="X872" s="33"/>
      <c r="Y872" s="77"/>
      <c r="Z872" s="77"/>
    </row>
    <row r="873" spans="1:26" ht="16.149999999999999" customHeight="1" x14ac:dyDescent="0.15">
      <c r="A873" s="38"/>
      <c r="B873" s="18"/>
      <c r="C873" s="44"/>
      <c r="D873" s="43"/>
      <c r="E873" s="36"/>
      <c r="F873" s="19"/>
      <c r="G873" s="6"/>
      <c r="H873" s="34"/>
      <c r="I873" s="38"/>
      <c r="J873" s="38"/>
      <c r="K873" s="38"/>
      <c r="L873" s="6"/>
      <c r="M873" s="48"/>
      <c r="N873" s="45"/>
      <c r="O873" s="2"/>
      <c r="P873" s="38"/>
      <c r="Q873" s="36"/>
      <c r="R873" s="34"/>
      <c r="S873" s="34"/>
      <c r="T873" s="34"/>
      <c r="U873" s="33"/>
      <c r="V873" s="33"/>
      <c r="W873" s="33"/>
      <c r="X873" s="33"/>
      <c r="Y873" s="77"/>
      <c r="Z873" s="77"/>
    </row>
    <row r="874" spans="1:26" ht="16.149999999999999" customHeight="1" x14ac:dyDescent="0.15">
      <c r="A874" s="38"/>
      <c r="B874" s="18"/>
      <c r="C874" s="44"/>
      <c r="D874" s="43"/>
      <c r="E874" s="36"/>
      <c r="F874" s="19"/>
      <c r="G874" s="6"/>
      <c r="H874" s="34"/>
      <c r="I874" s="38"/>
      <c r="J874" s="38"/>
      <c r="K874" s="38"/>
      <c r="L874" s="6"/>
      <c r="M874" s="48"/>
      <c r="N874" s="45"/>
      <c r="O874" s="2"/>
      <c r="P874" s="38"/>
      <c r="Q874" s="36"/>
      <c r="R874" s="34"/>
      <c r="S874" s="34"/>
      <c r="T874" s="34"/>
      <c r="U874" s="33"/>
      <c r="V874" s="33"/>
      <c r="W874" s="33"/>
      <c r="X874" s="33"/>
      <c r="Y874" s="77"/>
      <c r="Z874" s="77"/>
    </row>
    <row r="875" spans="1:26" ht="16.149999999999999" customHeight="1" x14ac:dyDescent="0.15">
      <c r="A875" s="38"/>
      <c r="B875" s="18"/>
      <c r="C875" s="44"/>
      <c r="D875" s="43"/>
      <c r="E875" s="36"/>
      <c r="F875" s="19"/>
      <c r="G875" s="6"/>
      <c r="H875" s="34"/>
      <c r="I875" s="38"/>
      <c r="J875" s="38"/>
      <c r="K875" s="38"/>
      <c r="L875" s="6"/>
      <c r="M875" s="48"/>
      <c r="N875" s="45"/>
      <c r="O875" s="2"/>
      <c r="P875" s="38"/>
      <c r="Q875" s="36"/>
      <c r="R875" s="34"/>
      <c r="S875" s="34"/>
      <c r="T875" s="34"/>
      <c r="U875" s="33"/>
      <c r="V875" s="33"/>
      <c r="W875" s="33"/>
      <c r="X875" s="33"/>
      <c r="Y875" s="77"/>
      <c r="Z875" s="77"/>
    </row>
    <row r="876" spans="1:26" ht="16.149999999999999" customHeight="1" x14ac:dyDescent="0.15">
      <c r="A876" s="38"/>
      <c r="B876" s="18"/>
      <c r="C876" s="44"/>
      <c r="D876" s="43"/>
      <c r="E876" s="36"/>
      <c r="F876" s="19"/>
      <c r="G876" s="6"/>
      <c r="H876" s="34"/>
      <c r="I876" s="38"/>
      <c r="J876" s="38"/>
      <c r="K876" s="38"/>
      <c r="L876" s="6"/>
      <c r="M876" s="48"/>
      <c r="N876" s="45"/>
      <c r="O876" s="2"/>
      <c r="P876" s="38"/>
      <c r="Q876" s="36"/>
      <c r="R876" s="34"/>
      <c r="S876" s="34"/>
      <c r="T876" s="34"/>
      <c r="U876" s="33"/>
      <c r="V876" s="33"/>
      <c r="W876" s="33"/>
      <c r="X876" s="33"/>
      <c r="Y876" s="77"/>
      <c r="Z876" s="77"/>
    </row>
    <row r="877" spans="1:26" ht="16.149999999999999" customHeight="1" x14ac:dyDescent="0.15">
      <c r="A877" s="38"/>
      <c r="B877" s="18"/>
      <c r="C877" s="44"/>
      <c r="D877" s="43"/>
      <c r="E877" s="36"/>
      <c r="F877" s="19"/>
      <c r="G877" s="6"/>
      <c r="H877" s="34"/>
      <c r="I877" s="38"/>
      <c r="J877" s="38"/>
      <c r="K877" s="38"/>
      <c r="L877" s="6"/>
      <c r="M877" s="48"/>
      <c r="N877" s="45"/>
      <c r="O877" s="2"/>
      <c r="P877" s="38"/>
      <c r="Q877" s="36"/>
      <c r="R877" s="34"/>
      <c r="S877" s="34"/>
      <c r="T877" s="34"/>
      <c r="U877" s="33"/>
      <c r="V877" s="33"/>
      <c r="W877" s="33"/>
      <c r="X877" s="33"/>
      <c r="Y877" s="77"/>
      <c r="Z877" s="77"/>
    </row>
    <row r="878" spans="1:26" ht="16.149999999999999" customHeight="1" x14ac:dyDescent="0.15">
      <c r="A878" s="38"/>
      <c r="B878" s="18"/>
      <c r="C878" s="44"/>
      <c r="D878" s="43"/>
      <c r="E878" s="36"/>
      <c r="F878" s="19"/>
      <c r="G878" s="6"/>
      <c r="H878" s="34"/>
      <c r="I878" s="38"/>
      <c r="J878" s="38"/>
      <c r="K878" s="38"/>
      <c r="L878" s="6"/>
      <c r="M878" s="48"/>
      <c r="N878" s="45"/>
      <c r="O878" s="2"/>
      <c r="P878" s="38"/>
      <c r="Q878" s="36"/>
      <c r="R878" s="34"/>
      <c r="S878" s="34"/>
      <c r="T878" s="34"/>
      <c r="U878" s="33"/>
      <c r="V878" s="33"/>
      <c r="W878" s="33"/>
      <c r="X878" s="33"/>
      <c r="Y878" s="77"/>
      <c r="Z878" s="77"/>
    </row>
    <row r="879" spans="1:26" ht="16.149999999999999" customHeight="1" x14ac:dyDescent="0.15">
      <c r="A879" s="38"/>
      <c r="B879" s="18"/>
      <c r="C879" s="44"/>
      <c r="D879" s="43"/>
      <c r="E879" s="36"/>
      <c r="F879" s="19"/>
      <c r="G879" s="6"/>
      <c r="H879" s="34"/>
      <c r="I879" s="38"/>
      <c r="J879" s="38"/>
      <c r="K879" s="38"/>
      <c r="L879" s="6"/>
      <c r="M879" s="48"/>
      <c r="N879" s="45"/>
      <c r="O879" s="2"/>
      <c r="P879" s="38"/>
      <c r="Q879" s="36"/>
      <c r="R879" s="34"/>
      <c r="S879" s="34"/>
      <c r="T879" s="34"/>
      <c r="U879" s="33"/>
      <c r="V879" s="33"/>
      <c r="W879" s="33"/>
      <c r="X879" s="33"/>
      <c r="Y879" s="77"/>
      <c r="Z879" s="77"/>
    </row>
    <row r="880" spans="1:26" ht="16.149999999999999" customHeight="1" x14ac:dyDescent="0.15">
      <c r="A880" s="38"/>
      <c r="B880" s="18"/>
      <c r="C880" s="44"/>
      <c r="D880" s="43"/>
      <c r="E880" s="36"/>
      <c r="F880" s="19"/>
      <c r="G880" s="6"/>
      <c r="H880" s="34"/>
      <c r="I880" s="38"/>
      <c r="J880" s="38"/>
      <c r="K880" s="38"/>
      <c r="L880" s="6"/>
      <c r="M880" s="48"/>
      <c r="N880" s="45"/>
      <c r="O880" s="2"/>
      <c r="P880" s="38"/>
      <c r="Q880" s="36"/>
      <c r="R880" s="34"/>
      <c r="S880" s="34"/>
      <c r="T880" s="34"/>
      <c r="U880" s="33"/>
      <c r="V880" s="33"/>
      <c r="W880" s="33"/>
      <c r="X880" s="33"/>
      <c r="Y880" s="77"/>
      <c r="Z880" s="77"/>
    </row>
    <row r="881" spans="1:26" ht="16.149999999999999" customHeight="1" x14ac:dyDescent="0.15">
      <c r="A881" s="38"/>
      <c r="B881" s="18"/>
      <c r="C881" s="44"/>
      <c r="D881" s="43"/>
      <c r="E881" s="36"/>
      <c r="F881" s="19"/>
      <c r="G881" s="6"/>
      <c r="H881" s="34"/>
      <c r="I881" s="38"/>
      <c r="J881" s="38"/>
      <c r="K881" s="38"/>
      <c r="L881" s="6"/>
      <c r="M881" s="48"/>
      <c r="N881" s="45"/>
      <c r="O881" s="2"/>
      <c r="P881" s="38"/>
      <c r="Q881" s="36"/>
      <c r="R881" s="34"/>
      <c r="S881" s="34"/>
      <c r="T881" s="34"/>
      <c r="U881" s="33"/>
      <c r="V881" s="33"/>
      <c r="W881" s="33"/>
      <c r="X881" s="33"/>
      <c r="Y881" s="77"/>
      <c r="Z881" s="77"/>
    </row>
    <row r="882" spans="1:26" ht="16.149999999999999" customHeight="1" x14ac:dyDescent="0.15">
      <c r="A882" s="38"/>
      <c r="B882" s="18"/>
      <c r="C882" s="44"/>
      <c r="D882" s="43"/>
      <c r="E882" s="36"/>
      <c r="F882" s="19"/>
      <c r="G882" s="6"/>
      <c r="H882" s="34"/>
      <c r="I882" s="38"/>
      <c r="J882" s="38"/>
      <c r="K882" s="38"/>
      <c r="L882" s="6"/>
      <c r="M882" s="48"/>
      <c r="N882" s="45"/>
      <c r="O882" s="2"/>
      <c r="P882" s="38"/>
      <c r="Q882" s="36"/>
      <c r="R882" s="34"/>
      <c r="S882" s="34"/>
      <c r="T882" s="34"/>
      <c r="U882" s="33"/>
      <c r="V882" s="33"/>
      <c r="W882" s="33"/>
      <c r="X882" s="33"/>
      <c r="Y882" s="77"/>
      <c r="Z882" s="77"/>
    </row>
    <row r="883" spans="1:26" ht="16.149999999999999" customHeight="1" x14ac:dyDescent="0.15">
      <c r="A883" s="38"/>
      <c r="B883" s="18"/>
      <c r="C883" s="44"/>
      <c r="D883" s="43"/>
      <c r="E883" s="36"/>
      <c r="F883" s="19"/>
      <c r="G883" s="6"/>
      <c r="H883" s="34"/>
      <c r="I883" s="38"/>
      <c r="J883" s="38"/>
      <c r="K883" s="38"/>
      <c r="L883" s="6"/>
      <c r="M883" s="48"/>
      <c r="N883" s="45"/>
      <c r="O883" s="2"/>
      <c r="P883" s="38"/>
      <c r="Q883" s="36"/>
      <c r="R883" s="34"/>
      <c r="S883" s="34"/>
      <c r="T883" s="34"/>
      <c r="U883" s="33"/>
      <c r="V883" s="33"/>
      <c r="W883" s="33"/>
      <c r="X883" s="33"/>
      <c r="Y883" s="77"/>
      <c r="Z883" s="77"/>
    </row>
    <row r="884" spans="1:26" ht="16.149999999999999" customHeight="1" x14ac:dyDescent="0.15">
      <c r="A884" s="38"/>
      <c r="B884" s="18"/>
      <c r="C884" s="44"/>
      <c r="D884" s="43"/>
      <c r="E884" s="36"/>
      <c r="F884" s="19"/>
      <c r="G884" s="6"/>
      <c r="H884" s="34"/>
      <c r="I884" s="38"/>
      <c r="J884" s="38"/>
      <c r="K884" s="38"/>
      <c r="L884" s="6"/>
      <c r="M884" s="48"/>
      <c r="N884" s="45"/>
      <c r="O884" s="2"/>
      <c r="P884" s="38"/>
      <c r="Q884" s="36"/>
      <c r="R884" s="34"/>
      <c r="S884" s="34"/>
      <c r="T884" s="34"/>
      <c r="U884" s="33"/>
      <c r="V884" s="33"/>
      <c r="W884" s="33"/>
      <c r="X884" s="33"/>
      <c r="Y884" s="77"/>
      <c r="Z884" s="77"/>
    </row>
    <row r="885" spans="1:26" ht="16.149999999999999" customHeight="1" x14ac:dyDescent="0.15">
      <c r="A885" s="38"/>
      <c r="B885" s="18"/>
      <c r="C885" s="44"/>
      <c r="D885" s="43"/>
      <c r="E885" s="36"/>
      <c r="F885" s="19"/>
      <c r="G885" s="6"/>
      <c r="H885" s="34"/>
      <c r="I885" s="38"/>
      <c r="J885" s="38"/>
      <c r="K885" s="38"/>
      <c r="L885" s="6"/>
      <c r="M885" s="48"/>
      <c r="N885" s="45"/>
      <c r="O885" s="2"/>
      <c r="P885" s="38"/>
      <c r="Q885" s="36"/>
      <c r="R885" s="34"/>
      <c r="S885" s="34"/>
      <c r="T885" s="34"/>
      <c r="U885" s="33"/>
      <c r="V885" s="33"/>
      <c r="W885" s="33"/>
      <c r="X885" s="33"/>
      <c r="Y885" s="77"/>
      <c r="Z885" s="77"/>
    </row>
    <row r="886" spans="1:26" ht="16.149999999999999" customHeight="1" x14ac:dyDescent="0.15">
      <c r="A886" s="38"/>
      <c r="B886" s="18"/>
      <c r="C886" s="44"/>
      <c r="D886" s="43"/>
      <c r="E886" s="36"/>
      <c r="F886" s="19"/>
      <c r="G886" s="6"/>
      <c r="H886" s="34"/>
      <c r="I886" s="38"/>
      <c r="J886" s="38"/>
      <c r="K886" s="38"/>
      <c r="L886" s="6"/>
      <c r="M886" s="48"/>
      <c r="N886" s="45"/>
      <c r="O886" s="2"/>
      <c r="P886" s="38"/>
      <c r="Q886" s="36"/>
      <c r="R886" s="34"/>
      <c r="S886" s="34"/>
      <c r="T886" s="34"/>
      <c r="U886" s="33"/>
      <c r="V886" s="33"/>
      <c r="W886" s="33"/>
      <c r="X886" s="33"/>
      <c r="Y886" s="77"/>
      <c r="Z886" s="77"/>
    </row>
    <row r="887" spans="1:26" ht="16.149999999999999" customHeight="1" x14ac:dyDescent="0.15">
      <c r="A887" s="38"/>
      <c r="B887" s="18"/>
      <c r="C887" s="44"/>
      <c r="D887" s="43"/>
      <c r="E887" s="36"/>
      <c r="F887" s="19"/>
      <c r="G887" s="6"/>
      <c r="H887" s="34"/>
      <c r="I887" s="38"/>
      <c r="J887" s="38"/>
      <c r="K887" s="38"/>
      <c r="L887" s="6"/>
      <c r="M887" s="48"/>
      <c r="N887" s="45"/>
      <c r="O887" s="2"/>
      <c r="P887" s="38"/>
      <c r="Q887" s="36"/>
      <c r="R887" s="34"/>
      <c r="S887" s="34"/>
      <c r="T887" s="34"/>
      <c r="U887" s="33"/>
      <c r="V887" s="33"/>
      <c r="W887" s="33"/>
      <c r="X887" s="33"/>
      <c r="Y887" s="77"/>
      <c r="Z887" s="77"/>
    </row>
    <row r="888" spans="1:26" ht="16.149999999999999" customHeight="1" x14ac:dyDescent="0.15">
      <c r="A888" s="38"/>
      <c r="B888" s="18"/>
      <c r="C888" s="44"/>
      <c r="D888" s="43"/>
      <c r="E888" s="36"/>
      <c r="F888" s="19"/>
      <c r="G888" s="6"/>
      <c r="H888" s="34"/>
      <c r="I888" s="38"/>
      <c r="J888" s="38"/>
      <c r="K888" s="38"/>
      <c r="L888" s="6"/>
      <c r="M888" s="48"/>
      <c r="N888" s="45"/>
      <c r="O888" s="2"/>
      <c r="P888" s="38"/>
      <c r="Q888" s="36"/>
      <c r="R888" s="34"/>
      <c r="S888" s="34"/>
      <c r="T888" s="34"/>
      <c r="U888" s="33"/>
      <c r="V888" s="33"/>
      <c r="W888" s="33"/>
      <c r="X888" s="33"/>
      <c r="Y888" s="77"/>
      <c r="Z888" s="77"/>
    </row>
    <row r="889" spans="1:26" ht="16.149999999999999" customHeight="1" x14ac:dyDescent="0.15">
      <c r="A889" s="38"/>
      <c r="B889" s="18"/>
      <c r="C889" s="44"/>
      <c r="D889" s="43"/>
      <c r="E889" s="36"/>
      <c r="F889" s="19"/>
      <c r="G889" s="6"/>
      <c r="H889" s="34"/>
      <c r="I889" s="38"/>
      <c r="J889" s="38"/>
      <c r="K889" s="38"/>
      <c r="L889" s="6"/>
      <c r="M889" s="48"/>
      <c r="N889" s="45"/>
      <c r="O889" s="2"/>
      <c r="P889" s="38"/>
      <c r="Q889" s="36"/>
      <c r="R889" s="34"/>
      <c r="S889" s="34"/>
      <c r="T889" s="34"/>
      <c r="U889" s="33"/>
      <c r="V889" s="33"/>
      <c r="W889" s="33"/>
      <c r="X889" s="33"/>
      <c r="Y889" s="77"/>
      <c r="Z889" s="77"/>
    </row>
    <row r="890" spans="1:26" ht="16.149999999999999" customHeight="1" x14ac:dyDescent="0.15">
      <c r="A890" s="38"/>
      <c r="B890" s="18"/>
      <c r="C890" s="44"/>
      <c r="D890" s="43"/>
      <c r="E890" s="36"/>
      <c r="F890" s="19"/>
      <c r="G890" s="6"/>
      <c r="H890" s="34"/>
      <c r="I890" s="38"/>
      <c r="J890" s="38"/>
      <c r="K890" s="38"/>
      <c r="L890" s="6"/>
      <c r="M890" s="48"/>
      <c r="N890" s="45"/>
      <c r="O890" s="2"/>
      <c r="P890" s="38"/>
      <c r="Q890" s="36"/>
      <c r="R890" s="34"/>
      <c r="S890" s="34"/>
      <c r="T890" s="34"/>
      <c r="U890" s="33"/>
      <c r="V890" s="33"/>
      <c r="W890" s="33"/>
      <c r="X890" s="33"/>
      <c r="Y890" s="77"/>
      <c r="Z890" s="77"/>
    </row>
    <row r="891" spans="1:26" ht="16.149999999999999" customHeight="1" x14ac:dyDescent="0.15">
      <c r="A891" s="38"/>
      <c r="B891" s="18"/>
      <c r="C891" s="44"/>
      <c r="D891" s="43"/>
      <c r="E891" s="36"/>
      <c r="F891" s="19"/>
      <c r="G891" s="6"/>
      <c r="H891" s="34"/>
      <c r="I891" s="38"/>
      <c r="J891" s="38"/>
      <c r="K891" s="38"/>
      <c r="L891" s="6"/>
      <c r="M891" s="48"/>
      <c r="N891" s="45"/>
      <c r="O891" s="2"/>
      <c r="P891" s="38"/>
      <c r="Q891" s="36"/>
      <c r="R891" s="34"/>
      <c r="S891" s="34"/>
      <c r="T891" s="34"/>
      <c r="U891" s="33"/>
      <c r="V891" s="33"/>
      <c r="W891" s="33"/>
      <c r="X891" s="33"/>
      <c r="Y891" s="77"/>
      <c r="Z891" s="77"/>
    </row>
    <row r="892" spans="1:26" ht="16.149999999999999" customHeight="1" x14ac:dyDescent="0.15">
      <c r="A892" s="38"/>
      <c r="B892" s="18"/>
      <c r="C892" s="44"/>
      <c r="D892" s="43"/>
      <c r="E892" s="36"/>
      <c r="F892" s="19"/>
      <c r="G892" s="6"/>
      <c r="H892" s="34"/>
      <c r="I892" s="38"/>
      <c r="J892" s="38"/>
      <c r="K892" s="38"/>
      <c r="L892" s="6"/>
      <c r="M892" s="48"/>
      <c r="N892" s="45"/>
      <c r="O892" s="2"/>
      <c r="P892" s="38"/>
      <c r="Q892" s="36"/>
      <c r="R892" s="34"/>
      <c r="S892" s="34"/>
      <c r="T892" s="34"/>
      <c r="U892" s="33"/>
      <c r="V892" s="33"/>
      <c r="W892" s="33"/>
      <c r="X892" s="33"/>
      <c r="Y892" s="77"/>
      <c r="Z892" s="77"/>
    </row>
    <row r="893" spans="1:26" ht="16.149999999999999" customHeight="1" x14ac:dyDescent="0.15">
      <c r="A893" s="38"/>
      <c r="B893" s="18"/>
      <c r="C893" s="44"/>
      <c r="D893" s="43"/>
      <c r="E893" s="36"/>
      <c r="F893" s="19"/>
      <c r="G893" s="6"/>
      <c r="H893" s="34"/>
      <c r="I893" s="38"/>
      <c r="J893" s="38"/>
      <c r="K893" s="38"/>
      <c r="L893" s="6"/>
      <c r="M893" s="48"/>
      <c r="N893" s="45"/>
      <c r="O893" s="2"/>
      <c r="P893" s="38"/>
      <c r="Q893" s="36"/>
      <c r="R893" s="34"/>
      <c r="S893" s="34"/>
      <c r="T893" s="34"/>
      <c r="U893" s="33"/>
      <c r="V893" s="33"/>
      <c r="W893" s="33"/>
      <c r="X893" s="33"/>
      <c r="Y893" s="77"/>
      <c r="Z893" s="77"/>
    </row>
    <row r="894" spans="1:26" ht="16.149999999999999" customHeight="1" x14ac:dyDescent="0.15">
      <c r="A894" s="38"/>
      <c r="B894" s="18"/>
      <c r="C894" s="44"/>
      <c r="D894" s="43"/>
      <c r="E894" s="36"/>
      <c r="F894" s="19"/>
      <c r="G894" s="6"/>
      <c r="H894" s="34"/>
      <c r="I894" s="38"/>
      <c r="J894" s="38"/>
      <c r="K894" s="38"/>
      <c r="L894" s="6"/>
      <c r="M894" s="48"/>
      <c r="N894" s="45"/>
      <c r="O894" s="2"/>
      <c r="P894" s="38"/>
      <c r="Q894" s="36"/>
      <c r="R894" s="34"/>
      <c r="S894" s="34"/>
      <c r="T894" s="34"/>
      <c r="U894" s="33"/>
      <c r="V894" s="33"/>
      <c r="W894" s="33"/>
      <c r="X894" s="33"/>
      <c r="Y894" s="77"/>
      <c r="Z894" s="77"/>
    </row>
    <row r="895" spans="1:26" ht="16.149999999999999" customHeight="1" x14ac:dyDescent="0.15">
      <c r="A895" s="38"/>
      <c r="B895" s="18"/>
      <c r="C895" s="44"/>
      <c r="D895" s="43"/>
      <c r="E895" s="36"/>
      <c r="F895" s="19"/>
      <c r="G895" s="6"/>
      <c r="H895" s="34"/>
      <c r="I895" s="38"/>
      <c r="J895" s="38"/>
      <c r="K895" s="38"/>
      <c r="L895" s="6"/>
      <c r="M895" s="48"/>
      <c r="N895" s="45"/>
      <c r="O895" s="2"/>
      <c r="P895" s="38"/>
      <c r="Q895" s="36"/>
      <c r="R895" s="34"/>
      <c r="S895" s="34"/>
      <c r="T895" s="34"/>
      <c r="U895" s="33"/>
      <c r="V895" s="33"/>
      <c r="W895" s="33"/>
      <c r="X895" s="33"/>
      <c r="Y895" s="77"/>
      <c r="Z895" s="77"/>
    </row>
    <row r="896" spans="1:26" ht="16.149999999999999" customHeight="1" x14ac:dyDescent="0.15">
      <c r="A896" s="38"/>
      <c r="B896" s="18"/>
      <c r="C896" s="44"/>
      <c r="D896" s="43"/>
      <c r="E896" s="36"/>
      <c r="F896" s="19"/>
      <c r="G896" s="6"/>
      <c r="H896" s="34"/>
      <c r="I896" s="38"/>
      <c r="J896" s="38"/>
      <c r="K896" s="38"/>
      <c r="L896" s="6"/>
      <c r="M896" s="48"/>
      <c r="N896" s="45"/>
      <c r="O896" s="2"/>
      <c r="P896" s="38"/>
      <c r="Q896" s="36"/>
      <c r="R896" s="34"/>
      <c r="S896" s="34"/>
      <c r="T896" s="34"/>
      <c r="U896" s="33"/>
      <c r="V896" s="33"/>
      <c r="W896" s="33"/>
      <c r="X896" s="33"/>
      <c r="Y896" s="77"/>
      <c r="Z896" s="77"/>
    </row>
    <row r="897" spans="1:26" ht="16.149999999999999" customHeight="1" x14ac:dyDescent="0.15">
      <c r="A897" s="38"/>
      <c r="B897" s="18"/>
      <c r="C897" s="44"/>
      <c r="D897" s="43"/>
      <c r="E897" s="36"/>
      <c r="F897" s="19"/>
      <c r="G897" s="6"/>
      <c r="H897" s="34"/>
      <c r="I897" s="38"/>
      <c r="J897" s="38"/>
      <c r="K897" s="38"/>
      <c r="L897" s="6"/>
      <c r="M897" s="48"/>
      <c r="N897" s="45"/>
      <c r="O897" s="2"/>
      <c r="P897" s="38"/>
      <c r="Q897" s="36"/>
      <c r="R897" s="34"/>
      <c r="S897" s="34"/>
      <c r="T897" s="34"/>
      <c r="U897" s="33"/>
      <c r="V897" s="33"/>
      <c r="W897" s="33"/>
      <c r="X897" s="33"/>
      <c r="Y897" s="77"/>
      <c r="Z897" s="77"/>
    </row>
    <row r="898" spans="1:26" ht="16.149999999999999" customHeight="1" x14ac:dyDescent="0.15">
      <c r="A898" s="38"/>
      <c r="B898" s="18"/>
      <c r="C898" s="44"/>
      <c r="D898" s="43"/>
      <c r="E898" s="36"/>
      <c r="F898" s="19"/>
      <c r="G898" s="6"/>
      <c r="H898" s="34"/>
      <c r="I898" s="38"/>
      <c r="J898" s="38"/>
      <c r="K898" s="38"/>
      <c r="L898" s="6"/>
      <c r="M898" s="48"/>
      <c r="N898" s="45"/>
      <c r="O898" s="2"/>
      <c r="P898" s="38"/>
      <c r="Q898" s="36"/>
      <c r="R898" s="34"/>
      <c r="S898" s="34"/>
      <c r="T898" s="34"/>
      <c r="U898" s="33"/>
      <c r="V898" s="33"/>
      <c r="W898" s="33"/>
      <c r="X898" s="33"/>
      <c r="Y898" s="77"/>
      <c r="Z898" s="77"/>
    </row>
    <row r="899" spans="1:26" ht="16.149999999999999" customHeight="1" x14ac:dyDescent="0.15">
      <c r="A899" s="38"/>
      <c r="B899" s="18"/>
      <c r="C899" s="44"/>
      <c r="D899" s="43"/>
      <c r="E899" s="36"/>
      <c r="F899" s="19"/>
      <c r="G899" s="6"/>
      <c r="H899" s="34"/>
      <c r="I899" s="38"/>
      <c r="J899" s="38"/>
      <c r="K899" s="38"/>
      <c r="L899" s="6"/>
      <c r="M899" s="48"/>
      <c r="N899" s="45"/>
      <c r="O899" s="2"/>
      <c r="P899" s="38"/>
      <c r="Q899" s="36"/>
      <c r="R899" s="34"/>
      <c r="S899" s="34"/>
      <c r="T899" s="34"/>
      <c r="U899" s="33"/>
      <c r="V899" s="33"/>
      <c r="W899" s="33"/>
      <c r="X899" s="33"/>
      <c r="Y899" s="77"/>
      <c r="Z899" s="77"/>
    </row>
    <row r="900" spans="1:26" ht="16.149999999999999" customHeight="1" x14ac:dyDescent="0.15">
      <c r="A900" s="38"/>
      <c r="B900" s="18"/>
      <c r="C900" s="44"/>
      <c r="D900" s="43"/>
      <c r="E900" s="36"/>
      <c r="F900" s="19"/>
      <c r="G900" s="6"/>
      <c r="H900" s="34"/>
      <c r="I900" s="38"/>
      <c r="J900" s="38"/>
      <c r="K900" s="38"/>
      <c r="L900" s="6"/>
      <c r="M900" s="48"/>
      <c r="N900" s="45"/>
      <c r="O900" s="2"/>
      <c r="P900" s="38"/>
      <c r="Q900" s="36"/>
      <c r="R900" s="34"/>
      <c r="S900" s="34"/>
      <c r="T900" s="34"/>
      <c r="U900" s="33"/>
      <c r="V900" s="33"/>
      <c r="W900" s="33"/>
      <c r="X900" s="33"/>
      <c r="Y900" s="77"/>
      <c r="Z900" s="77"/>
    </row>
    <row r="901" spans="1:26" ht="16.149999999999999" customHeight="1" x14ac:dyDescent="0.15">
      <c r="A901" s="38"/>
      <c r="B901" s="18"/>
      <c r="C901" s="44"/>
      <c r="D901" s="43"/>
      <c r="E901" s="36"/>
      <c r="F901" s="19"/>
      <c r="G901" s="6"/>
      <c r="H901" s="34"/>
      <c r="I901" s="38"/>
      <c r="J901" s="38"/>
      <c r="K901" s="38"/>
      <c r="L901" s="6"/>
      <c r="M901" s="48"/>
      <c r="N901" s="45"/>
      <c r="O901" s="2"/>
      <c r="P901" s="38"/>
      <c r="Q901" s="36"/>
      <c r="R901" s="34"/>
      <c r="S901" s="34"/>
      <c r="T901" s="34"/>
      <c r="U901" s="33"/>
      <c r="V901" s="33"/>
      <c r="W901" s="33"/>
      <c r="X901" s="33"/>
      <c r="Y901" s="77"/>
      <c r="Z901" s="77"/>
    </row>
    <row r="902" spans="1:26" ht="16.149999999999999" customHeight="1" x14ac:dyDescent="0.15">
      <c r="A902" s="38"/>
      <c r="B902" s="18"/>
      <c r="C902" s="44"/>
      <c r="D902" s="43"/>
      <c r="E902" s="36"/>
      <c r="F902" s="19"/>
      <c r="G902" s="6"/>
      <c r="H902" s="34"/>
      <c r="I902" s="38"/>
      <c r="J902" s="38"/>
      <c r="K902" s="38"/>
      <c r="L902" s="6"/>
      <c r="M902" s="48"/>
      <c r="N902" s="45"/>
      <c r="O902" s="2"/>
      <c r="P902" s="38"/>
      <c r="Q902" s="36"/>
      <c r="R902" s="34"/>
      <c r="S902" s="34"/>
      <c r="T902" s="34"/>
      <c r="U902" s="33"/>
      <c r="V902" s="33"/>
      <c r="W902" s="33"/>
      <c r="X902" s="33"/>
      <c r="Y902" s="77"/>
      <c r="Z902" s="77"/>
    </row>
    <row r="903" spans="1:26" ht="16.149999999999999" customHeight="1" x14ac:dyDescent="0.15">
      <c r="A903" s="38"/>
      <c r="B903" s="18"/>
      <c r="C903" s="44"/>
      <c r="D903" s="43"/>
      <c r="E903" s="36"/>
      <c r="F903" s="19"/>
      <c r="G903" s="6"/>
      <c r="H903" s="34"/>
      <c r="I903" s="38"/>
      <c r="J903" s="38"/>
      <c r="K903" s="38"/>
      <c r="L903" s="6"/>
      <c r="M903" s="48"/>
      <c r="N903" s="45"/>
      <c r="O903" s="2"/>
      <c r="P903" s="38"/>
      <c r="Q903" s="36"/>
      <c r="R903" s="34"/>
      <c r="S903" s="34"/>
      <c r="T903" s="34"/>
      <c r="U903" s="33"/>
      <c r="V903" s="33"/>
      <c r="W903" s="33"/>
      <c r="X903" s="33"/>
      <c r="Y903" s="77"/>
      <c r="Z903" s="77"/>
    </row>
    <row r="904" spans="1:26" ht="16.149999999999999" customHeight="1" x14ac:dyDescent="0.15">
      <c r="A904" s="38"/>
      <c r="B904" s="18"/>
      <c r="C904" s="44"/>
      <c r="D904" s="43"/>
      <c r="E904" s="36"/>
      <c r="F904" s="19"/>
      <c r="G904" s="6"/>
      <c r="H904" s="34"/>
      <c r="I904" s="38"/>
      <c r="J904" s="38"/>
      <c r="K904" s="38"/>
      <c r="L904" s="6"/>
      <c r="M904" s="48"/>
      <c r="N904" s="45"/>
      <c r="O904" s="2"/>
      <c r="P904" s="38"/>
      <c r="Q904" s="36"/>
      <c r="R904" s="34"/>
      <c r="S904" s="34"/>
      <c r="T904" s="34"/>
      <c r="U904" s="33"/>
      <c r="V904" s="33"/>
      <c r="W904" s="33"/>
      <c r="X904" s="33"/>
      <c r="Y904" s="77"/>
      <c r="Z904" s="77"/>
    </row>
    <row r="905" spans="1:26" ht="16.149999999999999" customHeight="1" x14ac:dyDescent="0.15">
      <c r="A905" s="38"/>
      <c r="B905" s="18"/>
      <c r="C905" s="44"/>
      <c r="D905" s="43"/>
      <c r="E905" s="36"/>
      <c r="F905" s="19"/>
      <c r="G905" s="6"/>
      <c r="H905" s="34"/>
      <c r="I905" s="38"/>
      <c r="J905" s="38"/>
      <c r="K905" s="38"/>
      <c r="L905" s="6"/>
      <c r="M905" s="48"/>
      <c r="N905" s="45"/>
      <c r="O905" s="2"/>
      <c r="P905" s="38"/>
      <c r="Q905" s="36"/>
      <c r="R905" s="34"/>
      <c r="S905" s="34"/>
      <c r="T905" s="34"/>
      <c r="U905" s="33"/>
      <c r="V905" s="33"/>
      <c r="W905" s="33"/>
      <c r="X905" s="33"/>
      <c r="Y905" s="77"/>
      <c r="Z905" s="77"/>
    </row>
    <row r="906" spans="1:26" ht="16.149999999999999" customHeight="1" x14ac:dyDescent="0.15">
      <c r="A906" s="38"/>
      <c r="B906" s="18"/>
      <c r="C906" s="44"/>
      <c r="D906" s="43"/>
      <c r="E906" s="36"/>
      <c r="F906" s="19"/>
      <c r="G906" s="6"/>
      <c r="H906" s="34"/>
      <c r="I906" s="38"/>
      <c r="J906" s="38"/>
      <c r="K906" s="38"/>
      <c r="L906" s="6"/>
      <c r="M906" s="48"/>
      <c r="N906" s="45"/>
      <c r="O906" s="2"/>
      <c r="P906" s="38"/>
      <c r="Q906" s="36"/>
      <c r="R906" s="34"/>
      <c r="S906" s="34"/>
      <c r="T906" s="34"/>
      <c r="U906" s="33"/>
      <c r="V906" s="33"/>
      <c r="W906" s="33"/>
      <c r="X906" s="33"/>
      <c r="Y906" s="77"/>
      <c r="Z906" s="77"/>
    </row>
    <row r="907" spans="1:26" ht="16.149999999999999" customHeight="1" x14ac:dyDescent="0.15">
      <c r="A907" s="38"/>
      <c r="B907" s="18"/>
      <c r="C907" s="44"/>
      <c r="D907" s="43"/>
      <c r="E907" s="36"/>
      <c r="F907" s="19"/>
      <c r="G907" s="6"/>
      <c r="H907" s="34"/>
      <c r="I907" s="38"/>
      <c r="J907" s="38"/>
      <c r="K907" s="38"/>
      <c r="L907" s="6"/>
      <c r="M907" s="48"/>
      <c r="N907" s="45"/>
      <c r="O907" s="2"/>
      <c r="P907" s="38"/>
      <c r="Q907" s="36"/>
      <c r="R907" s="34"/>
      <c r="S907" s="34"/>
      <c r="T907" s="34"/>
      <c r="U907" s="33"/>
      <c r="V907" s="33"/>
      <c r="W907" s="33"/>
      <c r="X907" s="33"/>
      <c r="Y907" s="77"/>
      <c r="Z907" s="77"/>
    </row>
    <row r="908" spans="1:26" ht="16.149999999999999" customHeight="1" x14ac:dyDescent="0.15">
      <c r="A908" s="38"/>
      <c r="B908" s="18"/>
      <c r="C908" s="44"/>
      <c r="D908" s="43"/>
      <c r="E908" s="36"/>
      <c r="F908" s="19"/>
      <c r="G908" s="6"/>
      <c r="H908" s="34"/>
      <c r="I908" s="38"/>
      <c r="J908" s="38"/>
      <c r="K908" s="38"/>
      <c r="L908" s="6"/>
      <c r="M908" s="48"/>
      <c r="N908" s="45"/>
      <c r="O908" s="2"/>
      <c r="P908" s="38"/>
      <c r="Q908" s="36"/>
      <c r="R908" s="34"/>
      <c r="S908" s="34"/>
      <c r="T908" s="34"/>
      <c r="U908" s="33"/>
      <c r="V908" s="33"/>
      <c r="W908" s="33"/>
      <c r="X908" s="33"/>
      <c r="Y908" s="77"/>
      <c r="Z908" s="77"/>
    </row>
    <row r="909" spans="1:26" ht="16.149999999999999" customHeight="1" x14ac:dyDescent="0.15">
      <c r="A909" s="38"/>
      <c r="B909" s="23"/>
      <c r="C909" s="44"/>
      <c r="D909" s="43"/>
      <c r="E909" s="36"/>
      <c r="F909" s="24"/>
      <c r="G909" s="6"/>
      <c r="H909" s="34"/>
      <c r="I909" s="38"/>
      <c r="J909" s="38"/>
      <c r="K909" s="38"/>
      <c r="L909" s="6"/>
      <c r="M909" s="49"/>
      <c r="N909" s="45"/>
      <c r="O909" s="2"/>
      <c r="P909" s="38"/>
      <c r="Q909" s="36"/>
      <c r="R909" s="34"/>
      <c r="S909" s="34"/>
      <c r="T909" s="34"/>
      <c r="U909" s="35"/>
      <c r="V909" s="35"/>
      <c r="W909" s="35"/>
      <c r="X909" s="35"/>
      <c r="Y909" s="77"/>
      <c r="Z909" s="77"/>
    </row>
  </sheetData>
  <phoneticPr fontId="26" type="noConversion"/>
  <dataValidations count="2">
    <dataValidation type="custom" allowBlank="1" showErrorMessage="1" errorTitle="Invalid IEC 61131-3 Variable Nam" error="Please enter only alphanumeric and underscore characters." sqref="L3:L5" xr:uid="{DA0FCA58-8AB2-4116-B7ED-AA74D15F6481}">
      <formula1>ISNUMBER(SUMPRODUCT(SEARCH(MID(L3,ROW(INDIRECT("1:"&amp;LEN(L3))),1),"0123456789abcdefghijklmnopqrstuvwxyzABCDEFGHIJKLMNOPQRSTUVWXYZ-_")))</formula1>
    </dataValidation>
    <dataValidation type="whole" errorStyle="warning" allowBlank="1" showInputMessage="1" showErrorMessage="1" errorTitle="Device Modbus Register Base" error="This value is the device register number of the first register in the table.  Typically this value is 1, occasionally it is 0.  " sqref="C4" xr:uid="{29BC4A26-A123-4E80-A099-33ABDD4A669E}">
      <formula1>0</formula1>
      <formula2>1</formula2>
    </dataValidation>
  </dataValidations>
  <pageMargins left="0.25" right="0.25" top="0.75" bottom="0.75" header="0.3" footer="0.3"/>
  <pageSetup paperSize="3" scale="24" fitToHeight="0"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16904-CD53-454E-9675-E2D746894AAF}">
  <sheetPr codeName="Sheet10">
    <tabColor rgb="FF00B0F0"/>
    <pageSetUpPr fitToPage="1"/>
  </sheetPr>
  <dimension ref="A1:AF291"/>
  <sheetViews>
    <sheetView topLeftCell="A17" zoomScaleNormal="100" workbookViewId="0">
      <selection activeCell="I60" sqref="I60"/>
    </sheetView>
  </sheetViews>
  <sheetFormatPr defaultColWidth="14.6640625" defaultRowHeight="16.149999999999999" customHeight="1" x14ac:dyDescent="0.15"/>
  <cols>
    <col min="1" max="1" width="11.6640625" bestFit="1" customWidth="1"/>
    <col min="2" max="2" width="12.33203125" bestFit="1" customWidth="1"/>
    <col min="3" max="3" width="11.1640625" bestFit="1" customWidth="1"/>
    <col min="4" max="4" width="66" bestFit="1" customWidth="1"/>
    <col min="5" max="5" width="12.1640625" bestFit="1" customWidth="1"/>
    <col min="6" max="6" width="12" bestFit="1" customWidth="1"/>
    <col min="7" max="7" width="5.83203125" bestFit="1" customWidth="1"/>
    <col min="8" max="8" width="20.33203125" bestFit="1" customWidth="1"/>
    <col min="9" max="9" width="13.1640625" bestFit="1" customWidth="1"/>
    <col min="10" max="10" width="13.83203125" bestFit="1" customWidth="1"/>
    <col min="11" max="11" width="14.1640625" bestFit="1" customWidth="1"/>
    <col min="12" max="12" width="11.1640625" bestFit="1" customWidth="1"/>
    <col min="13" max="13" width="8.6640625" bestFit="1" customWidth="1"/>
    <col min="14" max="14" width="13.33203125" hidden="1" customWidth="1"/>
    <col min="15" max="15" width="12.5" hidden="1" customWidth="1"/>
    <col min="16" max="16" width="13.33203125" hidden="1" customWidth="1"/>
    <col min="17" max="17" width="12.5" hidden="1" customWidth="1"/>
    <col min="18" max="18" width="20.83203125" bestFit="1" customWidth="1"/>
    <col min="19" max="19" width="13.83203125" bestFit="1" customWidth="1"/>
    <col min="20" max="20" width="16.5" bestFit="1" customWidth="1"/>
    <col min="21" max="21" width="15" bestFit="1" customWidth="1"/>
    <col min="22" max="22" width="81.33203125" style="9" bestFit="1" customWidth="1"/>
    <col min="23" max="23" width="18.83203125" bestFit="1" customWidth="1"/>
    <col min="24" max="24" width="46.6640625" style="9" bestFit="1" customWidth="1"/>
    <col min="25" max="25" width="9.5" style="9" bestFit="1" customWidth="1"/>
    <col min="28" max="28" width="9.5" bestFit="1" customWidth="1"/>
    <col min="29" max="29" width="25" style="9" bestFit="1" customWidth="1"/>
    <col min="30" max="30" width="39.6640625" style="9" customWidth="1"/>
    <col min="31" max="31" width="68" style="9" customWidth="1"/>
    <col min="32" max="32" width="5.5" style="9" bestFit="1" customWidth="1"/>
    <col min="33" max="33" width="56.5" customWidth="1"/>
    <col min="34" max="34" width="14.33203125" customWidth="1"/>
    <col min="35" max="35" width="11.33203125" bestFit="1" customWidth="1"/>
    <col min="36" max="36" width="14.6640625" customWidth="1"/>
    <col min="37" max="37" width="48.5" bestFit="1" customWidth="1"/>
  </cols>
  <sheetData>
    <row r="1" spans="1:32" ht="24" customHeight="1" x14ac:dyDescent="0.15">
      <c r="A1" s="25" t="str">
        <f>'Data Flows'!A1</f>
        <v>Site Name</v>
      </c>
      <c r="B1" s="2"/>
      <c r="C1" s="2"/>
      <c r="D1" s="2"/>
      <c r="E1" s="2"/>
      <c r="F1" s="2"/>
      <c r="G1" s="25" t="s">
        <v>3711</v>
      </c>
      <c r="J1" s="25" t="s">
        <v>6073</v>
      </c>
      <c r="K1" s="25"/>
      <c r="V1" s="6"/>
      <c r="Y1"/>
      <c r="AC1"/>
      <c r="AD1"/>
      <c r="AE1"/>
      <c r="AF1"/>
    </row>
    <row r="2" spans="1:32" ht="16.149999999999999" customHeight="1" x14ac:dyDescent="0.15">
      <c r="A2" s="10" t="s">
        <v>21</v>
      </c>
      <c r="B2" s="2"/>
      <c r="C2" s="11">
        <v>45741</v>
      </c>
      <c r="D2" s="41" t="s">
        <v>22</v>
      </c>
      <c r="E2" t="s">
        <v>3706</v>
      </c>
      <c r="J2" t="s">
        <v>24</v>
      </c>
      <c r="T2" t="s">
        <v>6074</v>
      </c>
      <c r="V2" s="6"/>
      <c r="Y2"/>
      <c r="AC2"/>
      <c r="AD2"/>
      <c r="AE2"/>
      <c r="AF2"/>
    </row>
    <row r="3" spans="1:32" ht="16.149999999999999" customHeight="1" x14ac:dyDescent="0.15">
      <c r="A3" s="12" t="s">
        <v>25</v>
      </c>
      <c r="C3">
        <v>4</v>
      </c>
      <c r="D3" s="42" t="s">
        <v>26</v>
      </c>
      <c r="E3" t="s">
        <v>3190</v>
      </c>
      <c r="L3" s="13"/>
      <c r="M3" s="8"/>
      <c r="V3" s="6"/>
      <c r="X3" s="37"/>
      <c r="Y3"/>
      <c r="AC3"/>
      <c r="AD3"/>
      <c r="AE3"/>
      <c r="AF3"/>
    </row>
    <row r="4" spans="1:32" ht="16.149999999999999" customHeight="1" x14ac:dyDescent="0.25">
      <c r="A4" s="12"/>
      <c r="C4" s="9"/>
      <c r="D4" s="42" t="s">
        <v>6075</v>
      </c>
      <c r="E4" s="50">
        <v>10</v>
      </c>
      <c r="J4" s="47" t="s">
        <v>6076</v>
      </c>
      <c r="M4" s="2"/>
      <c r="T4" s="68" t="s">
        <v>6077</v>
      </c>
      <c r="U4" s="68" t="s">
        <v>6078</v>
      </c>
      <c r="V4" s="68" t="s">
        <v>6079</v>
      </c>
      <c r="W4" s="68" t="s">
        <v>6080</v>
      </c>
      <c r="X4" s="68" t="s">
        <v>6081</v>
      </c>
      <c r="Y4" s="68" t="s">
        <v>6082</v>
      </c>
      <c r="Z4" s="68" t="s">
        <v>6083</v>
      </c>
      <c r="AA4" s="68" t="s">
        <v>6084</v>
      </c>
      <c r="AB4" s="68" t="s">
        <v>6085</v>
      </c>
      <c r="AC4" s="69" t="s">
        <v>6086</v>
      </c>
      <c r="AD4"/>
      <c r="AE4"/>
      <c r="AF4"/>
    </row>
    <row r="5" spans="1:32" ht="16.149999999999999" customHeight="1" x14ac:dyDescent="0.25">
      <c r="A5" s="12"/>
      <c r="C5" s="9"/>
      <c r="D5" s="42" t="s">
        <v>6087</v>
      </c>
      <c r="E5" s="51">
        <v>0</v>
      </c>
      <c r="J5" s="47" t="s">
        <v>6088</v>
      </c>
      <c r="M5" s="2"/>
      <c r="T5" s="70" t="s">
        <v>6089</v>
      </c>
      <c r="U5" s="70" t="s">
        <v>6090</v>
      </c>
      <c r="V5" s="70" t="s">
        <v>6091</v>
      </c>
      <c r="W5" s="71" t="s">
        <v>6092</v>
      </c>
      <c r="X5" s="70" t="s">
        <v>6093</v>
      </c>
      <c r="Y5" s="71" t="s">
        <v>6094</v>
      </c>
      <c r="Z5" s="70" t="s">
        <v>6095</v>
      </c>
      <c r="AA5" s="70" t="s">
        <v>6096</v>
      </c>
      <c r="AB5" s="70" t="s">
        <v>6097</v>
      </c>
      <c r="AC5" s="72" t="s">
        <v>6098</v>
      </c>
      <c r="AD5"/>
      <c r="AE5"/>
      <c r="AF5"/>
    </row>
    <row r="6" spans="1:32" ht="16.149999999999999" customHeight="1" x14ac:dyDescent="0.25">
      <c r="A6" s="12"/>
      <c r="C6" s="9"/>
      <c r="D6" s="42" t="s">
        <v>6099</v>
      </c>
      <c r="E6" s="52">
        <v>6</v>
      </c>
      <c r="J6" s="47" t="s">
        <v>6100</v>
      </c>
      <c r="M6" s="2"/>
      <c r="T6" s="73" t="s">
        <v>6101</v>
      </c>
      <c r="U6" s="73" t="s">
        <v>6102</v>
      </c>
      <c r="V6" s="73" t="s">
        <v>6103</v>
      </c>
      <c r="W6" s="73" t="s">
        <v>6104</v>
      </c>
      <c r="X6" s="73" t="s">
        <v>6105</v>
      </c>
      <c r="Y6" s="73" t="s">
        <v>6106</v>
      </c>
      <c r="AC6"/>
      <c r="AD6"/>
      <c r="AE6"/>
      <c r="AF6"/>
    </row>
    <row r="7" spans="1:32" ht="16.149999999999999" customHeight="1" x14ac:dyDescent="0.25">
      <c r="A7" s="12"/>
      <c r="D7" s="42" t="s">
        <v>6107</v>
      </c>
      <c r="E7" s="53">
        <v>0</v>
      </c>
      <c r="H7" s="47"/>
      <c r="J7" s="47" t="s">
        <v>6108</v>
      </c>
      <c r="M7" s="2"/>
      <c r="T7" s="74" t="s">
        <v>6089</v>
      </c>
      <c r="U7" s="74" t="s">
        <v>6091</v>
      </c>
      <c r="V7" s="74" t="s">
        <v>6092</v>
      </c>
      <c r="W7" s="74" t="s">
        <v>6095</v>
      </c>
      <c r="X7" s="74" t="s">
        <v>6096</v>
      </c>
      <c r="Y7" s="74" t="s">
        <v>6097</v>
      </c>
      <c r="AC7"/>
      <c r="AD7"/>
      <c r="AE7"/>
      <c r="AF7"/>
    </row>
    <row r="8" spans="1:32" ht="30.75" customHeight="1" x14ac:dyDescent="0.15">
      <c r="A8" t="s">
        <v>31</v>
      </c>
      <c r="B8" t="s">
        <v>32</v>
      </c>
      <c r="C8" t="s">
        <v>3714</v>
      </c>
      <c r="D8" t="s">
        <v>34</v>
      </c>
      <c r="E8" t="s">
        <v>35</v>
      </c>
      <c r="F8" t="s">
        <v>3715</v>
      </c>
      <c r="G8" t="s">
        <v>3716</v>
      </c>
      <c r="H8" t="s">
        <v>39</v>
      </c>
      <c r="I8" t="s">
        <v>40</v>
      </c>
      <c r="J8" t="s">
        <v>41</v>
      </c>
      <c r="K8" t="s">
        <v>42</v>
      </c>
      <c r="L8" t="s">
        <v>43</v>
      </c>
      <c r="M8" t="s">
        <v>44</v>
      </c>
      <c r="N8" t="s">
        <v>45</v>
      </c>
      <c r="O8" t="s">
        <v>46</v>
      </c>
      <c r="P8" t="s">
        <v>47</v>
      </c>
      <c r="Q8" t="s">
        <v>48</v>
      </c>
      <c r="R8" t="s">
        <v>49</v>
      </c>
      <c r="S8" t="s">
        <v>50</v>
      </c>
      <c r="T8" t="s">
        <v>51</v>
      </c>
      <c r="U8" t="s">
        <v>52</v>
      </c>
      <c r="V8" t="s">
        <v>53</v>
      </c>
      <c r="W8" t="s">
        <v>54</v>
      </c>
      <c r="X8" t="s">
        <v>55</v>
      </c>
      <c r="Y8"/>
      <c r="AC8"/>
      <c r="AD8"/>
      <c r="AE8"/>
      <c r="AF8"/>
    </row>
    <row r="9" spans="1:32" ht="15.75" customHeight="1" x14ac:dyDescent="0.15">
      <c r="A9">
        <v>1</v>
      </c>
      <c r="B9" t="s">
        <v>75</v>
      </c>
      <c r="C9" t="s">
        <v>3719</v>
      </c>
      <c r="D9" t="s">
        <v>6109</v>
      </c>
      <c r="E9" t="s">
        <v>3192</v>
      </c>
      <c r="F9">
        <v>0</v>
      </c>
      <c r="H9" t="s">
        <v>6110</v>
      </c>
      <c r="L9" t="s">
        <v>6111</v>
      </c>
      <c r="M9">
        <v>1</v>
      </c>
      <c r="N9">
        <v>-3.4028200000000001E+38</v>
      </c>
      <c r="O9">
        <v>3.4028200000000001E+38</v>
      </c>
      <c r="P9">
        <v>-3.4028200000000001E+38</v>
      </c>
      <c r="Q9">
        <v>3.4028200000000001E+38</v>
      </c>
      <c r="T9" t="s">
        <v>3707</v>
      </c>
      <c r="U9" t="s">
        <v>3950</v>
      </c>
      <c r="V9" t="s">
        <v>6112</v>
      </c>
      <c r="W9" t="s">
        <v>3709</v>
      </c>
      <c r="X9"/>
      <c r="Y9"/>
      <c r="AC9"/>
      <c r="AD9"/>
      <c r="AE9"/>
      <c r="AF9"/>
    </row>
    <row r="10" spans="1:32" ht="15.75" customHeight="1" x14ac:dyDescent="0.15">
      <c r="A10">
        <v>2</v>
      </c>
      <c r="B10" t="s">
        <v>75</v>
      </c>
      <c r="C10" t="s">
        <v>3719</v>
      </c>
      <c r="D10" t="s">
        <v>6113</v>
      </c>
      <c r="E10" t="s">
        <v>3192</v>
      </c>
      <c r="F10">
        <v>1</v>
      </c>
      <c r="H10" t="s">
        <v>6114</v>
      </c>
      <c r="L10" t="s">
        <v>6111</v>
      </c>
      <c r="M10">
        <v>1</v>
      </c>
      <c r="N10">
        <v>-3.4028200000000001E+38</v>
      </c>
      <c r="O10">
        <v>3.4028200000000001E+38</v>
      </c>
      <c r="P10">
        <v>-3.4028200000000001E+38</v>
      </c>
      <c r="Q10">
        <v>3.4028200000000001E+38</v>
      </c>
      <c r="T10" t="s">
        <v>3707</v>
      </c>
      <c r="U10" t="s">
        <v>3950</v>
      </c>
      <c r="V10" t="s">
        <v>6115</v>
      </c>
      <c r="W10" t="s">
        <v>3709</v>
      </c>
      <c r="X10"/>
      <c r="Y10"/>
      <c r="AC10"/>
      <c r="AD10"/>
      <c r="AE10"/>
      <c r="AF10"/>
    </row>
    <row r="11" spans="1:32" ht="15.75" customHeight="1" x14ac:dyDescent="0.15">
      <c r="A11">
        <v>3</v>
      </c>
      <c r="B11" t="s">
        <v>75</v>
      </c>
      <c r="C11" t="s">
        <v>3719</v>
      </c>
      <c r="D11" t="s">
        <v>6116</v>
      </c>
      <c r="E11" t="s">
        <v>3192</v>
      </c>
      <c r="F11">
        <v>2</v>
      </c>
      <c r="H11" t="s">
        <v>6117</v>
      </c>
      <c r="L11" t="s">
        <v>6111</v>
      </c>
      <c r="M11">
        <v>1</v>
      </c>
      <c r="N11">
        <v>-3.4028200000000001E+38</v>
      </c>
      <c r="O11">
        <v>3.4028200000000001E+38</v>
      </c>
      <c r="P11">
        <v>-3.4028200000000001E+38</v>
      </c>
      <c r="Q11">
        <v>3.4028200000000001E+38</v>
      </c>
      <c r="T11" t="s">
        <v>3707</v>
      </c>
      <c r="U11" t="s">
        <v>3950</v>
      </c>
      <c r="V11" t="s">
        <v>6118</v>
      </c>
      <c r="W11" t="s">
        <v>3709</v>
      </c>
      <c r="X11"/>
      <c r="Y11"/>
      <c r="AC11"/>
      <c r="AD11"/>
      <c r="AE11"/>
      <c r="AF11"/>
    </row>
    <row r="12" spans="1:32" ht="15.75" customHeight="1" x14ac:dyDescent="0.15">
      <c r="A12">
        <v>4</v>
      </c>
      <c r="B12" t="s">
        <v>75</v>
      </c>
      <c r="C12" t="s">
        <v>3719</v>
      </c>
      <c r="D12" t="s">
        <v>6119</v>
      </c>
      <c r="E12" t="s">
        <v>3192</v>
      </c>
      <c r="F12">
        <v>3</v>
      </c>
      <c r="H12" t="s">
        <v>6120</v>
      </c>
      <c r="L12" t="s">
        <v>6121</v>
      </c>
      <c r="M12">
        <v>1</v>
      </c>
      <c r="N12">
        <v>-3.4028200000000001E+38</v>
      </c>
      <c r="O12">
        <v>3.4028200000000001E+38</v>
      </c>
      <c r="P12">
        <v>-3.4028200000000001E+38</v>
      </c>
      <c r="Q12">
        <v>3.4028200000000001E+38</v>
      </c>
      <c r="T12" t="s">
        <v>3707</v>
      </c>
      <c r="U12" t="s">
        <v>3950</v>
      </c>
      <c r="V12" t="s">
        <v>6122</v>
      </c>
      <c r="W12" t="s">
        <v>3709</v>
      </c>
      <c r="X12"/>
      <c r="Y12"/>
      <c r="AC12"/>
      <c r="AD12"/>
      <c r="AE12"/>
      <c r="AF12"/>
    </row>
    <row r="13" spans="1:32" ht="15.75" customHeight="1" x14ac:dyDescent="0.15">
      <c r="A13">
        <v>5</v>
      </c>
      <c r="B13" t="s">
        <v>75</v>
      </c>
      <c r="C13" t="s">
        <v>3719</v>
      </c>
      <c r="D13" t="s">
        <v>6123</v>
      </c>
      <c r="E13" t="s">
        <v>3192</v>
      </c>
      <c r="F13">
        <v>4</v>
      </c>
      <c r="H13" t="s">
        <v>6124</v>
      </c>
      <c r="L13" t="s">
        <v>6121</v>
      </c>
      <c r="M13">
        <v>1</v>
      </c>
      <c r="N13">
        <v>-3.4028200000000001E+38</v>
      </c>
      <c r="O13">
        <v>3.4028200000000001E+38</v>
      </c>
      <c r="P13">
        <v>-3.4028200000000001E+38</v>
      </c>
      <c r="Q13">
        <v>3.4028200000000001E+38</v>
      </c>
      <c r="T13" t="s">
        <v>3707</v>
      </c>
      <c r="U13" t="s">
        <v>3708</v>
      </c>
      <c r="V13" t="s">
        <v>6125</v>
      </c>
      <c r="W13" t="s">
        <v>3709</v>
      </c>
      <c r="X13"/>
      <c r="Y13"/>
      <c r="AC13"/>
      <c r="AD13"/>
      <c r="AE13"/>
      <c r="AF13"/>
    </row>
    <row r="14" spans="1:32" ht="15.75" customHeight="1" x14ac:dyDescent="0.15">
      <c r="A14">
        <v>6</v>
      </c>
      <c r="B14" t="s">
        <v>75</v>
      </c>
      <c r="C14" t="s">
        <v>3719</v>
      </c>
      <c r="D14" t="s">
        <v>6126</v>
      </c>
      <c r="E14" t="s">
        <v>3192</v>
      </c>
      <c r="F14">
        <v>5</v>
      </c>
      <c r="H14" t="s">
        <v>6127</v>
      </c>
      <c r="L14" t="s">
        <v>266</v>
      </c>
      <c r="M14">
        <v>1</v>
      </c>
      <c r="N14">
        <v>-3.4028200000000001E+38</v>
      </c>
      <c r="O14">
        <v>3.4028200000000001E+38</v>
      </c>
      <c r="P14">
        <v>-3.4028200000000001E+38</v>
      </c>
      <c r="Q14">
        <v>3.4028200000000001E+38</v>
      </c>
      <c r="T14" t="s">
        <v>3707</v>
      </c>
      <c r="U14" t="s">
        <v>3950</v>
      </c>
      <c r="V14" t="s">
        <v>6128</v>
      </c>
      <c r="W14" t="s">
        <v>3709</v>
      </c>
      <c r="X14"/>
      <c r="Y14"/>
      <c r="AC14"/>
      <c r="AD14"/>
      <c r="AE14"/>
      <c r="AF14"/>
    </row>
    <row r="15" spans="1:32" ht="15.75" customHeight="1" x14ac:dyDescent="0.15">
      <c r="A15">
        <v>7</v>
      </c>
      <c r="B15" t="s">
        <v>75</v>
      </c>
      <c r="C15" t="s">
        <v>3719</v>
      </c>
      <c r="D15" t="s">
        <v>6129</v>
      </c>
      <c r="E15" t="s">
        <v>3192</v>
      </c>
      <c r="F15">
        <v>6</v>
      </c>
      <c r="H15" t="s">
        <v>6130</v>
      </c>
      <c r="L15" t="s">
        <v>6111</v>
      </c>
      <c r="M15">
        <v>1</v>
      </c>
      <c r="N15">
        <v>-3.4028200000000001E+38</v>
      </c>
      <c r="O15">
        <v>3.4028200000000001E+38</v>
      </c>
      <c r="P15">
        <v>-3.4028200000000001E+38</v>
      </c>
      <c r="Q15">
        <v>3.4028200000000001E+38</v>
      </c>
      <c r="T15" t="s">
        <v>3707</v>
      </c>
      <c r="U15" t="s">
        <v>3950</v>
      </c>
      <c r="V15" t="s">
        <v>6131</v>
      </c>
      <c r="W15" t="s">
        <v>3709</v>
      </c>
      <c r="X15"/>
      <c r="Y15"/>
      <c r="AC15"/>
      <c r="AD15"/>
      <c r="AE15"/>
      <c r="AF15"/>
    </row>
    <row r="16" spans="1:32" ht="15.75" customHeight="1" x14ac:dyDescent="0.15">
      <c r="A16">
        <v>8</v>
      </c>
      <c r="B16" t="s">
        <v>75</v>
      </c>
      <c r="C16" t="s">
        <v>3719</v>
      </c>
      <c r="D16" t="s">
        <v>6132</v>
      </c>
      <c r="E16" t="s">
        <v>3192</v>
      </c>
      <c r="F16">
        <v>7</v>
      </c>
      <c r="H16" t="s">
        <v>6133</v>
      </c>
      <c r="L16" t="s">
        <v>6121</v>
      </c>
      <c r="M16">
        <v>1</v>
      </c>
      <c r="N16">
        <v>-3.4028200000000001E+38</v>
      </c>
      <c r="O16">
        <v>3.4028200000000001E+38</v>
      </c>
      <c r="P16">
        <v>-3.4028200000000001E+38</v>
      </c>
      <c r="Q16">
        <v>3.4028200000000001E+38</v>
      </c>
      <c r="T16" t="s">
        <v>3707</v>
      </c>
      <c r="U16" t="s">
        <v>3950</v>
      </c>
      <c r="V16" t="s">
        <v>6134</v>
      </c>
      <c r="W16" t="s">
        <v>3709</v>
      </c>
      <c r="X16"/>
      <c r="Y16"/>
      <c r="AC16"/>
      <c r="AD16"/>
      <c r="AE16"/>
      <c r="AF16"/>
    </row>
    <row r="17" spans="1:32" ht="15.75" customHeight="1" x14ac:dyDescent="0.15">
      <c r="A17">
        <v>9</v>
      </c>
      <c r="B17" t="s">
        <v>75</v>
      </c>
      <c r="C17" t="s">
        <v>3719</v>
      </c>
      <c r="D17" t="s">
        <v>6135</v>
      </c>
      <c r="E17" t="s">
        <v>3192</v>
      </c>
      <c r="F17">
        <v>8</v>
      </c>
      <c r="H17" t="s">
        <v>6136</v>
      </c>
      <c r="L17" t="s">
        <v>6121</v>
      </c>
      <c r="M17">
        <v>1</v>
      </c>
      <c r="N17">
        <v>-3.4028200000000001E+38</v>
      </c>
      <c r="O17">
        <v>3.4028200000000001E+38</v>
      </c>
      <c r="P17">
        <v>-3.4028200000000001E+38</v>
      </c>
      <c r="Q17">
        <v>3.4028200000000001E+38</v>
      </c>
      <c r="T17" t="s">
        <v>3707</v>
      </c>
      <c r="U17" t="s">
        <v>3708</v>
      </c>
      <c r="V17" t="s">
        <v>6137</v>
      </c>
      <c r="W17" t="s">
        <v>3709</v>
      </c>
      <c r="X17"/>
      <c r="Y17"/>
      <c r="AC17"/>
      <c r="AD17"/>
      <c r="AE17"/>
      <c r="AF17"/>
    </row>
    <row r="18" spans="1:32" ht="15.75" customHeight="1" x14ac:dyDescent="0.15">
      <c r="A18">
        <v>10</v>
      </c>
      <c r="B18" t="s">
        <v>75</v>
      </c>
      <c r="C18" t="s">
        <v>3719</v>
      </c>
      <c r="D18" t="s">
        <v>6138</v>
      </c>
      <c r="E18" t="s">
        <v>3192</v>
      </c>
      <c r="F18">
        <v>9</v>
      </c>
      <c r="H18" t="s">
        <v>6139</v>
      </c>
      <c r="L18" t="s">
        <v>266</v>
      </c>
      <c r="M18">
        <v>1</v>
      </c>
      <c r="N18">
        <v>-3.4028200000000001E+38</v>
      </c>
      <c r="O18">
        <v>3.4028200000000001E+38</v>
      </c>
      <c r="P18">
        <v>-3.4028200000000001E+38</v>
      </c>
      <c r="Q18">
        <v>3.4028200000000001E+38</v>
      </c>
      <c r="T18" t="s">
        <v>3707</v>
      </c>
      <c r="U18" t="s">
        <v>3950</v>
      </c>
      <c r="V18" t="s">
        <v>6140</v>
      </c>
      <c r="W18" t="s">
        <v>3709</v>
      </c>
      <c r="X18"/>
      <c r="Y18"/>
      <c r="AC18"/>
      <c r="AD18"/>
      <c r="AE18"/>
      <c r="AF18"/>
    </row>
    <row r="19" spans="1:32" ht="15.75" customHeight="1" x14ac:dyDescent="0.15">
      <c r="A19">
        <v>11</v>
      </c>
      <c r="B19" t="s">
        <v>75</v>
      </c>
      <c r="C19" t="s">
        <v>3719</v>
      </c>
      <c r="D19" t="s">
        <v>6141</v>
      </c>
      <c r="E19" t="s">
        <v>3192</v>
      </c>
      <c r="F19">
        <v>10</v>
      </c>
      <c r="H19" t="s">
        <v>6142</v>
      </c>
      <c r="L19" t="s">
        <v>266</v>
      </c>
      <c r="M19">
        <v>1</v>
      </c>
      <c r="N19">
        <v>-3.4028200000000001E+38</v>
      </c>
      <c r="O19">
        <v>3.4028200000000001E+38</v>
      </c>
      <c r="P19">
        <v>-3.4028200000000001E+38</v>
      </c>
      <c r="Q19">
        <v>3.4028200000000001E+38</v>
      </c>
      <c r="T19" t="s">
        <v>3707</v>
      </c>
      <c r="U19" t="s">
        <v>3708</v>
      </c>
      <c r="V19" t="s">
        <v>6143</v>
      </c>
      <c r="W19" t="s">
        <v>3709</v>
      </c>
      <c r="X19"/>
      <c r="Y19"/>
      <c r="AC19"/>
      <c r="AD19"/>
      <c r="AE19"/>
      <c r="AF19"/>
    </row>
    <row r="20" spans="1:32" ht="15.75" customHeight="1" x14ac:dyDescent="0.15">
      <c r="A20">
        <v>12</v>
      </c>
      <c r="B20" t="s">
        <v>75</v>
      </c>
      <c r="C20" t="s">
        <v>3719</v>
      </c>
      <c r="D20" t="s">
        <v>6144</v>
      </c>
      <c r="E20" t="s">
        <v>3192</v>
      </c>
      <c r="F20">
        <v>11</v>
      </c>
      <c r="H20" t="s">
        <v>6145</v>
      </c>
      <c r="L20" t="s">
        <v>266</v>
      </c>
      <c r="M20">
        <v>1</v>
      </c>
      <c r="N20">
        <v>-3.4028200000000001E+38</v>
      </c>
      <c r="O20">
        <v>3.4028200000000001E+38</v>
      </c>
      <c r="P20">
        <v>-3.4028200000000001E+38</v>
      </c>
      <c r="Q20">
        <v>3.4028200000000001E+38</v>
      </c>
      <c r="T20" t="s">
        <v>3707</v>
      </c>
      <c r="U20" t="s">
        <v>3950</v>
      </c>
      <c r="V20" t="s">
        <v>6146</v>
      </c>
      <c r="W20" t="s">
        <v>3709</v>
      </c>
      <c r="X20"/>
      <c r="Y20"/>
      <c r="AC20"/>
      <c r="AD20"/>
      <c r="AE20"/>
      <c r="AF20"/>
    </row>
    <row r="21" spans="1:32" ht="15.75" customHeight="1" x14ac:dyDescent="0.15">
      <c r="A21">
        <v>13</v>
      </c>
      <c r="B21" t="s">
        <v>75</v>
      </c>
      <c r="C21" t="s">
        <v>3719</v>
      </c>
      <c r="D21" t="s">
        <v>6147</v>
      </c>
      <c r="E21" t="s">
        <v>3192</v>
      </c>
      <c r="F21">
        <v>12</v>
      </c>
      <c r="H21" t="s">
        <v>6148</v>
      </c>
      <c r="L21" t="s">
        <v>560</v>
      </c>
      <c r="M21">
        <v>1</v>
      </c>
      <c r="N21">
        <v>-3.4028200000000001E+38</v>
      </c>
      <c r="O21">
        <v>3.4028200000000001E+38</v>
      </c>
      <c r="P21">
        <v>-3.4028200000000001E+38</v>
      </c>
      <c r="Q21">
        <v>3.4028200000000001E+38</v>
      </c>
      <c r="T21" t="s">
        <v>3707</v>
      </c>
      <c r="U21" t="s">
        <v>3950</v>
      </c>
      <c r="V21" t="s">
        <v>6149</v>
      </c>
      <c r="W21" t="s">
        <v>3709</v>
      </c>
      <c r="X21"/>
      <c r="Y21"/>
      <c r="AC21"/>
      <c r="AD21"/>
      <c r="AE21"/>
      <c r="AF21"/>
    </row>
    <row r="22" spans="1:32" ht="15.75" customHeight="1" x14ac:dyDescent="0.15">
      <c r="A22">
        <v>14</v>
      </c>
      <c r="B22" t="s">
        <v>75</v>
      </c>
      <c r="C22" t="s">
        <v>3719</v>
      </c>
      <c r="D22" t="s">
        <v>6150</v>
      </c>
      <c r="E22" t="s">
        <v>3192</v>
      </c>
      <c r="F22">
        <v>13</v>
      </c>
      <c r="H22" t="s">
        <v>6151</v>
      </c>
      <c r="L22" t="s">
        <v>6152</v>
      </c>
      <c r="M22">
        <v>1</v>
      </c>
      <c r="N22">
        <v>-3.4028200000000001E+38</v>
      </c>
      <c r="O22">
        <v>3.4028200000000001E+38</v>
      </c>
      <c r="P22">
        <v>-3.4028200000000001E+38</v>
      </c>
      <c r="Q22">
        <v>3.4028200000000001E+38</v>
      </c>
      <c r="T22" t="s">
        <v>3707</v>
      </c>
      <c r="U22" t="s">
        <v>3708</v>
      </c>
      <c r="V22" t="s">
        <v>6153</v>
      </c>
      <c r="W22" t="s">
        <v>3709</v>
      </c>
      <c r="X22"/>
      <c r="Y22"/>
      <c r="AC22"/>
      <c r="AD22"/>
      <c r="AE22"/>
      <c r="AF22"/>
    </row>
    <row r="23" spans="1:32" ht="15.75" customHeight="1" x14ac:dyDescent="0.15">
      <c r="A23">
        <v>15</v>
      </c>
      <c r="B23" t="s">
        <v>75</v>
      </c>
      <c r="C23" t="s">
        <v>3719</v>
      </c>
      <c r="D23" t="s">
        <v>6154</v>
      </c>
      <c r="E23" t="s">
        <v>3192</v>
      </c>
      <c r="F23">
        <v>14</v>
      </c>
      <c r="H23" t="s">
        <v>6155</v>
      </c>
      <c r="L23" t="s">
        <v>6152</v>
      </c>
      <c r="M23">
        <v>1</v>
      </c>
      <c r="N23">
        <v>-3.4028200000000001E+38</v>
      </c>
      <c r="O23">
        <v>3.4028200000000001E+38</v>
      </c>
      <c r="P23">
        <v>-3.4028200000000001E+38</v>
      </c>
      <c r="Q23">
        <v>3.4028200000000001E+38</v>
      </c>
      <c r="T23" t="s">
        <v>3707</v>
      </c>
      <c r="U23" t="s">
        <v>3708</v>
      </c>
      <c r="V23" t="s">
        <v>6156</v>
      </c>
      <c r="W23" t="s">
        <v>3709</v>
      </c>
      <c r="X23"/>
      <c r="Y23"/>
      <c r="AC23"/>
      <c r="AD23"/>
      <c r="AE23"/>
      <c r="AF23"/>
    </row>
    <row r="24" spans="1:32" ht="15.75" customHeight="1" x14ac:dyDescent="0.15">
      <c r="A24">
        <v>16</v>
      </c>
      <c r="B24" t="s">
        <v>75</v>
      </c>
      <c r="C24" t="s">
        <v>3719</v>
      </c>
      <c r="D24" t="s">
        <v>6157</v>
      </c>
      <c r="E24" t="s">
        <v>3192</v>
      </c>
      <c r="F24">
        <v>15</v>
      </c>
      <c r="H24" t="s">
        <v>6158</v>
      </c>
      <c r="L24" t="s">
        <v>6111</v>
      </c>
      <c r="M24">
        <v>1</v>
      </c>
      <c r="N24">
        <v>-3.4028200000000001E+38</v>
      </c>
      <c r="O24">
        <v>3.4028200000000001E+38</v>
      </c>
      <c r="P24">
        <v>-3.4028200000000001E+38</v>
      </c>
      <c r="Q24">
        <v>3.4028200000000001E+38</v>
      </c>
      <c r="T24" t="s">
        <v>3707</v>
      </c>
      <c r="U24" t="s">
        <v>3708</v>
      </c>
      <c r="V24" t="s">
        <v>6159</v>
      </c>
      <c r="W24" t="s">
        <v>3709</v>
      </c>
      <c r="X24"/>
      <c r="Y24"/>
      <c r="AC24"/>
      <c r="AD24"/>
      <c r="AE24"/>
      <c r="AF24"/>
    </row>
    <row r="25" spans="1:32" ht="15.75" customHeight="1" x14ac:dyDescent="0.15">
      <c r="A25">
        <v>17</v>
      </c>
      <c r="B25" t="s">
        <v>75</v>
      </c>
      <c r="C25" t="s">
        <v>3719</v>
      </c>
      <c r="D25" t="s">
        <v>6160</v>
      </c>
      <c r="E25" t="s">
        <v>3192</v>
      </c>
      <c r="F25">
        <v>16</v>
      </c>
      <c r="H25" t="s">
        <v>6161</v>
      </c>
      <c r="L25" t="s">
        <v>560</v>
      </c>
      <c r="M25">
        <v>1</v>
      </c>
      <c r="N25">
        <v>-3.4028200000000001E+38</v>
      </c>
      <c r="O25">
        <v>3.4028200000000001E+38</v>
      </c>
      <c r="P25">
        <v>-3.4028200000000001E+38</v>
      </c>
      <c r="Q25">
        <v>3.4028200000000001E+38</v>
      </c>
      <c r="T25" t="s">
        <v>3707</v>
      </c>
      <c r="U25" t="s">
        <v>3950</v>
      </c>
      <c r="V25" t="s">
        <v>6162</v>
      </c>
      <c r="W25" t="s">
        <v>3709</v>
      </c>
      <c r="X25"/>
      <c r="Y25"/>
      <c r="AC25"/>
      <c r="AD25"/>
      <c r="AE25"/>
      <c r="AF25"/>
    </row>
    <row r="26" spans="1:32" ht="15.75" customHeight="1" x14ac:dyDescent="0.15">
      <c r="A26">
        <v>18</v>
      </c>
      <c r="B26" t="s">
        <v>75</v>
      </c>
      <c r="C26" t="s">
        <v>3719</v>
      </c>
      <c r="D26" t="s">
        <v>6163</v>
      </c>
      <c r="E26" t="s">
        <v>3192</v>
      </c>
      <c r="F26">
        <v>17</v>
      </c>
      <c r="H26" t="s">
        <v>6164</v>
      </c>
      <c r="L26" t="s">
        <v>6165</v>
      </c>
      <c r="M26">
        <v>1</v>
      </c>
      <c r="N26">
        <v>-3.4028200000000001E+38</v>
      </c>
      <c r="O26">
        <v>3.4028200000000001E+38</v>
      </c>
      <c r="P26">
        <v>-3.4028200000000001E+38</v>
      </c>
      <c r="Q26">
        <v>3.4028200000000001E+38</v>
      </c>
      <c r="T26" t="s">
        <v>3707</v>
      </c>
      <c r="U26" t="s">
        <v>3708</v>
      </c>
      <c r="V26" t="s">
        <v>6166</v>
      </c>
      <c r="W26" t="s">
        <v>3709</v>
      </c>
      <c r="X26"/>
      <c r="Y26"/>
      <c r="AC26"/>
      <c r="AD26"/>
      <c r="AE26"/>
      <c r="AF26"/>
    </row>
    <row r="27" spans="1:32" ht="15.75" customHeight="1" x14ac:dyDescent="0.15">
      <c r="A27">
        <v>19</v>
      </c>
      <c r="B27" t="s">
        <v>75</v>
      </c>
      <c r="C27" t="s">
        <v>3719</v>
      </c>
      <c r="D27" t="s">
        <v>6167</v>
      </c>
      <c r="E27" t="s">
        <v>3192</v>
      </c>
      <c r="F27">
        <v>18</v>
      </c>
      <c r="H27" t="s">
        <v>6168</v>
      </c>
      <c r="L27" t="s">
        <v>6165</v>
      </c>
      <c r="M27">
        <v>1</v>
      </c>
      <c r="N27">
        <v>-3.4028200000000001E+38</v>
      </c>
      <c r="O27">
        <v>3.4028200000000001E+38</v>
      </c>
      <c r="P27">
        <v>-3.4028200000000001E+38</v>
      </c>
      <c r="Q27">
        <v>3.4028200000000001E+38</v>
      </c>
      <c r="T27" t="s">
        <v>3707</v>
      </c>
      <c r="U27" t="s">
        <v>3950</v>
      </c>
      <c r="V27" t="s">
        <v>6169</v>
      </c>
      <c r="W27" t="s">
        <v>3709</v>
      </c>
      <c r="X27"/>
      <c r="Y27"/>
      <c r="AC27"/>
      <c r="AD27"/>
      <c r="AE27"/>
      <c r="AF27"/>
    </row>
    <row r="28" spans="1:32" ht="15.75" customHeight="1" x14ac:dyDescent="0.15">
      <c r="A28">
        <v>20</v>
      </c>
      <c r="B28" t="s">
        <v>75</v>
      </c>
      <c r="C28" t="s">
        <v>3719</v>
      </c>
      <c r="D28" t="s">
        <v>6170</v>
      </c>
      <c r="E28" t="s">
        <v>3192</v>
      </c>
      <c r="F28">
        <v>19</v>
      </c>
      <c r="H28" t="s">
        <v>6171</v>
      </c>
      <c r="L28" t="s">
        <v>6111</v>
      </c>
      <c r="M28">
        <v>1</v>
      </c>
      <c r="N28">
        <v>-3.4028200000000001E+38</v>
      </c>
      <c r="O28">
        <v>3.4028200000000001E+38</v>
      </c>
      <c r="P28">
        <v>-3.4028200000000001E+38</v>
      </c>
      <c r="Q28">
        <v>3.4028200000000001E+38</v>
      </c>
      <c r="T28" t="s">
        <v>3707</v>
      </c>
      <c r="U28" t="s">
        <v>3950</v>
      </c>
      <c r="V28" t="s">
        <v>6172</v>
      </c>
      <c r="W28" t="s">
        <v>3709</v>
      </c>
      <c r="X28"/>
      <c r="Y28"/>
      <c r="AC28"/>
      <c r="AD28"/>
      <c r="AE28"/>
      <c r="AF28"/>
    </row>
    <row r="29" spans="1:32" ht="15.75" customHeight="1" x14ac:dyDescent="0.15">
      <c r="A29">
        <v>21</v>
      </c>
      <c r="B29" t="s">
        <v>75</v>
      </c>
      <c r="C29" t="s">
        <v>3719</v>
      </c>
      <c r="D29" t="s">
        <v>6173</v>
      </c>
      <c r="E29" t="s">
        <v>3192</v>
      </c>
      <c r="F29">
        <v>20</v>
      </c>
      <c r="H29" t="s">
        <v>6174</v>
      </c>
      <c r="L29" t="s">
        <v>266</v>
      </c>
      <c r="M29">
        <v>1</v>
      </c>
      <c r="N29">
        <v>-3.4028200000000001E+38</v>
      </c>
      <c r="O29">
        <v>3.4028200000000001E+38</v>
      </c>
      <c r="P29">
        <v>-3.4028200000000001E+38</v>
      </c>
      <c r="Q29">
        <v>3.4028200000000001E+38</v>
      </c>
      <c r="T29" t="s">
        <v>3707</v>
      </c>
      <c r="U29" t="s">
        <v>3950</v>
      </c>
      <c r="V29" t="s">
        <v>6175</v>
      </c>
      <c r="W29" t="s">
        <v>3709</v>
      </c>
      <c r="X29"/>
      <c r="Y29"/>
      <c r="AC29"/>
      <c r="AD29"/>
      <c r="AE29"/>
      <c r="AF29"/>
    </row>
    <row r="30" spans="1:32" ht="15.75" customHeight="1" x14ac:dyDescent="0.15">
      <c r="A30">
        <v>22</v>
      </c>
      <c r="B30" t="s">
        <v>75</v>
      </c>
      <c r="C30" t="s">
        <v>3719</v>
      </c>
      <c r="D30" t="s">
        <v>6176</v>
      </c>
      <c r="E30" t="s">
        <v>3192</v>
      </c>
      <c r="F30">
        <v>21</v>
      </c>
      <c r="H30" t="s">
        <v>6177</v>
      </c>
      <c r="L30" t="s">
        <v>266</v>
      </c>
      <c r="M30">
        <v>1</v>
      </c>
      <c r="N30">
        <v>-3.4028200000000001E+38</v>
      </c>
      <c r="O30">
        <v>3.4028200000000001E+38</v>
      </c>
      <c r="P30">
        <v>-3.4028200000000001E+38</v>
      </c>
      <c r="Q30">
        <v>3.4028200000000001E+38</v>
      </c>
      <c r="T30" t="s">
        <v>3707</v>
      </c>
      <c r="U30" t="s">
        <v>3950</v>
      </c>
      <c r="V30" t="s">
        <v>6178</v>
      </c>
      <c r="W30" t="s">
        <v>3709</v>
      </c>
      <c r="X30"/>
      <c r="Y30"/>
      <c r="AC30"/>
      <c r="AD30"/>
      <c r="AE30"/>
      <c r="AF30"/>
    </row>
    <row r="31" spans="1:32" s="9" customFormat="1" ht="15.75" customHeight="1" x14ac:dyDescent="0.15">
      <c r="A31">
        <v>23</v>
      </c>
      <c r="B31" s="9" t="s">
        <v>75</v>
      </c>
      <c r="C31" s="9" t="s">
        <v>3719</v>
      </c>
      <c r="D31" t="s">
        <v>6179</v>
      </c>
      <c r="E31" s="20" t="s">
        <v>3192</v>
      </c>
      <c r="F31">
        <v>22</v>
      </c>
      <c r="G31"/>
      <c r="H31" s="9" t="s">
        <v>3721</v>
      </c>
      <c r="L31" s="9" t="s">
        <v>6180</v>
      </c>
      <c r="M31">
        <v>1</v>
      </c>
      <c r="N31">
        <v>-3.4028200000000001E+38</v>
      </c>
      <c r="O31">
        <v>3.4028200000000001E+38</v>
      </c>
      <c r="P31">
        <v>-3.4028200000000001E+38</v>
      </c>
      <c r="Q31">
        <v>3.4028200000000001E+38</v>
      </c>
      <c r="R31"/>
      <c r="S31"/>
      <c r="T31" s="9" t="s">
        <v>3707</v>
      </c>
      <c r="U31" s="9" t="s">
        <v>3950</v>
      </c>
      <c r="V31" s="9" t="s">
        <v>6181</v>
      </c>
      <c r="W31" s="9" t="s">
        <v>3709</v>
      </c>
      <c r="X31" s="9" t="s">
        <v>3709</v>
      </c>
    </row>
    <row r="32" spans="1:32" s="9" customFormat="1" ht="15.75" customHeight="1" x14ac:dyDescent="0.15">
      <c r="A32">
        <v>24</v>
      </c>
      <c r="B32" s="9" t="s">
        <v>75</v>
      </c>
      <c r="C32" s="9" t="s">
        <v>3719</v>
      </c>
      <c r="D32" t="s">
        <v>6182</v>
      </c>
      <c r="E32" s="20" t="s">
        <v>3192</v>
      </c>
      <c r="F32">
        <v>23</v>
      </c>
      <c r="G32"/>
      <c r="H32" s="9" t="s">
        <v>3721</v>
      </c>
      <c r="L32" s="9" t="s">
        <v>6180</v>
      </c>
      <c r="M32">
        <v>1</v>
      </c>
      <c r="N32">
        <v>-3.4028200000000001E+38</v>
      </c>
      <c r="O32">
        <v>3.4028200000000001E+38</v>
      </c>
      <c r="P32">
        <v>-3.4028200000000001E+38</v>
      </c>
      <c r="Q32">
        <v>3.4028200000000001E+38</v>
      </c>
      <c r="R32"/>
      <c r="S32"/>
      <c r="T32" s="9" t="s">
        <v>3707</v>
      </c>
      <c r="U32" s="9" t="s">
        <v>3950</v>
      </c>
      <c r="V32" s="9" t="s">
        <v>6183</v>
      </c>
      <c r="W32" s="9" t="s">
        <v>3709</v>
      </c>
      <c r="X32" s="9" t="s">
        <v>3709</v>
      </c>
    </row>
    <row r="33" spans="1:32" s="9" customFormat="1" ht="15.75" customHeight="1" x14ac:dyDescent="0.15">
      <c r="A33">
        <v>25</v>
      </c>
      <c r="B33" s="9" t="s">
        <v>75</v>
      </c>
      <c r="C33" s="9" t="s">
        <v>3719</v>
      </c>
      <c r="D33" t="s">
        <v>6184</v>
      </c>
      <c r="E33" s="20" t="s">
        <v>3192</v>
      </c>
      <c r="F33">
        <v>24</v>
      </c>
      <c r="G33"/>
      <c r="H33" s="9" t="s">
        <v>3721</v>
      </c>
      <c r="L33" s="9" t="s">
        <v>6185</v>
      </c>
      <c r="M33">
        <v>1</v>
      </c>
      <c r="N33">
        <v>-3.4028200000000001E+38</v>
      </c>
      <c r="O33">
        <v>3.4028200000000001E+38</v>
      </c>
      <c r="P33">
        <v>-3.4028200000000001E+38</v>
      </c>
      <c r="Q33">
        <v>3.4028200000000001E+38</v>
      </c>
      <c r="R33"/>
      <c r="S33"/>
      <c r="T33" s="9" t="s">
        <v>3707</v>
      </c>
      <c r="U33" s="9" t="s">
        <v>3950</v>
      </c>
      <c r="V33" s="9" t="s">
        <v>6186</v>
      </c>
      <c r="W33" s="9" t="s">
        <v>3709</v>
      </c>
      <c r="X33" s="9" t="s">
        <v>3709</v>
      </c>
    </row>
    <row r="34" spans="1:32" s="9" customFormat="1" ht="15.75" customHeight="1" x14ac:dyDescent="0.15">
      <c r="A34">
        <v>26</v>
      </c>
      <c r="B34" s="9" t="s">
        <v>75</v>
      </c>
      <c r="C34" s="9" t="s">
        <v>3719</v>
      </c>
      <c r="D34" t="s">
        <v>6187</v>
      </c>
      <c r="E34" s="20" t="s">
        <v>3192</v>
      </c>
      <c r="F34">
        <v>25</v>
      </c>
      <c r="G34"/>
      <c r="H34" s="9" t="s">
        <v>6188</v>
      </c>
      <c r="L34" s="9" t="s">
        <v>6180</v>
      </c>
      <c r="M34">
        <v>1</v>
      </c>
      <c r="N34">
        <v>-3.4028200000000001E+38</v>
      </c>
      <c r="O34">
        <v>3.4028200000000001E+38</v>
      </c>
      <c r="P34">
        <v>-3.4028200000000001E+38</v>
      </c>
      <c r="Q34">
        <v>3.4028200000000001E+38</v>
      </c>
      <c r="R34"/>
      <c r="S34"/>
      <c r="T34" s="9" t="s">
        <v>3707</v>
      </c>
      <c r="U34" s="9" t="s">
        <v>3950</v>
      </c>
      <c r="V34" s="9" t="s">
        <v>6189</v>
      </c>
      <c r="W34" s="9" t="s">
        <v>3709</v>
      </c>
      <c r="X34" s="9" t="s">
        <v>3709</v>
      </c>
    </row>
    <row r="35" spans="1:32" s="9" customFormat="1" ht="15.75" customHeight="1" x14ac:dyDescent="0.15">
      <c r="A35">
        <v>27</v>
      </c>
      <c r="B35" s="9" t="s">
        <v>75</v>
      </c>
      <c r="C35" s="9" t="s">
        <v>3719</v>
      </c>
      <c r="D35" t="s">
        <v>6190</v>
      </c>
      <c r="E35" s="20" t="s">
        <v>3192</v>
      </c>
      <c r="F35">
        <v>26</v>
      </c>
      <c r="G35"/>
      <c r="H35" s="9" t="s">
        <v>6191</v>
      </c>
      <c r="L35" s="9" t="s">
        <v>266</v>
      </c>
      <c r="M35">
        <v>1</v>
      </c>
      <c r="N35">
        <v>-3.4028200000000001E+38</v>
      </c>
      <c r="O35">
        <v>3.4028200000000001E+38</v>
      </c>
      <c r="P35">
        <v>-3.4028200000000001E+38</v>
      </c>
      <c r="Q35">
        <v>3.4028200000000001E+38</v>
      </c>
      <c r="R35"/>
      <c r="S35"/>
      <c r="T35" s="9" t="s">
        <v>3707</v>
      </c>
      <c r="U35" s="9" t="s">
        <v>3708</v>
      </c>
      <c r="V35" s="9" t="s">
        <v>6192</v>
      </c>
      <c r="W35" s="9" t="s">
        <v>3709</v>
      </c>
      <c r="X35" s="9" t="s">
        <v>3709</v>
      </c>
    </row>
    <row r="36" spans="1:32" s="9" customFormat="1" ht="15.75" customHeight="1" x14ac:dyDescent="0.15">
      <c r="A36">
        <v>28</v>
      </c>
      <c r="B36" s="9" t="s">
        <v>75</v>
      </c>
      <c r="C36" s="9" t="s">
        <v>3719</v>
      </c>
      <c r="D36" t="s">
        <v>6193</v>
      </c>
      <c r="E36" s="20" t="s">
        <v>3192</v>
      </c>
      <c r="F36">
        <v>27</v>
      </c>
      <c r="G36"/>
      <c r="H36" s="9" t="s">
        <v>6194</v>
      </c>
      <c r="L36" s="9" t="s">
        <v>266</v>
      </c>
      <c r="M36">
        <v>1</v>
      </c>
      <c r="N36">
        <v>-3.4028200000000001E+38</v>
      </c>
      <c r="O36">
        <v>3.4028200000000001E+38</v>
      </c>
      <c r="P36">
        <v>-3.4028200000000001E+38</v>
      </c>
      <c r="Q36">
        <v>3.4028200000000001E+38</v>
      </c>
      <c r="R36"/>
      <c r="S36"/>
      <c r="T36" s="9" t="s">
        <v>3707</v>
      </c>
      <c r="U36" s="9" t="s">
        <v>3708</v>
      </c>
      <c r="V36" s="9" t="s">
        <v>6195</v>
      </c>
      <c r="W36" s="9" t="s">
        <v>3709</v>
      </c>
      <c r="X36" s="9" t="s">
        <v>3709</v>
      </c>
    </row>
    <row r="37" spans="1:32" s="9" customFormat="1" ht="15.75" customHeight="1" x14ac:dyDescent="0.15">
      <c r="A37">
        <v>29</v>
      </c>
      <c r="B37" s="9" t="s">
        <v>2278</v>
      </c>
      <c r="C37" s="9" t="s">
        <v>3719</v>
      </c>
      <c r="D37" t="s">
        <v>6196</v>
      </c>
      <c r="E37" s="20" t="s">
        <v>3192</v>
      </c>
      <c r="F37">
        <v>28</v>
      </c>
      <c r="G37"/>
      <c r="H37" s="9" t="s">
        <v>6197</v>
      </c>
      <c r="L37" s="9" t="s">
        <v>266</v>
      </c>
      <c r="M37">
        <v>1</v>
      </c>
      <c r="N37">
        <v>-3.4028200000000001E+38</v>
      </c>
      <c r="O37">
        <v>3.4028200000000001E+38</v>
      </c>
      <c r="P37">
        <v>-3.4028200000000001E+38</v>
      </c>
      <c r="Q37">
        <v>3.4028200000000001E+38</v>
      </c>
      <c r="R37"/>
      <c r="S37"/>
      <c r="T37" s="9" t="s">
        <v>3707</v>
      </c>
      <c r="U37" s="9" t="s">
        <v>3708</v>
      </c>
      <c r="V37" s="9" t="s">
        <v>6198</v>
      </c>
      <c r="W37" s="9" t="s">
        <v>3709</v>
      </c>
      <c r="X37" s="9" t="s">
        <v>3709</v>
      </c>
    </row>
    <row r="38" spans="1:32" s="9" customFormat="1" ht="15.75" customHeight="1" x14ac:dyDescent="0.15">
      <c r="A38">
        <v>30</v>
      </c>
      <c r="B38" s="9" t="s">
        <v>75</v>
      </c>
      <c r="C38" s="9" t="s">
        <v>3719</v>
      </c>
      <c r="D38" t="s">
        <v>6199</v>
      </c>
      <c r="E38" s="20" t="s">
        <v>3192</v>
      </c>
      <c r="F38">
        <v>29</v>
      </c>
      <c r="G38"/>
      <c r="H38" s="9" t="s">
        <v>6200</v>
      </c>
      <c r="L38" s="9" t="s">
        <v>2311</v>
      </c>
      <c r="M38">
        <v>1</v>
      </c>
      <c r="N38">
        <v>-3.4028200000000001E+38</v>
      </c>
      <c r="O38">
        <v>3.4028200000000001E+38</v>
      </c>
      <c r="P38">
        <v>-3.4028200000000001E+38</v>
      </c>
      <c r="Q38">
        <v>3.4028200000000001E+38</v>
      </c>
      <c r="R38"/>
      <c r="S38"/>
      <c r="T38" s="9" t="s">
        <v>3807</v>
      </c>
      <c r="U38" s="9" t="s">
        <v>3815</v>
      </c>
      <c r="V38" s="9" t="s">
        <v>6201</v>
      </c>
      <c r="W38" s="9" t="s">
        <v>3709</v>
      </c>
      <c r="X38" s="9" t="s">
        <v>3709</v>
      </c>
    </row>
    <row r="39" spans="1:32" s="9" customFormat="1" ht="15.75" customHeight="1" x14ac:dyDescent="0.15">
      <c r="A39">
        <v>31</v>
      </c>
      <c r="B39" s="9" t="s">
        <v>75</v>
      </c>
      <c r="C39" s="9" t="s">
        <v>3719</v>
      </c>
      <c r="D39" t="s">
        <v>6202</v>
      </c>
      <c r="E39" s="20" t="s">
        <v>3192</v>
      </c>
      <c r="F39">
        <v>30</v>
      </c>
      <c r="G39"/>
      <c r="H39" s="9" t="s">
        <v>6203</v>
      </c>
      <c r="L39" s="9" t="s">
        <v>2311</v>
      </c>
      <c r="M39">
        <v>1</v>
      </c>
      <c r="N39">
        <v>-3.4028200000000001E+38</v>
      </c>
      <c r="O39">
        <v>3.4028200000000001E+38</v>
      </c>
      <c r="P39">
        <v>-3.4028200000000001E+38</v>
      </c>
      <c r="Q39">
        <v>3.4028200000000001E+38</v>
      </c>
      <c r="R39"/>
      <c r="S39"/>
      <c r="T39" s="9" t="s">
        <v>3807</v>
      </c>
      <c r="U39" s="9" t="s">
        <v>3815</v>
      </c>
      <c r="V39" s="9" t="s">
        <v>6204</v>
      </c>
      <c r="W39" s="9" t="s">
        <v>3709</v>
      </c>
      <c r="X39" s="9" t="s">
        <v>3709</v>
      </c>
    </row>
    <row r="40" spans="1:32" s="9" customFormat="1" ht="15.75" customHeight="1" x14ac:dyDescent="0.15">
      <c r="A40">
        <v>32</v>
      </c>
      <c r="B40" s="9" t="s">
        <v>75</v>
      </c>
      <c r="C40" s="9" t="s">
        <v>3719</v>
      </c>
      <c r="D40" t="s">
        <v>6205</v>
      </c>
      <c r="E40" s="20" t="s">
        <v>3192</v>
      </c>
      <c r="F40">
        <v>31</v>
      </c>
      <c r="G40"/>
      <c r="H40" s="9" t="s">
        <v>6206</v>
      </c>
      <c r="L40" s="9" t="s">
        <v>113</v>
      </c>
      <c r="M40">
        <v>1</v>
      </c>
      <c r="N40">
        <v>-3.4028200000000001E+38</v>
      </c>
      <c r="O40">
        <v>3.4028200000000001E+38</v>
      </c>
      <c r="P40">
        <v>-3.4028200000000001E+38</v>
      </c>
      <c r="Q40">
        <v>3.4028200000000001E+38</v>
      </c>
      <c r="R40"/>
      <c r="S40"/>
      <c r="T40" s="9" t="s">
        <v>3807</v>
      </c>
      <c r="U40" s="9" t="s">
        <v>3815</v>
      </c>
      <c r="V40" s="9" t="s">
        <v>6207</v>
      </c>
      <c r="W40" s="9" t="s">
        <v>3709</v>
      </c>
      <c r="X40" s="9" t="s">
        <v>3709</v>
      </c>
    </row>
    <row r="41" spans="1:32" s="9" customFormat="1" ht="15.75" customHeight="1" x14ac:dyDescent="0.15">
      <c r="A41">
        <v>33</v>
      </c>
      <c r="B41" s="9" t="s">
        <v>75</v>
      </c>
      <c r="C41" s="9" t="s">
        <v>3719</v>
      </c>
      <c r="D41" t="s">
        <v>6208</v>
      </c>
      <c r="E41" s="20" t="s">
        <v>3192</v>
      </c>
      <c r="F41">
        <v>32</v>
      </c>
      <c r="G41"/>
      <c r="H41" s="9" t="s">
        <v>6209</v>
      </c>
      <c r="L41" s="9" t="s">
        <v>266</v>
      </c>
      <c r="M41">
        <v>1</v>
      </c>
      <c r="N41">
        <v>-3.4028200000000001E+38</v>
      </c>
      <c r="O41">
        <v>3.4028200000000001E+38</v>
      </c>
      <c r="P41">
        <v>-3.4028200000000001E+38</v>
      </c>
      <c r="Q41">
        <v>3.4028200000000001E+38</v>
      </c>
      <c r="R41"/>
      <c r="S41"/>
      <c r="T41" s="9" t="s">
        <v>3807</v>
      </c>
      <c r="U41" s="9" t="s">
        <v>3815</v>
      </c>
      <c r="V41" s="9" t="s">
        <v>6210</v>
      </c>
      <c r="W41" s="9" t="s">
        <v>3709</v>
      </c>
      <c r="X41" s="9" t="s">
        <v>3709</v>
      </c>
    </row>
    <row r="42" spans="1:32" s="9" customFormat="1" ht="15.75" customHeight="1" x14ac:dyDescent="0.15">
      <c r="A42">
        <v>34</v>
      </c>
      <c r="B42" s="9" t="s">
        <v>75</v>
      </c>
      <c r="C42" s="9" t="s">
        <v>3719</v>
      </c>
      <c r="D42" t="s">
        <v>6211</v>
      </c>
      <c r="E42" s="20" t="s">
        <v>3192</v>
      </c>
      <c r="F42">
        <v>33</v>
      </c>
      <c r="G42"/>
      <c r="H42" s="9" t="s">
        <v>6212</v>
      </c>
      <c r="L42" s="9" t="s">
        <v>113</v>
      </c>
      <c r="M42">
        <v>1</v>
      </c>
      <c r="N42">
        <v>-3.4028200000000001E+38</v>
      </c>
      <c r="O42">
        <v>3.4028200000000001E+38</v>
      </c>
      <c r="P42">
        <v>-3.4028200000000001E+38</v>
      </c>
      <c r="Q42">
        <v>3.4028200000000001E+38</v>
      </c>
      <c r="R42"/>
      <c r="S42"/>
      <c r="T42" s="9" t="s">
        <v>3807</v>
      </c>
      <c r="U42" s="9" t="s">
        <v>3815</v>
      </c>
      <c r="V42" s="9" t="s">
        <v>6213</v>
      </c>
      <c r="W42" s="9" t="s">
        <v>3709</v>
      </c>
      <c r="X42" s="9" t="s">
        <v>3709</v>
      </c>
    </row>
    <row r="43" spans="1:32" s="9" customFormat="1" ht="15.75" customHeight="1" x14ac:dyDescent="0.15">
      <c r="A43">
        <v>35</v>
      </c>
      <c r="B43" s="9" t="s">
        <v>75</v>
      </c>
      <c r="C43" s="9" t="s">
        <v>3719</v>
      </c>
      <c r="D43" t="s">
        <v>6214</v>
      </c>
      <c r="E43" s="20" t="s">
        <v>3192</v>
      </c>
      <c r="F43">
        <v>34</v>
      </c>
      <c r="G43"/>
      <c r="H43" s="9" t="s">
        <v>6215</v>
      </c>
      <c r="L43" s="9" t="s">
        <v>3722</v>
      </c>
      <c r="M43">
        <v>1</v>
      </c>
      <c r="N43">
        <v>-3.4028200000000001E+38</v>
      </c>
      <c r="O43">
        <v>3.4028200000000001E+38</v>
      </c>
      <c r="P43">
        <v>-3.4028200000000001E+38</v>
      </c>
      <c r="Q43">
        <v>3.4028200000000001E+38</v>
      </c>
      <c r="R43"/>
      <c r="S43"/>
      <c r="T43" s="9" t="s">
        <v>3807</v>
      </c>
      <c r="U43" s="9" t="s">
        <v>3815</v>
      </c>
      <c r="V43" s="9" t="s">
        <v>6216</v>
      </c>
      <c r="W43" s="9" t="s">
        <v>6217</v>
      </c>
      <c r="X43" t="s">
        <v>3230</v>
      </c>
    </row>
    <row r="44" spans="1:32" s="9" customFormat="1" ht="15.75" customHeight="1" x14ac:dyDescent="0.15">
      <c r="A44">
        <v>36</v>
      </c>
      <c r="B44" s="9" t="s">
        <v>75</v>
      </c>
      <c r="C44" s="9" t="s">
        <v>3719</v>
      </c>
      <c r="D44" t="s">
        <v>6218</v>
      </c>
      <c r="E44" s="20" t="s">
        <v>3192</v>
      </c>
      <c r="F44">
        <v>35</v>
      </c>
      <c r="G44"/>
      <c r="H44" s="9" t="s">
        <v>6219</v>
      </c>
      <c r="L44" s="9" t="s">
        <v>6121</v>
      </c>
      <c r="M44">
        <v>1</v>
      </c>
      <c r="N44">
        <v>-3.4028200000000001E+38</v>
      </c>
      <c r="O44">
        <v>3.4028200000000001E+38</v>
      </c>
      <c r="P44">
        <v>-3.4028200000000001E+38</v>
      </c>
      <c r="Q44">
        <v>3.4028200000000001E+38</v>
      </c>
      <c r="R44"/>
      <c r="S44"/>
      <c r="T44" s="9" t="s">
        <v>3707</v>
      </c>
      <c r="U44" s="9" t="s">
        <v>3950</v>
      </c>
      <c r="V44" s="9" t="s">
        <v>6220</v>
      </c>
      <c r="W44" s="9" t="s">
        <v>3709</v>
      </c>
      <c r="X44" s="9" t="s">
        <v>3709</v>
      </c>
    </row>
    <row r="45" spans="1:32" s="9" customFormat="1" ht="15.75" customHeight="1" x14ac:dyDescent="0.15">
      <c r="A45">
        <v>37</v>
      </c>
      <c r="B45" s="9" t="s">
        <v>75</v>
      </c>
      <c r="C45" s="9" t="s">
        <v>3719</v>
      </c>
      <c r="D45" t="s">
        <v>6221</v>
      </c>
      <c r="E45" s="20" t="s">
        <v>3192</v>
      </c>
      <c r="F45">
        <v>36</v>
      </c>
      <c r="G45"/>
      <c r="H45" s="9" t="s">
        <v>6222</v>
      </c>
      <c r="L45" s="9" t="s">
        <v>6121</v>
      </c>
      <c r="M45">
        <v>1</v>
      </c>
      <c r="N45">
        <v>-3.4028200000000001E+38</v>
      </c>
      <c r="O45">
        <v>3.4028200000000001E+38</v>
      </c>
      <c r="P45">
        <v>-3.4028200000000001E+38</v>
      </c>
      <c r="Q45">
        <v>3.4028200000000001E+38</v>
      </c>
      <c r="R45"/>
      <c r="S45"/>
      <c r="T45" s="9" t="s">
        <v>3707</v>
      </c>
      <c r="U45" s="9" t="s">
        <v>3708</v>
      </c>
      <c r="V45" s="9" t="s">
        <v>6223</v>
      </c>
      <c r="W45" s="9" t="s">
        <v>3709</v>
      </c>
      <c r="X45" s="9" t="s">
        <v>3709</v>
      </c>
    </row>
    <row r="46" spans="1:32" s="9" customFormat="1" ht="15.75" customHeight="1" x14ac:dyDescent="0.15">
      <c r="A46">
        <v>38</v>
      </c>
      <c r="B46" s="9" t="s">
        <v>75</v>
      </c>
      <c r="C46" s="9" t="s">
        <v>3719</v>
      </c>
      <c r="D46" t="s">
        <v>6224</v>
      </c>
      <c r="E46" s="20" t="s">
        <v>3192</v>
      </c>
      <c r="F46">
        <v>37</v>
      </c>
      <c r="G46"/>
      <c r="H46" s="9" t="s">
        <v>6225</v>
      </c>
      <c r="L46" s="9" t="s">
        <v>266</v>
      </c>
      <c r="M46">
        <v>1</v>
      </c>
      <c r="N46">
        <v>-3.4028200000000001E+38</v>
      </c>
      <c r="O46">
        <v>3.4028200000000001E+38</v>
      </c>
      <c r="P46">
        <v>-3.4028200000000001E+38</v>
      </c>
      <c r="Q46">
        <v>3.4028200000000001E+38</v>
      </c>
      <c r="R46"/>
      <c r="S46"/>
      <c r="T46" s="9" t="s">
        <v>3707</v>
      </c>
      <c r="U46" s="9" t="s">
        <v>3950</v>
      </c>
      <c r="V46" s="9" t="s">
        <v>6226</v>
      </c>
      <c r="W46" s="9" t="s">
        <v>3709</v>
      </c>
      <c r="X46" s="9" t="s">
        <v>3709</v>
      </c>
    </row>
    <row r="47" spans="1:32" ht="15.75" customHeight="1" x14ac:dyDescent="0.15">
      <c r="A47">
        <v>39</v>
      </c>
      <c r="B47" t="s">
        <v>75</v>
      </c>
      <c r="C47" t="s">
        <v>3719</v>
      </c>
      <c r="D47" t="s">
        <v>6227</v>
      </c>
      <c r="E47" t="s">
        <v>3192</v>
      </c>
      <c r="F47">
        <v>38</v>
      </c>
      <c r="H47" t="s">
        <v>6228</v>
      </c>
      <c r="L47" t="s">
        <v>6229</v>
      </c>
      <c r="M47">
        <v>1</v>
      </c>
      <c r="N47">
        <v>-3.4028200000000001E+38</v>
      </c>
      <c r="O47">
        <v>3.4028200000000001E+38</v>
      </c>
      <c r="P47">
        <v>-3.4028200000000001E+38</v>
      </c>
      <c r="Q47">
        <v>3.4028200000000001E+38</v>
      </c>
      <c r="T47" t="s">
        <v>3707</v>
      </c>
      <c r="U47" t="s">
        <v>3950</v>
      </c>
      <c r="V47" t="s">
        <v>6230</v>
      </c>
      <c r="W47" t="s">
        <v>3709</v>
      </c>
      <c r="X47"/>
      <c r="Y47"/>
      <c r="AC47"/>
      <c r="AD47"/>
      <c r="AE47"/>
      <c r="AF47"/>
    </row>
    <row r="48" spans="1:32" s="9" customFormat="1" ht="15.75" customHeight="1" x14ac:dyDescent="0.15">
      <c r="A48">
        <v>40</v>
      </c>
      <c r="B48" s="9" t="s">
        <v>75</v>
      </c>
      <c r="C48" s="9" t="s">
        <v>3719</v>
      </c>
      <c r="D48" t="s">
        <v>6231</v>
      </c>
      <c r="E48" s="20" t="s">
        <v>3192</v>
      </c>
      <c r="F48">
        <v>39</v>
      </c>
      <c r="G48"/>
      <c r="H48" s="9" t="s">
        <v>6232</v>
      </c>
      <c r="L48" s="9" t="s">
        <v>6111</v>
      </c>
      <c r="M48">
        <v>1</v>
      </c>
      <c r="N48">
        <v>-3.4028200000000001E+38</v>
      </c>
      <c r="O48">
        <v>3.4028200000000001E+38</v>
      </c>
      <c r="P48">
        <v>-3.4028200000000001E+38</v>
      </c>
      <c r="Q48">
        <v>3.4028200000000001E+38</v>
      </c>
      <c r="R48"/>
      <c r="S48"/>
      <c r="T48" s="9" t="s">
        <v>3707</v>
      </c>
      <c r="U48" s="9" t="s">
        <v>3950</v>
      </c>
      <c r="V48" s="9" t="s">
        <v>6233</v>
      </c>
      <c r="W48" s="9" t="s">
        <v>3709</v>
      </c>
      <c r="X48" s="9" t="s">
        <v>3709</v>
      </c>
    </row>
    <row r="49" spans="1:24" s="9" customFormat="1" ht="15.75" customHeight="1" x14ac:dyDescent="0.15">
      <c r="A49">
        <v>41</v>
      </c>
      <c r="B49" s="9" t="s">
        <v>75</v>
      </c>
      <c r="C49" s="9" t="s">
        <v>3719</v>
      </c>
      <c r="D49" t="s">
        <v>6234</v>
      </c>
      <c r="E49" s="20" t="s">
        <v>3192</v>
      </c>
      <c r="F49">
        <v>40</v>
      </c>
      <c r="G49"/>
      <c r="M49"/>
      <c r="N49">
        <v>-3.4028200000000001E+38</v>
      </c>
      <c r="O49">
        <v>3.4028200000000001E+38</v>
      </c>
      <c r="P49"/>
      <c r="Q49"/>
      <c r="R49"/>
      <c r="S49"/>
      <c r="U49" s="9" t="s">
        <v>3709</v>
      </c>
      <c r="V49" s="9" t="s">
        <v>6235</v>
      </c>
      <c r="W49" s="9" t="s">
        <v>3709</v>
      </c>
      <c r="X49" s="9" t="s">
        <v>3709</v>
      </c>
    </row>
    <row r="50" spans="1:24" s="9" customFormat="1" ht="15.75" customHeight="1" x14ac:dyDescent="0.15">
      <c r="A50">
        <v>42</v>
      </c>
      <c r="B50" s="9" t="s">
        <v>75</v>
      </c>
      <c r="C50" s="9" t="s">
        <v>3719</v>
      </c>
      <c r="D50" t="s">
        <v>6236</v>
      </c>
      <c r="E50" s="20" t="s">
        <v>3192</v>
      </c>
      <c r="F50">
        <v>41</v>
      </c>
      <c r="G50"/>
      <c r="M50"/>
      <c r="N50">
        <v>-3.4028200000000001E+38</v>
      </c>
      <c r="O50">
        <v>3.4028200000000001E+38</v>
      </c>
      <c r="P50"/>
      <c r="Q50"/>
      <c r="R50"/>
      <c r="S50"/>
      <c r="U50" s="9" t="s">
        <v>3709</v>
      </c>
      <c r="V50" s="9" t="s">
        <v>6237</v>
      </c>
      <c r="W50" s="9" t="s">
        <v>3709</v>
      </c>
      <c r="X50" s="9" t="s">
        <v>3709</v>
      </c>
    </row>
    <row r="51" spans="1:24" s="9" customFormat="1" ht="15.75" customHeight="1" x14ac:dyDescent="0.15">
      <c r="A51">
        <v>43</v>
      </c>
      <c r="B51" s="9" t="s">
        <v>75</v>
      </c>
      <c r="C51" s="9" t="s">
        <v>3719</v>
      </c>
      <c r="D51" t="s">
        <v>6238</v>
      </c>
      <c r="E51" s="20" t="s">
        <v>3192</v>
      </c>
      <c r="F51">
        <v>42</v>
      </c>
      <c r="G51"/>
      <c r="M51"/>
      <c r="N51">
        <v>-3.4028200000000001E+38</v>
      </c>
      <c r="O51">
        <v>3.4028200000000001E+38</v>
      </c>
      <c r="P51"/>
      <c r="Q51"/>
      <c r="R51"/>
      <c r="S51"/>
      <c r="U51" s="9" t="s">
        <v>3709</v>
      </c>
      <c r="V51" s="9" t="s">
        <v>6239</v>
      </c>
      <c r="W51" s="9" t="s">
        <v>3709</v>
      </c>
    </row>
    <row r="52" spans="1:24" s="9" customFormat="1" ht="15.75" customHeight="1" x14ac:dyDescent="0.15">
      <c r="A52">
        <v>44</v>
      </c>
      <c r="B52" s="9" t="s">
        <v>75</v>
      </c>
      <c r="C52" s="9" t="s">
        <v>3719</v>
      </c>
      <c r="D52" t="s">
        <v>6240</v>
      </c>
      <c r="E52" s="20" t="s">
        <v>3192</v>
      </c>
      <c r="F52">
        <v>43</v>
      </c>
      <c r="G52"/>
      <c r="M52"/>
      <c r="N52">
        <v>-3.4028200000000001E+38</v>
      </c>
      <c r="O52">
        <v>3.4028200000000001E+38</v>
      </c>
      <c r="P52"/>
      <c r="Q52"/>
      <c r="R52"/>
      <c r="S52"/>
      <c r="U52" s="9" t="s">
        <v>3709</v>
      </c>
      <c r="V52" s="9" t="s">
        <v>6241</v>
      </c>
      <c r="W52" s="9" t="s">
        <v>3709</v>
      </c>
      <c r="X52" s="9" t="s">
        <v>3709</v>
      </c>
    </row>
    <row r="53" spans="1:24" s="9" customFormat="1" ht="15.75" customHeight="1" x14ac:dyDescent="0.15">
      <c r="A53">
        <v>45</v>
      </c>
      <c r="B53" s="9" t="s">
        <v>75</v>
      </c>
      <c r="C53" s="9" t="s">
        <v>3719</v>
      </c>
      <c r="D53" t="s">
        <v>6242</v>
      </c>
      <c r="E53" s="20" t="s">
        <v>3192</v>
      </c>
      <c r="F53">
        <v>44</v>
      </c>
      <c r="G53"/>
      <c r="M53"/>
      <c r="N53">
        <v>-3.4028200000000001E+38</v>
      </c>
      <c r="O53">
        <v>3.4028200000000001E+38</v>
      </c>
      <c r="P53"/>
      <c r="Q53"/>
      <c r="R53"/>
      <c r="S53"/>
      <c r="U53" s="9" t="s">
        <v>3709</v>
      </c>
      <c r="V53" s="9" t="s">
        <v>6243</v>
      </c>
      <c r="W53" s="9" t="s">
        <v>3709</v>
      </c>
      <c r="X53" s="9" t="s">
        <v>3709</v>
      </c>
    </row>
    <row r="54" spans="1:24" s="9" customFormat="1" ht="15.75" customHeight="1" x14ac:dyDescent="0.15">
      <c r="A54">
        <v>46</v>
      </c>
      <c r="B54" s="9" t="s">
        <v>75</v>
      </c>
      <c r="C54" s="9" t="s">
        <v>3719</v>
      </c>
      <c r="D54" t="s">
        <v>6244</v>
      </c>
      <c r="E54" s="20" t="s">
        <v>3192</v>
      </c>
      <c r="F54">
        <v>45</v>
      </c>
      <c r="G54"/>
      <c r="H54" s="9" t="s">
        <v>6206</v>
      </c>
      <c r="L54" s="9" t="s">
        <v>6121</v>
      </c>
      <c r="M54">
        <v>1</v>
      </c>
      <c r="N54">
        <v>-3.4028200000000001E+38</v>
      </c>
      <c r="O54">
        <v>3.4028200000000001E+38</v>
      </c>
      <c r="P54">
        <v>-3.4028200000000001E+38</v>
      </c>
      <c r="Q54">
        <v>3.4028200000000001E+38</v>
      </c>
      <c r="R54"/>
      <c r="S54"/>
      <c r="T54" s="9" t="s">
        <v>3707</v>
      </c>
      <c r="U54" s="9" t="s">
        <v>3950</v>
      </c>
      <c r="V54" s="9" t="s">
        <v>6245</v>
      </c>
      <c r="W54" s="9" t="s">
        <v>3709</v>
      </c>
      <c r="X54" s="9" t="s">
        <v>3709</v>
      </c>
    </row>
    <row r="55" spans="1:24" s="9" customFormat="1" ht="15.75" customHeight="1" x14ac:dyDescent="0.15">
      <c r="A55">
        <v>47</v>
      </c>
      <c r="B55" s="9" t="s">
        <v>75</v>
      </c>
      <c r="C55" s="9" t="s">
        <v>3719</v>
      </c>
      <c r="D55" t="s">
        <v>6246</v>
      </c>
      <c r="E55" s="20" t="s">
        <v>3192</v>
      </c>
      <c r="F55">
        <v>46</v>
      </c>
      <c r="G55"/>
      <c r="H55" s="9" t="s">
        <v>6203</v>
      </c>
      <c r="L55" s="9" t="s">
        <v>6121</v>
      </c>
      <c r="M55">
        <v>1</v>
      </c>
      <c r="N55">
        <v>-3.4028200000000001E+38</v>
      </c>
      <c r="O55">
        <v>3.4028200000000001E+38</v>
      </c>
      <c r="P55">
        <v>-3.4028200000000001E+38</v>
      </c>
      <c r="Q55">
        <v>3.4028200000000001E+38</v>
      </c>
      <c r="R55"/>
      <c r="S55"/>
      <c r="T55" s="9" t="s">
        <v>3707</v>
      </c>
      <c r="U55" s="9" t="s">
        <v>3708</v>
      </c>
      <c r="V55" s="9" t="s">
        <v>6247</v>
      </c>
      <c r="W55" s="9" t="s">
        <v>3709</v>
      </c>
      <c r="X55" s="9" t="s">
        <v>3709</v>
      </c>
    </row>
    <row r="56" spans="1:24" s="9" customFormat="1" ht="15.75" customHeight="1" x14ac:dyDescent="0.15">
      <c r="A56">
        <v>48</v>
      </c>
      <c r="B56" s="9" t="s">
        <v>75</v>
      </c>
      <c r="C56" s="9" t="s">
        <v>3719</v>
      </c>
      <c r="D56" t="s">
        <v>6248</v>
      </c>
      <c r="E56" s="20" t="s">
        <v>3192</v>
      </c>
      <c r="F56">
        <v>47</v>
      </c>
      <c r="G56"/>
      <c r="H56" s="9" t="s">
        <v>6209</v>
      </c>
      <c r="L56" s="9" t="s">
        <v>266</v>
      </c>
      <c r="M56">
        <v>1</v>
      </c>
      <c r="N56">
        <v>-3.4028200000000001E+38</v>
      </c>
      <c r="O56">
        <v>3.4028200000000001E+38</v>
      </c>
      <c r="P56">
        <v>-3.4028200000000001E+38</v>
      </c>
      <c r="Q56">
        <v>3.4028200000000001E+38</v>
      </c>
      <c r="R56"/>
      <c r="S56"/>
      <c r="T56" s="9" t="s">
        <v>3707</v>
      </c>
      <c r="U56" s="9" t="s">
        <v>3950</v>
      </c>
      <c r="V56" s="9" t="s">
        <v>6249</v>
      </c>
      <c r="W56" s="9" t="s">
        <v>3709</v>
      </c>
      <c r="X56" s="9" t="s">
        <v>3709</v>
      </c>
    </row>
    <row r="57" spans="1:24" s="9" customFormat="1" ht="15.75" customHeight="1" x14ac:dyDescent="0.15">
      <c r="A57">
        <v>49</v>
      </c>
      <c r="B57" s="9" t="s">
        <v>75</v>
      </c>
      <c r="C57" s="9" t="s">
        <v>3719</v>
      </c>
      <c r="D57" t="s">
        <v>6250</v>
      </c>
      <c r="E57" s="20" t="s">
        <v>3192</v>
      </c>
      <c r="F57">
        <v>48</v>
      </c>
      <c r="G57"/>
      <c r="H57" s="9" t="s">
        <v>6251</v>
      </c>
      <c r="L57" s="9" t="s">
        <v>6111</v>
      </c>
      <c r="M57">
        <v>1</v>
      </c>
      <c r="N57">
        <v>-3.4028200000000001E+38</v>
      </c>
      <c r="O57">
        <v>3.4028200000000001E+38</v>
      </c>
      <c r="P57">
        <v>-3.4028200000000001E+38</v>
      </c>
      <c r="Q57">
        <v>3.4028200000000001E+38</v>
      </c>
      <c r="R57"/>
      <c r="S57"/>
      <c r="T57" s="9" t="s">
        <v>3707</v>
      </c>
      <c r="U57" s="9" t="s">
        <v>3950</v>
      </c>
      <c r="V57" s="9" t="s">
        <v>6252</v>
      </c>
      <c r="W57" s="9" t="s">
        <v>3709</v>
      </c>
      <c r="X57" s="9" t="s">
        <v>3709</v>
      </c>
    </row>
    <row r="58" spans="1:24" s="9" customFormat="1" ht="15.75" customHeight="1" x14ac:dyDescent="0.15">
      <c r="A58">
        <v>50</v>
      </c>
      <c r="B58" s="9" t="s">
        <v>75</v>
      </c>
      <c r="C58" s="9" t="s">
        <v>3719</v>
      </c>
      <c r="D58" t="s">
        <v>6253</v>
      </c>
      <c r="E58" s="20" t="s">
        <v>3192</v>
      </c>
      <c r="F58">
        <v>49</v>
      </c>
      <c r="G58"/>
      <c r="M58"/>
      <c r="N58">
        <v>-3.4028200000000001E+38</v>
      </c>
      <c r="O58">
        <v>3.4028200000000001E+38</v>
      </c>
      <c r="P58"/>
      <c r="Q58"/>
      <c r="R58"/>
      <c r="S58"/>
      <c r="U58" s="9" t="s">
        <v>3709</v>
      </c>
      <c r="V58" s="9" t="s">
        <v>6254</v>
      </c>
      <c r="W58" s="9" t="s">
        <v>3709</v>
      </c>
      <c r="X58" s="9" t="s">
        <v>3709</v>
      </c>
    </row>
    <row r="59" spans="1:24" s="9" customFormat="1" ht="15.75" customHeight="1" x14ac:dyDescent="0.15">
      <c r="A59">
        <v>51</v>
      </c>
      <c r="B59" s="9" t="s">
        <v>75</v>
      </c>
      <c r="C59" s="9" t="s">
        <v>3719</v>
      </c>
      <c r="D59" t="s">
        <v>6255</v>
      </c>
      <c r="E59" s="20" t="s">
        <v>3192</v>
      </c>
      <c r="F59">
        <v>50</v>
      </c>
      <c r="G59"/>
      <c r="M59"/>
      <c r="N59">
        <v>-3.4028200000000001E+38</v>
      </c>
      <c r="O59">
        <v>3.4028200000000001E+38</v>
      </c>
      <c r="P59"/>
      <c r="Q59"/>
      <c r="R59"/>
      <c r="S59"/>
      <c r="U59" s="9" t="s">
        <v>3709</v>
      </c>
      <c r="V59" s="9" t="s">
        <v>6256</v>
      </c>
      <c r="W59" s="9" t="s">
        <v>3709</v>
      </c>
      <c r="X59" s="9" t="s">
        <v>3709</v>
      </c>
    </row>
    <row r="60" spans="1:24" s="9" customFormat="1" ht="15.75" customHeight="1" x14ac:dyDescent="0.15">
      <c r="A60">
        <v>52</v>
      </c>
      <c r="B60" s="9" t="s">
        <v>75</v>
      </c>
      <c r="C60" s="9" t="s">
        <v>3719</v>
      </c>
      <c r="D60" t="s">
        <v>6257</v>
      </c>
      <c r="E60" s="22" t="s">
        <v>3192</v>
      </c>
      <c r="F60">
        <v>51</v>
      </c>
      <c r="G60"/>
      <c r="H60" s="9" t="s">
        <v>6258</v>
      </c>
      <c r="L60" s="9" t="s">
        <v>61</v>
      </c>
      <c r="M60">
        <v>1</v>
      </c>
      <c r="N60">
        <v>-3.4028200000000001E+38</v>
      </c>
      <c r="O60">
        <v>3.4028200000000001E+38</v>
      </c>
      <c r="P60">
        <v>-3.4028200000000001E+38</v>
      </c>
      <c r="Q60">
        <v>3.4028200000000001E+38</v>
      </c>
      <c r="R60"/>
      <c r="S60"/>
      <c r="T60" s="9" t="s">
        <v>3707</v>
      </c>
      <c r="U60" s="9" t="s">
        <v>3950</v>
      </c>
      <c r="V60" s="9" t="s">
        <v>6259</v>
      </c>
      <c r="W60" s="9" t="s">
        <v>3709</v>
      </c>
      <c r="X60" s="9" t="s">
        <v>3709</v>
      </c>
    </row>
    <row r="61" spans="1:24" s="9" customFormat="1" ht="15.75" customHeight="1" x14ac:dyDescent="0.15">
      <c r="A61">
        <v>53</v>
      </c>
      <c r="B61" t="s">
        <v>75</v>
      </c>
      <c r="C61" t="s">
        <v>3719</v>
      </c>
      <c r="D61" t="s">
        <v>6260</v>
      </c>
      <c r="E61" s="9" t="s">
        <v>3192</v>
      </c>
      <c r="F61">
        <v>52</v>
      </c>
      <c r="G61"/>
      <c r="H61" s="9" t="s">
        <v>6261</v>
      </c>
      <c r="L61" s="9" t="s">
        <v>61</v>
      </c>
      <c r="M61">
        <v>1</v>
      </c>
      <c r="N61">
        <v>-3.4028200000000001E+38</v>
      </c>
      <c r="O61">
        <v>3.4028200000000001E+38</v>
      </c>
      <c r="P61">
        <v>-3.4028200000000001E+38</v>
      </c>
      <c r="Q61">
        <v>3.4028200000000001E+38</v>
      </c>
      <c r="R61"/>
      <c r="S61"/>
      <c r="T61" s="9" t="s">
        <v>3707</v>
      </c>
      <c r="U61" s="9" t="s">
        <v>3708</v>
      </c>
      <c r="V61" s="9" t="s">
        <v>6262</v>
      </c>
      <c r="W61" s="9" t="s">
        <v>3709</v>
      </c>
      <c r="X61" s="9" t="s">
        <v>3709</v>
      </c>
    </row>
    <row r="62" spans="1:24" s="9" customFormat="1" ht="15.75" customHeight="1" x14ac:dyDescent="0.15">
      <c r="A62">
        <v>54</v>
      </c>
      <c r="B62" t="s">
        <v>75</v>
      </c>
      <c r="C62" t="s">
        <v>3719</v>
      </c>
      <c r="D62" t="s">
        <v>6263</v>
      </c>
      <c r="E62" s="9" t="s">
        <v>3192</v>
      </c>
      <c r="F62">
        <v>53</v>
      </c>
      <c r="G62"/>
      <c r="H62" s="9" t="s">
        <v>6264</v>
      </c>
      <c r="L62" s="9" t="s">
        <v>61</v>
      </c>
      <c r="M62">
        <v>1</v>
      </c>
      <c r="N62">
        <v>-3.4028200000000001E+38</v>
      </c>
      <c r="O62">
        <v>3.4028200000000001E+38</v>
      </c>
      <c r="P62">
        <v>-3.4028200000000001E+38</v>
      </c>
      <c r="Q62">
        <v>3.4028200000000001E+38</v>
      </c>
      <c r="R62"/>
      <c r="S62"/>
      <c r="T62" s="9" t="s">
        <v>3707</v>
      </c>
      <c r="U62" s="9" t="s">
        <v>3950</v>
      </c>
      <c r="V62" s="9" t="s">
        <v>6265</v>
      </c>
      <c r="W62" s="9" t="s">
        <v>3709</v>
      </c>
      <c r="X62" s="9" t="s">
        <v>3709</v>
      </c>
    </row>
    <row r="63" spans="1:24" s="9" customFormat="1" ht="15.75" customHeight="1" x14ac:dyDescent="0.15">
      <c r="A63">
        <v>55</v>
      </c>
      <c r="B63" t="s">
        <v>75</v>
      </c>
      <c r="C63" t="s">
        <v>3719</v>
      </c>
      <c r="D63" t="s">
        <v>6266</v>
      </c>
      <c r="E63" s="9" t="s">
        <v>3192</v>
      </c>
      <c r="F63">
        <v>54</v>
      </c>
      <c r="G63"/>
      <c r="H63" s="9" t="s">
        <v>6267</v>
      </c>
      <c r="L63" s="9" t="s">
        <v>61</v>
      </c>
      <c r="M63">
        <v>1</v>
      </c>
      <c r="N63">
        <v>-3.4028200000000001E+38</v>
      </c>
      <c r="O63">
        <v>3.4028200000000001E+38</v>
      </c>
      <c r="P63">
        <v>-3.4028200000000001E+38</v>
      </c>
      <c r="Q63">
        <v>3.4028200000000001E+38</v>
      </c>
      <c r="R63"/>
      <c r="S63"/>
      <c r="T63" s="9" t="s">
        <v>3707</v>
      </c>
      <c r="U63" s="9" t="s">
        <v>3950</v>
      </c>
      <c r="V63" s="9" t="s">
        <v>6268</v>
      </c>
      <c r="W63" s="9" t="s">
        <v>3709</v>
      </c>
      <c r="X63" s="9" t="s">
        <v>3709</v>
      </c>
    </row>
    <row r="64" spans="1:24" s="9" customFormat="1" ht="15.75" customHeight="1" x14ac:dyDescent="0.15">
      <c r="A64">
        <v>56</v>
      </c>
      <c r="B64" t="s">
        <v>75</v>
      </c>
      <c r="C64" t="s">
        <v>3719</v>
      </c>
      <c r="D64" t="s">
        <v>6269</v>
      </c>
      <c r="E64" s="9" t="s">
        <v>3192</v>
      </c>
      <c r="F64">
        <v>55</v>
      </c>
      <c r="G64"/>
      <c r="H64" s="9" t="s">
        <v>6270</v>
      </c>
      <c r="L64" s="9" t="s">
        <v>123</v>
      </c>
      <c r="M64">
        <v>1</v>
      </c>
      <c r="N64">
        <v>-3.4028200000000001E+38</v>
      </c>
      <c r="O64">
        <v>3.4028200000000001E+38</v>
      </c>
      <c r="P64">
        <v>-3.4028200000000001E+38</v>
      </c>
      <c r="Q64">
        <v>3.4028200000000001E+38</v>
      </c>
      <c r="R64"/>
      <c r="S64"/>
      <c r="T64" s="9" t="s">
        <v>3707</v>
      </c>
      <c r="U64" s="9" t="s">
        <v>3950</v>
      </c>
      <c r="V64" s="9" t="s">
        <v>6271</v>
      </c>
      <c r="W64" s="9" t="s">
        <v>3709</v>
      </c>
      <c r="X64" s="9" t="s">
        <v>3709</v>
      </c>
    </row>
    <row r="65" spans="1:24" s="9" customFormat="1" ht="15.75" customHeight="1" x14ac:dyDescent="0.15">
      <c r="A65">
        <v>57</v>
      </c>
      <c r="B65" t="s">
        <v>75</v>
      </c>
      <c r="C65" t="s">
        <v>3719</v>
      </c>
      <c r="D65" t="s">
        <v>6272</v>
      </c>
      <c r="E65" s="9" t="s">
        <v>3192</v>
      </c>
      <c r="F65">
        <v>56</v>
      </c>
      <c r="G65"/>
      <c r="H65" s="9" t="s">
        <v>6273</v>
      </c>
      <c r="L65" s="9" t="s">
        <v>123</v>
      </c>
      <c r="M65">
        <v>1</v>
      </c>
      <c r="N65">
        <v>-3.4028200000000001E+38</v>
      </c>
      <c r="O65">
        <v>3.4028200000000001E+38</v>
      </c>
      <c r="P65">
        <v>-3.4028200000000001E+38</v>
      </c>
      <c r="Q65">
        <v>3.4028200000000001E+38</v>
      </c>
      <c r="R65"/>
      <c r="S65"/>
      <c r="T65" s="9" t="s">
        <v>3707</v>
      </c>
      <c r="U65" s="9" t="s">
        <v>3950</v>
      </c>
      <c r="V65" s="9" t="s">
        <v>6274</v>
      </c>
      <c r="W65" s="9" t="s">
        <v>3709</v>
      </c>
      <c r="X65" s="9" t="s">
        <v>3709</v>
      </c>
    </row>
    <row r="66" spans="1:24" s="9" customFormat="1" ht="15.75" customHeight="1" x14ac:dyDescent="0.15">
      <c r="A66">
        <v>58</v>
      </c>
      <c r="B66" t="s">
        <v>75</v>
      </c>
      <c r="C66" t="s">
        <v>3719</v>
      </c>
      <c r="D66" t="s">
        <v>6275</v>
      </c>
      <c r="E66" s="9" t="s">
        <v>3192</v>
      </c>
      <c r="F66">
        <v>57</v>
      </c>
      <c r="G66"/>
      <c r="H66" s="9" t="s">
        <v>6276</v>
      </c>
      <c r="L66" s="9" t="s">
        <v>61</v>
      </c>
      <c r="M66">
        <v>1</v>
      </c>
      <c r="N66">
        <v>-3.4028200000000001E+38</v>
      </c>
      <c r="O66">
        <v>3.4028200000000001E+38</v>
      </c>
      <c r="P66">
        <v>-3.4028200000000001E+38</v>
      </c>
      <c r="Q66">
        <v>3.4028200000000001E+38</v>
      </c>
      <c r="R66"/>
      <c r="S66"/>
      <c r="T66" s="9" t="s">
        <v>3707</v>
      </c>
      <c r="U66" s="9" t="s">
        <v>3950</v>
      </c>
      <c r="V66" s="9" t="s">
        <v>6277</v>
      </c>
      <c r="W66" s="9" t="s">
        <v>3709</v>
      </c>
      <c r="X66" s="9" t="s">
        <v>6278</v>
      </c>
    </row>
    <row r="67" spans="1:24" s="9" customFormat="1" ht="15.75" customHeight="1" x14ac:dyDescent="0.15">
      <c r="A67">
        <v>59</v>
      </c>
      <c r="B67" t="s">
        <v>75</v>
      </c>
      <c r="C67" t="s">
        <v>3719</v>
      </c>
      <c r="D67" t="s">
        <v>6279</v>
      </c>
      <c r="E67" s="9" t="s">
        <v>3192</v>
      </c>
      <c r="F67">
        <v>58</v>
      </c>
      <c r="G67"/>
      <c r="H67" s="9" t="s">
        <v>6280</v>
      </c>
      <c r="L67" s="9" t="s">
        <v>6121</v>
      </c>
      <c r="M67">
        <v>1</v>
      </c>
      <c r="N67">
        <v>-3.4028200000000001E+38</v>
      </c>
      <c r="O67">
        <v>3.4028200000000001E+38</v>
      </c>
      <c r="P67">
        <v>-3.4028200000000001E+38</v>
      </c>
      <c r="Q67">
        <v>3.4028200000000001E+38</v>
      </c>
      <c r="R67"/>
      <c r="S67"/>
      <c r="T67" s="9" t="s">
        <v>3707</v>
      </c>
      <c r="U67" s="9" t="s">
        <v>3950</v>
      </c>
      <c r="V67" s="9" t="s">
        <v>6281</v>
      </c>
      <c r="W67" s="9" t="s">
        <v>3709</v>
      </c>
      <c r="X67" s="9" t="s">
        <v>3709</v>
      </c>
    </row>
    <row r="68" spans="1:24" s="9" customFormat="1" ht="15.75" customHeight="1" x14ac:dyDescent="0.15">
      <c r="A68">
        <v>60</v>
      </c>
      <c r="B68" t="s">
        <v>75</v>
      </c>
      <c r="C68" t="s">
        <v>3719</v>
      </c>
      <c r="D68" t="s">
        <v>6282</v>
      </c>
      <c r="E68" s="9" t="s">
        <v>3192</v>
      </c>
      <c r="F68">
        <v>59</v>
      </c>
      <c r="G68"/>
      <c r="H68" s="9" t="s">
        <v>6283</v>
      </c>
      <c r="L68" s="9" t="s">
        <v>6121</v>
      </c>
      <c r="M68">
        <v>1</v>
      </c>
      <c r="N68">
        <v>-3.4028200000000001E+38</v>
      </c>
      <c r="O68">
        <v>3.4028200000000001E+38</v>
      </c>
      <c r="P68">
        <v>-3.4028200000000001E+38</v>
      </c>
      <c r="Q68">
        <v>3.4028200000000001E+38</v>
      </c>
      <c r="R68"/>
      <c r="S68"/>
      <c r="T68" s="9" t="s">
        <v>3707</v>
      </c>
      <c r="U68" s="9" t="s">
        <v>3950</v>
      </c>
      <c r="V68" s="9" t="s">
        <v>6284</v>
      </c>
      <c r="W68" s="9" t="s">
        <v>3709</v>
      </c>
      <c r="X68" s="9" t="s">
        <v>3709</v>
      </c>
    </row>
    <row r="69" spans="1:24" s="9" customFormat="1" ht="15.75" customHeight="1" x14ac:dyDescent="0.15">
      <c r="A69">
        <v>61</v>
      </c>
      <c r="B69" t="s">
        <v>75</v>
      </c>
      <c r="C69" t="s">
        <v>3719</v>
      </c>
      <c r="D69" t="s">
        <v>6285</v>
      </c>
      <c r="E69" s="9" t="s">
        <v>3192</v>
      </c>
      <c r="F69">
        <v>60</v>
      </c>
      <c r="G69"/>
      <c r="H69" s="9" t="s">
        <v>6286</v>
      </c>
      <c r="L69" s="9" t="s">
        <v>266</v>
      </c>
      <c r="M69">
        <v>1</v>
      </c>
      <c r="N69">
        <v>-3.4028200000000001E+38</v>
      </c>
      <c r="O69">
        <v>3.4028200000000001E+38</v>
      </c>
      <c r="P69">
        <v>-3.4028200000000001E+38</v>
      </c>
      <c r="Q69">
        <v>3.4028200000000001E+38</v>
      </c>
      <c r="R69"/>
      <c r="S69"/>
      <c r="T69" s="9" t="s">
        <v>3707</v>
      </c>
      <c r="U69" s="9" t="s">
        <v>3950</v>
      </c>
      <c r="V69" s="9" t="s">
        <v>6287</v>
      </c>
      <c r="W69" s="9" t="s">
        <v>3709</v>
      </c>
      <c r="X69" s="9" t="s">
        <v>3709</v>
      </c>
    </row>
    <row r="70" spans="1:24" s="9" customFormat="1" ht="15.75" customHeight="1" x14ac:dyDescent="0.15">
      <c r="A70">
        <v>62</v>
      </c>
      <c r="B70" t="s">
        <v>75</v>
      </c>
      <c r="C70" t="s">
        <v>3719</v>
      </c>
      <c r="D70" t="s">
        <v>6288</v>
      </c>
      <c r="E70" s="9" t="s">
        <v>3192</v>
      </c>
      <c r="F70">
        <v>61</v>
      </c>
      <c r="G70"/>
      <c r="H70" s="9" t="s">
        <v>6289</v>
      </c>
      <c r="L70" s="9" t="s">
        <v>266</v>
      </c>
      <c r="M70">
        <v>1</v>
      </c>
      <c r="N70">
        <v>-3.4028200000000001E+38</v>
      </c>
      <c r="O70">
        <v>3.4028200000000001E+38</v>
      </c>
      <c r="P70">
        <v>-3.4028200000000001E+38</v>
      </c>
      <c r="Q70">
        <v>3.4028200000000001E+38</v>
      </c>
      <c r="R70"/>
      <c r="S70"/>
      <c r="T70" s="9" t="s">
        <v>3707</v>
      </c>
      <c r="U70" s="9" t="s">
        <v>3950</v>
      </c>
      <c r="V70" s="9" t="s">
        <v>6290</v>
      </c>
      <c r="W70" s="9" t="s">
        <v>3709</v>
      </c>
      <c r="X70" s="9" t="s">
        <v>3709</v>
      </c>
    </row>
    <row r="71" spans="1:24" s="9" customFormat="1" ht="15.75" customHeight="1" x14ac:dyDescent="0.15">
      <c r="A71">
        <v>63</v>
      </c>
      <c r="B71" t="s">
        <v>75</v>
      </c>
      <c r="C71" t="s">
        <v>3719</v>
      </c>
      <c r="D71" t="s">
        <v>6291</v>
      </c>
      <c r="E71" s="9" t="s">
        <v>3192</v>
      </c>
      <c r="F71">
        <v>62</v>
      </c>
      <c r="G71"/>
      <c r="H71" s="9" t="s">
        <v>6292</v>
      </c>
      <c r="L71" s="9" t="s">
        <v>560</v>
      </c>
      <c r="M71">
        <v>1</v>
      </c>
      <c r="N71">
        <v>-3.4028200000000001E+38</v>
      </c>
      <c r="O71">
        <v>3.4028200000000001E+38</v>
      </c>
      <c r="P71">
        <v>-3.4028200000000001E+38</v>
      </c>
      <c r="Q71">
        <v>3.4028200000000001E+38</v>
      </c>
      <c r="R71"/>
      <c r="S71"/>
      <c r="T71" s="9" t="s">
        <v>3707</v>
      </c>
      <c r="U71" s="9" t="s">
        <v>3950</v>
      </c>
      <c r="V71" s="9" t="s">
        <v>6293</v>
      </c>
      <c r="W71" s="9" t="s">
        <v>3709</v>
      </c>
      <c r="X71" s="9" t="s">
        <v>6294</v>
      </c>
    </row>
    <row r="72" spans="1:24" s="9" customFormat="1" ht="15.75" customHeight="1" x14ac:dyDescent="0.15">
      <c r="A72">
        <v>64</v>
      </c>
      <c r="B72" t="s">
        <v>75</v>
      </c>
      <c r="C72" t="s">
        <v>3719</v>
      </c>
      <c r="D72" t="s">
        <v>6295</v>
      </c>
      <c r="E72" s="9" t="s">
        <v>3192</v>
      </c>
      <c r="F72">
        <v>63</v>
      </c>
      <c r="G72"/>
      <c r="H72" s="9" t="s">
        <v>6296</v>
      </c>
      <c r="L72" s="9" t="s">
        <v>6297</v>
      </c>
      <c r="M72">
        <v>1</v>
      </c>
      <c r="N72">
        <v>-3.4028200000000001E+38</v>
      </c>
      <c r="O72">
        <v>3.4028200000000001E+38</v>
      </c>
      <c r="P72">
        <v>-3.4028200000000001E+38</v>
      </c>
      <c r="Q72">
        <v>3.4028200000000001E+38</v>
      </c>
      <c r="R72"/>
      <c r="S72"/>
      <c r="T72" s="9" t="s">
        <v>3707</v>
      </c>
      <c r="U72" s="9" t="s">
        <v>3950</v>
      </c>
      <c r="V72" s="9" t="s">
        <v>6298</v>
      </c>
      <c r="W72" s="9" t="s">
        <v>3709</v>
      </c>
      <c r="X72" s="9" t="s">
        <v>3709</v>
      </c>
    </row>
    <row r="73" spans="1:24" s="9" customFormat="1" ht="15.75" customHeight="1" x14ac:dyDescent="0.15">
      <c r="A73">
        <v>65</v>
      </c>
      <c r="B73" t="s">
        <v>75</v>
      </c>
      <c r="C73" t="s">
        <v>3719</v>
      </c>
      <c r="D73" t="s">
        <v>6299</v>
      </c>
      <c r="E73" s="9" t="s">
        <v>3192</v>
      </c>
      <c r="F73">
        <v>64</v>
      </c>
      <c r="G73"/>
      <c r="H73" s="9" t="s">
        <v>6200</v>
      </c>
      <c r="L73" s="9" t="s">
        <v>2311</v>
      </c>
      <c r="M73">
        <v>1</v>
      </c>
      <c r="N73">
        <v>-3.4028200000000001E+38</v>
      </c>
      <c r="O73">
        <v>3.4028200000000001E+38</v>
      </c>
      <c r="P73">
        <v>-3.4028200000000001E+38</v>
      </c>
      <c r="Q73">
        <v>3.4028200000000001E+38</v>
      </c>
      <c r="R73"/>
      <c r="S73"/>
      <c r="T73" s="9" t="s">
        <v>3807</v>
      </c>
      <c r="U73" s="9" t="s">
        <v>3815</v>
      </c>
      <c r="V73" s="9" t="s">
        <v>6300</v>
      </c>
      <c r="W73" s="9" t="s">
        <v>3709</v>
      </c>
      <c r="X73" s="9" t="s">
        <v>3709</v>
      </c>
    </row>
    <row r="74" spans="1:24" s="9" customFormat="1" ht="15.75" customHeight="1" x14ac:dyDescent="0.15">
      <c r="A74">
        <v>66</v>
      </c>
      <c r="B74" t="s">
        <v>75</v>
      </c>
      <c r="C74" t="s">
        <v>3719</v>
      </c>
      <c r="D74" t="s">
        <v>6301</v>
      </c>
      <c r="E74" s="9" t="s">
        <v>3192</v>
      </c>
      <c r="F74">
        <v>65</v>
      </c>
      <c r="G74"/>
      <c r="H74" s="9" t="s">
        <v>6203</v>
      </c>
      <c r="L74" s="9" t="s">
        <v>2311</v>
      </c>
      <c r="M74">
        <v>1</v>
      </c>
      <c r="N74">
        <v>-3.4028200000000001E+38</v>
      </c>
      <c r="O74">
        <v>3.4028200000000001E+38</v>
      </c>
      <c r="P74">
        <v>-3.4028200000000001E+38</v>
      </c>
      <c r="Q74">
        <v>3.4028200000000001E+38</v>
      </c>
      <c r="R74"/>
      <c r="S74"/>
      <c r="T74" s="9" t="s">
        <v>3807</v>
      </c>
      <c r="U74" s="9" t="s">
        <v>3815</v>
      </c>
      <c r="V74" s="9" t="s">
        <v>6302</v>
      </c>
      <c r="W74" s="9" t="s">
        <v>3709</v>
      </c>
      <c r="X74" s="9" t="s">
        <v>3709</v>
      </c>
    </row>
    <row r="75" spans="1:24" s="9" customFormat="1" ht="15.75" customHeight="1" x14ac:dyDescent="0.15">
      <c r="A75">
        <v>67</v>
      </c>
      <c r="B75" t="s">
        <v>75</v>
      </c>
      <c r="C75" t="s">
        <v>3719</v>
      </c>
      <c r="D75" t="s">
        <v>6303</v>
      </c>
      <c r="E75" s="9" t="s">
        <v>3192</v>
      </c>
      <c r="F75">
        <v>66</v>
      </c>
      <c r="G75"/>
      <c r="H75" s="9" t="s">
        <v>6206</v>
      </c>
      <c r="L75" s="9" t="s">
        <v>113</v>
      </c>
      <c r="M75">
        <v>1</v>
      </c>
      <c r="N75">
        <v>-3.4028200000000001E+38</v>
      </c>
      <c r="O75">
        <v>3.4028200000000001E+38</v>
      </c>
      <c r="P75">
        <v>-3.4028200000000001E+38</v>
      </c>
      <c r="Q75">
        <v>3.4028200000000001E+38</v>
      </c>
      <c r="R75"/>
      <c r="S75"/>
      <c r="T75" s="9" t="s">
        <v>3807</v>
      </c>
      <c r="U75" s="9" t="s">
        <v>3815</v>
      </c>
      <c r="V75" s="9" t="s">
        <v>6304</v>
      </c>
      <c r="W75" s="9" t="s">
        <v>3709</v>
      </c>
      <c r="X75" s="9" t="s">
        <v>3709</v>
      </c>
    </row>
    <row r="76" spans="1:24" s="9" customFormat="1" ht="15.75" customHeight="1" x14ac:dyDescent="0.15">
      <c r="A76">
        <v>68</v>
      </c>
      <c r="B76" t="s">
        <v>75</v>
      </c>
      <c r="C76" t="s">
        <v>3719</v>
      </c>
      <c r="D76" t="s">
        <v>6305</v>
      </c>
      <c r="E76" s="9" t="s">
        <v>3192</v>
      </c>
      <c r="F76">
        <v>67</v>
      </c>
      <c r="G76"/>
      <c r="H76" s="9" t="s">
        <v>6209</v>
      </c>
      <c r="L76" s="9" t="s">
        <v>266</v>
      </c>
      <c r="M76">
        <v>1</v>
      </c>
      <c r="N76">
        <v>-3.4028200000000001E+38</v>
      </c>
      <c r="O76">
        <v>3.4028200000000001E+38</v>
      </c>
      <c r="P76">
        <v>-3.4028200000000001E+38</v>
      </c>
      <c r="Q76">
        <v>3.4028200000000001E+38</v>
      </c>
      <c r="R76"/>
      <c r="S76"/>
      <c r="T76" s="9" t="s">
        <v>3807</v>
      </c>
      <c r="U76" s="9" t="s">
        <v>3815</v>
      </c>
      <c r="V76" s="9" t="s">
        <v>6306</v>
      </c>
      <c r="W76" s="9" t="s">
        <v>3709</v>
      </c>
      <c r="X76" s="9" t="s">
        <v>3709</v>
      </c>
    </row>
    <row r="77" spans="1:24" s="9" customFormat="1" ht="15.75" customHeight="1" x14ac:dyDescent="0.15">
      <c r="A77">
        <v>69</v>
      </c>
      <c r="B77" t="s">
        <v>75</v>
      </c>
      <c r="C77" t="s">
        <v>3719</v>
      </c>
      <c r="D77" t="s">
        <v>6307</v>
      </c>
      <c r="E77" s="9" t="s">
        <v>3192</v>
      </c>
      <c r="F77">
        <v>68</v>
      </c>
      <c r="G77"/>
      <c r="H77" s="9" t="s">
        <v>6212</v>
      </c>
      <c r="L77" s="9" t="s">
        <v>113</v>
      </c>
      <c r="M77">
        <v>1</v>
      </c>
      <c r="N77">
        <v>-3.4028200000000001E+38</v>
      </c>
      <c r="O77">
        <v>3.4028200000000001E+38</v>
      </c>
      <c r="P77">
        <v>-3.4028200000000001E+38</v>
      </c>
      <c r="Q77">
        <v>3.4028200000000001E+38</v>
      </c>
      <c r="R77"/>
      <c r="S77"/>
      <c r="T77" s="9" t="s">
        <v>3807</v>
      </c>
      <c r="U77" s="9" t="s">
        <v>3815</v>
      </c>
      <c r="V77" s="9" t="s">
        <v>6308</v>
      </c>
      <c r="W77" s="9" t="s">
        <v>3709</v>
      </c>
      <c r="X77" s="9" t="s">
        <v>3709</v>
      </c>
    </row>
    <row r="78" spans="1:24" s="9" customFormat="1" ht="15.75" customHeight="1" x14ac:dyDescent="0.15">
      <c r="A78">
        <v>70</v>
      </c>
      <c r="B78" t="s">
        <v>75</v>
      </c>
      <c r="C78" t="s">
        <v>3719</v>
      </c>
      <c r="D78" t="s">
        <v>6309</v>
      </c>
      <c r="E78" s="9" t="s">
        <v>3192</v>
      </c>
      <c r="F78">
        <v>69</v>
      </c>
      <c r="G78"/>
      <c r="M78"/>
      <c r="N78">
        <v>-3.4028200000000001E+38</v>
      </c>
      <c r="O78">
        <v>3.4028200000000001E+38</v>
      </c>
      <c r="P78"/>
      <c r="Q78"/>
      <c r="R78"/>
      <c r="S78"/>
      <c r="U78" s="9" t="s">
        <v>3709</v>
      </c>
      <c r="V78" s="9" t="s">
        <v>6310</v>
      </c>
      <c r="W78" s="9" t="s">
        <v>3709</v>
      </c>
      <c r="X78" s="9" t="s">
        <v>3709</v>
      </c>
    </row>
    <row r="79" spans="1:24" s="9" customFormat="1" ht="15.75" customHeight="1" x14ac:dyDescent="0.15">
      <c r="A79">
        <v>71</v>
      </c>
      <c r="B79" t="s">
        <v>75</v>
      </c>
      <c r="C79" t="s">
        <v>3719</v>
      </c>
      <c r="D79" t="s">
        <v>6311</v>
      </c>
      <c r="E79" s="9" t="s">
        <v>3192</v>
      </c>
      <c r="F79">
        <v>70</v>
      </c>
      <c r="G79"/>
      <c r="M79"/>
      <c r="N79">
        <v>-3.4028200000000001E+38</v>
      </c>
      <c r="O79">
        <v>3.4028200000000001E+38</v>
      </c>
      <c r="P79"/>
      <c r="Q79"/>
      <c r="R79"/>
      <c r="S79"/>
      <c r="U79" s="9" t="s">
        <v>3709</v>
      </c>
      <c r="V79" s="9" t="s">
        <v>6312</v>
      </c>
      <c r="W79" s="9" t="s">
        <v>3709</v>
      </c>
      <c r="X79" s="9" t="s">
        <v>3709</v>
      </c>
    </row>
    <row r="80" spans="1:24" s="9" customFormat="1" ht="15.75" customHeight="1" x14ac:dyDescent="0.15">
      <c r="A80">
        <v>72</v>
      </c>
      <c r="B80" t="s">
        <v>75</v>
      </c>
      <c r="C80" t="s">
        <v>3719</v>
      </c>
      <c r="D80" t="s">
        <v>6313</v>
      </c>
      <c r="E80" s="9" t="s">
        <v>3192</v>
      </c>
      <c r="F80">
        <v>71</v>
      </c>
      <c r="G80"/>
      <c r="M80"/>
      <c r="N80">
        <v>-3.4028200000000001E+38</v>
      </c>
      <c r="O80">
        <v>3.4028200000000001E+38</v>
      </c>
      <c r="P80"/>
      <c r="Q80"/>
      <c r="R80"/>
      <c r="S80"/>
      <c r="U80" s="9" t="s">
        <v>3709</v>
      </c>
      <c r="V80" s="9" t="s">
        <v>6314</v>
      </c>
      <c r="W80" s="9" t="s">
        <v>3709</v>
      </c>
      <c r="X80" s="9" t="s">
        <v>3709</v>
      </c>
    </row>
    <row r="81" spans="1:24" s="9" customFormat="1" ht="15.75" customHeight="1" x14ac:dyDescent="0.15">
      <c r="A81">
        <v>73</v>
      </c>
      <c r="B81" t="s">
        <v>75</v>
      </c>
      <c r="C81" t="s">
        <v>3719</v>
      </c>
      <c r="D81" t="s">
        <v>6315</v>
      </c>
      <c r="E81" s="9" t="s">
        <v>3192</v>
      </c>
      <c r="F81">
        <v>72</v>
      </c>
      <c r="G81"/>
      <c r="M81"/>
      <c r="N81">
        <v>-3.4028200000000001E+38</v>
      </c>
      <c r="O81">
        <v>3.4028200000000001E+38</v>
      </c>
      <c r="P81"/>
      <c r="Q81"/>
      <c r="R81"/>
      <c r="S81"/>
      <c r="U81" s="9" t="s">
        <v>3709</v>
      </c>
      <c r="V81" s="9" t="s">
        <v>6316</v>
      </c>
      <c r="W81" s="9" t="s">
        <v>3709</v>
      </c>
      <c r="X81" s="9" t="s">
        <v>3709</v>
      </c>
    </row>
    <row r="82" spans="1:24" s="9" customFormat="1" ht="15.75" customHeight="1" x14ac:dyDescent="0.15">
      <c r="A82">
        <v>74</v>
      </c>
      <c r="B82" t="s">
        <v>75</v>
      </c>
      <c r="C82" t="s">
        <v>3719</v>
      </c>
      <c r="D82" t="s">
        <v>6317</v>
      </c>
      <c r="E82" s="9" t="s">
        <v>3192</v>
      </c>
      <c r="F82">
        <v>73</v>
      </c>
      <c r="G82"/>
      <c r="M82"/>
      <c r="N82">
        <v>-3.4028200000000001E+38</v>
      </c>
      <c r="O82">
        <v>3.4028200000000001E+38</v>
      </c>
      <c r="P82"/>
      <c r="Q82"/>
      <c r="R82"/>
      <c r="S82"/>
      <c r="U82" s="9" t="s">
        <v>3709</v>
      </c>
      <c r="V82" s="9" t="s">
        <v>6318</v>
      </c>
      <c r="W82" s="9" t="s">
        <v>3709</v>
      </c>
      <c r="X82" s="9" t="s">
        <v>3709</v>
      </c>
    </row>
    <row r="83" spans="1:24" s="9" customFormat="1" ht="15.75" customHeight="1" x14ac:dyDescent="0.15">
      <c r="A83">
        <v>75</v>
      </c>
      <c r="B83" t="s">
        <v>75</v>
      </c>
      <c r="C83" t="s">
        <v>3719</v>
      </c>
      <c r="D83" t="s">
        <v>6319</v>
      </c>
      <c r="E83" s="9" t="s">
        <v>3192</v>
      </c>
      <c r="F83">
        <v>74</v>
      </c>
      <c r="G83"/>
      <c r="M83"/>
      <c r="N83">
        <v>-3.4028200000000001E+38</v>
      </c>
      <c r="O83">
        <v>3.4028200000000001E+38</v>
      </c>
      <c r="P83"/>
      <c r="Q83"/>
      <c r="R83"/>
      <c r="S83"/>
      <c r="U83" s="9" t="s">
        <v>3709</v>
      </c>
      <c r="V83" s="9" t="s">
        <v>6320</v>
      </c>
      <c r="W83" s="9" t="s">
        <v>3709</v>
      </c>
      <c r="X83" s="9" t="s">
        <v>3709</v>
      </c>
    </row>
    <row r="84" spans="1:24" s="9" customFormat="1" ht="15.75" customHeight="1" x14ac:dyDescent="0.15">
      <c r="A84">
        <v>76</v>
      </c>
      <c r="B84" t="s">
        <v>75</v>
      </c>
      <c r="C84" t="s">
        <v>3719</v>
      </c>
      <c r="D84" t="s">
        <v>6321</v>
      </c>
      <c r="E84" s="9" t="s">
        <v>3192</v>
      </c>
      <c r="F84">
        <v>75</v>
      </c>
      <c r="G84"/>
      <c r="H84" s="9" t="s">
        <v>6322</v>
      </c>
      <c r="L84" s="9" t="s">
        <v>61</v>
      </c>
      <c r="M84">
        <v>1</v>
      </c>
      <c r="N84">
        <v>-3.4028200000000001E+38</v>
      </c>
      <c r="O84">
        <v>3.4028200000000001E+38</v>
      </c>
      <c r="P84">
        <v>-3.4028200000000001E+38</v>
      </c>
      <c r="Q84">
        <v>3.4028200000000001E+38</v>
      </c>
      <c r="R84"/>
      <c r="S84"/>
      <c r="T84" s="9" t="s">
        <v>3707</v>
      </c>
      <c r="U84" s="9" t="s">
        <v>3950</v>
      </c>
      <c r="V84" s="9" t="s">
        <v>6323</v>
      </c>
      <c r="W84" s="9" t="s">
        <v>3709</v>
      </c>
      <c r="X84" s="9" t="s">
        <v>3709</v>
      </c>
    </row>
    <row r="85" spans="1:24" s="9" customFormat="1" ht="15.75" customHeight="1" x14ac:dyDescent="0.15">
      <c r="A85">
        <v>77</v>
      </c>
      <c r="B85" t="s">
        <v>75</v>
      </c>
      <c r="C85" t="s">
        <v>3719</v>
      </c>
      <c r="D85" t="s">
        <v>6324</v>
      </c>
      <c r="E85" s="9" t="s">
        <v>3192</v>
      </c>
      <c r="F85">
        <v>76</v>
      </c>
      <c r="G85"/>
      <c r="H85" s="9" t="s">
        <v>6325</v>
      </c>
      <c r="L85" s="9" t="s">
        <v>61</v>
      </c>
      <c r="M85">
        <v>1</v>
      </c>
      <c r="N85">
        <v>-3.4028200000000001E+38</v>
      </c>
      <c r="O85">
        <v>3.4028200000000001E+38</v>
      </c>
      <c r="P85">
        <v>-3.4028200000000001E+38</v>
      </c>
      <c r="Q85">
        <v>3.4028200000000001E+38</v>
      </c>
      <c r="R85"/>
      <c r="S85"/>
      <c r="T85" s="9" t="s">
        <v>3707</v>
      </c>
      <c r="U85" s="9" t="s">
        <v>3708</v>
      </c>
      <c r="V85" s="9" t="s">
        <v>6326</v>
      </c>
      <c r="W85" s="9" t="s">
        <v>3709</v>
      </c>
      <c r="X85" s="9" t="s">
        <v>3709</v>
      </c>
    </row>
    <row r="86" spans="1:24" s="9" customFormat="1" ht="15.75" customHeight="1" x14ac:dyDescent="0.15">
      <c r="A86">
        <v>78</v>
      </c>
      <c r="B86" t="s">
        <v>75</v>
      </c>
      <c r="C86" t="s">
        <v>3719</v>
      </c>
      <c r="D86" t="s">
        <v>6327</v>
      </c>
      <c r="E86" s="9" t="s">
        <v>3192</v>
      </c>
      <c r="F86">
        <v>77</v>
      </c>
      <c r="G86"/>
      <c r="H86" s="9" t="s">
        <v>6328</v>
      </c>
      <c r="L86" s="9" t="s">
        <v>61</v>
      </c>
      <c r="M86">
        <v>1</v>
      </c>
      <c r="N86">
        <v>-3.4028200000000001E+38</v>
      </c>
      <c r="O86">
        <v>3.4028200000000001E+38</v>
      </c>
      <c r="P86">
        <v>-3.4028200000000001E+38</v>
      </c>
      <c r="Q86">
        <v>3.4028200000000001E+38</v>
      </c>
      <c r="R86"/>
      <c r="S86"/>
      <c r="T86" s="9" t="s">
        <v>3707</v>
      </c>
      <c r="U86" s="9" t="s">
        <v>3950</v>
      </c>
      <c r="V86" s="9" t="s">
        <v>6329</v>
      </c>
      <c r="W86" s="9" t="s">
        <v>3709</v>
      </c>
      <c r="X86" s="9" t="s">
        <v>3709</v>
      </c>
    </row>
    <row r="87" spans="1:24" s="9" customFormat="1" ht="15.75" customHeight="1" x14ac:dyDescent="0.15">
      <c r="A87">
        <v>79</v>
      </c>
      <c r="B87" t="s">
        <v>75</v>
      </c>
      <c r="C87" t="s">
        <v>3719</v>
      </c>
      <c r="D87" t="s">
        <v>6330</v>
      </c>
      <c r="E87" s="9" t="s">
        <v>3192</v>
      </c>
      <c r="F87">
        <v>78</v>
      </c>
      <c r="G87"/>
      <c r="H87" s="9" t="s">
        <v>6331</v>
      </c>
      <c r="L87" s="9" t="s">
        <v>61</v>
      </c>
      <c r="M87">
        <v>1</v>
      </c>
      <c r="N87">
        <v>-3.4028200000000001E+38</v>
      </c>
      <c r="O87">
        <v>3.4028200000000001E+38</v>
      </c>
      <c r="P87">
        <v>-3.4028200000000001E+38</v>
      </c>
      <c r="Q87">
        <v>3.4028200000000001E+38</v>
      </c>
      <c r="R87"/>
      <c r="S87"/>
      <c r="T87" s="9" t="s">
        <v>3707</v>
      </c>
      <c r="U87" s="9" t="s">
        <v>3950</v>
      </c>
      <c r="V87" s="9" t="s">
        <v>6332</v>
      </c>
      <c r="W87" s="9" t="s">
        <v>3709</v>
      </c>
      <c r="X87" s="9" t="s">
        <v>3709</v>
      </c>
    </row>
    <row r="88" spans="1:24" s="9" customFormat="1" ht="15.75" customHeight="1" x14ac:dyDescent="0.15">
      <c r="A88">
        <v>80</v>
      </c>
      <c r="B88" t="s">
        <v>75</v>
      </c>
      <c r="C88" t="s">
        <v>3719</v>
      </c>
      <c r="D88" t="s">
        <v>6333</v>
      </c>
      <c r="E88" s="9" t="s">
        <v>3192</v>
      </c>
      <c r="F88">
        <v>79</v>
      </c>
      <c r="G88"/>
      <c r="H88" s="9" t="s">
        <v>6334</v>
      </c>
      <c r="L88" s="9" t="s">
        <v>6121</v>
      </c>
      <c r="M88">
        <v>1</v>
      </c>
      <c r="N88">
        <v>-3.4028200000000001E+38</v>
      </c>
      <c r="O88">
        <v>3.4028200000000001E+38</v>
      </c>
      <c r="P88">
        <v>-3.4028200000000001E+38</v>
      </c>
      <c r="Q88">
        <v>3.4028200000000001E+38</v>
      </c>
      <c r="R88"/>
      <c r="S88"/>
      <c r="T88" s="9" t="s">
        <v>3707</v>
      </c>
      <c r="U88" s="9" t="s">
        <v>3950</v>
      </c>
      <c r="V88" s="9" t="s">
        <v>6335</v>
      </c>
      <c r="W88" s="9" t="s">
        <v>3709</v>
      </c>
      <c r="X88" s="9" t="s">
        <v>3709</v>
      </c>
    </row>
    <row r="89" spans="1:24" s="9" customFormat="1" ht="15.75" customHeight="1" x14ac:dyDescent="0.15">
      <c r="A89">
        <v>81</v>
      </c>
      <c r="B89" t="s">
        <v>75</v>
      </c>
      <c r="C89" t="s">
        <v>3719</v>
      </c>
      <c r="D89" t="s">
        <v>6336</v>
      </c>
      <c r="E89" s="9" t="s">
        <v>3192</v>
      </c>
      <c r="F89">
        <v>80</v>
      </c>
      <c r="G89"/>
      <c r="H89" s="9" t="s">
        <v>6337</v>
      </c>
      <c r="L89" s="9" t="s">
        <v>6121</v>
      </c>
      <c r="M89">
        <v>1</v>
      </c>
      <c r="N89">
        <v>-3.4028200000000001E+38</v>
      </c>
      <c r="O89">
        <v>3.4028200000000001E+38</v>
      </c>
      <c r="P89">
        <v>-3.4028200000000001E+38</v>
      </c>
      <c r="Q89">
        <v>3.4028200000000001E+38</v>
      </c>
      <c r="R89"/>
      <c r="S89"/>
      <c r="T89" s="9" t="s">
        <v>3707</v>
      </c>
      <c r="U89" s="9" t="s">
        <v>3950</v>
      </c>
      <c r="V89" s="9" t="s">
        <v>6338</v>
      </c>
      <c r="W89" s="9" t="s">
        <v>3709</v>
      </c>
      <c r="X89" s="9" t="s">
        <v>3709</v>
      </c>
    </row>
    <row r="90" spans="1:24" s="9" customFormat="1" ht="15.75" customHeight="1" x14ac:dyDescent="0.15">
      <c r="A90">
        <v>82</v>
      </c>
      <c r="B90" t="s">
        <v>75</v>
      </c>
      <c r="C90" t="s">
        <v>3719</v>
      </c>
      <c r="D90" t="s">
        <v>6339</v>
      </c>
      <c r="E90" s="9" t="s">
        <v>3192</v>
      </c>
      <c r="F90">
        <v>81</v>
      </c>
      <c r="G90"/>
      <c r="H90" s="9" t="s">
        <v>6340</v>
      </c>
      <c r="L90" s="9" t="s">
        <v>266</v>
      </c>
      <c r="M90">
        <v>1</v>
      </c>
      <c r="N90">
        <v>-3.4028200000000001E+38</v>
      </c>
      <c r="O90">
        <v>3.4028200000000001E+38</v>
      </c>
      <c r="P90">
        <v>-3.4028200000000001E+38</v>
      </c>
      <c r="Q90">
        <v>3.4028200000000001E+38</v>
      </c>
      <c r="R90"/>
      <c r="S90"/>
      <c r="T90" s="9" t="s">
        <v>3707</v>
      </c>
      <c r="U90" s="9" t="s">
        <v>3950</v>
      </c>
      <c r="V90" s="9" t="s">
        <v>6341</v>
      </c>
      <c r="W90" s="9" t="s">
        <v>3709</v>
      </c>
      <c r="X90" s="9" t="s">
        <v>3709</v>
      </c>
    </row>
    <row r="91" spans="1:24" s="9" customFormat="1" ht="15.75" customHeight="1" x14ac:dyDescent="0.15">
      <c r="A91">
        <v>83</v>
      </c>
      <c r="B91" t="s">
        <v>75</v>
      </c>
      <c r="C91" t="s">
        <v>3719</v>
      </c>
      <c r="D91" t="s">
        <v>6342</v>
      </c>
      <c r="E91" s="9" t="s">
        <v>3192</v>
      </c>
      <c r="F91">
        <v>82</v>
      </c>
      <c r="G91"/>
      <c r="H91" s="9" t="s">
        <v>6343</v>
      </c>
      <c r="L91" s="9" t="s">
        <v>6121</v>
      </c>
      <c r="M91">
        <v>1</v>
      </c>
      <c r="N91">
        <v>-3.4028200000000001E+38</v>
      </c>
      <c r="O91">
        <v>3.4028200000000001E+38</v>
      </c>
      <c r="P91">
        <v>-3.4028200000000001E+38</v>
      </c>
      <c r="Q91">
        <v>3.4028200000000001E+38</v>
      </c>
      <c r="R91"/>
      <c r="S91"/>
      <c r="T91" s="9" t="s">
        <v>3707</v>
      </c>
      <c r="U91" s="9" t="s">
        <v>3950</v>
      </c>
      <c r="V91" s="9" t="s">
        <v>6344</v>
      </c>
      <c r="W91" s="9" t="s">
        <v>3709</v>
      </c>
      <c r="X91" s="9" t="s">
        <v>3709</v>
      </c>
    </row>
    <row r="92" spans="1:24" s="9" customFormat="1" ht="15.75" customHeight="1" x14ac:dyDescent="0.15">
      <c r="A92">
        <v>84</v>
      </c>
      <c r="B92" t="s">
        <v>75</v>
      </c>
      <c r="C92" t="s">
        <v>3719</v>
      </c>
      <c r="D92" t="s">
        <v>6345</v>
      </c>
      <c r="E92" s="9" t="s">
        <v>3192</v>
      </c>
      <c r="F92">
        <v>83</v>
      </c>
      <c r="G92"/>
      <c r="H92" s="9" t="s">
        <v>6346</v>
      </c>
      <c r="L92" s="9" t="s">
        <v>6121</v>
      </c>
      <c r="M92">
        <v>1</v>
      </c>
      <c r="N92">
        <v>-3.4028200000000001E+38</v>
      </c>
      <c r="O92">
        <v>3.4028200000000001E+38</v>
      </c>
      <c r="P92">
        <v>-3.4028200000000001E+38</v>
      </c>
      <c r="Q92">
        <v>3.4028200000000001E+38</v>
      </c>
      <c r="R92"/>
      <c r="S92"/>
      <c r="T92" s="9" t="s">
        <v>3707</v>
      </c>
      <c r="U92" s="9" t="s">
        <v>3950</v>
      </c>
      <c r="V92" s="9" t="s">
        <v>6347</v>
      </c>
      <c r="W92" s="9" t="s">
        <v>3709</v>
      </c>
      <c r="X92" s="9" t="s">
        <v>3709</v>
      </c>
    </row>
    <row r="93" spans="1:24" s="9" customFormat="1" ht="15.75" customHeight="1" x14ac:dyDescent="0.15">
      <c r="A93">
        <v>85</v>
      </c>
      <c r="B93" t="s">
        <v>75</v>
      </c>
      <c r="C93" t="s">
        <v>3719</v>
      </c>
      <c r="D93" t="s">
        <v>6348</v>
      </c>
      <c r="E93" s="9" t="s">
        <v>3192</v>
      </c>
      <c r="F93">
        <v>84</v>
      </c>
      <c r="G93"/>
      <c r="H93" s="9" t="s">
        <v>6349</v>
      </c>
      <c r="L93" s="9" t="s">
        <v>266</v>
      </c>
      <c r="M93">
        <v>1</v>
      </c>
      <c r="N93">
        <v>-3.4028200000000001E+38</v>
      </c>
      <c r="O93">
        <v>3.4028200000000001E+38</v>
      </c>
      <c r="P93">
        <v>-3.4028200000000001E+38</v>
      </c>
      <c r="Q93">
        <v>3.4028200000000001E+38</v>
      </c>
      <c r="R93"/>
      <c r="S93"/>
      <c r="T93" s="9" t="s">
        <v>3707</v>
      </c>
      <c r="U93" s="9" t="s">
        <v>3950</v>
      </c>
      <c r="V93" s="9" t="s">
        <v>6350</v>
      </c>
      <c r="W93" s="9" t="s">
        <v>3709</v>
      </c>
      <c r="X93" s="9" t="s">
        <v>3709</v>
      </c>
    </row>
    <row r="94" spans="1:24" s="9" customFormat="1" ht="15.75" customHeight="1" x14ac:dyDescent="0.15">
      <c r="A94">
        <v>86</v>
      </c>
      <c r="B94" t="s">
        <v>75</v>
      </c>
      <c r="C94" t="s">
        <v>3719</v>
      </c>
      <c r="D94" t="s">
        <v>6351</v>
      </c>
      <c r="E94" s="9" t="s">
        <v>3192</v>
      </c>
      <c r="F94">
        <v>85</v>
      </c>
      <c r="G94"/>
      <c r="H94" s="9" t="s">
        <v>6200</v>
      </c>
      <c r="L94" s="9" t="s">
        <v>2311</v>
      </c>
      <c r="M94">
        <v>1</v>
      </c>
      <c r="N94">
        <v>-3.4028200000000001E+38</v>
      </c>
      <c r="O94">
        <v>3.4028200000000001E+38</v>
      </c>
      <c r="P94">
        <v>-3.4028200000000001E+38</v>
      </c>
      <c r="Q94">
        <v>3.4028200000000001E+38</v>
      </c>
      <c r="R94"/>
      <c r="S94"/>
      <c r="T94" s="9" t="s">
        <v>3807</v>
      </c>
      <c r="U94" s="9" t="s">
        <v>3815</v>
      </c>
      <c r="V94" s="9" t="s">
        <v>6352</v>
      </c>
      <c r="W94" s="9" t="s">
        <v>3709</v>
      </c>
      <c r="X94" s="9" t="s">
        <v>3709</v>
      </c>
    </row>
    <row r="95" spans="1:24" s="9" customFormat="1" ht="15.75" customHeight="1" x14ac:dyDescent="0.15">
      <c r="A95">
        <v>87</v>
      </c>
      <c r="B95" t="s">
        <v>75</v>
      </c>
      <c r="C95" t="s">
        <v>3719</v>
      </c>
      <c r="D95" t="s">
        <v>6353</v>
      </c>
      <c r="E95" s="9" t="s">
        <v>3192</v>
      </c>
      <c r="F95">
        <v>86</v>
      </c>
      <c r="G95"/>
      <c r="H95" s="9" t="s">
        <v>6203</v>
      </c>
      <c r="L95" s="9" t="s">
        <v>2311</v>
      </c>
      <c r="M95">
        <v>1</v>
      </c>
      <c r="N95">
        <v>-3.4028200000000001E+38</v>
      </c>
      <c r="O95">
        <v>3.4028200000000001E+38</v>
      </c>
      <c r="P95">
        <v>-3.4028200000000001E+38</v>
      </c>
      <c r="Q95">
        <v>3.4028200000000001E+38</v>
      </c>
      <c r="R95"/>
      <c r="S95"/>
      <c r="T95" s="9" t="s">
        <v>3807</v>
      </c>
      <c r="U95" s="9" t="s">
        <v>3815</v>
      </c>
      <c r="V95" s="9" t="s">
        <v>6354</v>
      </c>
      <c r="W95" s="9" t="s">
        <v>3709</v>
      </c>
      <c r="X95" s="9" t="s">
        <v>3709</v>
      </c>
    </row>
    <row r="96" spans="1:24" s="9" customFormat="1" ht="15.75" customHeight="1" x14ac:dyDescent="0.15">
      <c r="A96">
        <v>88</v>
      </c>
      <c r="B96" t="s">
        <v>75</v>
      </c>
      <c r="C96" t="s">
        <v>3719</v>
      </c>
      <c r="D96" t="s">
        <v>6355</v>
      </c>
      <c r="E96" s="9" t="s">
        <v>3192</v>
      </c>
      <c r="F96">
        <v>87</v>
      </c>
      <c r="G96"/>
      <c r="H96" s="9" t="s">
        <v>6206</v>
      </c>
      <c r="L96" s="9" t="s">
        <v>113</v>
      </c>
      <c r="M96">
        <v>1</v>
      </c>
      <c r="N96">
        <v>-3.4028200000000001E+38</v>
      </c>
      <c r="O96">
        <v>3.4028200000000001E+38</v>
      </c>
      <c r="P96">
        <v>-3.4028200000000001E+38</v>
      </c>
      <c r="Q96">
        <v>3.4028200000000001E+38</v>
      </c>
      <c r="R96"/>
      <c r="S96"/>
      <c r="T96" s="9" t="s">
        <v>3807</v>
      </c>
      <c r="U96" s="9" t="s">
        <v>3815</v>
      </c>
      <c r="V96" s="9" t="s">
        <v>6356</v>
      </c>
      <c r="W96" s="9" t="s">
        <v>3709</v>
      </c>
      <c r="X96" s="9" t="s">
        <v>3709</v>
      </c>
    </row>
    <row r="97" spans="1:32" s="9" customFormat="1" ht="15.75" customHeight="1" x14ac:dyDescent="0.15">
      <c r="A97">
        <v>89</v>
      </c>
      <c r="B97" t="s">
        <v>75</v>
      </c>
      <c r="C97" t="s">
        <v>3719</v>
      </c>
      <c r="D97" t="s">
        <v>6357</v>
      </c>
      <c r="E97" s="9" t="s">
        <v>3192</v>
      </c>
      <c r="F97">
        <v>88</v>
      </c>
      <c r="G97"/>
      <c r="H97" s="9" t="s">
        <v>6209</v>
      </c>
      <c r="L97" s="9" t="s">
        <v>266</v>
      </c>
      <c r="M97">
        <v>1</v>
      </c>
      <c r="N97">
        <v>-3.4028200000000001E+38</v>
      </c>
      <c r="O97">
        <v>3.4028200000000001E+38</v>
      </c>
      <c r="P97">
        <v>-3.4028200000000001E+38</v>
      </c>
      <c r="Q97">
        <v>3.4028200000000001E+38</v>
      </c>
      <c r="R97"/>
      <c r="S97"/>
      <c r="T97" s="9" t="s">
        <v>3807</v>
      </c>
      <c r="U97" s="9" t="s">
        <v>3815</v>
      </c>
      <c r="V97" s="9" t="s">
        <v>6358</v>
      </c>
      <c r="W97" s="9" t="s">
        <v>3709</v>
      </c>
      <c r="X97" s="9" t="s">
        <v>3709</v>
      </c>
    </row>
    <row r="98" spans="1:32" s="9" customFormat="1" ht="15.75" customHeight="1" x14ac:dyDescent="0.15">
      <c r="A98">
        <v>90</v>
      </c>
      <c r="B98" t="s">
        <v>75</v>
      </c>
      <c r="C98" t="s">
        <v>3719</v>
      </c>
      <c r="D98" t="s">
        <v>6359</v>
      </c>
      <c r="E98" s="9" t="s">
        <v>3192</v>
      </c>
      <c r="F98">
        <v>89</v>
      </c>
      <c r="G98"/>
      <c r="H98" s="9" t="s">
        <v>6212</v>
      </c>
      <c r="L98" s="9" t="s">
        <v>113</v>
      </c>
      <c r="M98">
        <v>1</v>
      </c>
      <c r="N98">
        <v>-3.4028200000000001E+38</v>
      </c>
      <c r="O98">
        <v>3.4028200000000001E+38</v>
      </c>
      <c r="P98">
        <v>-3.4028200000000001E+38</v>
      </c>
      <c r="Q98">
        <v>3.4028200000000001E+38</v>
      </c>
      <c r="R98"/>
      <c r="S98"/>
      <c r="T98" s="9" t="s">
        <v>3807</v>
      </c>
      <c r="U98" s="9" t="s">
        <v>3815</v>
      </c>
      <c r="V98" s="9" t="s">
        <v>6360</v>
      </c>
      <c r="W98" s="9" t="s">
        <v>3709</v>
      </c>
      <c r="X98" s="9" t="s">
        <v>3709</v>
      </c>
    </row>
    <row r="99" spans="1:32" ht="15.75" customHeight="1" x14ac:dyDescent="0.15">
      <c r="A99">
        <v>91</v>
      </c>
      <c r="B99" t="s">
        <v>75</v>
      </c>
      <c r="C99" t="s">
        <v>3719</v>
      </c>
      <c r="D99" t="s">
        <v>6361</v>
      </c>
      <c r="E99" s="9" t="s">
        <v>3192</v>
      </c>
      <c r="F99">
        <v>90</v>
      </c>
      <c r="H99" s="9"/>
      <c r="N99">
        <v>-3.4028200000000001E+38</v>
      </c>
      <c r="O99">
        <v>3.4028200000000001E+38</v>
      </c>
      <c r="U99" t="s">
        <v>3709</v>
      </c>
      <c r="V99" t="s">
        <v>6362</v>
      </c>
      <c r="W99" t="s">
        <v>3709</v>
      </c>
      <c r="X99" t="s">
        <v>3709</v>
      </c>
      <c r="Y99"/>
      <c r="AC99"/>
      <c r="AD99"/>
      <c r="AE99"/>
      <c r="AF99"/>
    </row>
    <row r="100" spans="1:32" ht="15.75" customHeight="1" x14ac:dyDescent="0.15">
      <c r="A100">
        <v>92</v>
      </c>
      <c r="B100" t="s">
        <v>75</v>
      </c>
      <c r="C100" t="s">
        <v>3719</v>
      </c>
      <c r="D100" t="s">
        <v>6363</v>
      </c>
      <c r="E100" s="9" t="s">
        <v>3192</v>
      </c>
      <c r="F100">
        <v>91</v>
      </c>
      <c r="H100" s="9"/>
      <c r="N100">
        <v>-3.4028200000000001E+38</v>
      </c>
      <c r="O100">
        <v>3.4028200000000001E+38</v>
      </c>
      <c r="U100" t="s">
        <v>3709</v>
      </c>
      <c r="V100" t="s">
        <v>6364</v>
      </c>
      <c r="W100" t="s">
        <v>3709</v>
      </c>
      <c r="X100" t="s">
        <v>3709</v>
      </c>
      <c r="Y100"/>
      <c r="AC100"/>
      <c r="AD100"/>
      <c r="AE100"/>
      <c r="AF100"/>
    </row>
    <row r="101" spans="1:32" ht="15.75" customHeight="1" x14ac:dyDescent="0.15">
      <c r="A101">
        <v>93</v>
      </c>
      <c r="B101" t="s">
        <v>75</v>
      </c>
      <c r="C101" t="s">
        <v>3719</v>
      </c>
      <c r="D101" t="s">
        <v>6365</v>
      </c>
      <c r="E101" s="9" t="s">
        <v>3192</v>
      </c>
      <c r="F101">
        <v>92</v>
      </c>
      <c r="H101" s="9"/>
      <c r="N101">
        <v>-3.4028200000000001E+38</v>
      </c>
      <c r="O101">
        <v>3.4028200000000001E+38</v>
      </c>
      <c r="U101" t="s">
        <v>3709</v>
      </c>
      <c r="V101" t="s">
        <v>6366</v>
      </c>
      <c r="W101" t="s">
        <v>3709</v>
      </c>
      <c r="X101" t="s">
        <v>3709</v>
      </c>
      <c r="Y101"/>
      <c r="AC101"/>
      <c r="AD101"/>
      <c r="AE101"/>
      <c r="AF101"/>
    </row>
    <row r="102" spans="1:32" ht="15.75" customHeight="1" x14ac:dyDescent="0.15">
      <c r="A102">
        <v>94</v>
      </c>
      <c r="B102" t="s">
        <v>75</v>
      </c>
      <c r="C102" t="s">
        <v>3719</v>
      </c>
      <c r="D102" t="s">
        <v>6367</v>
      </c>
      <c r="E102" s="9" t="s">
        <v>3192</v>
      </c>
      <c r="F102">
        <v>93</v>
      </c>
      <c r="H102" s="9"/>
      <c r="N102">
        <v>-3.4028200000000001E+38</v>
      </c>
      <c r="O102">
        <v>3.4028200000000001E+38</v>
      </c>
      <c r="U102" t="s">
        <v>3709</v>
      </c>
      <c r="V102" t="s">
        <v>6368</v>
      </c>
      <c r="W102" t="s">
        <v>3709</v>
      </c>
      <c r="X102" t="s">
        <v>3709</v>
      </c>
      <c r="Y102"/>
      <c r="AC102"/>
      <c r="AD102"/>
      <c r="AE102"/>
      <c r="AF102"/>
    </row>
    <row r="103" spans="1:32" ht="15.75" customHeight="1" x14ac:dyDescent="0.15">
      <c r="A103">
        <v>95</v>
      </c>
      <c r="B103" t="s">
        <v>75</v>
      </c>
      <c r="C103" t="s">
        <v>3719</v>
      </c>
      <c r="D103" t="s">
        <v>6369</v>
      </c>
      <c r="E103" s="9" t="s">
        <v>3192</v>
      </c>
      <c r="F103">
        <v>94</v>
      </c>
      <c r="H103" s="9"/>
      <c r="N103">
        <v>-3.4028200000000001E+38</v>
      </c>
      <c r="O103">
        <v>3.4028200000000001E+38</v>
      </c>
      <c r="U103" t="s">
        <v>3709</v>
      </c>
      <c r="V103" t="s">
        <v>6370</v>
      </c>
      <c r="W103" t="s">
        <v>3709</v>
      </c>
      <c r="X103" t="s">
        <v>3709</v>
      </c>
      <c r="Y103"/>
      <c r="AC103"/>
      <c r="AD103"/>
      <c r="AE103"/>
      <c r="AF103"/>
    </row>
    <row r="104" spans="1:32" ht="15.75" customHeight="1" x14ac:dyDescent="0.15">
      <c r="A104">
        <v>96</v>
      </c>
      <c r="B104" t="s">
        <v>75</v>
      </c>
      <c r="C104" t="s">
        <v>3719</v>
      </c>
      <c r="D104" t="s">
        <v>6371</v>
      </c>
      <c r="E104" t="s">
        <v>3192</v>
      </c>
      <c r="F104">
        <v>95</v>
      </c>
      <c r="N104">
        <v>-3.4028200000000001E+38</v>
      </c>
      <c r="O104">
        <v>3.4028200000000001E+38</v>
      </c>
      <c r="U104" t="s">
        <v>3709</v>
      </c>
      <c r="V104" t="s">
        <v>6372</v>
      </c>
      <c r="W104" t="s">
        <v>3709</v>
      </c>
      <c r="X104"/>
      <c r="Y104"/>
      <c r="AC104"/>
      <c r="AD104"/>
      <c r="AE104"/>
      <c r="AF104"/>
    </row>
    <row r="105" spans="1:32" ht="15.75" customHeight="1" x14ac:dyDescent="0.15">
      <c r="A105">
        <v>97</v>
      </c>
      <c r="B105" t="s">
        <v>75</v>
      </c>
      <c r="C105" t="s">
        <v>4267</v>
      </c>
      <c r="D105" t="s">
        <v>6373</v>
      </c>
      <c r="E105" s="9" t="s">
        <v>219</v>
      </c>
      <c r="F105">
        <v>0</v>
      </c>
      <c r="H105" s="9" t="s">
        <v>6374</v>
      </c>
      <c r="L105" t="s">
        <v>61</v>
      </c>
      <c r="M105">
        <v>1</v>
      </c>
      <c r="T105" t="s">
        <v>6375</v>
      </c>
      <c r="U105" t="s">
        <v>3853</v>
      </c>
      <c r="V105" t="s">
        <v>6376</v>
      </c>
      <c r="W105" t="s">
        <v>3709</v>
      </c>
      <c r="X105" t="s">
        <v>3709</v>
      </c>
      <c r="Y105"/>
      <c r="AC105"/>
      <c r="AD105"/>
      <c r="AE105"/>
      <c r="AF105"/>
    </row>
    <row r="106" spans="1:32" ht="15.75" customHeight="1" x14ac:dyDescent="0.15">
      <c r="A106">
        <v>98</v>
      </c>
      <c r="B106" t="s">
        <v>75</v>
      </c>
      <c r="C106" t="s">
        <v>4267</v>
      </c>
      <c r="D106" t="s">
        <v>6377</v>
      </c>
      <c r="E106" s="9" t="s">
        <v>219</v>
      </c>
      <c r="F106">
        <v>0</v>
      </c>
      <c r="G106">
        <v>0</v>
      </c>
      <c r="H106" s="9" t="s">
        <v>6378</v>
      </c>
      <c r="I106" t="s">
        <v>171</v>
      </c>
      <c r="J106" t="s">
        <v>177</v>
      </c>
      <c r="K106" t="s">
        <v>173</v>
      </c>
      <c r="T106" t="s">
        <v>6375</v>
      </c>
      <c r="U106" t="s">
        <v>4343</v>
      </c>
      <c r="V106" t="s">
        <v>6379</v>
      </c>
      <c r="W106" t="s">
        <v>3709</v>
      </c>
      <c r="X106" t="s">
        <v>3709</v>
      </c>
      <c r="Y106"/>
      <c r="AC106"/>
      <c r="AD106"/>
      <c r="AE106"/>
      <c r="AF106"/>
    </row>
    <row r="107" spans="1:32" ht="15.75" customHeight="1" x14ac:dyDescent="0.15">
      <c r="A107">
        <v>99</v>
      </c>
      <c r="B107" t="s">
        <v>75</v>
      </c>
      <c r="C107" t="s">
        <v>4267</v>
      </c>
      <c r="D107" t="s">
        <v>6380</v>
      </c>
      <c r="E107" s="9" t="s">
        <v>219</v>
      </c>
      <c r="F107">
        <v>0</v>
      </c>
      <c r="G107">
        <v>1</v>
      </c>
      <c r="H107" s="9" t="s">
        <v>6381</v>
      </c>
      <c r="I107" t="s">
        <v>171</v>
      </c>
      <c r="J107" t="s">
        <v>177</v>
      </c>
      <c r="K107" t="s">
        <v>173</v>
      </c>
      <c r="T107" t="s">
        <v>6375</v>
      </c>
      <c r="U107" t="s">
        <v>4343</v>
      </c>
      <c r="V107" t="s">
        <v>6382</v>
      </c>
      <c r="W107" t="s">
        <v>3709</v>
      </c>
      <c r="X107" t="s">
        <v>3709</v>
      </c>
      <c r="Y107"/>
      <c r="AC107"/>
      <c r="AD107"/>
      <c r="AE107"/>
      <c r="AF107"/>
    </row>
    <row r="108" spans="1:32" ht="15.75" customHeight="1" x14ac:dyDescent="0.15">
      <c r="A108">
        <v>100</v>
      </c>
      <c r="B108" t="s">
        <v>75</v>
      </c>
      <c r="C108" t="s">
        <v>4267</v>
      </c>
      <c r="D108" t="s">
        <v>6383</v>
      </c>
      <c r="E108" s="9" t="s">
        <v>219</v>
      </c>
      <c r="F108">
        <v>0</v>
      </c>
      <c r="G108">
        <v>2</v>
      </c>
      <c r="H108" s="9" t="s">
        <v>6384</v>
      </c>
      <c r="I108" t="s">
        <v>171</v>
      </c>
      <c r="J108" t="s">
        <v>177</v>
      </c>
      <c r="K108" t="s">
        <v>173</v>
      </c>
      <c r="T108" t="s">
        <v>6375</v>
      </c>
      <c r="U108" t="s">
        <v>4343</v>
      </c>
      <c r="V108" t="s">
        <v>6385</v>
      </c>
      <c r="W108" t="s">
        <v>3709</v>
      </c>
      <c r="X108" t="s">
        <v>3709</v>
      </c>
      <c r="Y108"/>
      <c r="AC108"/>
      <c r="AD108"/>
      <c r="AE108"/>
      <c r="AF108"/>
    </row>
    <row r="109" spans="1:32" ht="15.75" customHeight="1" x14ac:dyDescent="0.15">
      <c r="A109">
        <v>101</v>
      </c>
      <c r="B109" t="s">
        <v>75</v>
      </c>
      <c r="C109" t="s">
        <v>4267</v>
      </c>
      <c r="D109" t="s">
        <v>6386</v>
      </c>
      <c r="E109" s="9" t="s">
        <v>219</v>
      </c>
      <c r="F109">
        <v>0</v>
      </c>
      <c r="G109">
        <v>3</v>
      </c>
      <c r="H109" s="9" t="s">
        <v>6387</v>
      </c>
      <c r="I109" t="s">
        <v>171</v>
      </c>
      <c r="J109" t="s">
        <v>177</v>
      </c>
      <c r="K109" t="s">
        <v>173</v>
      </c>
      <c r="T109" t="s">
        <v>6375</v>
      </c>
      <c r="U109" t="s">
        <v>4343</v>
      </c>
      <c r="V109" t="s">
        <v>6388</v>
      </c>
      <c r="W109" t="s">
        <v>3709</v>
      </c>
      <c r="X109" t="s">
        <v>3709</v>
      </c>
      <c r="Y109"/>
      <c r="AC109"/>
      <c r="AD109"/>
      <c r="AE109"/>
      <c r="AF109"/>
    </row>
    <row r="110" spans="1:32" ht="15.75" customHeight="1" x14ac:dyDescent="0.15">
      <c r="A110">
        <v>102</v>
      </c>
      <c r="B110" t="s">
        <v>75</v>
      </c>
      <c r="C110" t="s">
        <v>4267</v>
      </c>
      <c r="D110" t="s">
        <v>6389</v>
      </c>
      <c r="E110" s="9" t="s">
        <v>219</v>
      </c>
      <c r="F110">
        <v>0</v>
      </c>
      <c r="G110">
        <v>4</v>
      </c>
      <c r="H110" s="9" t="s">
        <v>6390</v>
      </c>
      <c r="I110" t="s">
        <v>171</v>
      </c>
      <c r="J110" t="s">
        <v>177</v>
      </c>
      <c r="K110" t="s">
        <v>173</v>
      </c>
      <c r="T110" t="s">
        <v>6375</v>
      </c>
      <c r="U110" t="s">
        <v>4343</v>
      </c>
      <c r="V110" t="s">
        <v>6391</v>
      </c>
      <c r="W110" t="s">
        <v>3709</v>
      </c>
      <c r="X110" t="s">
        <v>3709</v>
      </c>
      <c r="Y110"/>
      <c r="AC110"/>
      <c r="AD110"/>
      <c r="AE110"/>
      <c r="AF110"/>
    </row>
    <row r="111" spans="1:32" ht="15.75" customHeight="1" x14ac:dyDescent="0.15">
      <c r="A111">
        <v>103</v>
      </c>
      <c r="B111" t="s">
        <v>75</v>
      </c>
      <c r="C111" t="s">
        <v>4267</v>
      </c>
      <c r="D111" t="s">
        <v>6392</v>
      </c>
      <c r="E111" s="9" t="s">
        <v>219</v>
      </c>
      <c r="F111">
        <v>0</v>
      </c>
      <c r="G111">
        <v>5</v>
      </c>
      <c r="H111" s="9" t="s">
        <v>6393</v>
      </c>
      <c r="I111" t="s">
        <v>171</v>
      </c>
      <c r="J111" t="s">
        <v>177</v>
      </c>
      <c r="K111" t="s">
        <v>173</v>
      </c>
      <c r="T111" t="s">
        <v>6375</v>
      </c>
      <c r="U111" t="s">
        <v>4343</v>
      </c>
      <c r="V111" t="s">
        <v>6394</v>
      </c>
      <c r="W111" t="s">
        <v>3709</v>
      </c>
      <c r="X111" t="s">
        <v>3709</v>
      </c>
      <c r="Y111"/>
      <c r="AC111"/>
      <c r="AD111"/>
      <c r="AE111"/>
      <c r="AF111"/>
    </row>
    <row r="112" spans="1:32" ht="15.75" customHeight="1" x14ac:dyDescent="0.15">
      <c r="A112">
        <v>104</v>
      </c>
      <c r="B112" t="s">
        <v>75</v>
      </c>
      <c r="C112" t="s">
        <v>4267</v>
      </c>
      <c r="D112" t="s">
        <v>6395</v>
      </c>
      <c r="E112" s="9" t="s">
        <v>219</v>
      </c>
      <c r="F112">
        <v>0</v>
      </c>
      <c r="G112">
        <v>8</v>
      </c>
      <c r="H112" s="9" t="s">
        <v>6396</v>
      </c>
      <c r="I112" t="s">
        <v>171</v>
      </c>
      <c r="J112" t="s">
        <v>177</v>
      </c>
      <c r="K112" t="s">
        <v>173</v>
      </c>
      <c r="T112" t="s">
        <v>6375</v>
      </c>
      <c r="U112" t="s">
        <v>4343</v>
      </c>
      <c r="V112" t="s">
        <v>6397</v>
      </c>
      <c r="W112" t="s">
        <v>3709</v>
      </c>
      <c r="X112" t="s">
        <v>3709</v>
      </c>
      <c r="Y112"/>
      <c r="AC112"/>
      <c r="AD112"/>
      <c r="AE112"/>
      <c r="AF112"/>
    </row>
    <row r="113" spans="1:32" ht="15.75" customHeight="1" x14ac:dyDescent="0.15">
      <c r="A113">
        <v>105</v>
      </c>
      <c r="B113" t="s">
        <v>75</v>
      </c>
      <c r="C113" t="s">
        <v>4267</v>
      </c>
      <c r="D113" t="s">
        <v>6398</v>
      </c>
      <c r="E113" s="9" t="s">
        <v>219</v>
      </c>
      <c r="F113">
        <v>0</v>
      </c>
      <c r="G113">
        <v>9</v>
      </c>
      <c r="H113" s="9" t="s">
        <v>6399</v>
      </c>
      <c r="I113" t="s">
        <v>171</v>
      </c>
      <c r="J113" t="s">
        <v>177</v>
      </c>
      <c r="K113" t="s">
        <v>173</v>
      </c>
      <c r="T113" t="s">
        <v>6375</v>
      </c>
      <c r="U113" t="s">
        <v>4343</v>
      </c>
      <c r="V113" t="s">
        <v>6400</v>
      </c>
      <c r="W113" t="s">
        <v>3709</v>
      </c>
      <c r="X113" t="s">
        <v>3709</v>
      </c>
      <c r="Y113"/>
      <c r="AC113"/>
      <c r="AD113"/>
      <c r="AE113"/>
      <c r="AF113"/>
    </row>
    <row r="114" spans="1:32" ht="15.75" customHeight="1" x14ac:dyDescent="0.15">
      <c r="A114">
        <v>106</v>
      </c>
      <c r="B114" t="s">
        <v>75</v>
      </c>
      <c r="C114" t="s">
        <v>4267</v>
      </c>
      <c r="D114" t="s">
        <v>6401</v>
      </c>
      <c r="E114" s="9" t="s">
        <v>219</v>
      </c>
      <c r="F114">
        <v>0</v>
      </c>
      <c r="G114">
        <v>10</v>
      </c>
      <c r="H114" s="9" t="s">
        <v>6402</v>
      </c>
      <c r="I114" t="s">
        <v>171</v>
      </c>
      <c r="J114" t="s">
        <v>177</v>
      </c>
      <c r="K114" t="s">
        <v>173</v>
      </c>
      <c r="T114" t="s">
        <v>6375</v>
      </c>
      <c r="U114" t="s">
        <v>4343</v>
      </c>
      <c r="V114" t="s">
        <v>6403</v>
      </c>
      <c r="W114" t="s">
        <v>3709</v>
      </c>
      <c r="X114" t="s">
        <v>3709</v>
      </c>
      <c r="Y114"/>
      <c r="AC114"/>
      <c r="AD114"/>
      <c r="AE114"/>
      <c r="AF114"/>
    </row>
    <row r="115" spans="1:32" s="9" customFormat="1" ht="15.75" customHeight="1" x14ac:dyDescent="0.15">
      <c r="A115">
        <v>107</v>
      </c>
      <c r="B115" t="s">
        <v>75</v>
      </c>
      <c r="C115" t="s">
        <v>4267</v>
      </c>
      <c r="D115" t="s">
        <v>6404</v>
      </c>
      <c r="E115" s="9" t="s">
        <v>219</v>
      </c>
      <c r="F115">
        <v>0</v>
      </c>
      <c r="G115">
        <v>16</v>
      </c>
      <c r="H115" s="9" t="s">
        <v>6405</v>
      </c>
      <c r="I115" s="9" t="s">
        <v>171</v>
      </c>
      <c r="J115" s="9" t="s">
        <v>177</v>
      </c>
      <c r="K115" s="9" t="s">
        <v>173</v>
      </c>
      <c r="M115"/>
      <c r="N115"/>
      <c r="O115"/>
      <c r="P115"/>
      <c r="Q115"/>
      <c r="R115"/>
      <c r="S115"/>
      <c r="T115" s="9" t="s">
        <v>6375</v>
      </c>
      <c r="U115" s="9" t="s">
        <v>4343</v>
      </c>
      <c r="V115" s="9" t="s">
        <v>6406</v>
      </c>
      <c r="W115" s="9" t="s">
        <v>3709</v>
      </c>
      <c r="X115" s="9" t="s">
        <v>3709</v>
      </c>
    </row>
    <row r="116" spans="1:32" s="9" customFormat="1" ht="15.75" customHeight="1" x14ac:dyDescent="0.15">
      <c r="A116">
        <v>108</v>
      </c>
      <c r="B116" t="s">
        <v>75</v>
      </c>
      <c r="C116" t="s">
        <v>4267</v>
      </c>
      <c r="D116" t="s">
        <v>6407</v>
      </c>
      <c r="E116" s="9" t="s">
        <v>219</v>
      </c>
      <c r="F116">
        <v>0</v>
      </c>
      <c r="G116">
        <v>17</v>
      </c>
      <c r="H116" s="9" t="s">
        <v>6408</v>
      </c>
      <c r="I116" s="9" t="s">
        <v>171</v>
      </c>
      <c r="J116" s="9" t="s">
        <v>177</v>
      </c>
      <c r="K116" s="9" t="s">
        <v>173</v>
      </c>
      <c r="M116"/>
      <c r="N116"/>
      <c r="O116"/>
      <c r="P116"/>
      <c r="Q116"/>
      <c r="R116"/>
      <c r="S116"/>
      <c r="T116" s="9" t="s">
        <v>6375</v>
      </c>
      <c r="U116" s="9" t="s">
        <v>4343</v>
      </c>
      <c r="V116" s="9" t="s">
        <v>6409</v>
      </c>
      <c r="W116" s="9" t="s">
        <v>3709</v>
      </c>
      <c r="X116" s="9" t="s">
        <v>3709</v>
      </c>
    </row>
    <row r="117" spans="1:32" s="9" customFormat="1" ht="15.75" customHeight="1" x14ac:dyDescent="0.15">
      <c r="A117">
        <v>109</v>
      </c>
      <c r="B117" t="s">
        <v>75</v>
      </c>
      <c r="C117" t="s">
        <v>4267</v>
      </c>
      <c r="D117" t="s">
        <v>6410</v>
      </c>
      <c r="E117" s="9" t="s">
        <v>219</v>
      </c>
      <c r="F117">
        <v>0</v>
      </c>
      <c r="G117">
        <v>18</v>
      </c>
      <c r="H117" s="9" t="s">
        <v>6411</v>
      </c>
      <c r="I117" s="9" t="s">
        <v>171</v>
      </c>
      <c r="J117" s="9" t="s">
        <v>177</v>
      </c>
      <c r="K117" s="9" t="s">
        <v>173</v>
      </c>
      <c r="M117"/>
      <c r="N117"/>
      <c r="O117"/>
      <c r="P117"/>
      <c r="Q117"/>
      <c r="R117"/>
      <c r="S117"/>
      <c r="T117" s="9" t="s">
        <v>6375</v>
      </c>
      <c r="U117" s="9" t="s">
        <v>4343</v>
      </c>
      <c r="V117" s="9" t="s">
        <v>6412</v>
      </c>
      <c r="W117" s="9" t="s">
        <v>3709</v>
      </c>
      <c r="X117" s="9" t="s">
        <v>3709</v>
      </c>
    </row>
    <row r="118" spans="1:32" s="9" customFormat="1" ht="15.75" customHeight="1" x14ac:dyDescent="0.15">
      <c r="A118">
        <v>110</v>
      </c>
      <c r="B118" t="s">
        <v>75</v>
      </c>
      <c r="C118" t="s">
        <v>4267</v>
      </c>
      <c r="D118" t="s">
        <v>6413</v>
      </c>
      <c r="E118" s="9" t="s">
        <v>219</v>
      </c>
      <c r="F118">
        <v>0</v>
      </c>
      <c r="G118">
        <v>19</v>
      </c>
      <c r="H118" s="9" t="s">
        <v>6414</v>
      </c>
      <c r="I118" s="9" t="s">
        <v>171</v>
      </c>
      <c r="J118" s="9" t="s">
        <v>177</v>
      </c>
      <c r="K118" s="9" t="s">
        <v>173</v>
      </c>
      <c r="M118"/>
      <c r="N118"/>
      <c r="O118"/>
      <c r="P118"/>
      <c r="Q118"/>
      <c r="R118"/>
      <c r="S118"/>
      <c r="T118" s="9" t="s">
        <v>6375</v>
      </c>
      <c r="U118" s="9" t="s">
        <v>4343</v>
      </c>
      <c r="V118" s="9" t="s">
        <v>6415</v>
      </c>
      <c r="W118" s="9" t="s">
        <v>3709</v>
      </c>
      <c r="X118" s="9" t="s">
        <v>3709</v>
      </c>
    </row>
    <row r="119" spans="1:32" s="9" customFormat="1" ht="15.75" customHeight="1" x14ac:dyDescent="0.15">
      <c r="A119">
        <v>111</v>
      </c>
      <c r="B119" t="s">
        <v>75</v>
      </c>
      <c r="C119" t="s">
        <v>4267</v>
      </c>
      <c r="D119" t="s">
        <v>6416</v>
      </c>
      <c r="E119" s="9" t="s">
        <v>219</v>
      </c>
      <c r="F119">
        <v>0</v>
      </c>
      <c r="G119">
        <v>24</v>
      </c>
      <c r="H119" s="9" t="s">
        <v>6417</v>
      </c>
      <c r="I119" s="9" t="s">
        <v>171</v>
      </c>
      <c r="J119" s="9" t="s">
        <v>177</v>
      </c>
      <c r="K119" s="9" t="s">
        <v>173</v>
      </c>
      <c r="M119"/>
      <c r="N119"/>
      <c r="O119"/>
      <c r="P119"/>
      <c r="Q119"/>
      <c r="R119"/>
      <c r="S119"/>
      <c r="T119" s="9" t="s">
        <v>6375</v>
      </c>
      <c r="U119" s="9" t="s">
        <v>4343</v>
      </c>
      <c r="V119" s="9" t="s">
        <v>6418</v>
      </c>
      <c r="W119" s="9" t="s">
        <v>3709</v>
      </c>
      <c r="X119" s="9" t="s">
        <v>3709</v>
      </c>
    </row>
    <row r="120" spans="1:32" s="9" customFormat="1" ht="15.75" customHeight="1" x14ac:dyDescent="0.15">
      <c r="A120">
        <v>112</v>
      </c>
      <c r="B120" t="s">
        <v>75</v>
      </c>
      <c r="C120" t="s">
        <v>4267</v>
      </c>
      <c r="D120" t="s">
        <v>6419</v>
      </c>
      <c r="E120" s="9" t="s">
        <v>219</v>
      </c>
      <c r="F120">
        <v>0</v>
      </c>
      <c r="G120">
        <v>25</v>
      </c>
      <c r="H120" s="9" t="s">
        <v>6420</v>
      </c>
      <c r="I120" s="9" t="s">
        <v>171</v>
      </c>
      <c r="J120" s="9" t="s">
        <v>177</v>
      </c>
      <c r="K120" s="9" t="s">
        <v>173</v>
      </c>
      <c r="M120"/>
      <c r="N120"/>
      <c r="O120"/>
      <c r="P120"/>
      <c r="Q120"/>
      <c r="R120"/>
      <c r="S120"/>
      <c r="T120" s="9" t="s">
        <v>6375</v>
      </c>
      <c r="U120" s="9" t="s">
        <v>4343</v>
      </c>
      <c r="V120" s="9" t="s">
        <v>6421</v>
      </c>
      <c r="W120" s="9" t="s">
        <v>3709</v>
      </c>
      <c r="X120" s="9" t="s">
        <v>3709</v>
      </c>
    </row>
    <row r="121" spans="1:32" s="9" customFormat="1" ht="15.75" customHeight="1" x14ac:dyDescent="0.15">
      <c r="A121">
        <v>113</v>
      </c>
      <c r="B121" t="s">
        <v>75</v>
      </c>
      <c r="C121" t="s">
        <v>4267</v>
      </c>
      <c r="D121" t="s">
        <v>6422</v>
      </c>
      <c r="E121" s="9" t="s">
        <v>219</v>
      </c>
      <c r="F121">
        <v>0</v>
      </c>
      <c r="G121">
        <v>26</v>
      </c>
      <c r="H121" s="9" t="s">
        <v>6423</v>
      </c>
      <c r="I121" s="9" t="s">
        <v>171</v>
      </c>
      <c r="J121" s="9" t="s">
        <v>177</v>
      </c>
      <c r="K121" s="9" t="s">
        <v>173</v>
      </c>
      <c r="M121"/>
      <c r="N121"/>
      <c r="O121"/>
      <c r="P121"/>
      <c r="Q121"/>
      <c r="R121"/>
      <c r="S121"/>
      <c r="T121" s="9" t="s">
        <v>6375</v>
      </c>
      <c r="U121" s="9" t="s">
        <v>4343</v>
      </c>
      <c r="V121" s="9" t="s">
        <v>6424</v>
      </c>
      <c r="W121" s="9" t="s">
        <v>3709</v>
      </c>
      <c r="X121" s="9" t="s">
        <v>3709</v>
      </c>
    </row>
    <row r="122" spans="1:32" s="9" customFormat="1" ht="15.75" customHeight="1" x14ac:dyDescent="0.15">
      <c r="A122">
        <v>114</v>
      </c>
      <c r="B122" t="s">
        <v>75</v>
      </c>
      <c r="C122" t="s">
        <v>4267</v>
      </c>
      <c r="D122" t="s">
        <v>6425</v>
      </c>
      <c r="E122" s="9" t="s">
        <v>219</v>
      </c>
      <c r="F122">
        <v>1</v>
      </c>
      <c r="G122"/>
      <c r="H122" s="9" t="s">
        <v>6426</v>
      </c>
      <c r="L122" s="9" t="s">
        <v>61</v>
      </c>
      <c r="M122">
        <v>1</v>
      </c>
      <c r="N122"/>
      <c r="O122"/>
      <c r="P122"/>
      <c r="Q122"/>
      <c r="R122"/>
      <c r="S122"/>
      <c r="T122" s="9" t="s">
        <v>6375</v>
      </c>
      <c r="U122" s="9" t="s">
        <v>3853</v>
      </c>
      <c r="V122" s="9" t="s">
        <v>6427</v>
      </c>
      <c r="W122" s="9" t="s">
        <v>3709</v>
      </c>
      <c r="X122" s="9" t="s">
        <v>3709</v>
      </c>
    </row>
    <row r="123" spans="1:32" s="9" customFormat="1" ht="15.75" customHeight="1" x14ac:dyDescent="0.15">
      <c r="A123">
        <v>115</v>
      </c>
      <c r="B123" t="s">
        <v>75</v>
      </c>
      <c r="C123" t="s">
        <v>4267</v>
      </c>
      <c r="D123" t="s">
        <v>6428</v>
      </c>
      <c r="E123" s="9" t="s">
        <v>219</v>
      </c>
      <c r="F123">
        <v>1</v>
      </c>
      <c r="G123">
        <v>0</v>
      </c>
      <c r="H123" s="9" t="s">
        <v>6429</v>
      </c>
      <c r="I123" s="9" t="s">
        <v>171</v>
      </c>
      <c r="J123" s="9" t="s">
        <v>177</v>
      </c>
      <c r="K123" s="9" t="s">
        <v>173</v>
      </c>
      <c r="M123"/>
      <c r="N123"/>
      <c r="O123"/>
      <c r="P123"/>
      <c r="Q123"/>
      <c r="R123"/>
      <c r="S123"/>
      <c r="T123" s="9" t="s">
        <v>6375</v>
      </c>
      <c r="U123" s="9" t="s">
        <v>4343</v>
      </c>
      <c r="V123" s="9" t="s">
        <v>6430</v>
      </c>
      <c r="W123" s="9" t="s">
        <v>3709</v>
      </c>
      <c r="X123" s="9" t="s">
        <v>3709</v>
      </c>
    </row>
    <row r="124" spans="1:32" s="9" customFormat="1" ht="15.75" customHeight="1" x14ac:dyDescent="0.15">
      <c r="A124">
        <v>116</v>
      </c>
      <c r="B124" t="s">
        <v>75</v>
      </c>
      <c r="C124" t="s">
        <v>4267</v>
      </c>
      <c r="D124" t="s">
        <v>6431</v>
      </c>
      <c r="E124" s="9" t="s">
        <v>219</v>
      </c>
      <c r="F124">
        <v>1</v>
      </c>
      <c r="G124">
        <v>8</v>
      </c>
      <c r="H124" s="9" t="s">
        <v>6432</v>
      </c>
      <c r="I124" s="9" t="s">
        <v>171</v>
      </c>
      <c r="J124" s="9" t="s">
        <v>177</v>
      </c>
      <c r="K124" s="9" t="s">
        <v>173</v>
      </c>
      <c r="M124"/>
      <c r="N124"/>
      <c r="O124"/>
      <c r="P124"/>
      <c r="Q124"/>
      <c r="R124"/>
      <c r="S124"/>
      <c r="T124" s="9" t="s">
        <v>6375</v>
      </c>
      <c r="U124" s="9" t="s">
        <v>4343</v>
      </c>
      <c r="V124" s="9" t="s">
        <v>6433</v>
      </c>
      <c r="W124" s="9" t="s">
        <v>3709</v>
      </c>
      <c r="X124" s="9" t="s">
        <v>3709</v>
      </c>
    </row>
    <row r="125" spans="1:32" s="9" customFormat="1" ht="15.75" customHeight="1" x14ac:dyDescent="0.15">
      <c r="A125">
        <v>117</v>
      </c>
      <c r="B125" t="s">
        <v>75</v>
      </c>
      <c r="C125" t="s">
        <v>4267</v>
      </c>
      <c r="D125" t="s">
        <v>6434</v>
      </c>
      <c r="E125" s="9" t="s">
        <v>219</v>
      </c>
      <c r="F125">
        <v>1</v>
      </c>
      <c r="G125">
        <v>9</v>
      </c>
      <c r="H125" s="9" t="s">
        <v>6435</v>
      </c>
      <c r="I125" s="9" t="s">
        <v>171</v>
      </c>
      <c r="J125" s="9" t="s">
        <v>177</v>
      </c>
      <c r="K125" s="9" t="s">
        <v>173</v>
      </c>
      <c r="M125"/>
      <c r="N125"/>
      <c r="O125"/>
      <c r="P125"/>
      <c r="Q125"/>
      <c r="R125"/>
      <c r="S125"/>
      <c r="T125" s="9" t="s">
        <v>6375</v>
      </c>
      <c r="U125" s="9" t="s">
        <v>4343</v>
      </c>
      <c r="V125" s="9" t="s">
        <v>6436</v>
      </c>
      <c r="W125" s="9" t="s">
        <v>3709</v>
      </c>
      <c r="X125" s="9" t="s">
        <v>3709</v>
      </c>
    </row>
    <row r="126" spans="1:32" s="9" customFormat="1" ht="15.75" customHeight="1" x14ac:dyDescent="0.15">
      <c r="A126">
        <v>118</v>
      </c>
      <c r="B126" t="s">
        <v>75</v>
      </c>
      <c r="C126" t="s">
        <v>4267</v>
      </c>
      <c r="D126" t="s">
        <v>6437</v>
      </c>
      <c r="E126" s="9" t="s">
        <v>219</v>
      </c>
      <c r="F126">
        <v>1</v>
      </c>
      <c r="G126">
        <v>10</v>
      </c>
      <c r="H126" s="9" t="s">
        <v>6438</v>
      </c>
      <c r="I126" s="9" t="s">
        <v>171</v>
      </c>
      <c r="J126" s="9" t="s">
        <v>177</v>
      </c>
      <c r="K126" s="9" t="s">
        <v>173</v>
      </c>
      <c r="M126"/>
      <c r="N126"/>
      <c r="O126"/>
      <c r="P126"/>
      <c r="Q126"/>
      <c r="R126"/>
      <c r="S126"/>
      <c r="T126" s="9" t="s">
        <v>6375</v>
      </c>
      <c r="U126" s="9" t="s">
        <v>4343</v>
      </c>
      <c r="V126" s="9" t="s">
        <v>6439</v>
      </c>
      <c r="W126" s="9" t="s">
        <v>3709</v>
      </c>
      <c r="X126" s="9" t="s">
        <v>3709</v>
      </c>
    </row>
    <row r="127" spans="1:32" s="9" customFormat="1" ht="15.75" customHeight="1" x14ac:dyDescent="0.15">
      <c r="A127">
        <v>119</v>
      </c>
      <c r="B127" t="s">
        <v>75</v>
      </c>
      <c r="C127" t="s">
        <v>4267</v>
      </c>
      <c r="D127" t="s">
        <v>6440</v>
      </c>
      <c r="E127" s="9" t="s">
        <v>219</v>
      </c>
      <c r="F127">
        <v>1</v>
      </c>
      <c r="G127">
        <v>11</v>
      </c>
      <c r="H127" s="9" t="s">
        <v>6441</v>
      </c>
      <c r="I127" s="9" t="s">
        <v>171</v>
      </c>
      <c r="J127" s="9" t="s">
        <v>177</v>
      </c>
      <c r="K127" s="9" t="s">
        <v>173</v>
      </c>
      <c r="M127"/>
      <c r="N127"/>
      <c r="O127"/>
      <c r="P127"/>
      <c r="Q127"/>
      <c r="R127"/>
      <c r="S127"/>
      <c r="T127" s="9" t="s">
        <v>6375</v>
      </c>
      <c r="U127" s="9" t="s">
        <v>4343</v>
      </c>
      <c r="V127" s="9" t="s">
        <v>6442</v>
      </c>
      <c r="W127" s="9" t="s">
        <v>3709</v>
      </c>
      <c r="X127" s="9" t="s">
        <v>3709</v>
      </c>
    </row>
    <row r="128" spans="1:32" s="9" customFormat="1" ht="15.75" customHeight="1" x14ac:dyDescent="0.15">
      <c r="A128">
        <v>120</v>
      </c>
      <c r="B128" t="s">
        <v>75</v>
      </c>
      <c r="C128" t="s">
        <v>4267</v>
      </c>
      <c r="D128" t="s">
        <v>6443</v>
      </c>
      <c r="E128" s="9" t="s">
        <v>219</v>
      </c>
      <c r="F128">
        <v>1</v>
      </c>
      <c r="G128">
        <v>16</v>
      </c>
      <c r="H128" s="9" t="s">
        <v>6444</v>
      </c>
      <c r="I128" s="9" t="s">
        <v>171</v>
      </c>
      <c r="J128" s="9" t="s">
        <v>177</v>
      </c>
      <c r="K128" s="9" t="s">
        <v>173</v>
      </c>
      <c r="M128"/>
      <c r="N128"/>
      <c r="O128"/>
      <c r="P128"/>
      <c r="Q128"/>
      <c r="R128"/>
      <c r="S128"/>
      <c r="T128" s="9" t="s">
        <v>6375</v>
      </c>
      <c r="U128" s="9" t="s">
        <v>4343</v>
      </c>
      <c r="V128" s="9" t="s">
        <v>6445</v>
      </c>
      <c r="W128" s="9" t="s">
        <v>3709</v>
      </c>
      <c r="X128" s="9" t="s">
        <v>3709</v>
      </c>
    </row>
    <row r="129" spans="1:24" s="9" customFormat="1" ht="15.75" customHeight="1" x14ac:dyDescent="0.15">
      <c r="A129">
        <v>121</v>
      </c>
      <c r="B129" t="s">
        <v>75</v>
      </c>
      <c r="C129" t="s">
        <v>4267</v>
      </c>
      <c r="D129" t="s">
        <v>6446</v>
      </c>
      <c r="E129" s="9" t="s">
        <v>219</v>
      </c>
      <c r="F129">
        <v>1</v>
      </c>
      <c r="G129">
        <v>17</v>
      </c>
      <c r="H129" s="9" t="s">
        <v>6447</v>
      </c>
      <c r="I129" s="9" t="s">
        <v>171</v>
      </c>
      <c r="J129" s="9" t="s">
        <v>177</v>
      </c>
      <c r="K129" s="9" t="s">
        <v>173</v>
      </c>
      <c r="M129"/>
      <c r="N129"/>
      <c r="O129"/>
      <c r="P129"/>
      <c r="Q129"/>
      <c r="R129"/>
      <c r="S129"/>
      <c r="T129" s="9" t="s">
        <v>6375</v>
      </c>
      <c r="U129" s="9" t="s">
        <v>4343</v>
      </c>
      <c r="V129" s="9" t="s">
        <v>6448</v>
      </c>
      <c r="W129" s="9" t="s">
        <v>3709</v>
      </c>
      <c r="X129" s="9" t="s">
        <v>3709</v>
      </c>
    </row>
    <row r="130" spans="1:24" s="9" customFormat="1" ht="15.75" customHeight="1" x14ac:dyDescent="0.15">
      <c r="A130">
        <v>122</v>
      </c>
      <c r="B130" t="s">
        <v>75</v>
      </c>
      <c r="C130" t="s">
        <v>4267</v>
      </c>
      <c r="D130" t="s">
        <v>6449</v>
      </c>
      <c r="E130" s="9" t="s">
        <v>219</v>
      </c>
      <c r="F130">
        <v>1</v>
      </c>
      <c r="G130">
        <v>18</v>
      </c>
      <c r="H130" s="9" t="s">
        <v>6450</v>
      </c>
      <c r="I130" s="9" t="s">
        <v>171</v>
      </c>
      <c r="J130" s="9" t="s">
        <v>177</v>
      </c>
      <c r="K130" s="9" t="s">
        <v>173</v>
      </c>
      <c r="M130"/>
      <c r="N130"/>
      <c r="O130"/>
      <c r="P130"/>
      <c r="Q130"/>
      <c r="R130"/>
      <c r="S130"/>
      <c r="T130" s="9" t="s">
        <v>6375</v>
      </c>
      <c r="U130" s="9" t="s">
        <v>4343</v>
      </c>
      <c r="V130" s="9" t="s">
        <v>6451</v>
      </c>
      <c r="W130" s="9" t="s">
        <v>3709</v>
      </c>
      <c r="X130" s="9" t="s">
        <v>3709</v>
      </c>
    </row>
    <row r="131" spans="1:24" s="9" customFormat="1" ht="15.75" customHeight="1" x14ac:dyDescent="0.15">
      <c r="A131">
        <v>123</v>
      </c>
      <c r="B131" t="s">
        <v>75</v>
      </c>
      <c r="C131" t="s">
        <v>4267</v>
      </c>
      <c r="D131" t="s">
        <v>6452</v>
      </c>
      <c r="E131" s="9" t="s">
        <v>219</v>
      </c>
      <c r="F131">
        <v>2</v>
      </c>
      <c r="G131"/>
      <c r="H131" s="9" t="s">
        <v>6453</v>
      </c>
      <c r="L131" s="9" t="s">
        <v>61</v>
      </c>
      <c r="M131">
        <v>1</v>
      </c>
      <c r="N131"/>
      <c r="O131"/>
      <c r="P131"/>
      <c r="Q131"/>
      <c r="R131"/>
      <c r="S131"/>
      <c r="T131" s="9" t="s">
        <v>6375</v>
      </c>
      <c r="U131" s="9" t="s">
        <v>3853</v>
      </c>
      <c r="V131" s="9" t="s">
        <v>6454</v>
      </c>
      <c r="W131" s="9" t="s">
        <v>3709</v>
      </c>
      <c r="X131" s="9" t="s">
        <v>3709</v>
      </c>
    </row>
    <row r="132" spans="1:24" s="9" customFormat="1" ht="15.75" customHeight="1" x14ac:dyDescent="0.15">
      <c r="A132">
        <v>124</v>
      </c>
      <c r="B132" t="s">
        <v>75</v>
      </c>
      <c r="C132" t="s">
        <v>4267</v>
      </c>
      <c r="D132" t="s">
        <v>6455</v>
      </c>
      <c r="E132" s="9" t="s">
        <v>219</v>
      </c>
      <c r="F132">
        <v>2</v>
      </c>
      <c r="G132">
        <v>0</v>
      </c>
      <c r="H132" s="9" t="s">
        <v>6456</v>
      </c>
      <c r="I132" s="9" t="s">
        <v>171</v>
      </c>
      <c r="J132" s="9" t="s">
        <v>177</v>
      </c>
      <c r="K132" s="9" t="s">
        <v>173</v>
      </c>
      <c r="M132"/>
      <c r="N132"/>
      <c r="O132"/>
      <c r="P132"/>
      <c r="Q132"/>
      <c r="R132"/>
      <c r="S132"/>
      <c r="T132" s="9" t="s">
        <v>6375</v>
      </c>
      <c r="U132" s="9" t="s">
        <v>4343</v>
      </c>
      <c r="V132" s="9" t="s">
        <v>6457</v>
      </c>
      <c r="W132" s="9" t="s">
        <v>3709</v>
      </c>
      <c r="X132" s="9" t="s">
        <v>3709</v>
      </c>
    </row>
    <row r="133" spans="1:24" s="9" customFormat="1" ht="15.75" customHeight="1" x14ac:dyDescent="0.15">
      <c r="A133">
        <v>125</v>
      </c>
      <c r="B133" t="s">
        <v>75</v>
      </c>
      <c r="C133" t="s">
        <v>4267</v>
      </c>
      <c r="D133" t="s">
        <v>6458</v>
      </c>
      <c r="E133" s="9" t="s">
        <v>219</v>
      </c>
      <c r="F133">
        <v>2</v>
      </c>
      <c r="G133">
        <v>1</v>
      </c>
      <c r="H133" s="9" t="s">
        <v>6459</v>
      </c>
      <c r="I133" s="9" t="s">
        <v>171</v>
      </c>
      <c r="J133" s="9" t="s">
        <v>177</v>
      </c>
      <c r="K133" s="9" t="s">
        <v>173</v>
      </c>
      <c r="M133"/>
      <c r="N133"/>
      <c r="O133"/>
      <c r="P133"/>
      <c r="Q133"/>
      <c r="R133"/>
      <c r="S133"/>
      <c r="T133" s="9" t="s">
        <v>6375</v>
      </c>
      <c r="U133" s="9" t="s">
        <v>4343</v>
      </c>
      <c r="V133" s="9" t="s">
        <v>6460</v>
      </c>
      <c r="W133" s="9" t="s">
        <v>3709</v>
      </c>
      <c r="X133" s="9" t="s">
        <v>3709</v>
      </c>
    </row>
    <row r="134" spans="1:24" s="9" customFormat="1" ht="15.75" customHeight="1" x14ac:dyDescent="0.15">
      <c r="A134">
        <v>126</v>
      </c>
      <c r="B134" t="s">
        <v>75</v>
      </c>
      <c r="C134" t="s">
        <v>4267</v>
      </c>
      <c r="D134" t="s">
        <v>6461</v>
      </c>
      <c r="E134" s="9" t="s">
        <v>219</v>
      </c>
      <c r="F134">
        <v>2</v>
      </c>
      <c r="G134">
        <v>8</v>
      </c>
      <c r="H134" s="9" t="s">
        <v>6462</v>
      </c>
      <c r="I134" s="9" t="s">
        <v>171</v>
      </c>
      <c r="J134" s="9" t="s">
        <v>177</v>
      </c>
      <c r="K134" s="9" t="s">
        <v>173</v>
      </c>
      <c r="M134"/>
      <c r="N134"/>
      <c r="O134"/>
      <c r="P134"/>
      <c r="Q134"/>
      <c r="R134"/>
      <c r="S134"/>
      <c r="T134" s="9" t="s">
        <v>6375</v>
      </c>
      <c r="U134" s="9" t="s">
        <v>4343</v>
      </c>
      <c r="V134" s="9" t="s">
        <v>6463</v>
      </c>
      <c r="W134" s="9" t="s">
        <v>3709</v>
      </c>
      <c r="X134" s="9" t="s">
        <v>3709</v>
      </c>
    </row>
    <row r="135" spans="1:24" s="9" customFormat="1" ht="15.75" customHeight="1" x14ac:dyDescent="0.15">
      <c r="A135">
        <v>127</v>
      </c>
      <c r="B135" t="s">
        <v>75</v>
      </c>
      <c r="C135" t="s">
        <v>4267</v>
      </c>
      <c r="D135" t="s">
        <v>6464</v>
      </c>
      <c r="E135" s="9" t="s">
        <v>219</v>
      </c>
      <c r="F135">
        <v>2</v>
      </c>
      <c r="G135">
        <v>9</v>
      </c>
      <c r="H135" s="9" t="s">
        <v>6465</v>
      </c>
      <c r="I135" s="9" t="s">
        <v>171</v>
      </c>
      <c r="J135" s="9" t="s">
        <v>177</v>
      </c>
      <c r="K135" s="9" t="s">
        <v>173</v>
      </c>
      <c r="M135"/>
      <c r="N135"/>
      <c r="O135"/>
      <c r="P135"/>
      <c r="Q135"/>
      <c r="R135"/>
      <c r="S135"/>
      <c r="T135" s="9" t="s">
        <v>6375</v>
      </c>
      <c r="U135" s="9" t="s">
        <v>4343</v>
      </c>
      <c r="V135" s="9" t="s">
        <v>6466</v>
      </c>
      <c r="W135" s="9" t="s">
        <v>3709</v>
      </c>
      <c r="X135" s="9" t="s">
        <v>3709</v>
      </c>
    </row>
    <row r="136" spans="1:24" s="9" customFormat="1" ht="15.75" customHeight="1" x14ac:dyDescent="0.15">
      <c r="A136">
        <v>128</v>
      </c>
      <c r="B136" t="s">
        <v>75</v>
      </c>
      <c r="C136" t="s">
        <v>4267</v>
      </c>
      <c r="D136" t="s">
        <v>6467</v>
      </c>
      <c r="E136" s="9" t="s">
        <v>219</v>
      </c>
      <c r="F136">
        <v>2</v>
      </c>
      <c r="G136">
        <v>16</v>
      </c>
      <c r="H136" s="9" t="s">
        <v>6468</v>
      </c>
      <c r="I136" s="9" t="s">
        <v>171</v>
      </c>
      <c r="J136" s="9" t="s">
        <v>177</v>
      </c>
      <c r="K136" s="9" t="s">
        <v>173</v>
      </c>
      <c r="M136"/>
      <c r="N136"/>
      <c r="O136"/>
      <c r="P136"/>
      <c r="Q136"/>
      <c r="R136"/>
      <c r="S136"/>
      <c r="T136" s="9" t="s">
        <v>6375</v>
      </c>
      <c r="U136" s="9" t="s">
        <v>4343</v>
      </c>
      <c r="V136" s="9" t="s">
        <v>6469</v>
      </c>
      <c r="W136" s="9" t="s">
        <v>3709</v>
      </c>
      <c r="X136" s="9" t="s">
        <v>3709</v>
      </c>
    </row>
    <row r="137" spans="1:24" s="9" customFormat="1" ht="15.75" customHeight="1" x14ac:dyDescent="0.15">
      <c r="A137">
        <v>129</v>
      </c>
      <c r="B137" t="s">
        <v>75</v>
      </c>
      <c r="C137" t="s">
        <v>4267</v>
      </c>
      <c r="D137" t="s">
        <v>6470</v>
      </c>
      <c r="E137" s="9" t="s">
        <v>219</v>
      </c>
      <c r="F137">
        <v>2</v>
      </c>
      <c r="G137">
        <v>17</v>
      </c>
      <c r="H137" s="9" t="s">
        <v>6471</v>
      </c>
      <c r="I137" s="9" t="s">
        <v>171</v>
      </c>
      <c r="J137" s="9" t="s">
        <v>177</v>
      </c>
      <c r="K137" s="9" t="s">
        <v>173</v>
      </c>
      <c r="M137"/>
      <c r="N137"/>
      <c r="O137"/>
      <c r="P137"/>
      <c r="Q137"/>
      <c r="R137"/>
      <c r="S137"/>
      <c r="T137" s="9" t="s">
        <v>6375</v>
      </c>
      <c r="U137" s="9" t="s">
        <v>4343</v>
      </c>
      <c r="V137" s="9" t="s">
        <v>6472</v>
      </c>
      <c r="W137" s="9" t="s">
        <v>3709</v>
      </c>
      <c r="X137" s="9" t="s">
        <v>3709</v>
      </c>
    </row>
    <row r="138" spans="1:24" s="9" customFormat="1" ht="15.75" customHeight="1" x14ac:dyDescent="0.15">
      <c r="A138">
        <v>130</v>
      </c>
      <c r="B138" t="s">
        <v>75</v>
      </c>
      <c r="C138" t="s">
        <v>4267</v>
      </c>
      <c r="D138" t="s">
        <v>6473</v>
      </c>
      <c r="E138" s="9" t="s">
        <v>219</v>
      </c>
      <c r="F138">
        <v>2</v>
      </c>
      <c r="G138">
        <v>18</v>
      </c>
      <c r="H138" s="9" t="s">
        <v>6474</v>
      </c>
      <c r="I138" s="9" t="s">
        <v>171</v>
      </c>
      <c r="J138" s="9" t="s">
        <v>177</v>
      </c>
      <c r="K138" s="9" t="s">
        <v>173</v>
      </c>
      <c r="M138"/>
      <c r="N138"/>
      <c r="O138"/>
      <c r="P138"/>
      <c r="Q138"/>
      <c r="R138"/>
      <c r="S138"/>
      <c r="T138" s="9" t="s">
        <v>6375</v>
      </c>
      <c r="U138" s="9" t="s">
        <v>4343</v>
      </c>
      <c r="V138" s="9" t="s">
        <v>6475</v>
      </c>
      <c r="W138" s="9" t="s">
        <v>3709</v>
      </c>
      <c r="X138" s="9" t="s">
        <v>3709</v>
      </c>
    </row>
    <row r="139" spans="1:24" s="9" customFormat="1" ht="15.75" customHeight="1" x14ac:dyDescent="0.15">
      <c r="A139">
        <v>131</v>
      </c>
      <c r="B139" t="s">
        <v>75</v>
      </c>
      <c r="C139" t="s">
        <v>4267</v>
      </c>
      <c r="D139" t="s">
        <v>6476</v>
      </c>
      <c r="E139" s="9" t="s">
        <v>219</v>
      </c>
      <c r="F139">
        <v>3</v>
      </c>
      <c r="G139"/>
      <c r="H139" s="9" t="s">
        <v>6477</v>
      </c>
      <c r="L139" s="9" t="s">
        <v>61</v>
      </c>
      <c r="M139">
        <v>1</v>
      </c>
      <c r="N139"/>
      <c r="O139"/>
      <c r="P139"/>
      <c r="Q139"/>
      <c r="R139"/>
      <c r="S139"/>
      <c r="T139" s="9" t="s">
        <v>6375</v>
      </c>
      <c r="U139" s="9" t="s">
        <v>3853</v>
      </c>
      <c r="V139" s="9" t="s">
        <v>6478</v>
      </c>
      <c r="W139" s="9" t="s">
        <v>3709</v>
      </c>
      <c r="X139" s="9" t="s">
        <v>3709</v>
      </c>
    </row>
    <row r="140" spans="1:24" s="9" customFormat="1" ht="15.75" customHeight="1" x14ac:dyDescent="0.15">
      <c r="A140">
        <v>132</v>
      </c>
      <c r="B140" t="s">
        <v>75</v>
      </c>
      <c r="C140" t="s">
        <v>4267</v>
      </c>
      <c r="D140" t="s">
        <v>6479</v>
      </c>
      <c r="E140" s="9" t="s">
        <v>219</v>
      </c>
      <c r="F140">
        <v>3</v>
      </c>
      <c r="G140">
        <v>0</v>
      </c>
      <c r="H140" s="9" t="s">
        <v>6480</v>
      </c>
      <c r="I140" s="9" t="s">
        <v>171</v>
      </c>
      <c r="J140" s="9" t="s">
        <v>177</v>
      </c>
      <c r="K140" s="9" t="s">
        <v>173</v>
      </c>
      <c r="M140"/>
      <c r="N140"/>
      <c r="O140"/>
      <c r="P140"/>
      <c r="Q140"/>
      <c r="R140"/>
      <c r="S140"/>
      <c r="T140" s="9" t="s">
        <v>6375</v>
      </c>
      <c r="U140" s="9" t="s">
        <v>4343</v>
      </c>
      <c r="V140" s="9" t="s">
        <v>6481</v>
      </c>
      <c r="W140" s="9" t="s">
        <v>3709</v>
      </c>
      <c r="X140" s="9" t="s">
        <v>3709</v>
      </c>
    </row>
    <row r="141" spans="1:24" s="9" customFormat="1" ht="15.75" customHeight="1" x14ac:dyDescent="0.15">
      <c r="A141">
        <v>133</v>
      </c>
      <c r="B141" t="s">
        <v>75</v>
      </c>
      <c r="C141" t="s">
        <v>4267</v>
      </c>
      <c r="D141" t="s">
        <v>6482</v>
      </c>
      <c r="E141" s="9" t="s">
        <v>219</v>
      </c>
      <c r="F141">
        <v>3</v>
      </c>
      <c r="G141">
        <v>1</v>
      </c>
      <c r="H141" s="9" t="s">
        <v>6483</v>
      </c>
      <c r="I141" s="9" t="s">
        <v>171</v>
      </c>
      <c r="J141" s="9" t="s">
        <v>177</v>
      </c>
      <c r="K141" s="9" t="s">
        <v>173</v>
      </c>
      <c r="M141"/>
      <c r="N141"/>
      <c r="O141"/>
      <c r="P141"/>
      <c r="Q141"/>
      <c r="R141"/>
      <c r="S141"/>
      <c r="T141" s="9" t="s">
        <v>6375</v>
      </c>
      <c r="U141" s="9" t="s">
        <v>4343</v>
      </c>
      <c r="V141" s="9" t="s">
        <v>6484</v>
      </c>
      <c r="W141" s="9" t="s">
        <v>3709</v>
      </c>
      <c r="X141" s="9" t="s">
        <v>3709</v>
      </c>
    </row>
    <row r="142" spans="1:24" s="9" customFormat="1" ht="15.75" customHeight="1" x14ac:dyDescent="0.15">
      <c r="A142">
        <v>134</v>
      </c>
      <c r="B142" t="s">
        <v>75</v>
      </c>
      <c r="C142" t="s">
        <v>4267</v>
      </c>
      <c r="D142" t="s">
        <v>6485</v>
      </c>
      <c r="E142" s="9" t="s">
        <v>219</v>
      </c>
      <c r="F142">
        <v>3</v>
      </c>
      <c r="G142">
        <v>2</v>
      </c>
      <c r="H142" s="9" t="s">
        <v>6486</v>
      </c>
      <c r="I142" s="9" t="s">
        <v>171</v>
      </c>
      <c r="J142" s="9" t="s">
        <v>177</v>
      </c>
      <c r="K142" s="9" t="s">
        <v>173</v>
      </c>
      <c r="M142"/>
      <c r="N142"/>
      <c r="O142"/>
      <c r="P142"/>
      <c r="Q142"/>
      <c r="R142"/>
      <c r="S142"/>
      <c r="T142" s="9" t="s">
        <v>6375</v>
      </c>
      <c r="U142" s="9" t="s">
        <v>4343</v>
      </c>
      <c r="V142" s="9" t="s">
        <v>6487</v>
      </c>
      <c r="W142" s="9" t="s">
        <v>3709</v>
      </c>
      <c r="X142" s="9" t="s">
        <v>3709</v>
      </c>
    </row>
    <row r="143" spans="1:24" s="9" customFormat="1" ht="15.75" customHeight="1" x14ac:dyDescent="0.15">
      <c r="A143">
        <v>135</v>
      </c>
      <c r="B143" t="s">
        <v>75</v>
      </c>
      <c r="C143" t="s">
        <v>4267</v>
      </c>
      <c r="D143" t="s">
        <v>6488</v>
      </c>
      <c r="E143" s="9" t="s">
        <v>219</v>
      </c>
      <c r="F143">
        <v>3</v>
      </c>
      <c r="G143">
        <v>8</v>
      </c>
      <c r="H143" s="9" t="s">
        <v>6489</v>
      </c>
      <c r="I143" s="9" t="s">
        <v>171</v>
      </c>
      <c r="J143" s="9" t="s">
        <v>177</v>
      </c>
      <c r="K143" s="9" t="s">
        <v>173</v>
      </c>
      <c r="M143"/>
      <c r="N143"/>
      <c r="O143"/>
      <c r="P143"/>
      <c r="Q143"/>
      <c r="R143"/>
      <c r="S143"/>
      <c r="T143" s="9" t="s">
        <v>6375</v>
      </c>
      <c r="U143" s="9" t="s">
        <v>4343</v>
      </c>
      <c r="V143" s="9" t="s">
        <v>6490</v>
      </c>
      <c r="W143" s="9" t="s">
        <v>3709</v>
      </c>
      <c r="X143" s="9" t="s">
        <v>3709</v>
      </c>
    </row>
    <row r="144" spans="1:24" s="9" customFormat="1" ht="15.75" customHeight="1" x14ac:dyDescent="0.15">
      <c r="A144">
        <v>136</v>
      </c>
      <c r="B144" t="s">
        <v>75</v>
      </c>
      <c r="C144" t="s">
        <v>4267</v>
      </c>
      <c r="D144" t="s">
        <v>6491</v>
      </c>
      <c r="E144" s="9" t="s">
        <v>219</v>
      </c>
      <c r="F144">
        <v>3</v>
      </c>
      <c r="G144">
        <v>9</v>
      </c>
      <c r="H144" s="9" t="s">
        <v>6492</v>
      </c>
      <c r="I144" s="9" t="s">
        <v>171</v>
      </c>
      <c r="J144" s="9" t="s">
        <v>177</v>
      </c>
      <c r="K144" s="9" t="s">
        <v>173</v>
      </c>
      <c r="M144"/>
      <c r="N144"/>
      <c r="O144"/>
      <c r="P144"/>
      <c r="Q144"/>
      <c r="R144"/>
      <c r="S144"/>
      <c r="T144" s="9" t="s">
        <v>6375</v>
      </c>
      <c r="U144" s="9" t="s">
        <v>4343</v>
      </c>
      <c r="V144" s="9" t="s">
        <v>6493</v>
      </c>
      <c r="W144" s="9" t="s">
        <v>3709</v>
      </c>
      <c r="X144" s="9" t="s">
        <v>3709</v>
      </c>
    </row>
    <row r="145" spans="1:24" s="9" customFormat="1" ht="15.75" customHeight="1" x14ac:dyDescent="0.15">
      <c r="A145">
        <v>137</v>
      </c>
      <c r="B145" t="s">
        <v>75</v>
      </c>
      <c r="C145" t="s">
        <v>4267</v>
      </c>
      <c r="D145" t="s">
        <v>6494</v>
      </c>
      <c r="E145" s="9" t="s">
        <v>219</v>
      </c>
      <c r="F145">
        <v>3</v>
      </c>
      <c r="G145">
        <v>10</v>
      </c>
      <c r="H145" s="9" t="s">
        <v>6495</v>
      </c>
      <c r="I145" s="9" t="s">
        <v>171</v>
      </c>
      <c r="J145" s="9" t="s">
        <v>177</v>
      </c>
      <c r="K145" s="9" t="s">
        <v>173</v>
      </c>
      <c r="M145"/>
      <c r="N145"/>
      <c r="O145"/>
      <c r="P145"/>
      <c r="Q145"/>
      <c r="R145"/>
      <c r="S145"/>
      <c r="T145" s="9" t="s">
        <v>6375</v>
      </c>
      <c r="U145" s="9" t="s">
        <v>4343</v>
      </c>
      <c r="V145" s="9" t="s">
        <v>6496</v>
      </c>
      <c r="W145" s="9" t="s">
        <v>3709</v>
      </c>
      <c r="X145" s="9" t="s">
        <v>3709</v>
      </c>
    </row>
    <row r="146" spans="1:24" s="9" customFormat="1" ht="15.75" customHeight="1" x14ac:dyDescent="0.15">
      <c r="A146">
        <v>138</v>
      </c>
      <c r="B146" t="s">
        <v>75</v>
      </c>
      <c r="C146" t="s">
        <v>4267</v>
      </c>
      <c r="D146" t="s">
        <v>6497</v>
      </c>
      <c r="E146" s="9" t="s">
        <v>219</v>
      </c>
      <c r="F146">
        <v>3</v>
      </c>
      <c r="G146">
        <v>16</v>
      </c>
      <c r="H146" s="9" t="s">
        <v>6498</v>
      </c>
      <c r="I146" s="9" t="s">
        <v>171</v>
      </c>
      <c r="J146" s="9" t="s">
        <v>177</v>
      </c>
      <c r="K146" s="9" t="s">
        <v>173</v>
      </c>
      <c r="M146"/>
      <c r="N146"/>
      <c r="O146"/>
      <c r="P146"/>
      <c r="Q146"/>
      <c r="R146"/>
      <c r="S146"/>
      <c r="T146" s="9" t="s">
        <v>6375</v>
      </c>
      <c r="U146" s="9" t="s">
        <v>4343</v>
      </c>
      <c r="V146" s="9" t="s">
        <v>6499</v>
      </c>
      <c r="W146" s="9" t="s">
        <v>3709</v>
      </c>
      <c r="X146" s="9" t="s">
        <v>3709</v>
      </c>
    </row>
    <row r="147" spans="1:24" s="9" customFormat="1" ht="15.75" customHeight="1" x14ac:dyDescent="0.15">
      <c r="A147">
        <v>139</v>
      </c>
      <c r="B147" t="s">
        <v>75</v>
      </c>
      <c r="C147" t="s">
        <v>4267</v>
      </c>
      <c r="D147" t="s">
        <v>6500</v>
      </c>
      <c r="E147" s="9" t="s">
        <v>219</v>
      </c>
      <c r="F147">
        <v>3</v>
      </c>
      <c r="G147">
        <v>17</v>
      </c>
      <c r="H147" s="9" t="s">
        <v>6501</v>
      </c>
      <c r="I147" s="9" t="s">
        <v>171</v>
      </c>
      <c r="J147" s="9" t="s">
        <v>177</v>
      </c>
      <c r="K147" s="9" t="s">
        <v>173</v>
      </c>
      <c r="M147"/>
      <c r="N147"/>
      <c r="O147"/>
      <c r="P147"/>
      <c r="Q147"/>
      <c r="R147"/>
      <c r="S147"/>
      <c r="T147" s="9" t="s">
        <v>6375</v>
      </c>
      <c r="U147" s="9" t="s">
        <v>4343</v>
      </c>
      <c r="V147" s="9" t="s">
        <v>6502</v>
      </c>
      <c r="W147" s="9" t="s">
        <v>3709</v>
      </c>
      <c r="X147" s="9" t="s">
        <v>3709</v>
      </c>
    </row>
    <row r="148" spans="1:24" s="9" customFormat="1" ht="15.75" customHeight="1" x14ac:dyDescent="0.15">
      <c r="A148">
        <v>140</v>
      </c>
      <c r="B148" t="s">
        <v>75</v>
      </c>
      <c r="C148" t="s">
        <v>4267</v>
      </c>
      <c r="D148" t="s">
        <v>6503</v>
      </c>
      <c r="E148" s="9" t="s">
        <v>219</v>
      </c>
      <c r="F148">
        <v>3</v>
      </c>
      <c r="G148">
        <v>18</v>
      </c>
      <c r="H148" s="9" t="s">
        <v>6504</v>
      </c>
      <c r="I148" s="9" t="s">
        <v>171</v>
      </c>
      <c r="J148" s="9" t="s">
        <v>177</v>
      </c>
      <c r="K148" s="9" t="s">
        <v>173</v>
      </c>
      <c r="M148"/>
      <c r="N148"/>
      <c r="O148"/>
      <c r="P148"/>
      <c r="Q148"/>
      <c r="R148"/>
      <c r="S148"/>
      <c r="T148" s="9" t="s">
        <v>6375</v>
      </c>
      <c r="U148" s="9" t="s">
        <v>4343</v>
      </c>
      <c r="V148" s="9" t="s">
        <v>6505</v>
      </c>
      <c r="W148" s="9" t="s">
        <v>3709</v>
      </c>
      <c r="X148" s="9" t="s">
        <v>3709</v>
      </c>
    </row>
    <row r="149" spans="1:24" s="9" customFormat="1" ht="15.75" customHeight="1" x14ac:dyDescent="0.15">
      <c r="A149">
        <v>141</v>
      </c>
      <c r="B149" t="s">
        <v>75</v>
      </c>
      <c r="C149" t="s">
        <v>4267</v>
      </c>
      <c r="D149" t="s">
        <v>6506</v>
      </c>
      <c r="E149" s="9" t="s">
        <v>219</v>
      </c>
      <c r="F149">
        <v>3</v>
      </c>
      <c r="G149">
        <v>31</v>
      </c>
      <c r="H149" s="9" t="s">
        <v>3721</v>
      </c>
      <c r="I149" s="9" t="s">
        <v>171</v>
      </c>
      <c r="J149" s="9" t="s">
        <v>177</v>
      </c>
      <c r="K149" s="9" t="s">
        <v>173</v>
      </c>
      <c r="M149"/>
      <c r="N149"/>
      <c r="O149"/>
      <c r="P149"/>
      <c r="Q149"/>
      <c r="R149"/>
      <c r="S149"/>
      <c r="T149" s="9" t="s">
        <v>6375</v>
      </c>
      <c r="U149" s="9" t="s">
        <v>4343</v>
      </c>
      <c r="V149" s="9" t="s">
        <v>6507</v>
      </c>
      <c r="W149" s="9" t="s">
        <v>3709</v>
      </c>
      <c r="X149" s="9" t="s">
        <v>3709</v>
      </c>
    </row>
    <row r="150" spans="1:24" s="9" customFormat="1" ht="15.75" customHeight="1" x14ac:dyDescent="0.15">
      <c r="A150">
        <v>142</v>
      </c>
      <c r="B150" t="s">
        <v>75</v>
      </c>
      <c r="C150" t="s">
        <v>4267</v>
      </c>
      <c r="D150" t="s">
        <v>6508</v>
      </c>
      <c r="E150" s="9" t="s">
        <v>219</v>
      </c>
      <c r="F150">
        <v>4</v>
      </c>
      <c r="G150"/>
      <c r="H150" s="9" t="s">
        <v>6509</v>
      </c>
      <c r="L150" s="9" t="s">
        <v>61</v>
      </c>
      <c r="M150">
        <v>1</v>
      </c>
      <c r="N150"/>
      <c r="O150"/>
      <c r="P150"/>
      <c r="Q150"/>
      <c r="R150"/>
      <c r="S150"/>
      <c r="T150" s="9" t="s">
        <v>6375</v>
      </c>
      <c r="U150" s="9" t="s">
        <v>3853</v>
      </c>
      <c r="V150" s="9" t="s">
        <v>6510</v>
      </c>
      <c r="W150" s="9" t="s">
        <v>3709</v>
      </c>
      <c r="X150" s="9" t="s">
        <v>3709</v>
      </c>
    </row>
    <row r="151" spans="1:24" s="9" customFormat="1" ht="15.75" customHeight="1" x14ac:dyDescent="0.15">
      <c r="A151">
        <v>143</v>
      </c>
      <c r="B151" t="s">
        <v>75</v>
      </c>
      <c r="C151" t="s">
        <v>4267</v>
      </c>
      <c r="D151" t="s">
        <v>6511</v>
      </c>
      <c r="E151" s="9" t="s">
        <v>219</v>
      </c>
      <c r="F151">
        <v>3</v>
      </c>
      <c r="G151">
        <v>0</v>
      </c>
      <c r="H151" s="9" t="s">
        <v>6512</v>
      </c>
      <c r="I151" s="9" t="s">
        <v>171</v>
      </c>
      <c r="J151" s="9" t="s">
        <v>177</v>
      </c>
      <c r="K151" s="9" t="s">
        <v>173</v>
      </c>
      <c r="M151"/>
      <c r="N151"/>
      <c r="O151"/>
      <c r="P151"/>
      <c r="Q151"/>
      <c r="R151"/>
      <c r="S151"/>
      <c r="T151" s="9" t="s">
        <v>6375</v>
      </c>
      <c r="U151" s="9" t="s">
        <v>4343</v>
      </c>
      <c r="V151" s="9" t="s">
        <v>6513</v>
      </c>
      <c r="W151" s="9" t="s">
        <v>3709</v>
      </c>
      <c r="X151" s="9" t="s">
        <v>3709</v>
      </c>
    </row>
    <row r="152" spans="1:24" s="9" customFormat="1" ht="15.75" customHeight="1" x14ac:dyDescent="0.15">
      <c r="A152">
        <v>144</v>
      </c>
      <c r="B152" t="s">
        <v>75</v>
      </c>
      <c r="C152" t="s">
        <v>4267</v>
      </c>
      <c r="D152" t="s">
        <v>6514</v>
      </c>
      <c r="E152" s="9" t="s">
        <v>219</v>
      </c>
      <c r="F152">
        <v>3</v>
      </c>
      <c r="G152">
        <v>1</v>
      </c>
      <c r="H152" s="9" t="s">
        <v>6515</v>
      </c>
      <c r="I152" s="9" t="s">
        <v>171</v>
      </c>
      <c r="J152" s="9" t="s">
        <v>177</v>
      </c>
      <c r="K152" s="9" t="s">
        <v>173</v>
      </c>
      <c r="M152"/>
      <c r="N152"/>
      <c r="O152"/>
      <c r="P152"/>
      <c r="Q152"/>
      <c r="R152"/>
      <c r="S152"/>
      <c r="T152" s="9" t="s">
        <v>6375</v>
      </c>
      <c r="U152" s="9" t="s">
        <v>4343</v>
      </c>
      <c r="V152" s="9" t="s">
        <v>6516</v>
      </c>
      <c r="W152" s="9" t="s">
        <v>3709</v>
      </c>
      <c r="X152" s="9" t="s">
        <v>3709</v>
      </c>
    </row>
    <row r="153" spans="1:24" s="9" customFormat="1" ht="15.75" customHeight="1" x14ac:dyDescent="0.15">
      <c r="A153">
        <v>145</v>
      </c>
      <c r="B153" t="s">
        <v>75</v>
      </c>
      <c r="C153" t="s">
        <v>4267</v>
      </c>
      <c r="D153" t="s">
        <v>6517</v>
      </c>
      <c r="E153" s="9" t="s">
        <v>219</v>
      </c>
      <c r="F153">
        <v>3</v>
      </c>
      <c r="G153">
        <v>2</v>
      </c>
      <c r="H153" s="9" t="s">
        <v>6518</v>
      </c>
      <c r="I153" s="9" t="s">
        <v>171</v>
      </c>
      <c r="J153" s="9" t="s">
        <v>177</v>
      </c>
      <c r="K153" s="9" t="s">
        <v>173</v>
      </c>
      <c r="M153"/>
      <c r="N153"/>
      <c r="O153"/>
      <c r="P153"/>
      <c r="Q153"/>
      <c r="R153"/>
      <c r="S153"/>
      <c r="T153" s="9" t="s">
        <v>6375</v>
      </c>
      <c r="U153" s="9" t="s">
        <v>4343</v>
      </c>
      <c r="V153" s="9" t="s">
        <v>6519</v>
      </c>
      <c r="W153" s="9" t="s">
        <v>3709</v>
      </c>
      <c r="X153" s="9" t="s">
        <v>3709</v>
      </c>
    </row>
    <row r="154" spans="1:24" s="9" customFormat="1" ht="15.75" customHeight="1" x14ac:dyDescent="0.15">
      <c r="A154">
        <v>146</v>
      </c>
      <c r="B154" t="s">
        <v>75</v>
      </c>
      <c r="C154" t="s">
        <v>4267</v>
      </c>
      <c r="D154" t="s">
        <v>6520</v>
      </c>
      <c r="E154" s="9" t="s">
        <v>219</v>
      </c>
      <c r="F154">
        <v>3</v>
      </c>
      <c r="G154">
        <v>8</v>
      </c>
      <c r="H154" s="9" t="s">
        <v>6521</v>
      </c>
      <c r="I154" s="9" t="s">
        <v>171</v>
      </c>
      <c r="J154" s="9" t="s">
        <v>177</v>
      </c>
      <c r="K154" s="9" t="s">
        <v>173</v>
      </c>
      <c r="M154"/>
      <c r="N154"/>
      <c r="O154"/>
      <c r="P154"/>
      <c r="Q154"/>
      <c r="R154"/>
      <c r="S154"/>
      <c r="T154" s="9" t="s">
        <v>6375</v>
      </c>
      <c r="U154" s="9" t="s">
        <v>4343</v>
      </c>
      <c r="V154" s="9" t="s">
        <v>6522</v>
      </c>
      <c r="W154" s="9" t="s">
        <v>3709</v>
      </c>
      <c r="X154" s="9" t="s">
        <v>3709</v>
      </c>
    </row>
    <row r="155" spans="1:24" s="9" customFormat="1" ht="15.75" customHeight="1" x14ac:dyDescent="0.15">
      <c r="A155">
        <v>147</v>
      </c>
      <c r="B155" t="s">
        <v>75</v>
      </c>
      <c r="C155" t="s">
        <v>4267</v>
      </c>
      <c r="D155" t="s">
        <v>6523</v>
      </c>
      <c r="E155" s="9" t="s">
        <v>219</v>
      </c>
      <c r="F155">
        <v>3</v>
      </c>
      <c r="G155">
        <v>9</v>
      </c>
      <c r="H155" s="9" t="s">
        <v>6524</v>
      </c>
      <c r="I155" s="9" t="s">
        <v>171</v>
      </c>
      <c r="J155" s="9" t="s">
        <v>177</v>
      </c>
      <c r="K155" s="9" t="s">
        <v>173</v>
      </c>
      <c r="M155"/>
      <c r="N155"/>
      <c r="O155"/>
      <c r="P155"/>
      <c r="Q155"/>
      <c r="R155"/>
      <c r="S155"/>
      <c r="T155" s="9" t="s">
        <v>6375</v>
      </c>
      <c r="U155" s="9" t="s">
        <v>4343</v>
      </c>
      <c r="V155" s="9" t="s">
        <v>6525</v>
      </c>
      <c r="W155" s="9" t="s">
        <v>3709</v>
      </c>
      <c r="X155" s="9" t="s">
        <v>3709</v>
      </c>
    </row>
    <row r="156" spans="1:24" s="9" customFormat="1" ht="15.75" customHeight="1" x14ac:dyDescent="0.15">
      <c r="A156">
        <v>148</v>
      </c>
      <c r="B156" t="s">
        <v>75</v>
      </c>
      <c r="C156" t="s">
        <v>4267</v>
      </c>
      <c r="D156" t="s">
        <v>6526</v>
      </c>
      <c r="E156" s="9" t="s">
        <v>219</v>
      </c>
      <c r="F156">
        <v>3</v>
      </c>
      <c r="G156">
        <v>10</v>
      </c>
      <c r="H156" s="9" t="s">
        <v>6527</v>
      </c>
      <c r="I156" s="9" t="s">
        <v>171</v>
      </c>
      <c r="J156" s="9" t="s">
        <v>177</v>
      </c>
      <c r="K156" s="9" t="s">
        <v>173</v>
      </c>
      <c r="M156"/>
      <c r="N156"/>
      <c r="O156"/>
      <c r="P156"/>
      <c r="Q156"/>
      <c r="R156"/>
      <c r="S156"/>
      <c r="T156" s="9" t="s">
        <v>6375</v>
      </c>
      <c r="U156" s="9" t="s">
        <v>4343</v>
      </c>
      <c r="V156" s="9" t="s">
        <v>6528</v>
      </c>
      <c r="W156" s="9" t="s">
        <v>3709</v>
      </c>
      <c r="X156" s="9" t="s">
        <v>3709</v>
      </c>
    </row>
    <row r="157" spans="1:24" s="9" customFormat="1" ht="15.75" customHeight="1" x14ac:dyDescent="0.15">
      <c r="A157">
        <v>149</v>
      </c>
      <c r="B157" t="s">
        <v>75</v>
      </c>
      <c r="C157" t="s">
        <v>4267</v>
      </c>
      <c r="D157" t="s">
        <v>6529</v>
      </c>
      <c r="E157" s="9" t="s">
        <v>219</v>
      </c>
      <c r="F157">
        <v>3</v>
      </c>
      <c r="G157">
        <v>16</v>
      </c>
      <c r="H157" s="9" t="s">
        <v>6530</v>
      </c>
      <c r="I157" s="9" t="s">
        <v>171</v>
      </c>
      <c r="J157" s="9" t="s">
        <v>177</v>
      </c>
      <c r="K157" s="9" t="s">
        <v>173</v>
      </c>
      <c r="M157"/>
      <c r="N157"/>
      <c r="O157"/>
      <c r="P157"/>
      <c r="Q157"/>
      <c r="R157"/>
      <c r="S157"/>
      <c r="T157" s="9" t="s">
        <v>6375</v>
      </c>
      <c r="U157" s="9" t="s">
        <v>4343</v>
      </c>
      <c r="V157" s="9" t="s">
        <v>6531</v>
      </c>
      <c r="W157" s="9" t="s">
        <v>3709</v>
      </c>
      <c r="X157" s="9" t="s">
        <v>3709</v>
      </c>
    </row>
    <row r="158" spans="1:24" s="9" customFormat="1" ht="15.75" customHeight="1" x14ac:dyDescent="0.15">
      <c r="A158">
        <v>150</v>
      </c>
      <c r="B158" t="s">
        <v>75</v>
      </c>
      <c r="C158" t="s">
        <v>4267</v>
      </c>
      <c r="D158" t="s">
        <v>6532</v>
      </c>
      <c r="E158" s="9" t="s">
        <v>219</v>
      </c>
      <c r="F158">
        <v>3</v>
      </c>
      <c r="G158">
        <v>17</v>
      </c>
      <c r="H158" s="9" t="s">
        <v>6533</v>
      </c>
      <c r="I158" s="9" t="s">
        <v>171</v>
      </c>
      <c r="J158" s="9" t="s">
        <v>177</v>
      </c>
      <c r="K158" s="9" t="s">
        <v>173</v>
      </c>
      <c r="M158"/>
      <c r="N158"/>
      <c r="O158"/>
      <c r="P158"/>
      <c r="Q158"/>
      <c r="R158"/>
      <c r="S158"/>
      <c r="T158" s="9" t="s">
        <v>6375</v>
      </c>
      <c r="U158" s="9" t="s">
        <v>4343</v>
      </c>
      <c r="V158" s="9" t="s">
        <v>6534</v>
      </c>
      <c r="W158" s="9" t="s">
        <v>3709</v>
      </c>
      <c r="X158" s="9" t="s">
        <v>3709</v>
      </c>
    </row>
    <row r="159" spans="1:24" s="9" customFormat="1" ht="15.75" customHeight="1" x14ac:dyDescent="0.15">
      <c r="A159">
        <v>151</v>
      </c>
      <c r="B159" t="s">
        <v>75</v>
      </c>
      <c r="C159" t="s">
        <v>4267</v>
      </c>
      <c r="D159" t="s">
        <v>6535</v>
      </c>
      <c r="E159" s="9" t="s">
        <v>219</v>
      </c>
      <c r="F159">
        <v>3</v>
      </c>
      <c r="G159">
        <v>18</v>
      </c>
      <c r="H159" s="9" t="s">
        <v>6536</v>
      </c>
      <c r="I159" s="9" t="s">
        <v>171</v>
      </c>
      <c r="J159" s="9" t="s">
        <v>177</v>
      </c>
      <c r="K159" s="9" t="s">
        <v>173</v>
      </c>
      <c r="M159"/>
      <c r="N159"/>
      <c r="O159"/>
      <c r="P159"/>
      <c r="Q159"/>
      <c r="R159"/>
      <c r="S159"/>
      <c r="T159" s="9" t="s">
        <v>6375</v>
      </c>
      <c r="U159" s="9" t="s">
        <v>4343</v>
      </c>
      <c r="V159" s="9" t="s">
        <v>6537</v>
      </c>
      <c r="W159" s="9" t="s">
        <v>3709</v>
      </c>
      <c r="X159" s="9" t="s">
        <v>3709</v>
      </c>
    </row>
    <row r="160" spans="1:24" s="9" customFormat="1" ht="15.75" customHeight="1" x14ac:dyDescent="0.15">
      <c r="A160">
        <v>152</v>
      </c>
      <c r="B160" t="s">
        <v>75</v>
      </c>
      <c r="C160" t="s">
        <v>4267</v>
      </c>
      <c r="D160" t="s">
        <v>6538</v>
      </c>
      <c r="E160" s="9" t="s">
        <v>219</v>
      </c>
      <c r="F160">
        <v>3</v>
      </c>
      <c r="G160">
        <v>31</v>
      </c>
      <c r="H160" s="9" t="s">
        <v>3721</v>
      </c>
      <c r="I160" s="9" t="s">
        <v>171</v>
      </c>
      <c r="J160" s="9" t="s">
        <v>177</v>
      </c>
      <c r="K160" s="9" t="s">
        <v>173</v>
      </c>
      <c r="M160"/>
      <c r="N160"/>
      <c r="O160"/>
      <c r="P160"/>
      <c r="Q160"/>
      <c r="R160"/>
      <c r="S160"/>
      <c r="T160" s="9" t="s">
        <v>6375</v>
      </c>
      <c r="U160" s="9" t="s">
        <v>4343</v>
      </c>
      <c r="V160" s="9" t="s">
        <v>6539</v>
      </c>
      <c r="W160" s="9" t="s">
        <v>3709</v>
      </c>
      <c r="X160" s="9" t="s">
        <v>3709</v>
      </c>
    </row>
    <row r="161" spans="1:24" s="9" customFormat="1" ht="15.75" customHeight="1" x14ac:dyDescent="0.15">
      <c r="A161">
        <v>153</v>
      </c>
      <c r="B161" t="s">
        <v>75</v>
      </c>
      <c r="C161" t="s">
        <v>4267</v>
      </c>
      <c r="D161" t="s">
        <v>6540</v>
      </c>
      <c r="E161" s="9" t="s">
        <v>219</v>
      </c>
      <c r="F161">
        <v>5</v>
      </c>
      <c r="G161"/>
      <c r="H161" s="9" t="s">
        <v>6541</v>
      </c>
      <c r="L161" s="9" t="s">
        <v>61</v>
      </c>
      <c r="M161">
        <v>1</v>
      </c>
      <c r="N161"/>
      <c r="O161"/>
      <c r="P161"/>
      <c r="Q161"/>
      <c r="R161"/>
      <c r="S161"/>
      <c r="T161" s="9" t="s">
        <v>6375</v>
      </c>
      <c r="U161" s="9" t="s">
        <v>3853</v>
      </c>
      <c r="V161" s="9" t="s">
        <v>6542</v>
      </c>
      <c r="W161" s="9" t="s">
        <v>3709</v>
      </c>
      <c r="X161" s="9" t="s">
        <v>3709</v>
      </c>
    </row>
    <row r="162" spans="1:24" s="9" customFormat="1" ht="15.75" customHeight="1" x14ac:dyDescent="0.15">
      <c r="A162">
        <v>154</v>
      </c>
      <c r="B162" t="s">
        <v>75</v>
      </c>
      <c r="C162" t="s">
        <v>4267</v>
      </c>
      <c r="D162" t="s">
        <v>6543</v>
      </c>
      <c r="E162" s="9" t="s">
        <v>219</v>
      </c>
      <c r="F162">
        <v>4</v>
      </c>
      <c r="G162">
        <v>0</v>
      </c>
      <c r="H162" s="9" t="s">
        <v>6544</v>
      </c>
      <c r="I162" s="9" t="s">
        <v>171</v>
      </c>
      <c r="J162" s="9" t="s">
        <v>177</v>
      </c>
      <c r="K162" s="9" t="s">
        <v>173</v>
      </c>
      <c r="M162"/>
      <c r="N162"/>
      <c r="O162"/>
      <c r="P162"/>
      <c r="Q162"/>
      <c r="R162"/>
      <c r="S162"/>
      <c r="T162" s="9" t="s">
        <v>6375</v>
      </c>
      <c r="U162" s="9" t="s">
        <v>4343</v>
      </c>
      <c r="V162" s="9" t="s">
        <v>6545</v>
      </c>
      <c r="W162" s="9" t="s">
        <v>3709</v>
      </c>
      <c r="X162" s="9" t="s">
        <v>3709</v>
      </c>
    </row>
    <row r="163" spans="1:24" s="9" customFormat="1" ht="15.75" customHeight="1" x14ac:dyDescent="0.15">
      <c r="A163">
        <v>155</v>
      </c>
      <c r="B163" t="s">
        <v>75</v>
      </c>
      <c r="C163" t="s">
        <v>4267</v>
      </c>
      <c r="D163" t="s">
        <v>6546</v>
      </c>
      <c r="E163" s="9" t="s">
        <v>219</v>
      </c>
      <c r="F163">
        <v>4</v>
      </c>
      <c r="G163">
        <v>1</v>
      </c>
      <c r="H163" s="9" t="s">
        <v>6547</v>
      </c>
      <c r="I163" s="9" t="s">
        <v>171</v>
      </c>
      <c r="J163" s="9" t="s">
        <v>177</v>
      </c>
      <c r="K163" s="9" t="s">
        <v>173</v>
      </c>
      <c r="M163"/>
      <c r="N163"/>
      <c r="O163"/>
      <c r="P163"/>
      <c r="Q163"/>
      <c r="R163"/>
      <c r="S163"/>
      <c r="T163" s="9" t="s">
        <v>6375</v>
      </c>
      <c r="U163" s="9" t="s">
        <v>4343</v>
      </c>
      <c r="V163" s="9" t="s">
        <v>6548</v>
      </c>
      <c r="W163" s="9" t="s">
        <v>3709</v>
      </c>
      <c r="X163" s="9" t="s">
        <v>3709</v>
      </c>
    </row>
    <row r="164" spans="1:24" s="9" customFormat="1" ht="15.75" customHeight="1" x14ac:dyDescent="0.15">
      <c r="A164">
        <v>156</v>
      </c>
      <c r="B164" t="s">
        <v>75</v>
      </c>
      <c r="C164" t="s">
        <v>4267</v>
      </c>
      <c r="D164" t="s">
        <v>6549</v>
      </c>
      <c r="E164" s="9" t="s">
        <v>219</v>
      </c>
      <c r="F164">
        <v>4</v>
      </c>
      <c r="G164">
        <v>2</v>
      </c>
      <c r="H164" s="9" t="s">
        <v>6550</v>
      </c>
      <c r="I164" s="9" t="s">
        <v>171</v>
      </c>
      <c r="J164" s="9" t="s">
        <v>177</v>
      </c>
      <c r="K164" s="9" t="s">
        <v>173</v>
      </c>
      <c r="M164"/>
      <c r="N164"/>
      <c r="O164"/>
      <c r="P164"/>
      <c r="Q164"/>
      <c r="R164"/>
      <c r="S164"/>
      <c r="T164" s="9" t="s">
        <v>6375</v>
      </c>
      <c r="U164" s="9" t="s">
        <v>4343</v>
      </c>
      <c r="V164" s="9" t="s">
        <v>6551</v>
      </c>
      <c r="W164" s="9" t="s">
        <v>3709</v>
      </c>
      <c r="X164" s="9" t="s">
        <v>3709</v>
      </c>
    </row>
    <row r="165" spans="1:24" s="9" customFormat="1" ht="15.75" customHeight="1" x14ac:dyDescent="0.15">
      <c r="A165">
        <v>157</v>
      </c>
      <c r="B165" t="s">
        <v>75</v>
      </c>
      <c r="C165" t="s">
        <v>4267</v>
      </c>
      <c r="D165" t="s">
        <v>6552</v>
      </c>
      <c r="E165" s="9" t="s">
        <v>219</v>
      </c>
      <c r="F165">
        <v>4</v>
      </c>
      <c r="G165">
        <v>3</v>
      </c>
      <c r="H165" s="9" t="s">
        <v>6553</v>
      </c>
      <c r="I165" s="9" t="s">
        <v>171</v>
      </c>
      <c r="J165" s="9" t="s">
        <v>177</v>
      </c>
      <c r="K165" s="9" t="s">
        <v>173</v>
      </c>
      <c r="M165"/>
      <c r="N165"/>
      <c r="O165"/>
      <c r="P165"/>
      <c r="Q165"/>
      <c r="R165"/>
      <c r="S165"/>
      <c r="T165" s="9" t="s">
        <v>6375</v>
      </c>
      <c r="U165" s="9" t="s">
        <v>4343</v>
      </c>
      <c r="V165" s="9" t="s">
        <v>6554</v>
      </c>
      <c r="W165" s="9" t="s">
        <v>3709</v>
      </c>
      <c r="X165" s="9" t="s">
        <v>3709</v>
      </c>
    </row>
    <row r="166" spans="1:24" s="9" customFormat="1" ht="15.75" customHeight="1" x14ac:dyDescent="0.15">
      <c r="A166">
        <v>158</v>
      </c>
      <c r="B166" t="s">
        <v>75</v>
      </c>
      <c r="C166" t="s">
        <v>4267</v>
      </c>
      <c r="D166" t="s">
        <v>6555</v>
      </c>
      <c r="E166" s="9" t="s">
        <v>219</v>
      </c>
      <c r="F166">
        <v>4</v>
      </c>
      <c r="G166">
        <v>4</v>
      </c>
      <c r="H166" s="9" t="s">
        <v>6556</v>
      </c>
      <c r="I166" s="9" t="s">
        <v>171</v>
      </c>
      <c r="J166" s="9" t="s">
        <v>177</v>
      </c>
      <c r="K166" s="9" t="s">
        <v>173</v>
      </c>
      <c r="M166"/>
      <c r="N166"/>
      <c r="O166"/>
      <c r="P166"/>
      <c r="Q166"/>
      <c r="R166"/>
      <c r="S166"/>
      <c r="T166" s="9" t="s">
        <v>6375</v>
      </c>
      <c r="U166" s="9" t="s">
        <v>4343</v>
      </c>
      <c r="V166" s="9" t="s">
        <v>6557</v>
      </c>
      <c r="W166" s="9" t="s">
        <v>3709</v>
      </c>
      <c r="X166" s="9" t="s">
        <v>3709</v>
      </c>
    </row>
    <row r="167" spans="1:24" s="9" customFormat="1" ht="15.75" customHeight="1" x14ac:dyDescent="0.15">
      <c r="A167">
        <v>159</v>
      </c>
      <c r="B167" t="s">
        <v>75</v>
      </c>
      <c r="C167" t="s">
        <v>4267</v>
      </c>
      <c r="D167" t="s">
        <v>6558</v>
      </c>
      <c r="E167" s="9" t="s">
        <v>219</v>
      </c>
      <c r="F167">
        <v>4</v>
      </c>
      <c r="G167">
        <v>5</v>
      </c>
      <c r="H167" s="9" t="s">
        <v>6559</v>
      </c>
      <c r="I167" s="9" t="s">
        <v>171</v>
      </c>
      <c r="J167" s="9" t="s">
        <v>177</v>
      </c>
      <c r="K167" s="9" t="s">
        <v>173</v>
      </c>
      <c r="M167"/>
      <c r="N167"/>
      <c r="O167"/>
      <c r="P167"/>
      <c r="Q167"/>
      <c r="R167"/>
      <c r="S167"/>
      <c r="T167" s="9" t="s">
        <v>6375</v>
      </c>
      <c r="U167" s="9" t="s">
        <v>4343</v>
      </c>
      <c r="V167" s="9" t="s">
        <v>6560</v>
      </c>
      <c r="W167" s="9" t="s">
        <v>3709</v>
      </c>
      <c r="X167" s="9" t="s">
        <v>3709</v>
      </c>
    </row>
    <row r="168" spans="1:24" s="9" customFormat="1" ht="15.75" customHeight="1" x14ac:dyDescent="0.15">
      <c r="A168">
        <v>160</v>
      </c>
      <c r="B168" t="s">
        <v>75</v>
      </c>
      <c r="C168" t="s">
        <v>4267</v>
      </c>
      <c r="D168" t="s">
        <v>6561</v>
      </c>
      <c r="E168" s="9" t="s">
        <v>219</v>
      </c>
      <c r="F168">
        <v>4</v>
      </c>
      <c r="G168">
        <v>8</v>
      </c>
      <c r="H168" s="9" t="s">
        <v>6562</v>
      </c>
      <c r="I168" s="9" t="s">
        <v>171</v>
      </c>
      <c r="J168" s="9" t="s">
        <v>177</v>
      </c>
      <c r="K168" s="9" t="s">
        <v>173</v>
      </c>
      <c r="M168"/>
      <c r="N168"/>
      <c r="O168"/>
      <c r="P168"/>
      <c r="Q168"/>
      <c r="R168"/>
      <c r="S168"/>
      <c r="T168" s="9" t="s">
        <v>6375</v>
      </c>
      <c r="U168" s="9" t="s">
        <v>4343</v>
      </c>
      <c r="V168" s="9" t="s">
        <v>6563</v>
      </c>
      <c r="W168" s="9" t="s">
        <v>3709</v>
      </c>
      <c r="X168" s="9" t="s">
        <v>3709</v>
      </c>
    </row>
    <row r="169" spans="1:24" s="9" customFormat="1" ht="15.75" customHeight="1" x14ac:dyDescent="0.15">
      <c r="A169">
        <v>161</v>
      </c>
      <c r="B169" t="s">
        <v>75</v>
      </c>
      <c r="C169" t="s">
        <v>4267</v>
      </c>
      <c r="D169" t="s">
        <v>6564</v>
      </c>
      <c r="E169" s="9" t="s">
        <v>219</v>
      </c>
      <c r="F169">
        <v>4</v>
      </c>
      <c r="G169">
        <v>9</v>
      </c>
      <c r="H169" s="9" t="s">
        <v>6565</v>
      </c>
      <c r="I169" s="9" t="s">
        <v>171</v>
      </c>
      <c r="J169" s="9" t="s">
        <v>177</v>
      </c>
      <c r="K169" s="9" t="s">
        <v>173</v>
      </c>
      <c r="M169"/>
      <c r="N169"/>
      <c r="O169"/>
      <c r="P169"/>
      <c r="Q169"/>
      <c r="R169"/>
      <c r="S169"/>
      <c r="T169" s="9" t="s">
        <v>6375</v>
      </c>
      <c r="U169" s="9" t="s">
        <v>4343</v>
      </c>
      <c r="V169" s="9" t="s">
        <v>6566</v>
      </c>
      <c r="W169" s="9" t="s">
        <v>3709</v>
      </c>
      <c r="X169" s="9" t="s">
        <v>3709</v>
      </c>
    </row>
    <row r="170" spans="1:24" s="9" customFormat="1" ht="15.75" customHeight="1" x14ac:dyDescent="0.15">
      <c r="A170">
        <v>162</v>
      </c>
      <c r="B170" t="s">
        <v>75</v>
      </c>
      <c r="C170" t="s">
        <v>4267</v>
      </c>
      <c r="D170" t="s">
        <v>6567</v>
      </c>
      <c r="E170" s="9" t="s">
        <v>219</v>
      </c>
      <c r="F170">
        <v>4</v>
      </c>
      <c r="G170">
        <v>10</v>
      </c>
      <c r="H170" s="9" t="s">
        <v>6568</v>
      </c>
      <c r="I170" s="9" t="s">
        <v>171</v>
      </c>
      <c r="J170" s="9" t="s">
        <v>177</v>
      </c>
      <c r="K170" s="9" t="s">
        <v>173</v>
      </c>
      <c r="M170"/>
      <c r="N170"/>
      <c r="O170"/>
      <c r="P170"/>
      <c r="Q170"/>
      <c r="R170"/>
      <c r="S170"/>
      <c r="T170" s="9" t="s">
        <v>6375</v>
      </c>
      <c r="U170" s="9" t="s">
        <v>4343</v>
      </c>
      <c r="V170" s="9" t="s">
        <v>6569</v>
      </c>
      <c r="W170" s="9" t="s">
        <v>3709</v>
      </c>
      <c r="X170" s="9" t="s">
        <v>3709</v>
      </c>
    </row>
    <row r="171" spans="1:24" s="9" customFormat="1" ht="15.75" customHeight="1" x14ac:dyDescent="0.15">
      <c r="A171">
        <v>163</v>
      </c>
      <c r="B171" t="s">
        <v>75</v>
      </c>
      <c r="C171" t="s">
        <v>4267</v>
      </c>
      <c r="D171" t="s">
        <v>6570</v>
      </c>
      <c r="E171" s="9" t="s">
        <v>219</v>
      </c>
      <c r="F171">
        <v>4</v>
      </c>
      <c r="G171">
        <v>16</v>
      </c>
      <c r="H171" s="9" t="s">
        <v>6571</v>
      </c>
      <c r="I171" s="9" t="s">
        <v>171</v>
      </c>
      <c r="J171" s="9" t="s">
        <v>177</v>
      </c>
      <c r="K171" s="9" t="s">
        <v>173</v>
      </c>
      <c r="M171"/>
      <c r="N171"/>
      <c r="O171"/>
      <c r="P171"/>
      <c r="Q171"/>
      <c r="R171"/>
      <c r="S171"/>
      <c r="T171" s="9" t="s">
        <v>6375</v>
      </c>
      <c r="U171" s="9" t="s">
        <v>4343</v>
      </c>
      <c r="V171" s="9" t="s">
        <v>6572</v>
      </c>
      <c r="W171" s="9" t="s">
        <v>3709</v>
      </c>
      <c r="X171" s="9" t="s">
        <v>3709</v>
      </c>
    </row>
    <row r="172" spans="1:24" s="9" customFormat="1" ht="15.75" customHeight="1" x14ac:dyDescent="0.15">
      <c r="A172">
        <v>164</v>
      </c>
      <c r="B172" t="s">
        <v>75</v>
      </c>
      <c r="C172" t="s">
        <v>4267</v>
      </c>
      <c r="D172" t="s">
        <v>6573</v>
      </c>
      <c r="E172" s="9" t="s">
        <v>219</v>
      </c>
      <c r="F172">
        <v>4</v>
      </c>
      <c r="G172">
        <v>17</v>
      </c>
      <c r="H172" s="9" t="s">
        <v>6574</v>
      </c>
      <c r="I172" s="9" t="s">
        <v>171</v>
      </c>
      <c r="J172" s="9" t="s">
        <v>177</v>
      </c>
      <c r="K172" s="9" t="s">
        <v>173</v>
      </c>
      <c r="M172"/>
      <c r="N172"/>
      <c r="O172"/>
      <c r="P172"/>
      <c r="Q172"/>
      <c r="R172"/>
      <c r="S172"/>
      <c r="T172" s="9" t="s">
        <v>6375</v>
      </c>
      <c r="U172" s="9" t="s">
        <v>4343</v>
      </c>
      <c r="V172" s="9" t="s">
        <v>6575</v>
      </c>
      <c r="W172" s="9" t="s">
        <v>3709</v>
      </c>
      <c r="X172" s="9" t="s">
        <v>3709</v>
      </c>
    </row>
    <row r="173" spans="1:24" s="9" customFormat="1" ht="15.75" customHeight="1" x14ac:dyDescent="0.15">
      <c r="A173">
        <v>165</v>
      </c>
      <c r="B173" t="s">
        <v>75</v>
      </c>
      <c r="C173" t="s">
        <v>4267</v>
      </c>
      <c r="D173" t="s">
        <v>6576</v>
      </c>
      <c r="E173" s="9" t="s">
        <v>219</v>
      </c>
      <c r="F173">
        <v>4</v>
      </c>
      <c r="G173">
        <v>18</v>
      </c>
      <c r="H173" s="9" t="s">
        <v>6577</v>
      </c>
      <c r="I173" s="9" t="s">
        <v>171</v>
      </c>
      <c r="J173" s="9" t="s">
        <v>177</v>
      </c>
      <c r="K173" s="9" t="s">
        <v>173</v>
      </c>
      <c r="M173"/>
      <c r="N173"/>
      <c r="O173"/>
      <c r="P173"/>
      <c r="Q173"/>
      <c r="R173"/>
      <c r="S173"/>
      <c r="T173" s="9" t="s">
        <v>6375</v>
      </c>
      <c r="U173" s="9" t="s">
        <v>4343</v>
      </c>
      <c r="V173" s="9" t="s">
        <v>6578</v>
      </c>
      <c r="W173" s="9" t="s">
        <v>3709</v>
      </c>
      <c r="X173" s="9" t="s">
        <v>3709</v>
      </c>
    </row>
    <row r="174" spans="1:24" s="9" customFormat="1" ht="15.75" customHeight="1" x14ac:dyDescent="0.15">
      <c r="A174">
        <v>166</v>
      </c>
      <c r="B174" t="s">
        <v>75</v>
      </c>
      <c r="C174" t="s">
        <v>4267</v>
      </c>
      <c r="D174" t="s">
        <v>6579</v>
      </c>
      <c r="E174" s="9" t="s">
        <v>219</v>
      </c>
      <c r="F174">
        <v>4</v>
      </c>
      <c r="G174">
        <v>24</v>
      </c>
      <c r="H174" s="9" t="s">
        <v>6580</v>
      </c>
      <c r="I174" s="9" t="s">
        <v>171</v>
      </c>
      <c r="J174" s="9" t="s">
        <v>177</v>
      </c>
      <c r="K174" s="9" t="s">
        <v>173</v>
      </c>
      <c r="M174"/>
      <c r="N174"/>
      <c r="O174"/>
      <c r="P174"/>
      <c r="Q174"/>
      <c r="R174"/>
      <c r="S174"/>
      <c r="T174" s="9" t="s">
        <v>6375</v>
      </c>
      <c r="U174" s="9" t="s">
        <v>4343</v>
      </c>
      <c r="V174" s="9" t="s">
        <v>6581</v>
      </c>
      <c r="W174" s="9" t="s">
        <v>3709</v>
      </c>
      <c r="X174" s="9" t="s">
        <v>3709</v>
      </c>
    </row>
    <row r="175" spans="1:24" s="9" customFormat="1" ht="15.75" customHeight="1" x14ac:dyDescent="0.15">
      <c r="A175">
        <v>167</v>
      </c>
      <c r="B175" t="s">
        <v>75</v>
      </c>
      <c r="C175" t="s">
        <v>4267</v>
      </c>
      <c r="D175" t="s">
        <v>6582</v>
      </c>
      <c r="E175" s="9" t="s">
        <v>219</v>
      </c>
      <c r="F175">
        <v>4</v>
      </c>
      <c r="G175">
        <v>25</v>
      </c>
      <c r="H175" s="9" t="s">
        <v>6583</v>
      </c>
      <c r="I175" s="9" t="s">
        <v>171</v>
      </c>
      <c r="J175" s="9" t="s">
        <v>177</v>
      </c>
      <c r="K175" s="9" t="s">
        <v>173</v>
      </c>
      <c r="M175"/>
      <c r="N175"/>
      <c r="O175"/>
      <c r="P175"/>
      <c r="Q175"/>
      <c r="R175"/>
      <c r="S175"/>
      <c r="T175" s="9" t="s">
        <v>6375</v>
      </c>
      <c r="U175" s="9" t="s">
        <v>4343</v>
      </c>
      <c r="V175" s="9" t="s">
        <v>6584</v>
      </c>
      <c r="W175" s="9" t="s">
        <v>3709</v>
      </c>
      <c r="X175" s="9" t="s">
        <v>3709</v>
      </c>
    </row>
    <row r="176" spans="1:24" s="9" customFormat="1" ht="15.75" customHeight="1" x14ac:dyDescent="0.15">
      <c r="A176">
        <v>168</v>
      </c>
      <c r="B176" t="s">
        <v>75</v>
      </c>
      <c r="C176" t="s">
        <v>4267</v>
      </c>
      <c r="D176" t="s">
        <v>6585</v>
      </c>
      <c r="E176" s="9" t="s">
        <v>219</v>
      </c>
      <c r="F176">
        <v>4</v>
      </c>
      <c r="G176">
        <v>26</v>
      </c>
      <c r="H176" s="9" t="s">
        <v>6586</v>
      </c>
      <c r="I176" s="9" t="s">
        <v>171</v>
      </c>
      <c r="J176" s="9" t="s">
        <v>177</v>
      </c>
      <c r="K176" s="9" t="s">
        <v>173</v>
      </c>
      <c r="M176"/>
      <c r="N176"/>
      <c r="O176"/>
      <c r="P176"/>
      <c r="Q176"/>
      <c r="R176"/>
      <c r="S176"/>
      <c r="T176" s="9" t="s">
        <v>6375</v>
      </c>
      <c r="U176" s="9" t="s">
        <v>4343</v>
      </c>
      <c r="V176" s="9" t="s">
        <v>6587</v>
      </c>
      <c r="W176" s="9" t="s">
        <v>3709</v>
      </c>
      <c r="X176" s="9" t="s">
        <v>3709</v>
      </c>
    </row>
    <row r="177" spans="1:24" s="9" customFormat="1" ht="15.75" customHeight="1" x14ac:dyDescent="0.15">
      <c r="A177">
        <v>169</v>
      </c>
      <c r="B177" t="s">
        <v>75</v>
      </c>
      <c r="C177" t="s">
        <v>4267</v>
      </c>
      <c r="D177" t="s">
        <v>6588</v>
      </c>
      <c r="E177" s="9" t="s">
        <v>219</v>
      </c>
      <c r="F177">
        <v>6</v>
      </c>
      <c r="G177"/>
      <c r="H177" s="9" t="s">
        <v>6589</v>
      </c>
      <c r="L177" s="9" t="s">
        <v>61</v>
      </c>
      <c r="M177">
        <v>1</v>
      </c>
      <c r="N177"/>
      <c r="O177"/>
      <c r="P177"/>
      <c r="Q177"/>
      <c r="R177"/>
      <c r="S177"/>
      <c r="T177" s="9" t="s">
        <v>6375</v>
      </c>
      <c r="U177" s="9" t="s">
        <v>3853</v>
      </c>
      <c r="V177" s="9" t="s">
        <v>6590</v>
      </c>
      <c r="W177" s="9" t="s">
        <v>3709</v>
      </c>
      <c r="X177" s="9" t="s">
        <v>3709</v>
      </c>
    </row>
    <row r="178" spans="1:24" s="9" customFormat="1" ht="15.75" customHeight="1" x14ac:dyDescent="0.15">
      <c r="A178">
        <v>170</v>
      </c>
      <c r="B178" t="s">
        <v>75</v>
      </c>
      <c r="C178" t="s">
        <v>4267</v>
      </c>
      <c r="D178" t="s">
        <v>6591</v>
      </c>
      <c r="E178" s="9" t="s">
        <v>219</v>
      </c>
      <c r="F178">
        <v>5</v>
      </c>
      <c r="G178">
        <v>0</v>
      </c>
      <c r="H178" s="9" t="s">
        <v>6592</v>
      </c>
      <c r="I178" s="9" t="s">
        <v>171</v>
      </c>
      <c r="J178" s="9" t="s">
        <v>177</v>
      </c>
      <c r="K178" s="9" t="s">
        <v>173</v>
      </c>
      <c r="M178"/>
      <c r="N178"/>
      <c r="O178"/>
      <c r="P178"/>
      <c r="Q178"/>
      <c r="R178"/>
      <c r="S178"/>
      <c r="T178" s="9" t="s">
        <v>6375</v>
      </c>
      <c r="U178" s="9" t="s">
        <v>4343</v>
      </c>
      <c r="V178" s="9" t="s">
        <v>6593</v>
      </c>
      <c r="W178" s="9" t="s">
        <v>3709</v>
      </c>
      <c r="X178" s="9" t="s">
        <v>3709</v>
      </c>
    </row>
    <row r="179" spans="1:24" s="9" customFormat="1" ht="15.75" customHeight="1" x14ac:dyDescent="0.15">
      <c r="A179">
        <v>171</v>
      </c>
      <c r="B179" t="s">
        <v>75</v>
      </c>
      <c r="C179" t="s">
        <v>4267</v>
      </c>
      <c r="D179" t="s">
        <v>6594</v>
      </c>
      <c r="E179" s="9" t="s">
        <v>219</v>
      </c>
      <c r="F179">
        <v>5</v>
      </c>
      <c r="G179">
        <v>1</v>
      </c>
      <c r="H179" s="9" t="s">
        <v>6595</v>
      </c>
      <c r="I179" s="9" t="s">
        <v>171</v>
      </c>
      <c r="J179" s="9" t="s">
        <v>177</v>
      </c>
      <c r="K179" s="9" t="s">
        <v>173</v>
      </c>
      <c r="M179"/>
      <c r="N179"/>
      <c r="O179"/>
      <c r="P179"/>
      <c r="Q179"/>
      <c r="R179"/>
      <c r="S179"/>
      <c r="T179" s="9" t="s">
        <v>6375</v>
      </c>
      <c r="U179" s="9" t="s">
        <v>4343</v>
      </c>
      <c r="V179" s="9" t="s">
        <v>6596</v>
      </c>
      <c r="W179" s="9" t="s">
        <v>3709</v>
      </c>
      <c r="X179" s="9" t="s">
        <v>3709</v>
      </c>
    </row>
    <row r="180" spans="1:24" s="9" customFormat="1" ht="15.75" customHeight="1" x14ac:dyDescent="0.15">
      <c r="A180">
        <v>172</v>
      </c>
      <c r="B180" t="s">
        <v>75</v>
      </c>
      <c r="C180" t="s">
        <v>4267</v>
      </c>
      <c r="D180" t="s">
        <v>6597</v>
      </c>
      <c r="E180" s="9" t="s">
        <v>219</v>
      </c>
      <c r="F180">
        <v>5</v>
      </c>
      <c r="G180">
        <v>2</v>
      </c>
      <c r="H180" s="9" t="s">
        <v>6598</v>
      </c>
      <c r="I180" s="9" t="s">
        <v>171</v>
      </c>
      <c r="J180" s="9" t="s">
        <v>177</v>
      </c>
      <c r="K180" s="9" t="s">
        <v>173</v>
      </c>
      <c r="M180"/>
      <c r="N180"/>
      <c r="O180"/>
      <c r="P180"/>
      <c r="Q180"/>
      <c r="R180"/>
      <c r="S180"/>
      <c r="T180" s="9" t="s">
        <v>6375</v>
      </c>
      <c r="U180" s="9" t="s">
        <v>4343</v>
      </c>
      <c r="V180" s="9" t="s">
        <v>6599</v>
      </c>
      <c r="W180" s="9" t="s">
        <v>3709</v>
      </c>
      <c r="X180" s="9" t="s">
        <v>3709</v>
      </c>
    </row>
    <row r="181" spans="1:24" s="9" customFormat="1" ht="15.75" customHeight="1" x14ac:dyDescent="0.15">
      <c r="A181">
        <v>173</v>
      </c>
      <c r="B181" t="s">
        <v>75</v>
      </c>
      <c r="C181" t="s">
        <v>4267</v>
      </c>
      <c r="D181" t="s">
        <v>6600</v>
      </c>
      <c r="E181" s="9" t="s">
        <v>219</v>
      </c>
      <c r="F181">
        <v>5</v>
      </c>
      <c r="G181">
        <v>3</v>
      </c>
      <c r="H181" s="9" t="s">
        <v>6601</v>
      </c>
      <c r="I181" s="9" t="s">
        <v>171</v>
      </c>
      <c r="J181" s="9" t="s">
        <v>177</v>
      </c>
      <c r="K181" s="9" t="s">
        <v>173</v>
      </c>
      <c r="M181"/>
      <c r="N181"/>
      <c r="O181"/>
      <c r="P181"/>
      <c r="Q181"/>
      <c r="R181"/>
      <c r="S181"/>
      <c r="T181" s="9" t="s">
        <v>6375</v>
      </c>
      <c r="U181" s="9" t="s">
        <v>4343</v>
      </c>
      <c r="V181" s="9" t="s">
        <v>6602</v>
      </c>
      <c r="W181" s="9" t="s">
        <v>3709</v>
      </c>
      <c r="X181" s="9" t="s">
        <v>3709</v>
      </c>
    </row>
    <row r="182" spans="1:24" s="9" customFormat="1" ht="15.75" customHeight="1" x14ac:dyDescent="0.15">
      <c r="A182">
        <v>174</v>
      </c>
      <c r="B182" t="s">
        <v>75</v>
      </c>
      <c r="C182" t="s">
        <v>4267</v>
      </c>
      <c r="D182" t="s">
        <v>6603</v>
      </c>
      <c r="E182" s="9" t="s">
        <v>219</v>
      </c>
      <c r="F182">
        <v>5</v>
      </c>
      <c r="G182">
        <v>4</v>
      </c>
      <c r="H182" s="9" t="s">
        <v>6604</v>
      </c>
      <c r="I182" s="9" t="s">
        <v>171</v>
      </c>
      <c r="J182" s="9" t="s">
        <v>177</v>
      </c>
      <c r="K182" s="9" t="s">
        <v>173</v>
      </c>
      <c r="M182"/>
      <c r="N182"/>
      <c r="O182"/>
      <c r="P182"/>
      <c r="Q182"/>
      <c r="R182"/>
      <c r="S182"/>
      <c r="T182" s="9" t="s">
        <v>6375</v>
      </c>
      <c r="U182" s="9" t="s">
        <v>4343</v>
      </c>
      <c r="V182" s="9" t="s">
        <v>6605</v>
      </c>
      <c r="W182" s="9" t="s">
        <v>3709</v>
      </c>
      <c r="X182" s="9" t="s">
        <v>3709</v>
      </c>
    </row>
    <row r="183" spans="1:24" s="9" customFormat="1" ht="15.75" customHeight="1" x14ac:dyDescent="0.15">
      <c r="A183">
        <v>175</v>
      </c>
      <c r="B183" t="s">
        <v>75</v>
      </c>
      <c r="C183" t="s">
        <v>4267</v>
      </c>
      <c r="D183" t="s">
        <v>6606</v>
      </c>
      <c r="E183" s="9" t="s">
        <v>219</v>
      </c>
      <c r="F183">
        <v>5</v>
      </c>
      <c r="G183">
        <v>5</v>
      </c>
      <c r="H183" s="9" t="s">
        <v>6607</v>
      </c>
      <c r="I183" s="9" t="s">
        <v>171</v>
      </c>
      <c r="J183" s="9" t="s">
        <v>177</v>
      </c>
      <c r="K183" s="9" t="s">
        <v>173</v>
      </c>
      <c r="M183"/>
      <c r="N183"/>
      <c r="O183"/>
      <c r="P183"/>
      <c r="Q183"/>
      <c r="R183"/>
      <c r="S183"/>
      <c r="T183" s="9" t="s">
        <v>6375</v>
      </c>
      <c r="U183" s="9" t="s">
        <v>4343</v>
      </c>
      <c r="V183" s="9" t="s">
        <v>6608</v>
      </c>
      <c r="W183" s="9" t="s">
        <v>3709</v>
      </c>
      <c r="X183" s="9" t="s">
        <v>3709</v>
      </c>
    </row>
    <row r="184" spans="1:24" s="9" customFormat="1" ht="15.75" customHeight="1" x14ac:dyDescent="0.15">
      <c r="A184">
        <v>176</v>
      </c>
      <c r="B184" t="s">
        <v>75</v>
      </c>
      <c r="C184" t="s">
        <v>4267</v>
      </c>
      <c r="D184" t="s">
        <v>6609</v>
      </c>
      <c r="E184" s="9" t="s">
        <v>219</v>
      </c>
      <c r="F184">
        <v>5</v>
      </c>
      <c r="G184">
        <v>8</v>
      </c>
      <c r="H184" s="9" t="s">
        <v>6610</v>
      </c>
      <c r="I184" s="9" t="s">
        <v>171</v>
      </c>
      <c r="J184" s="9" t="s">
        <v>177</v>
      </c>
      <c r="K184" s="9" t="s">
        <v>173</v>
      </c>
      <c r="M184"/>
      <c r="N184"/>
      <c r="O184"/>
      <c r="P184"/>
      <c r="Q184"/>
      <c r="R184"/>
      <c r="S184"/>
      <c r="T184" s="9" t="s">
        <v>6375</v>
      </c>
      <c r="U184" s="9" t="s">
        <v>4343</v>
      </c>
      <c r="V184" s="9" t="s">
        <v>6611</v>
      </c>
      <c r="W184" s="9" t="s">
        <v>3709</v>
      </c>
      <c r="X184" s="9" t="s">
        <v>3709</v>
      </c>
    </row>
    <row r="185" spans="1:24" s="9" customFormat="1" ht="15.75" customHeight="1" x14ac:dyDescent="0.15">
      <c r="A185">
        <v>177</v>
      </c>
      <c r="B185" t="s">
        <v>75</v>
      </c>
      <c r="C185" t="s">
        <v>4267</v>
      </c>
      <c r="D185" t="s">
        <v>6612</v>
      </c>
      <c r="E185" s="9" t="s">
        <v>219</v>
      </c>
      <c r="F185">
        <v>5</v>
      </c>
      <c r="G185">
        <v>9</v>
      </c>
      <c r="H185" s="9" t="s">
        <v>6613</v>
      </c>
      <c r="I185" s="9" t="s">
        <v>171</v>
      </c>
      <c r="J185" s="9" t="s">
        <v>177</v>
      </c>
      <c r="K185" s="9" t="s">
        <v>173</v>
      </c>
      <c r="M185"/>
      <c r="N185"/>
      <c r="O185"/>
      <c r="P185"/>
      <c r="Q185"/>
      <c r="R185"/>
      <c r="S185"/>
      <c r="T185" s="9" t="s">
        <v>6375</v>
      </c>
      <c r="U185" s="9" t="s">
        <v>4343</v>
      </c>
      <c r="V185" s="9" t="s">
        <v>6614</v>
      </c>
      <c r="W185" s="9" t="s">
        <v>3709</v>
      </c>
      <c r="X185" s="9" t="s">
        <v>3709</v>
      </c>
    </row>
    <row r="186" spans="1:24" s="9" customFormat="1" ht="15.75" customHeight="1" x14ac:dyDescent="0.15">
      <c r="A186">
        <v>178</v>
      </c>
      <c r="B186" t="s">
        <v>75</v>
      </c>
      <c r="C186" t="s">
        <v>4267</v>
      </c>
      <c r="D186" t="s">
        <v>6615</v>
      </c>
      <c r="E186" s="9" t="s">
        <v>219</v>
      </c>
      <c r="F186">
        <v>5</v>
      </c>
      <c r="G186">
        <v>10</v>
      </c>
      <c r="H186" s="9" t="s">
        <v>6616</v>
      </c>
      <c r="I186" s="9" t="s">
        <v>171</v>
      </c>
      <c r="J186" s="9" t="s">
        <v>177</v>
      </c>
      <c r="K186" s="9" t="s">
        <v>173</v>
      </c>
      <c r="M186"/>
      <c r="N186"/>
      <c r="O186"/>
      <c r="P186"/>
      <c r="Q186"/>
      <c r="R186"/>
      <c r="S186"/>
      <c r="T186" s="9" t="s">
        <v>6375</v>
      </c>
      <c r="U186" s="9" t="s">
        <v>4343</v>
      </c>
      <c r="V186" s="9" t="s">
        <v>6617</v>
      </c>
      <c r="W186" s="9" t="s">
        <v>3709</v>
      </c>
      <c r="X186" s="9" t="s">
        <v>3709</v>
      </c>
    </row>
    <row r="187" spans="1:24" s="9" customFormat="1" ht="15.75" customHeight="1" x14ac:dyDescent="0.15">
      <c r="A187">
        <v>179</v>
      </c>
      <c r="B187" t="s">
        <v>75</v>
      </c>
      <c r="C187" t="s">
        <v>4267</v>
      </c>
      <c r="D187" t="s">
        <v>6618</v>
      </c>
      <c r="E187" s="9" t="s">
        <v>219</v>
      </c>
      <c r="F187">
        <v>5</v>
      </c>
      <c r="G187">
        <v>16</v>
      </c>
      <c r="H187" s="9" t="s">
        <v>6619</v>
      </c>
      <c r="I187" s="9" t="s">
        <v>171</v>
      </c>
      <c r="J187" s="9" t="s">
        <v>177</v>
      </c>
      <c r="K187" s="9" t="s">
        <v>173</v>
      </c>
      <c r="M187"/>
      <c r="N187"/>
      <c r="O187"/>
      <c r="P187"/>
      <c r="Q187"/>
      <c r="R187"/>
      <c r="S187"/>
      <c r="T187" s="9" t="s">
        <v>6375</v>
      </c>
      <c r="U187" s="9" t="s">
        <v>4343</v>
      </c>
      <c r="V187" s="9" t="s">
        <v>6620</v>
      </c>
      <c r="W187" s="9" t="s">
        <v>3709</v>
      </c>
      <c r="X187" s="9" t="s">
        <v>3709</v>
      </c>
    </row>
    <row r="188" spans="1:24" s="9" customFormat="1" ht="15.75" customHeight="1" x14ac:dyDescent="0.15">
      <c r="A188">
        <v>180</v>
      </c>
      <c r="B188" t="s">
        <v>75</v>
      </c>
      <c r="C188" t="s">
        <v>4267</v>
      </c>
      <c r="D188" t="s">
        <v>6621</v>
      </c>
      <c r="E188" s="9" t="s">
        <v>219</v>
      </c>
      <c r="F188">
        <v>5</v>
      </c>
      <c r="G188">
        <v>17</v>
      </c>
      <c r="H188" s="9" t="s">
        <v>6622</v>
      </c>
      <c r="I188" s="9" t="s">
        <v>171</v>
      </c>
      <c r="J188" s="9" t="s">
        <v>177</v>
      </c>
      <c r="K188" s="9" t="s">
        <v>173</v>
      </c>
      <c r="M188"/>
      <c r="N188"/>
      <c r="O188"/>
      <c r="P188"/>
      <c r="Q188"/>
      <c r="R188"/>
      <c r="S188"/>
      <c r="T188" s="9" t="s">
        <v>6375</v>
      </c>
      <c r="U188" s="9" t="s">
        <v>4343</v>
      </c>
      <c r="V188" s="9" t="s">
        <v>6623</v>
      </c>
      <c r="W188" s="9" t="s">
        <v>3709</v>
      </c>
      <c r="X188" s="9" t="s">
        <v>3709</v>
      </c>
    </row>
    <row r="189" spans="1:24" s="9" customFormat="1" ht="15.75" customHeight="1" x14ac:dyDescent="0.15">
      <c r="A189">
        <v>181</v>
      </c>
      <c r="B189" t="s">
        <v>75</v>
      </c>
      <c r="C189" t="s">
        <v>4267</v>
      </c>
      <c r="D189" t="s">
        <v>6624</v>
      </c>
      <c r="E189" s="9" t="s">
        <v>219</v>
      </c>
      <c r="F189">
        <v>5</v>
      </c>
      <c r="G189">
        <v>18</v>
      </c>
      <c r="H189" s="9" t="s">
        <v>6625</v>
      </c>
      <c r="I189" s="9" t="s">
        <v>171</v>
      </c>
      <c r="J189" s="9" t="s">
        <v>177</v>
      </c>
      <c r="K189" s="9" t="s">
        <v>173</v>
      </c>
      <c r="M189"/>
      <c r="N189"/>
      <c r="O189"/>
      <c r="P189"/>
      <c r="Q189"/>
      <c r="R189"/>
      <c r="S189"/>
      <c r="T189" s="9" t="s">
        <v>6375</v>
      </c>
      <c r="U189" s="9" t="s">
        <v>4343</v>
      </c>
      <c r="V189" s="9" t="s">
        <v>6626</v>
      </c>
      <c r="W189" s="9" t="s">
        <v>3709</v>
      </c>
      <c r="X189" s="9" t="s">
        <v>3709</v>
      </c>
    </row>
    <row r="190" spans="1:24" s="9" customFormat="1" ht="15.75" customHeight="1" x14ac:dyDescent="0.15">
      <c r="A190">
        <v>182</v>
      </c>
      <c r="B190" t="s">
        <v>75</v>
      </c>
      <c r="C190" t="s">
        <v>4267</v>
      </c>
      <c r="D190" t="s">
        <v>6627</v>
      </c>
      <c r="E190" s="9" t="s">
        <v>219</v>
      </c>
      <c r="F190">
        <v>5</v>
      </c>
      <c r="G190">
        <v>24</v>
      </c>
      <c r="H190" s="9" t="s">
        <v>6628</v>
      </c>
      <c r="I190" s="9" t="s">
        <v>171</v>
      </c>
      <c r="J190" s="9" t="s">
        <v>177</v>
      </c>
      <c r="K190" s="9" t="s">
        <v>173</v>
      </c>
      <c r="M190"/>
      <c r="N190"/>
      <c r="O190"/>
      <c r="P190"/>
      <c r="Q190"/>
      <c r="R190"/>
      <c r="S190"/>
      <c r="T190" s="9" t="s">
        <v>6375</v>
      </c>
      <c r="U190" s="9" t="s">
        <v>4343</v>
      </c>
      <c r="V190" s="9" t="s">
        <v>6629</v>
      </c>
      <c r="W190" s="9" t="s">
        <v>3709</v>
      </c>
      <c r="X190" s="9" t="s">
        <v>3709</v>
      </c>
    </row>
    <row r="191" spans="1:24" s="9" customFormat="1" ht="15.75" customHeight="1" x14ac:dyDescent="0.15">
      <c r="A191">
        <v>183</v>
      </c>
      <c r="B191" t="s">
        <v>75</v>
      </c>
      <c r="C191" t="s">
        <v>4267</v>
      </c>
      <c r="D191" t="s">
        <v>6630</v>
      </c>
      <c r="E191" s="9" t="s">
        <v>219</v>
      </c>
      <c r="F191">
        <v>5</v>
      </c>
      <c r="G191">
        <v>25</v>
      </c>
      <c r="H191" s="9" t="s">
        <v>6631</v>
      </c>
      <c r="I191" s="9" t="s">
        <v>171</v>
      </c>
      <c r="J191" s="9" t="s">
        <v>177</v>
      </c>
      <c r="K191" s="9" t="s">
        <v>173</v>
      </c>
      <c r="M191"/>
      <c r="N191"/>
      <c r="O191"/>
      <c r="P191"/>
      <c r="Q191"/>
      <c r="R191"/>
      <c r="S191"/>
      <c r="T191" s="9" t="s">
        <v>6375</v>
      </c>
      <c r="U191" s="9" t="s">
        <v>4343</v>
      </c>
      <c r="V191" s="9" t="s">
        <v>6632</v>
      </c>
      <c r="W191" s="9" t="s">
        <v>3709</v>
      </c>
      <c r="X191" s="9" t="s">
        <v>3709</v>
      </c>
    </row>
    <row r="192" spans="1:24" s="9" customFormat="1" ht="15.75" customHeight="1" x14ac:dyDescent="0.15">
      <c r="A192">
        <v>184</v>
      </c>
      <c r="B192" t="s">
        <v>75</v>
      </c>
      <c r="C192" t="s">
        <v>4267</v>
      </c>
      <c r="D192" t="s">
        <v>6633</v>
      </c>
      <c r="E192" s="9" t="s">
        <v>219</v>
      </c>
      <c r="F192">
        <v>5</v>
      </c>
      <c r="G192">
        <v>26</v>
      </c>
      <c r="H192" s="9" t="s">
        <v>6634</v>
      </c>
      <c r="I192" s="9" t="s">
        <v>171</v>
      </c>
      <c r="J192" s="9" t="s">
        <v>177</v>
      </c>
      <c r="K192" s="9" t="s">
        <v>173</v>
      </c>
      <c r="M192"/>
      <c r="N192"/>
      <c r="O192"/>
      <c r="P192"/>
      <c r="Q192"/>
      <c r="R192"/>
      <c r="S192"/>
      <c r="T192" s="9" t="s">
        <v>6375</v>
      </c>
      <c r="U192" s="9" t="s">
        <v>4343</v>
      </c>
      <c r="V192" s="9" t="s">
        <v>6635</v>
      </c>
      <c r="W192" s="9" t="s">
        <v>3709</v>
      </c>
      <c r="X192" s="9" t="s">
        <v>3709</v>
      </c>
    </row>
    <row r="193" spans="1:24" s="9" customFormat="1" ht="15.75" customHeight="1" x14ac:dyDescent="0.15">
      <c r="A193">
        <v>185</v>
      </c>
      <c r="B193" t="s">
        <v>75</v>
      </c>
      <c r="C193" t="s">
        <v>4267</v>
      </c>
      <c r="D193" t="s">
        <v>6636</v>
      </c>
      <c r="E193" s="9" t="s">
        <v>219</v>
      </c>
      <c r="F193">
        <v>5</v>
      </c>
      <c r="G193">
        <v>31</v>
      </c>
      <c r="H193" s="9" t="s">
        <v>3721</v>
      </c>
      <c r="I193" s="9" t="s">
        <v>171</v>
      </c>
      <c r="J193" s="9" t="s">
        <v>177</v>
      </c>
      <c r="K193" s="9" t="s">
        <v>173</v>
      </c>
      <c r="M193"/>
      <c r="N193"/>
      <c r="O193"/>
      <c r="P193"/>
      <c r="Q193"/>
      <c r="R193"/>
      <c r="S193"/>
      <c r="T193" s="9" t="s">
        <v>6375</v>
      </c>
      <c r="U193" s="9" t="s">
        <v>4343</v>
      </c>
      <c r="V193" s="9" t="s">
        <v>6637</v>
      </c>
      <c r="W193" s="9" t="s">
        <v>3709</v>
      </c>
      <c r="X193" s="9" t="s">
        <v>3709</v>
      </c>
    </row>
    <row r="194" spans="1:24" s="9" customFormat="1" ht="15.75" customHeight="1" x14ac:dyDescent="0.15">
      <c r="A194">
        <v>186</v>
      </c>
      <c r="B194" t="s">
        <v>75</v>
      </c>
      <c r="C194" t="s">
        <v>4267</v>
      </c>
      <c r="D194" t="s">
        <v>6638</v>
      </c>
      <c r="E194" s="9" t="s">
        <v>219</v>
      </c>
      <c r="F194">
        <v>7</v>
      </c>
      <c r="G194"/>
      <c r="H194" s="9" t="s">
        <v>6639</v>
      </c>
      <c r="L194" s="9" t="s">
        <v>61</v>
      </c>
      <c r="M194">
        <v>1</v>
      </c>
      <c r="N194"/>
      <c r="O194"/>
      <c r="P194"/>
      <c r="Q194"/>
      <c r="R194"/>
      <c r="S194"/>
      <c r="T194" s="9" t="s">
        <v>6375</v>
      </c>
      <c r="U194" s="9" t="s">
        <v>3853</v>
      </c>
      <c r="V194" s="9" t="s">
        <v>6640</v>
      </c>
      <c r="W194" s="9" t="s">
        <v>3709</v>
      </c>
      <c r="X194" s="9" t="s">
        <v>3709</v>
      </c>
    </row>
    <row r="195" spans="1:24" s="9" customFormat="1" ht="15.75" customHeight="1" x14ac:dyDescent="0.15">
      <c r="A195">
        <v>187</v>
      </c>
      <c r="B195" t="s">
        <v>75</v>
      </c>
      <c r="C195" t="s">
        <v>4267</v>
      </c>
      <c r="D195" t="s">
        <v>6641</v>
      </c>
      <c r="E195" s="9" t="s">
        <v>219</v>
      </c>
      <c r="F195">
        <v>6</v>
      </c>
      <c r="G195">
        <v>0</v>
      </c>
      <c r="H195" s="9" t="s">
        <v>6642</v>
      </c>
      <c r="I195" s="9" t="s">
        <v>171</v>
      </c>
      <c r="J195" s="9" t="s">
        <v>177</v>
      </c>
      <c r="K195" s="9" t="s">
        <v>173</v>
      </c>
      <c r="M195"/>
      <c r="N195"/>
      <c r="O195"/>
      <c r="P195"/>
      <c r="Q195"/>
      <c r="R195"/>
      <c r="S195"/>
      <c r="T195" s="9" t="s">
        <v>6375</v>
      </c>
      <c r="U195" s="9" t="s">
        <v>4343</v>
      </c>
      <c r="V195" s="9" t="s">
        <v>6643</v>
      </c>
      <c r="W195" s="9" t="s">
        <v>3709</v>
      </c>
      <c r="X195" s="9" t="s">
        <v>3709</v>
      </c>
    </row>
    <row r="196" spans="1:24" s="9" customFormat="1" ht="15.75" customHeight="1" x14ac:dyDescent="0.15">
      <c r="A196">
        <v>188</v>
      </c>
      <c r="B196" t="s">
        <v>75</v>
      </c>
      <c r="C196" t="s">
        <v>4267</v>
      </c>
      <c r="D196" t="s">
        <v>6644</v>
      </c>
      <c r="E196" s="9" t="s">
        <v>219</v>
      </c>
      <c r="F196">
        <v>6</v>
      </c>
      <c r="G196">
        <v>1</v>
      </c>
      <c r="H196" s="9" t="s">
        <v>6645</v>
      </c>
      <c r="I196" s="9" t="s">
        <v>171</v>
      </c>
      <c r="J196" s="9" t="s">
        <v>177</v>
      </c>
      <c r="K196" s="9" t="s">
        <v>173</v>
      </c>
      <c r="M196"/>
      <c r="N196"/>
      <c r="O196"/>
      <c r="P196"/>
      <c r="Q196"/>
      <c r="R196"/>
      <c r="S196"/>
      <c r="T196" s="9" t="s">
        <v>6375</v>
      </c>
      <c r="U196" s="9" t="s">
        <v>4343</v>
      </c>
      <c r="V196" s="9" t="s">
        <v>6646</v>
      </c>
      <c r="W196" s="9" t="s">
        <v>3709</v>
      </c>
      <c r="X196" s="9" t="s">
        <v>3709</v>
      </c>
    </row>
    <row r="197" spans="1:24" s="9" customFormat="1" ht="15.75" customHeight="1" x14ac:dyDescent="0.15">
      <c r="A197">
        <v>189</v>
      </c>
      <c r="B197" t="s">
        <v>75</v>
      </c>
      <c r="C197" t="s">
        <v>4267</v>
      </c>
      <c r="D197" t="s">
        <v>6647</v>
      </c>
      <c r="E197" s="9" t="s">
        <v>219</v>
      </c>
      <c r="F197">
        <v>6</v>
      </c>
      <c r="G197">
        <v>2</v>
      </c>
      <c r="H197" s="9" t="s">
        <v>6648</v>
      </c>
      <c r="I197" s="9" t="s">
        <v>171</v>
      </c>
      <c r="J197" s="9" t="s">
        <v>177</v>
      </c>
      <c r="K197" s="9" t="s">
        <v>173</v>
      </c>
      <c r="M197"/>
      <c r="N197"/>
      <c r="O197"/>
      <c r="P197"/>
      <c r="Q197"/>
      <c r="R197"/>
      <c r="S197"/>
      <c r="T197" s="9" t="s">
        <v>6375</v>
      </c>
      <c r="U197" s="9" t="s">
        <v>4343</v>
      </c>
      <c r="V197" s="9" t="s">
        <v>6649</v>
      </c>
      <c r="W197" s="9" t="s">
        <v>3709</v>
      </c>
      <c r="X197" s="9" t="s">
        <v>3709</v>
      </c>
    </row>
    <row r="198" spans="1:24" s="9" customFormat="1" ht="15.75" customHeight="1" x14ac:dyDescent="0.15">
      <c r="A198">
        <v>190</v>
      </c>
      <c r="B198" t="s">
        <v>75</v>
      </c>
      <c r="C198" t="s">
        <v>4267</v>
      </c>
      <c r="D198" t="s">
        <v>6650</v>
      </c>
      <c r="E198" s="9" t="s">
        <v>219</v>
      </c>
      <c r="F198">
        <v>6</v>
      </c>
      <c r="G198">
        <v>8</v>
      </c>
      <c r="H198" s="9" t="s">
        <v>6651</v>
      </c>
      <c r="I198" s="9" t="s">
        <v>171</v>
      </c>
      <c r="J198" s="9" t="s">
        <v>177</v>
      </c>
      <c r="K198" s="9" t="s">
        <v>173</v>
      </c>
      <c r="M198"/>
      <c r="N198"/>
      <c r="O198"/>
      <c r="P198"/>
      <c r="Q198"/>
      <c r="R198"/>
      <c r="S198"/>
      <c r="T198" s="9" t="s">
        <v>6375</v>
      </c>
      <c r="U198" s="9" t="s">
        <v>4343</v>
      </c>
      <c r="V198" s="9" t="s">
        <v>6652</v>
      </c>
      <c r="W198" s="9" t="s">
        <v>3709</v>
      </c>
      <c r="X198" s="9" t="s">
        <v>3709</v>
      </c>
    </row>
    <row r="199" spans="1:24" s="9" customFormat="1" ht="15.75" customHeight="1" x14ac:dyDescent="0.15">
      <c r="A199">
        <v>191</v>
      </c>
      <c r="B199" t="s">
        <v>75</v>
      </c>
      <c r="C199" t="s">
        <v>4267</v>
      </c>
      <c r="D199" t="s">
        <v>6653</v>
      </c>
      <c r="E199" s="9" t="s">
        <v>219</v>
      </c>
      <c r="F199">
        <v>6</v>
      </c>
      <c r="G199">
        <v>9</v>
      </c>
      <c r="H199" s="9" t="s">
        <v>6654</v>
      </c>
      <c r="I199" s="9" t="s">
        <v>171</v>
      </c>
      <c r="J199" s="9" t="s">
        <v>177</v>
      </c>
      <c r="K199" s="9" t="s">
        <v>173</v>
      </c>
      <c r="M199"/>
      <c r="N199"/>
      <c r="O199"/>
      <c r="P199"/>
      <c r="Q199"/>
      <c r="R199"/>
      <c r="S199"/>
      <c r="T199" s="9" t="s">
        <v>6375</v>
      </c>
      <c r="U199" s="9" t="s">
        <v>4343</v>
      </c>
      <c r="V199" s="9" t="s">
        <v>6655</v>
      </c>
      <c r="W199" s="9" t="s">
        <v>3709</v>
      </c>
      <c r="X199" s="9" t="s">
        <v>3709</v>
      </c>
    </row>
    <row r="200" spans="1:24" s="9" customFormat="1" ht="15.75" customHeight="1" x14ac:dyDescent="0.15">
      <c r="A200">
        <v>192</v>
      </c>
      <c r="B200" t="s">
        <v>75</v>
      </c>
      <c r="C200" t="s">
        <v>4267</v>
      </c>
      <c r="D200" t="s">
        <v>6656</v>
      </c>
      <c r="E200" s="9" t="s">
        <v>219</v>
      </c>
      <c r="F200">
        <v>6</v>
      </c>
      <c r="G200">
        <v>10</v>
      </c>
      <c r="H200" s="9" t="s">
        <v>6657</v>
      </c>
      <c r="I200" s="9" t="s">
        <v>171</v>
      </c>
      <c r="J200" s="9" t="s">
        <v>177</v>
      </c>
      <c r="K200" s="9" t="s">
        <v>173</v>
      </c>
      <c r="M200"/>
      <c r="N200"/>
      <c r="O200"/>
      <c r="P200"/>
      <c r="Q200"/>
      <c r="R200"/>
      <c r="S200"/>
      <c r="T200" s="9" t="s">
        <v>6375</v>
      </c>
      <c r="U200" s="9" t="s">
        <v>4343</v>
      </c>
      <c r="V200" s="9" t="s">
        <v>6658</v>
      </c>
      <c r="W200" s="9" t="s">
        <v>3709</v>
      </c>
      <c r="X200" s="9" t="s">
        <v>3709</v>
      </c>
    </row>
    <row r="201" spans="1:24" s="9" customFormat="1" ht="15.75" customHeight="1" x14ac:dyDescent="0.15">
      <c r="A201">
        <v>193</v>
      </c>
      <c r="B201" t="s">
        <v>75</v>
      </c>
      <c r="C201" t="s">
        <v>4267</v>
      </c>
      <c r="D201" t="s">
        <v>6659</v>
      </c>
      <c r="E201" s="9" t="s">
        <v>219</v>
      </c>
      <c r="F201">
        <v>6</v>
      </c>
      <c r="G201">
        <v>16</v>
      </c>
      <c r="H201" s="9" t="s">
        <v>6660</v>
      </c>
      <c r="I201" s="9" t="s">
        <v>171</v>
      </c>
      <c r="J201" s="9" t="s">
        <v>177</v>
      </c>
      <c r="K201" s="9" t="s">
        <v>173</v>
      </c>
      <c r="M201"/>
      <c r="N201"/>
      <c r="O201"/>
      <c r="P201"/>
      <c r="Q201"/>
      <c r="R201"/>
      <c r="S201"/>
      <c r="T201" s="9" t="s">
        <v>6375</v>
      </c>
      <c r="U201" s="9" t="s">
        <v>4343</v>
      </c>
      <c r="V201" s="9" t="s">
        <v>6661</v>
      </c>
      <c r="W201" s="9" t="s">
        <v>3709</v>
      </c>
      <c r="X201" s="9" t="s">
        <v>3709</v>
      </c>
    </row>
    <row r="202" spans="1:24" s="9" customFormat="1" ht="15.75" customHeight="1" x14ac:dyDescent="0.15">
      <c r="A202">
        <v>194</v>
      </c>
      <c r="B202" t="s">
        <v>75</v>
      </c>
      <c r="C202" t="s">
        <v>4267</v>
      </c>
      <c r="D202" t="s">
        <v>6662</v>
      </c>
      <c r="E202" s="9" t="s">
        <v>219</v>
      </c>
      <c r="F202">
        <v>6</v>
      </c>
      <c r="G202">
        <v>17</v>
      </c>
      <c r="H202" s="9" t="s">
        <v>6663</v>
      </c>
      <c r="I202" s="9" t="s">
        <v>171</v>
      </c>
      <c r="J202" s="9" t="s">
        <v>177</v>
      </c>
      <c r="K202" s="9" t="s">
        <v>173</v>
      </c>
      <c r="M202"/>
      <c r="N202"/>
      <c r="O202"/>
      <c r="P202"/>
      <c r="Q202"/>
      <c r="R202"/>
      <c r="S202"/>
      <c r="T202" s="9" t="s">
        <v>6375</v>
      </c>
      <c r="U202" s="9" t="s">
        <v>4343</v>
      </c>
      <c r="V202" s="9" t="s">
        <v>6664</v>
      </c>
      <c r="W202" s="9" t="s">
        <v>3709</v>
      </c>
      <c r="X202" s="9" t="s">
        <v>3709</v>
      </c>
    </row>
    <row r="203" spans="1:24" s="9" customFormat="1" ht="15.75" customHeight="1" x14ac:dyDescent="0.15">
      <c r="A203">
        <v>195</v>
      </c>
      <c r="B203" t="s">
        <v>75</v>
      </c>
      <c r="C203" t="s">
        <v>4267</v>
      </c>
      <c r="D203" t="s">
        <v>6665</v>
      </c>
      <c r="E203" s="9" t="s">
        <v>219</v>
      </c>
      <c r="F203">
        <v>6</v>
      </c>
      <c r="G203">
        <v>18</v>
      </c>
      <c r="H203" s="9" t="s">
        <v>6666</v>
      </c>
      <c r="I203" s="9" t="s">
        <v>171</v>
      </c>
      <c r="J203" s="9" t="s">
        <v>177</v>
      </c>
      <c r="K203" s="9" t="s">
        <v>173</v>
      </c>
      <c r="M203"/>
      <c r="N203"/>
      <c r="O203"/>
      <c r="P203"/>
      <c r="Q203"/>
      <c r="R203"/>
      <c r="S203"/>
      <c r="T203" s="9" t="s">
        <v>6375</v>
      </c>
      <c r="U203" s="9" t="s">
        <v>4343</v>
      </c>
      <c r="V203" s="9" t="s">
        <v>6667</v>
      </c>
      <c r="W203" s="9" t="s">
        <v>3709</v>
      </c>
      <c r="X203" s="9" t="s">
        <v>3709</v>
      </c>
    </row>
    <row r="204" spans="1:24" s="9" customFormat="1" ht="15.75" customHeight="1" x14ac:dyDescent="0.15">
      <c r="A204">
        <v>196</v>
      </c>
      <c r="B204" t="s">
        <v>75</v>
      </c>
      <c r="C204" t="s">
        <v>4267</v>
      </c>
      <c r="D204" t="s">
        <v>6668</v>
      </c>
      <c r="E204" s="9" t="s">
        <v>219</v>
      </c>
      <c r="F204">
        <v>8</v>
      </c>
      <c r="G204"/>
      <c r="H204" s="9" t="s">
        <v>3721</v>
      </c>
      <c r="L204" s="9" t="s">
        <v>61</v>
      </c>
      <c r="M204">
        <v>1</v>
      </c>
      <c r="N204"/>
      <c r="O204"/>
      <c r="P204"/>
      <c r="Q204"/>
      <c r="R204"/>
      <c r="S204"/>
      <c r="T204" s="9" t="s">
        <v>6375</v>
      </c>
      <c r="U204" s="9" t="s">
        <v>3853</v>
      </c>
      <c r="V204" s="9" t="s">
        <v>6669</v>
      </c>
      <c r="W204" s="9" t="s">
        <v>3709</v>
      </c>
      <c r="X204" s="9" t="s">
        <v>3709</v>
      </c>
    </row>
    <row r="205" spans="1:24" s="9" customFormat="1" ht="15.75" customHeight="1" x14ac:dyDescent="0.15">
      <c r="A205">
        <v>197</v>
      </c>
      <c r="B205" t="s">
        <v>75</v>
      </c>
      <c r="C205" t="s">
        <v>4267</v>
      </c>
      <c r="D205" t="s">
        <v>6670</v>
      </c>
      <c r="E205" s="9" t="s">
        <v>219</v>
      </c>
      <c r="F205">
        <v>7</v>
      </c>
      <c r="G205">
        <v>0</v>
      </c>
      <c r="H205" s="9" t="s">
        <v>3721</v>
      </c>
      <c r="I205" s="9" t="s">
        <v>171</v>
      </c>
      <c r="J205" s="9" t="s">
        <v>177</v>
      </c>
      <c r="K205" s="9" t="s">
        <v>173</v>
      </c>
      <c r="M205"/>
      <c r="N205"/>
      <c r="O205"/>
      <c r="P205"/>
      <c r="Q205"/>
      <c r="R205"/>
      <c r="S205"/>
      <c r="T205" s="9" t="s">
        <v>6375</v>
      </c>
      <c r="U205" s="9" t="s">
        <v>4343</v>
      </c>
      <c r="V205" s="9" t="s">
        <v>6671</v>
      </c>
      <c r="W205" s="9" t="s">
        <v>3709</v>
      </c>
      <c r="X205" s="9" t="s">
        <v>3709</v>
      </c>
    </row>
    <row r="206" spans="1:24" s="9" customFormat="1" ht="15.75" customHeight="1" x14ac:dyDescent="0.15">
      <c r="A206">
        <v>198</v>
      </c>
      <c r="B206" t="s">
        <v>75</v>
      </c>
      <c r="C206" t="s">
        <v>4267</v>
      </c>
      <c r="D206" t="s">
        <v>6672</v>
      </c>
      <c r="E206" s="9" t="s">
        <v>219</v>
      </c>
      <c r="F206">
        <v>7</v>
      </c>
      <c r="G206">
        <v>1</v>
      </c>
      <c r="H206" s="9" t="s">
        <v>3721</v>
      </c>
      <c r="I206" s="9" t="s">
        <v>171</v>
      </c>
      <c r="J206" s="9" t="s">
        <v>177</v>
      </c>
      <c r="K206" s="9" t="s">
        <v>173</v>
      </c>
      <c r="M206"/>
      <c r="N206"/>
      <c r="O206"/>
      <c r="P206"/>
      <c r="Q206"/>
      <c r="R206"/>
      <c r="S206"/>
      <c r="T206" s="9" t="s">
        <v>6375</v>
      </c>
      <c r="U206" s="9" t="s">
        <v>4343</v>
      </c>
      <c r="V206" s="9" t="s">
        <v>6673</v>
      </c>
      <c r="W206" s="9" t="s">
        <v>3709</v>
      </c>
      <c r="X206" s="9" t="s">
        <v>3709</v>
      </c>
    </row>
    <row r="207" spans="1:24" s="9" customFormat="1" ht="15.75" customHeight="1" x14ac:dyDescent="0.15">
      <c r="A207">
        <v>199</v>
      </c>
      <c r="B207" t="s">
        <v>75</v>
      </c>
      <c r="C207" t="s">
        <v>4267</v>
      </c>
      <c r="D207" t="s">
        <v>6674</v>
      </c>
      <c r="E207" s="9" t="s">
        <v>219</v>
      </c>
      <c r="F207">
        <v>7</v>
      </c>
      <c r="G207">
        <v>2</v>
      </c>
      <c r="H207" s="9" t="s">
        <v>3721</v>
      </c>
      <c r="I207" s="9" t="s">
        <v>171</v>
      </c>
      <c r="J207" s="9" t="s">
        <v>177</v>
      </c>
      <c r="K207" s="9" t="s">
        <v>173</v>
      </c>
      <c r="M207"/>
      <c r="N207"/>
      <c r="O207"/>
      <c r="P207"/>
      <c r="Q207"/>
      <c r="R207"/>
      <c r="S207"/>
      <c r="T207" s="9" t="s">
        <v>6375</v>
      </c>
      <c r="U207" s="9" t="s">
        <v>4343</v>
      </c>
      <c r="V207" s="9" t="s">
        <v>6675</v>
      </c>
      <c r="W207" s="9" t="s">
        <v>3709</v>
      </c>
      <c r="X207" s="9" t="s">
        <v>3709</v>
      </c>
    </row>
    <row r="208" spans="1:24" s="9" customFormat="1" ht="15.75" customHeight="1" x14ac:dyDescent="0.15">
      <c r="A208">
        <v>200</v>
      </c>
      <c r="B208" t="s">
        <v>75</v>
      </c>
      <c r="C208" t="s">
        <v>4267</v>
      </c>
      <c r="D208" t="s">
        <v>6676</v>
      </c>
      <c r="E208" s="9" t="s">
        <v>219</v>
      </c>
      <c r="F208">
        <v>7</v>
      </c>
      <c r="G208">
        <v>3</v>
      </c>
      <c r="H208" s="9" t="s">
        <v>3721</v>
      </c>
      <c r="I208" s="9" t="s">
        <v>171</v>
      </c>
      <c r="J208" s="9" t="s">
        <v>177</v>
      </c>
      <c r="K208" s="9" t="s">
        <v>173</v>
      </c>
      <c r="M208"/>
      <c r="N208"/>
      <c r="O208"/>
      <c r="P208"/>
      <c r="Q208"/>
      <c r="R208"/>
      <c r="S208"/>
      <c r="T208" s="9" t="s">
        <v>6375</v>
      </c>
      <c r="U208" s="9" t="s">
        <v>4343</v>
      </c>
      <c r="V208" s="9" t="s">
        <v>6677</v>
      </c>
      <c r="W208" s="9" t="s">
        <v>3709</v>
      </c>
      <c r="X208" s="9" t="s">
        <v>3709</v>
      </c>
    </row>
    <row r="209" spans="1:24" s="9" customFormat="1" ht="15.75" customHeight="1" x14ac:dyDescent="0.15">
      <c r="A209">
        <v>201</v>
      </c>
      <c r="B209" t="s">
        <v>75</v>
      </c>
      <c r="C209" t="s">
        <v>4267</v>
      </c>
      <c r="D209" t="s">
        <v>6678</v>
      </c>
      <c r="E209" s="9" t="s">
        <v>219</v>
      </c>
      <c r="F209">
        <v>7</v>
      </c>
      <c r="G209">
        <v>4</v>
      </c>
      <c r="H209" s="9" t="s">
        <v>3721</v>
      </c>
      <c r="I209" s="9" t="s">
        <v>171</v>
      </c>
      <c r="J209" s="9" t="s">
        <v>177</v>
      </c>
      <c r="K209" s="9" t="s">
        <v>173</v>
      </c>
      <c r="M209"/>
      <c r="N209"/>
      <c r="O209"/>
      <c r="P209"/>
      <c r="Q209"/>
      <c r="R209"/>
      <c r="S209"/>
      <c r="T209" s="9" t="s">
        <v>6375</v>
      </c>
      <c r="U209" s="9" t="s">
        <v>4343</v>
      </c>
      <c r="V209" s="9" t="s">
        <v>6679</v>
      </c>
      <c r="W209" s="9" t="s">
        <v>3709</v>
      </c>
      <c r="X209" s="9" t="s">
        <v>3709</v>
      </c>
    </row>
    <row r="210" spans="1:24" s="9" customFormat="1" ht="15.75" customHeight="1" x14ac:dyDescent="0.15">
      <c r="A210">
        <v>202</v>
      </c>
      <c r="B210" t="s">
        <v>75</v>
      </c>
      <c r="C210" t="s">
        <v>4267</v>
      </c>
      <c r="D210" t="s">
        <v>6680</v>
      </c>
      <c r="E210" s="9" t="s">
        <v>219</v>
      </c>
      <c r="F210">
        <v>7</v>
      </c>
      <c r="G210">
        <v>5</v>
      </c>
      <c r="H210" s="9" t="s">
        <v>3721</v>
      </c>
      <c r="I210" s="9" t="s">
        <v>171</v>
      </c>
      <c r="J210" s="9" t="s">
        <v>177</v>
      </c>
      <c r="K210" s="9" t="s">
        <v>173</v>
      </c>
      <c r="M210"/>
      <c r="N210"/>
      <c r="O210"/>
      <c r="P210"/>
      <c r="Q210"/>
      <c r="R210"/>
      <c r="S210"/>
      <c r="T210" s="9" t="s">
        <v>6375</v>
      </c>
      <c r="U210" s="9" t="s">
        <v>4343</v>
      </c>
      <c r="V210" s="9" t="s">
        <v>6681</v>
      </c>
      <c r="W210" s="9" t="s">
        <v>3709</v>
      </c>
      <c r="X210" s="9" t="s">
        <v>3709</v>
      </c>
    </row>
    <row r="211" spans="1:24" s="9" customFormat="1" ht="15.75" customHeight="1" x14ac:dyDescent="0.15">
      <c r="A211">
        <v>203</v>
      </c>
      <c r="B211" t="s">
        <v>75</v>
      </c>
      <c r="C211" t="s">
        <v>4267</v>
      </c>
      <c r="D211" t="s">
        <v>6682</v>
      </c>
      <c r="E211" s="9" t="s">
        <v>219</v>
      </c>
      <c r="F211">
        <v>7</v>
      </c>
      <c r="G211">
        <v>6</v>
      </c>
      <c r="H211" s="9" t="s">
        <v>3721</v>
      </c>
      <c r="I211" s="9" t="s">
        <v>171</v>
      </c>
      <c r="J211" s="9" t="s">
        <v>177</v>
      </c>
      <c r="K211" s="9" t="s">
        <v>173</v>
      </c>
      <c r="M211"/>
      <c r="N211"/>
      <c r="O211"/>
      <c r="P211"/>
      <c r="Q211"/>
      <c r="R211"/>
      <c r="S211"/>
      <c r="T211" s="9" t="s">
        <v>6375</v>
      </c>
      <c r="U211" s="9" t="s">
        <v>4343</v>
      </c>
      <c r="V211" s="9" t="s">
        <v>6683</v>
      </c>
      <c r="W211" s="9" t="s">
        <v>3709</v>
      </c>
      <c r="X211" s="9" t="s">
        <v>3709</v>
      </c>
    </row>
    <row r="212" spans="1:24" s="9" customFormat="1" ht="15.75" customHeight="1" x14ac:dyDescent="0.15">
      <c r="A212">
        <v>204</v>
      </c>
      <c r="B212" t="s">
        <v>75</v>
      </c>
      <c r="C212" t="s">
        <v>4267</v>
      </c>
      <c r="D212" t="s">
        <v>6684</v>
      </c>
      <c r="E212" s="9" t="s">
        <v>219</v>
      </c>
      <c r="F212">
        <v>7</v>
      </c>
      <c r="G212">
        <v>7</v>
      </c>
      <c r="H212" s="9" t="s">
        <v>3721</v>
      </c>
      <c r="I212" s="9" t="s">
        <v>171</v>
      </c>
      <c r="J212" s="9" t="s">
        <v>177</v>
      </c>
      <c r="K212" s="9" t="s">
        <v>173</v>
      </c>
      <c r="M212"/>
      <c r="N212"/>
      <c r="O212"/>
      <c r="P212"/>
      <c r="Q212"/>
      <c r="R212"/>
      <c r="S212"/>
      <c r="T212" s="9" t="s">
        <v>6375</v>
      </c>
      <c r="U212" s="9" t="s">
        <v>4343</v>
      </c>
      <c r="V212" s="9" t="s">
        <v>6685</v>
      </c>
      <c r="W212" s="9" t="s">
        <v>3709</v>
      </c>
      <c r="X212" s="9" t="s">
        <v>3709</v>
      </c>
    </row>
    <row r="213" spans="1:24" s="9" customFormat="1" ht="15.75" customHeight="1" x14ac:dyDescent="0.15">
      <c r="A213">
        <v>205</v>
      </c>
      <c r="B213" t="s">
        <v>75</v>
      </c>
      <c r="C213" t="s">
        <v>4267</v>
      </c>
      <c r="D213" t="s">
        <v>6686</v>
      </c>
      <c r="E213" s="9" t="s">
        <v>219</v>
      </c>
      <c r="F213">
        <v>7</v>
      </c>
      <c r="G213">
        <v>8</v>
      </c>
      <c r="H213" s="9" t="s">
        <v>3721</v>
      </c>
      <c r="I213" s="9" t="s">
        <v>171</v>
      </c>
      <c r="J213" s="9" t="s">
        <v>177</v>
      </c>
      <c r="K213" s="9" t="s">
        <v>173</v>
      </c>
      <c r="M213"/>
      <c r="N213"/>
      <c r="O213"/>
      <c r="P213"/>
      <c r="Q213"/>
      <c r="R213"/>
      <c r="S213"/>
      <c r="T213" s="9" t="s">
        <v>6375</v>
      </c>
      <c r="U213" s="9" t="s">
        <v>4343</v>
      </c>
      <c r="V213" s="9" t="s">
        <v>6687</v>
      </c>
      <c r="W213" s="9" t="s">
        <v>3709</v>
      </c>
      <c r="X213" s="9" t="s">
        <v>3709</v>
      </c>
    </row>
    <row r="214" spans="1:24" s="9" customFormat="1" ht="15.75" customHeight="1" x14ac:dyDescent="0.15">
      <c r="A214">
        <v>206</v>
      </c>
      <c r="B214" t="s">
        <v>75</v>
      </c>
      <c r="C214" t="s">
        <v>6035</v>
      </c>
      <c r="D214" t="s">
        <v>6688</v>
      </c>
      <c r="E214" s="9" t="s">
        <v>169</v>
      </c>
      <c r="F214">
        <v>0</v>
      </c>
      <c r="G214"/>
      <c r="H214" s="9" t="s">
        <v>6689</v>
      </c>
      <c r="I214" s="9" t="s">
        <v>171</v>
      </c>
      <c r="J214" s="9" t="s">
        <v>177</v>
      </c>
      <c r="K214" s="9" t="s">
        <v>173</v>
      </c>
      <c r="M214"/>
      <c r="N214"/>
      <c r="O214"/>
      <c r="P214"/>
      <c r="Q214"/>
      <c r="R214"/>
      <c r="S214"/>
      <c r="T214" s="9" t="s">
        <v>6375</v>
      </c>
      <c r="U214" s="9" t="s">
        <v>4343</v>
      </c>
      <c r="V214" s="9" t="s">
        <v>6690</v>
      </c>
      <c r="W214" s="9" t="s">
        <v>3709</v>
      </c>
      <c r="X214" s="9" t="s">
        <v>3709</v>
      </c>
    </row>
    <row r="215" spans="1:24" s="9" customFormat="1" ht="15.75" customHeight="1" x14ac:dyDescent="0.15">
      <c r="A215">
        <v>207</v>
      </c>
      <c r="B215" t="s">
        <v>75</v>
      </c>
      <c r="C215" t="s">
        <v>6035</v>
      </c>
      <c r="D215" t="s">
        <v>6691</v>
      </c>
      <c r="E215" s="9" t="s">
        <v>169</v>
      </c>
      <c r="F215">
        <v>1</v>
      </c>
      <c r="G215"/>
      <c r="H215" s="9" t="s">
        <v>6692</v>
      </c>
      <c r="I215" s="9" t="s">
        <v>171</v>
      </c>
      <c r="J215" s="9" t="s">
        <v>177</v>
      </c>
      <c r="K215" s="9" t="s">
        <v>173</v>
      </c>
      <c r="M215"/>
      <c r="N215"/>
      <c r="O215"/>
      <c r="P215"/>
      <c r="Q215"/>
      <c r="R215"/>
      <c r="S215"/>
      <c r="T215" s="9" t="s">
        <v>6375</v>
      </c>
      <c r="U215" s="9" t="s">
        <v>4343</v>
      </c>
      <c r="V215" s="9" t="s">
        <v>6693</v>
      </c>
      <c r="W215" s="9" t="s">
        <v>3709</v>
      </c>
      <c r="X215" s="9" t="s">
        <v>3709</v>
      </c>
    </row>
    <row r="216" spans="1:24" s="9" customFormat="1" ht="15.75" customHeight="1" x14ac:dyDescent="0.15">
      <c r="A216">
        <v>208</v>
      </c>
      <c r="B216" t="s">
        <v>75</v>
      </c>
      <c r="C216" t="s">
        <v>6035</v>
      </c>
      <c r="D216" t="s">
        <v>6694</v>
      </c>
      <c r="E216" s="9" t="s">
        <v>169</v>
      </c>
      <c r="F216">
        <v>2</v>
      </c>
      <c r="G216"/>
      <c r="H216" s="9" t="s">
        <v>6695</v>
      </c>
      <c r="I216" s="9" t="s">
        <v>196</v>
      </c>
      <c r="J216" s="9" t="s">
        <v>940</v>
      </c>
      <c r="K216" s="9" t="s">
        <v>941</v>
      </c>
      <c r="M216"/>
      <c r="N216"/>
      <c r="O216"/>
      <c r="P216"/>
      <c r="Q216"/>
      <c r="R216"/>
      <c r="S216"/>
      <c r="T216" s="9" t="s">
        <v>6375</v>
      </c>
      <c r="U216" s="9" t="s">
        <v>4343</v>
      </c>
      <c r="V216" s="9" t="s">
        <v>6696</v>
      </c>
      <c r="W216" s="9" t="s">
        <v>3709</v>
      </c>
      <c r="X216" s="9" t="s">
        <v>3709</v>
      </c>
    </row>
    <row r="217" spans="1:24" s="9" customFormat="1" ht="15.75" customHeight="1" x14ac:dyDescent="0.15">
      <c r="A217">
        <v>209</v>
      </c>
      <c r="B217" t="s">
        <v>75</v>
      </c>
      <c r="C217" t="s">
        <v>6035</v>
      </c>
      <c r="D217" t="s">
        <v>6697</v>
      </c>
      <c r="E217" s="9" t="s">
        <v>169</v>
      </c>
      <c r="F217">
        <v>3</v>
      </c>
      <c r="G217"/>
      <c r="H217" s="9" t="s">
        <v>3721</v>
      </c>
      <c r="I217" s="9" t="s">
        <v>171</v>
      </c>
      <c r="J217" s="9" t="s">
        <v>177</v>
      </c>
      <c r="K217" s="9" t="s">
        <v>173</v>
      </c>
      <c r="M217"/>
      <c r="N217"/>
      <c r="O217"/>
      <c r="P217"/>
      <c r="Q217"/>
      <c r="R217"/>
      <c r="S217"/>
      <c r="T217" s="9" t="s">
        <v>6375</v>
      </c>
      <c r="U217" s="9" t="s">
        <v>4343</v>
      </c>
      <c r="V217" s="9" t="s">
        <v>6698</v>
      </c>
      <c r="W217" s="9" t="s">
        <v>3709</v>
      </c>
      <c r="X217" s="9" t="s">
        <v>3709</v>
      </c>
    </row>
    <row r="218" spans="1:24" s="9" customFormat="1" ht="15.75" customHeight="1" x14ac:dyDescent="0.15">
      <c r="A218">
        <v>210</v>
      </c>
      <c r="B218" t="s">
        <v>75</v>
      </c>
      <c r="C218" t="s">
        <v>6035</v>
      </c>
      <c r="D218" t="s">
        <v>6699</v>
      </c>
      <c r="E218" s="9" t="s">
        <v>169</v>
      </c>
      <c r="F218">
        <v>4</v>
      </c>
      <c r="G218"/>
      <c r="H218" s="9" t="s">
        <v>3721</v>
      </c>
      <c r="I218" s="9" t="s">
        <v>171</v>
      </c>
      <c r="J218" s="9" t="s">
        <v>177</v>
      </c>
      <c r="K218" s="9" t="s">
        <v>173</v>
      </c>
      <c r="M218"/>
      <c r="N218"/>
      <c r="O218"/>
      <c r="P218"/>
      <c r="Q218"/>
      <c r="R218"/>
      <c r="S218"/>
      <c r="T218" s="9" t="s">
        <v>6375</v>
      </c>
      <c r="U218" s="9" t="s">
        <v>4343</v>
      </c>
      <c r="V218" s="9" t="s">
        <v>6700</v>
      </c>
      <c r="W218" s="9" t="s">
        <v>3709</v>
      </c>
      <c r="X218" s="9" t="s">
        <v>3709</v>
      </c>
    </row>
    <row r="219" spans="1:24" s="9" customFormat="1" ht="15.75" customHeight="1" x14ac:dyDescent="0.15">
      <c r="A219">
        <v>211</v>
      </c>
      <c r="B219" t="s">
        <v>75</v>
      </c>
      <c r="C219" t="s">
        <v>6035</v>
      </c>
      <c r="D219" t="s">
        <v>6701</v>
      </c>
      <c r="E219" s="9" t="s">
        <v>169</v>
      </c>
      <c r="F219">
        <v>5</v>
      </c>
      <c r="G219"/>
      <c r="H219" s="9" t="s">
        <v>3721</v>
      </c>
      <c r="I219" s="9" t="s">
        <v>171</v>
      </c>
      <c r="J219" s="9" t="s">
        <v>177</v>
      </c>
      <c r="K219" s="9" t="s">
        <v>173</v>
      </c>
      <c r="M219"/>
      <c r="N219"/>
      <c r="O219"/>
      <c r="P219"/>
      <c r="Q219"/>
      <c r="R219"/>
      <c r="S219"/>
      <c r="T219" s="9" t="s">
        <v>6375</v>
      </c>
      <c r="U219" s="9" t="s">
        <v>4343</v>
      </c>
      <c r="V219" s="9" t="s">
        <v>6702</v>
      </c>
      <c r="W219" s="9" t="s">
        <v>3709</v>
      </c>
      <c r="X219" s="9" t="s">
        <v>3709</v>
      </c>
    </row>
    <row r="220" spans="1:24" s="9" customFormat="1" ht="15.75" customHeight="1" x14ac:dyDescent="0.15">
      <c r="A220">
        <v>212</v>
      </c>
      <c r="B220" t="s">
        <v>75</v>
      </c>
      <c r="C220" t="s">
        <v>6035</v>
      </c>
      <c r="D220" t="s">
        <v>6703</v>
      </c>
      <c r="E220" s="9" t="s">
        <v>169</v>
      </c>
      <c r="F220">
        <v>6</v>
      </c>
      <c r="G220"/>
      <c r="H220" s="9" t="s">
        <v>3721</v>
      </c>
      <c r="I220" s="9" t="s">
        <v>171</v>
      </c>
      <c r="J220" s="9" t="s">
        <v>177</v>
      </c>
      <c r="K220" s="9" t="s">
        <v>173</v>
      </c>
      <c r="M220"/>
      <c r="N220"/>
      <c r="O220"/>
      <c r="P220"/>
      <c r="Q220"/>
      <c r="R220"/>
      <c r="S220"/>
      <c r="T220" s="9" t="s">
        <v>6375</v>
      </c>
      <c r="U220" s="9" t="s">
        <v>4343</v>
      </c>
      <c r="V220" s="9" t="s">
        <v>6704</v>
      </c>
      <c r="W220" s="9" t="s">
        <v>3709</v>
      </c>
      <c r="X220" s="9" t="s">
        <v>3709</v>
      </c>
    </row>
    <row r="221" spans="1:24" s="9" customFormat="1" ht="15.75" customHeight="1" x14ac:dyDescent="0.15">
      <c r="A221">
        <v>213</v>
      </c>
      <c r="B221" t="s">
        <v>75</v>
      </c>
      <c r="C221" t="s">
        <v>6035</v>
      </c>
      <c r="D221" t="s">
        <v>6705</v>
      </c>
      <c r="E221" s="9" t="s">
        <v>169</v>
      </c>
      <c r="F221">
        <v>7</v>
      </c>
      <c r="G221"/>
      <c r="H221" s="9" t="s">
        <v>3721</v>
      </c>
      <c r="I221" s="9" t="s">
        <v>171</v>
      </c>
      <c r="J221" s="9" t="s">
        <v>177</v>
      </c>
      <c r="K221" s="9" t="s">
        <v>173</v>
      </c>
      <c r="M221"/>
      <c r="N221"/>
      <c r="O221"/>
      <c r="P221"/>
      <c r="Q221"/>
      <c r="R221"/>
      <c r="S221"/>
      <c r="T221" s="9" t="s">
        <v>6375</v>
      </c>
      <c r="U221" s="9" t="s">
        <v>4343</v>
      </c>
      <c r="V221" s="9" t="s">
        <v>6706</v>
      </c>
      <c r="W221" s="9" t="s">
        <v>3709</v>
      </c>
      <c r="X221" s="9" t="s">
        <v>3709</v>
      </c>
    </row>
    <row r="222" spans="1:24" s="9" customFormat="1" ht="15.75" customHeight="1" x14ac:dyDescent="0.15">
      <c r="A222">
        <v>214</v>
      </c>
      <c r="B222" t="s">
        <v>75</v>
      </c>
      <c r="C222" t="s">
        <v>6035</v>
      </c>
      <c r="D222" t="s">
        <v>6707</v>
      </c>
      <c r="E222" s="9" t="s">
        <v>169</v>
      </c>
      <c r="F222">
        <v>8</v>
      </c>
      <c r="G222"/>
      <c r="H222" s="9" t="s">
        <v>3721</v>
      </c>
      <c r="I222" s="9" t="s">
        <v>171</v>
      </c>
      <c r="J222" s="9" t="s">
        <v>177</v>
      </c>
      <c r="K222" s="9" t="s">
        <v>173</v>
      </c>
      <c r="M222"/>
      <c r="N222"/>
      <c r="O222"/>
      <c r="P222"/>
      <c r="Q222"/>
      <c r="R222"/>
      <c r="S222"/>
      <c r="T222" s="9" t="s">
        <v>6375</v>
      </c>
      <c r="U222" s="9" t="s">
        <v>4343</v>
      </c>
      <c r="V222" s="9" t="s">
        <v>6708</v>
      </c>
      <c r="W222" s="9" t="s">
        <v>3709</v>
      </c>
      <c r="X222" s="9" t="s">
        <v>3709</v>
      </c>
    </row>
    <row r="223" spans="1:24" s="9" customFormat="1" ht="15.75" customHeight="1" x14ac:dyDescent="0.15">
      <c r="A223">
        <v>215</v>
      </c>
      <c r="B223" t="s">
        <v>75</v>
      </c>
      <c r="C223" t="s">
        <v>6035</v>
      </c>
      <c r="D223" t="s">
        <v>6709</v>
      </c>
      <c r="E223" s="9" t="s">
        <v>169</v>
      </c>
      <c r="F223">
        <v>9</v>
      </c>
      <c r="G223"/>
      <c r="H223" s="9" t="s">
        <v>3721</v>
      </c>
      <c r="I223" s="9" t="s">
        <v>171</v>
      </c>
      <c r="J223" s="9" t="s">
        <v>177</v>
      </c>
      <c r="K223" s="9" t="s">
        <v>173</v>
      </c>
      <c r="M223"/>
      <c r="N223"/>
      <c r="O223"/>
      <c r="P223"/>
      <c r="Q223"/>
      <c r="R223"/>
      <c r="S223"/>
      <c r="T223" s="9" t="s">
        <v>6375</v>
      </c>
      <c r="U223" s="9" t="s">
        <v>4343</v>
      </c>
      <c r="V223" s="9" t="s">
        <v>6710</v>
      </c>
      <c r="W223" s="9" t="s">
        <v>3709</v>
      </c>
      <c r="X223" s="9" t="s">
        <v>3709</v>
      </c>
    </row>
    <row r="224" spans="1:24" s="9" customFormat="1" ht="15.75" customHeight="1" x14ac:dyDescent="0.15">
      <c r="A224">
        <v>216</v>
      </c>
      <c r="B224" t="s">
        <v>75</v>
      </c>
      <c r="C224" t="s">
        <v>6035</v>
      </c>
      <c r="D224" t="s">
        <v>6711</v>
      </c>
      <c r="E224" s="9" t="s">
        <v>169</v>
      </c>
      <c r="F224">
        <v>10</v>
      </c>
      <c r="G224"/>
      <c r="H224" s="9" t="s">
        <v>3721</v>
      </c>
      <c r="I224" s="9" t="s">
        <v>171</v>
      </c>
      <c r="J224" s="9" t="s">
        <v>177</v>
      </c>
      <c r="K224" s="9" t="s">
        <v>173</v>
      </c>
      <c r="M224"/>
      <c r="N224"/>
      <c r="O224"/>
      <c r="P224"/>
      <c r="Q224"/>
      <c r="R224"/>
      <c r="S224"/>
      <c r="T224" s="9" t="s">
        <v>6375</v>
      </c>
      <c r="U224" s="9" t="s">
        <v>4343</v>
      </c>
      <c r="V224" s="9" t="s">
        <v>6712</v>
      </c>
      <c r="W224" s="9" t="s">
        <v>3709</v>
      </c>
      <c r="X224" s="9" t="s">
        <v>3709</v>
      </c>
    </row>
    <row r="225" spans="1:24" s="9" customFormat="1" ht="15.75" customHeight="1" x14ac:dyDescent="0.15">
      <c r="A225">
        <v>217</v>
      </c>
      <c r="B225" t="s">
        <v>75</v>
      </c>
      <c r="C225" t="s">
        <v>6035</v>
      </c>
      <c r="D225" t="s">
        <v>6713</v>
      </c>
      <c r="E225" s="9" t="s">
        <v>169</v>
      </c>
      <c r="F225">
        <v>11</v>
      </c>
      <c r="G225"/>
      <c r="H225" s="9" t="s">
        <v>3721</v>
      </c>
      <c r="I225" s="9" t="s">
        <v>171</v>
      </c>
      <c r="J225" s="9" t="s">
        <v>177</v>
      </c>
      <c r="K225" s="9" t="s">
        <v>173</v>
      </c>
      <c r="M225"/>
      <c r="N225"/>
      <c r="O225"/>
      <c r="P225"/>
      <c r="Q225"/>
      <c r="R225"/>
      <c r="S225"/>
      <c r="T225" s="9" t="s">
        <v>6375</v>
      </c>
      <c r="U225" s="9" t="s">
        <v>4343</v>
      </c>
      <c r="V225" s="9" t="s">
        <v>6714</v>
      </c>
      <c r="W225" s="9" t="s">
        <v>3709</v>
      </c>
      <c r="X225" s="9" t="s">
        <v>3709</v>
      </c>
    </row>
    <row r="226" spans="1:24" s="9" customFormat="1" ht="15.75" customHeight="1" x14ac:dyDescent="0.15">
      <c r="A226">
        <v>218</v>
      </c>
      <c r="B226" t="s">
        <v>75</v>
      </c>
      <c r="C226" t="s">
        <v>6035</v>
      </c>
      <c r="D226" t="s">
        <v>6715</v>
      </c>
      <c r="E226" s="9" t="s">
        <v>169</v>
      </c>
      <c r="F226">
        <v>12</v>
      </c>
      <c r="G226"/>
      <c r="H226" s="9" t="s">
        <v>3721</v>
      </c>
      <c r="I226" s="9" t="s">
        <v>171</v>
      </c>
      <c r="J226" s="9" t="s">
        <v>177</v>
      </c>
      <c r="K226" s="9" t="s">
        <v>173</v>
      </c>
      <c r="M226"/>
      <c r="N226"/>
      <c r="O226"/>
      <c r="P226"/>
      <c r="Q226"/>
      <c r="R226"/>
      <c r="S226"/>
      <c r="T226" s="9" t="s">
        <v>6375</v>
      </c>
      <c r="U226" s="9" t="s">
        <v>4343</v>
      </c>
      <c r="V226" s="9" t="s">
        <v>6716</v>
      </c>
      <c r="W226" s="9" t="s">
        <v>3709</v>
      </c>
      <c r="X226" s="9" t="s">
        <v>3709</v>
      </c>
    </row>
    <row r="227" spans="1:24" s="9" customFormat="1" ht="15.75" customHeight="1" x14ac:dyDescent="0.15">
      <c r="A227">
        <v>219</v>
      </c>
      <c r="B227" t="s">
        <v>75</v>
      </c>
      <c r="C227" t="s">
        <v>6035</v>
      </c>
      <c r="D227" t="s">
        <v>6717</v>
      </c>
      <c r="E227" s="9" t="s">
        <v>169</v>
      </c>
      <c r="F227">
        <v>13</v>
      </c>
      <c r="G227"/>
      <c r="H227" s="9" t="s">
        <v>3721</v>
      </c>
      <c r="I227" s="9" t="s">
        <v>171</v>
      </c>
      <c r="J227" s="9" t="s">
        <v>177</v>
      </c>
      <c r="K227" s="9" t="s">
        <v>173</v>
      </c>
      <c r="M227"/>
      <c r="N227"/>
      <c r="O227"/>
      <c r="P227"/>
      <c r="Q227"/>
      <c r="R227"/>
      <c r="S227"/>
      <c r="T227" s="9" t="s">
        <v>6375</v>
      </c>
      <c r="U227" s="9" t="s">
        <v>4343</v>
      </c>
      <c r="V227" s="9" t="s">
        <v>6718</v>
      </c>
      <c r="W227" s="9" t="s">
        <v>3709</v>
      </c>
      <c r="X227" s="9" t="s">
        <v>3709</v>
      </c>
    </row>
    <row r="228" spans="1:24" s="9" customFormat="1" ht="15.75" customHeight="1" x14ac:dyDescent="0.15">
      <c r="A228">
        <v>220</v>
      </c>
      <c r="B228" t="s">
        <v>75</v>
      </c>
      <c r="C228" t="s">
        <v>6035</v>
      </c>
      <c r="D228" t="s">
        <v>6719</v>
      </c>
      <c r="E228" s="9" t="s">
        <v>169</v>
      </c>
      <c r="F228">
        <v>14</v>
      </c>
      <c r="G228"/>
      <c r="H228" s="9" t="s">
        <v>3721</v>
      </c>
      <c r="I228" s="9" t="s">
        <v>171</v>
      </c>
      <c r="J228" s="9" t="s">
        <v>177</v>
      </c>
      <c r="K228" s="9" t="s">
        <v>173</v>
      </c>
      <c r="M228"/>
      <c r="N228"/>
      <c r="O228"/>
      <c r="P228"/>
      <c r="Q228"/>
      <c r="R228"/>
      <c r="S228"/>
      <c r="T228" s="9" t="s">
        <v>6375</v>
      </c>
      <c r="U228" s="9" t="s">
        <v>4343</v>
      </c>
      <c r="V228" s="9" t="s">
        <v>6720</v>
      </c>
      <c r="W228" s="9" t="s">
        <v>3709</v>
      </c>
      <c r="X228" s="9" t="s">
        <v>3709</v>
      </c>
    </row>
    <row r="229" spans="1:24" s="9" customFormat="1" ht="15.75" customHeight="1" x14ac:dyDescent="0.15">
      <c r="A229">
        <v>221</v>
      </c>
      <c r="B229" t="s">
        <v>75</v>
      </c>
      <c r="C229" t="s">
        <v>6035</v>
      </c>
      <c r="D229" t="s">
        <v>6721</v>
      </c>
      <c r="E229" s="9" t="s">
        <v>169</v>
      </c>
      <c r="F229">
        <v>15</v>
      </c>
      <c r="G229"/>
      <c r="H229" s="9" t="s">
        <v>3721</v>
      </c>
      <c r="I229" s="9" t="s">
        <v>171</v>
      </c>
      <c r="J229" s="9" t="s">
        <v>177</v>
      </c>
      <c r="K229" s="9" t="s">
        <v>173</v>
      </c>
      <c r="M229"/>
      <c r="N229"/>
      <c r="O229"/>
      <c r="P229"/>
      <c r="Q229"/>
      <c r="R229"/>
      <c r="S229"/>
      <c r="T229" s="9" t="s">
        <v>6375</v>
      </c>
      <c r="U229" s="9" t="s">
        <v>4343</v>
      </c>
      <c r="V229" s="9" t="s">
        <v>6722</v>
      </c>
      <c r="W229" s="9" t="s">
        <v>3709</v>
      </c>
      <c r="X229" s="9" t="s">
        <v>3709</v>
      </c>
    </row>
    <row r="230" spans="1:24" s="9" customFormat="1" ht="15.75" customHeight="1" x14ac:dyDescent="0.15">
      <c r="A230">
        <v>222</v>
      </c>
      <c r="B230" t="s">
        <v>75</v>
      </c>
      <c r="C230" t="s">
        <v>6035</v>
      </c>
      <c r="D230" t="s">
        <v>6723</v>
      </c>
      <c r="E230" s="9" t="s">
        <v>169</v>
      </c>
      <c r="F230">
        <v>16</v>
      </c>
      <c r="G230"/>
      <c r="H230" s="9" t="s">
        <v>3721</v>
      </c>
      <c r="I230" s="9" t="s">
        <v>171</v>
      </c>
      <c r="J230" s="9" t="s">
        <v>177</v>
      </c>
      <c r="K230" s="9" t="s">
        <v>173</v>
      </c>
      <c r="M230"/>
      <c r="N230"/>
      <c r="O230"/>
      <c r="P230"/>
      <c r="Q230"/>
      <c r="R230"/>
      <c r="S230"/>
      <c r="T230" s="9" t="s">
        <v>6375</v>
      </c>
      <c r="U230" s="9" t="s">
        <v>4343</v>
      </c>
      <c r="V230" s="9" t="s">
        <v>6724</v>
      </c>
      <c r="W230" s="9" t="s">
        <v>3709</v>
      </c>
      <c r="X230" s="9" t="s">
        <v>6725</v>
      </c>
    </row>
    <row r="231" spans="1:24" s="9" customFormat="1" ht="15.75" customHeight="1" x14ac:dyDescent="0.15">
      <c r="A231">
        <v>223</v>
      </c>
      <c r="B231" t="s">
        <v>75</v>
      </c>
      <c r="C231" t="s">
        <v>6035</v>
      </c>
      <c r="D231" t="s">
        <v>6726</v>
      </c>
      <c r="E231" s="9" t="s">
        <v>169</v>
      </c>
      <c r="F231">
        <v>17</v>
      </c>
      <c r="G231"/>
      <c r="H231" s="9" t="s">
        <v>3721</v>
      </c>
      <c r="I231" s="9" t="s">
        <v>171</v>
      </c>
      <c r="J231" s="9" t="s">
        <v>177</v>
      </c>
      <c r="K231" s="9" t="s">
        <v>173</v>
      </c>
      <c r="M231"/>
      <c r="N231"/>
      <c r="O231"/>
      <c r="P231"/>
      <c r="Q231"/>
      <c r="R231"/>
      <c r="S231"/>
      <c r="T231" s="9" t="s">
        <v>6375</v>
      </c>
      <c r="U231" s="9" t="s">
        <v>4343</v>
      </c>
      <c r="V231" s="9" t="s">
        <v>6727</v>
      </c>
      <c r="W231" s="9" t="s">
        <v>3709</v>
      </c>
      <c r="X231" s="9" t="s">
        <v>6728</v>
      </c>
    </row>
    <row r="232" spans="1:24" s="9" customFormat="1" ht="15.75" customHeight="1" x14ac:dyDescent="0.15">
      <c r="A232">
        <v>224</v>
      </c>
      <c r="B232" t="s">
        <v>75</v>
      </c>
      <c r="C232" t="s">
        <v>6035</v>
      </c>
      <c r="D232" t="s">
        <v>6729</v>
      </c>
      <c r="E232" s="9" t="s">
        <v>169</v>
      </c>
      <c r="F232">
        <v>18</v>
      </c>
      <c r="G232"/>
      <c r="H232" s="9" t="s">
        <v>3721</v>
      </c>
      <c r="I232" s="9" t="s">
        <v>171</v>
      </c>
      <c r="J232" s="9" t="s">
        <v>177</v>
      </c>
      <c r="K232" s="9" t="s">
        <v>173</v>
      </c>
      <c r="M232"/>
      <c r="N232"/>
      <c r="O232"/>
      <c r="P232"/>
      <c r="Q232"/>
      <c r="R232"/>
      <c r="S232"/>
      <c r="T232" s="9" t="s">
        <v>6375</v>
      </c>
      <c r="U232" s="9" t="s">
        <v>4343</v>
      </c>
      <c r="V232" s="9" t="s">
        <v>6730</v>
      </c>
      <c r="W232" s="9" t="s">
        <v>3709</v>
      </c>
      <c r="X232" s="9" t="s">
        <v>3709</v>
      </c>
    </row>
    <row r="233" spans="1:24" s="9" customFormat="1" ht="15.75" customHeight="1" x14ac:dyDescent="0.15">
      <c r="A233">
        <v>225</v>
      </c>
      <c r="B233" t="s">
        <v>75</v>
      </c>
      <c r="C233" t="s">
        <v>6035</v>
      </c>
      <c r="D233" t="s">
        <v>6731</v>
      </c>
      <c r="E233" s="9" t="s">
        <v>169</v>
      </c>
      <c r="F233">
        <v>19</v>
      </c>
      <c r="G233"/>
      <c r="H233" s="9" t="s">
        <v>3721</v>
      </c>
      <c r="I233" s="9" t="s">
        <v>171</v>
      </c>
      <c r="J233" s="9" t="s">
        <v>177</v>
      </c>
      <c r="K233" s="9" t="s">
        <v>173</v>
      </c>
      <c r="M233"/>
      <c r="N233"/>
      <c r="O233"/>
      <c r="P233"/>
      <c r="Q233"/>
      <c r="R233"/>
      <c r="S233"/>
      <c r="T233" s="9" t="s">
        <v>6375</v>
      </c>
      <c r="U233" s="9" t="s">
        <v>4343</v>
      </c>
      <c r="V233" s="9" t="s">
        <v>6732</v>
      </c>
      <c r="W233" s="9" t="s">
        <v>3709</v>
      </c>
      <c r="X233" s="9" t="s">
        <v>3709</v>
      </c>
    </row>
    <row r="234" spans="1:24" s="9" customFormat="1" ht="15.75" customHeight="1" x14ac:dyDescent="0.15">
      <c r="A234">
        <v>226</v>
      </c>
      <c r="B234" t="s">
        <v>75</v>
      </c>
      <c r="C234" t="s">
        <v>6035</v>
      </c>
      <c r="D234" t="s">
        <v>6733</v>
      </c>
      <c r="E234" s="9" t="s">
        <v>169</v>
      </c>
      <c r="F234">
        <v>20</v>
      </c>
      <c r="G234"/>
      <c r="H234" s="9" t="s">
        <v>3721</v>
      </c>
      <c r="I234" s="9" t="s">
        <v>171</v>
      </c>
      <c r="J234" s="9" t="s">
        <v>177</v>
      </c>
      <c r="K234" s="9" t="s">
        <v>173</v>
      </c>
      <c r="M234"/>
      <c r="N234"/>
      <c r="O234"/>
      <c r="P234"/>
      <c r="Q234"/>
      <c r="R234"/>
      <c r="S234"/>
      <c r="T234" s="9" t="s">
        <v>6375</v>
      </c>
      <c r="U234" s="9" t="s">
        <v>4343</v>
      </c>
      <c r="V234" s="9" t="s">
        <v>6734</v>
      </c>
      <c r="W234" s="9" t="s">
        <v>3709</v>
      </c>
      <c r="X234" s="9" t="s">
        <v>3709</v>
      </c>
    </row>
    <row r="235" spans="1:24" s="9" customFormat="1" ht="15.75" customHeight="1" x14ac:dyDescent="0.15">
      <c r="A235">
        <v>227</v>
      </c>
      <c r="B235" t="s">
        <v>75</v>
      </c>
      <c r="C235" t="s">
        <v>6035</v>
      </c>
      <c r="D235" t="s">
        <v>6735</v>
      </c>
      <c r="E235" s="9" t="s">
        <v>169</v>
      </c>
      <c r="F235">
        <v>21</v>
      </c>
      <c r="G235"/>
      <c r="H235" s="9" t="s">
        <v>3721</v>
      </c>
      <c r="I235" s="9" t="s">
        <v>171</v>
      </c>
      <c r="J235" s="9" t="s">
        <v>177</v>
      </c>
      <c r="K235" s="9" t="s">
        <v>173</v>
      </c>
      <c r="M235"/>
      <c r="N235"/>
      <c r="O235"/>
      <c r="P235"/>
      <c r="Q235"/>
      <c r="R235"/>
      <c r="S235"/>
      <c r="T235" s="9" t="s">
        <v>6375</v>
      </c>
      <c r="U235" s="9" t="s">
        <v>4343</v>
      </c>
      <c r="V235" s="9" t="s">
        <v>6736</v>
      </c>
      <c r="W235" s="9" t="s">
        <v>3709</v>
      </c>
      <c r="X235" s="9" t="s">
        <v>3709</v>
      </c>
    </row>
    <row r="236" spans="1:24" s="9" customFormat="1" ht="15.75" customHeight="1" x14ac:dyDescent="0.15">
      <c r="A236">
        <v>228</v>
      </c>
      <c r="B236" t="s">
        <v>75</v>
      </c>
      <c r="C236" t="s">
        <v>6035</v>
      </c>
      <c r="D236" t="s">
        <v>6737</v>
      </c>
      <c r="E236" s="9" t="s">
        <v>169</v>
      </c>
      <c r="F236">
        <v>22</v>
      </c>
      <c r="G236"/>
      <c r="H236" s="9" t="s">
        <v>3721</v>
      </c>
      <c r="I236" s="9" t="s">
        <v>171</v>
      </c>
      <c r="J236" s="9" t="s">
        <v>177</v>
      </c>
      <c r="K236" s="9" t="s">
        <v>173</v>
      </c>
      <c r="M236"/>
      <c r="N236"/>
      <c r="O236"/>
      <c r="P236"/>
      <c r="Q236"/>
      <c r="R236"/>
      <c r="S236"/>
      <c r="T236" s="9" t="s">
        <v>6375</v>
      </c>
      <c r="U236" s="9" t="s">
        <v>4343</v>
      </c>
      <c r="V236" s="9" t="s">
        <v>6738</v>
      </c>
      <c r="W236" s="9" t="s">
        <v>3709</v>
      </c>
      <c r="X236" s="9" t="s">
        <v>3709</v>
      </c>
    </row>
    <row r="237" spans="1:24" s="9" customFormat="1" ht="15.75" customHeight="1" x14ac:dyDescent="0.15">
      <c r="A237">
        <v>229</v>
      </c>
      <c r="B237" t="s">
        <v>75</v>
      </c>
      <c r="C237" t="s">
        <v>6035</v>
      </c>
      <c r="D237" t="s">
        <v>6739</v>
      </c>
      <c r="E237" s="9" t="s">
        <v>169</v>
      </c>
      <c r="F237">
        <v>23</v>
      </c>
      <c r="G237"/>
      <c r="H237" s="9" t="s">
        <v>3721</v>
      </c>
      <c r="I237" s="9" t="s">
        <v>171</v>
      </c>
      <c r="J237" s="9" t="s">
        <v>177</v>
      </c>
      <c r="K237" s="9" t="s">
        <v>173</v>
      </c>
      <c r="M237"/>
      <c r="N237"/>
      <c r="O237"/>
      <c r="P237"/>
      <c r="Q237"/>
      <c r="R237"/>
      <c r="S237"/>
      <c r="T237" s="9" t="s">
        <v>6375</v>
      </c>
      <c r="U237" s="9" t="s">
        <v>4343</v>
      </c>
      <c r="V237" s="9" t="s">
        <v>6740</v>
      </c>
      <c r="W237" s="9" t="s">
        <v>3709</v>
      </c>
      <c r="X237" s="9" t="s">
        <v>3709</v>
      </c>
    </row>
    <row r="238" spans="1:24" s="9" customFormat="1" ht="15.75" customHeight="1" x14ac:dyDescent="0.15">
      <c r="A238">
        <v>230</v>
      </c>
      <c r="B238" t="s">
        <v>75</v>
      </c>
      <c r="C238" t="s">
        <v>6035</v>
      </c>
      <c r="D238" t="s">
        <v>6741</v>
      </c>
      <c r="E238" s="9" t="s">
        <v>169</v>
      </c>
      <c r="F238">
        <v>24</v>
      </c>
      <c r="G238"/>
      <c r="H238" s="9" t="s">
        <v>3721</v>
      </c>
      <c r="I238" s="9" t="s">
        <v>171</v>
      </c>
      <c r="J238" s="9" t="s">
        <v>177</v>
      </c>
      <c r="K238" s="9" t="s">
        <v>173</v>
      </c>
      <c r="M238"/>
      <c r="N238"/>
      <c r="O238"/>
      <c r="P238"/>
      <c r="Q238"/>
      <c r="R238"/>
      <c r="S238"/>
      <c r="T238" s="9" t="s">
        <v>6375</v>
      </c>
      <c r="U238" s="9" t="s">
        <v>4343</v>
      </c>
      <c r="V238" s="9" t="s">
        <v>6742</v>
      </c>
      <c r="W238" s="9" t="s">
        <v>3709</v>
      </c>
      <c r="X238" s="9" t="s">
        <v>3709</v>
      </c>
    </row>
    <row r="239" spans="1:24" s="9" customFormat="1" ht="15.75" customHeight="1" x14ac:dyDescent="0.15">
      <c r="A239">
        <v>231</v>
      </c>
      <c r="B239" t="s">
        <v>75</v>
      </c>
      <c r="C239" t="s">
        <v>6035</v>
      </c>
      <c r="D239" t="s">
        <v>6743</v>
      </c>
      <c r="E239" s="9" t="s">
        <v>169</v>
      </c>
      <c r="F239">
        <v>25</v>
      </c>
      <c r="G239"/>
      <c r="H239" s="9" t="s">
        <v>3721</v>
      </c>
      <c r="I239" s="9" t="s">
        <v>171</v>
      </c>
      <c r="J239" s="9" t="s">
        <v>177</v>
      </c>
      <c r="K239" s="9" t="s">
        <v>173</v>
      </c>
      <c r="M239"/>
      <c r="N239"/>
      <c r="O239"/>
      <c r="P239"/>
      <c r="Q239"/>
      <c r="R239"/>
      <c r="S239"/>
      <c r="T239" s="9" t="s">
        <v>6375</v>
      </c>
      <c r="U239" s="9" t="s">
        <v>4343</v>
      </c>
      <c r="V239" s="9" t="s">
        <v>6744</v>
      </c>
      <c r="W239" s="9" t="s">
        <v>3709</v>
      </c>
      <c r="X239" s="9" t="s">
        <v>3709</v>
      </c>
    </row>
    <row r="240" spans="1:24" s="9" customFormat="1" ht="15.75" customHeight="1" x14ac:dyDescent="0.15">
      <c r="A240">
        <v>232</v>
      </c>
      <c r="B240" t="s">
        <v>75</v>
      </c>
      <c r="C240" t="s">
        <v>6035</v>
      </c>
      <c r="D240" t="s">
        <v>6745</v>
      </c>
      <c r="E240" s="9" t="s">
        <v>169</v>
      </c>
      <c r="F240">
        <v>26</v>
      </c>
      <c r="G240"/>
      <c r="H240" s="9" t="s">
        <v>3721</v>
      </c>
      <c r="I240" s="9" t="s">
        <v>171</v>
      </c>
      <c r="J240" s="9" t="s">
        <v>177</v>
      </c>
      <c r="K240" s="9" t="s">
        <v>173</v>
      </c>
      <c r="M240"/>
      <c r="N240"/>
      <c r="O240"/>
      <c r="P240"/>
      <c r="Q240"/>
      <c r="R240"/>
      <c r="S240"/>
      <c r="T240" s="9" t="s">
        <v>6375</v>
      </c>
      <c r="U240" s="9" t="s">
        <v>4343</v>
      </c>
      <c r="V240" s="9" t="s">
        <v>6746</v>
      </c>
      <c r="W240" s="9" t="s">
        <v>3709</v>
      </c>
      <c r="X240" s="9" t="s">
        <v>3709</v>
      </c>
    </row>
    <row r="241" spans="1:24" s="9" customFormat="1" ht="15.75" customHeight="1" x14ac:dyDescent="0.15">
      <c r="A241">
        <v>233</v>
      </c>
      <c r="B241" t="s">
        <v>75</v>
      </c>
      <c r="C241" t="s">
        <v>6035</v>
      </c>
      <c r="D241" t="s">
        <v>6747</v>
      </c>
      <c r="E241" s="9" t="s">
        <v>169</v>
      </c>
      <c r="F241">
        <v>27</v>
      </c>
      <c r="G241"/>
      <c r="H241" s="9" t="s">
        <v>3721</v>
      </c>
      <c r="I241" s="9" t="s">
        <v>171</v>
      </c>
      <c r="J241" s="9" t="s">
        <v>177</v>
      </c>
      <c r="K241" s="9" t="s">
        <v>173</v>
      </c>
      <c r="M241"/>
      <c r="N241"/>
      <c r="O241"/>
      <c r="P241"/>
      <c r="Q241"/>
      <c r="R241"/>
      <c r="S241"/>
      <c r="T241" s="9" t="s">
        <v>6375</v>
      </c>
      <c r="U241" s="9" t="s">
        <v>4343</v>
      </c>
      <c r="V241" s="9" t="s">
        <v>6748</v>
      </c>
      <c r="W241" s="9" t="s">
        <v>3709</v>
      </c>
      <c r="X241" s="9" t="s">
        <v>3709</v>
      </c>
    </row>
    <row r="242" spans="1:24" s="9" customFormat="1" ht="15.75" customHeight="1" x14ac:dyDescent="0.15">
      <c r="A242">
        <v>234</v>
      </c>
      <c r="B242" t="s">
        <v>75</v>
      </c>
      <c r="C242" t="s">
        <v>6035</v>
      </c>
      <c r="D242" t="s">
        <v>6749</v>
      </c>
      <c r="E242" s="9" t="s">
        <v>169</v>
      </c>
      <c r="F242">
        <v>28</v>
      </c>
      <c r="G242"/>
      <c r="H242" s="9" t="s">
        <v>3721</v>
      </c>
      <c r="I242" s="9" t="s">
        <v>171</v>
      </c>
      <c r="J242" s="9" t="s">
        <v>177</v>
      </c>
      <c r="K242" s="9" t="s">
        <v>173</v>
      </c>
      <c r="M242"/>
      <c r="N242"/>
      <c r="O242"/>
      <c r="P242"/>
      <c r="Q242"/>
      <c r="R242"/>
      <c r="S242"/>
      <c r="T242" s="9" t="s">
        <v>6375</v>
      </c>
      <c r="U242" s="9" t="s">
        <v>4343</v>
      </c>
      <c r="V242" s="9" t="s">
        <v>6750</v>
      </c>
      <c r="W242" s="9" t="s">
        <v>3709</v>
      </c>
      <c r="X242" s="9" t="s">
        <v>3709</v>
      </c>
    </row>
    <row r="243" spans="1:24" s="9" customFormat="1" ht="15.75" customHeight="1" x14ac:dyDescent="0.15">
      <c r="A243">
        <v>235</v>
      </c>
      <c r="B243" t="s">
        <v>75</v>
      </c>
      <c r="C243" t="s">
        <v>6035</v>
      </c>
      <c r="D243" t="s">
        <v>6751</v>
      </c>
      <c r="E243" s="9" t="s">
        <v>169</v>
      </c>
      <c r="F243">
        <v>29</v>
      </c>
      <c r="G243"/>
      <c r="H243" s="9" t="s">
        <v>3721</v>
      </c>
      <c r="I243" s="9" t="s">
        <v>171</v>
      </c>
      <c r="J243" s="9" t="s">
        <v>177</v>
      </c>
      <c r="K243" s="9" t="s">
        <v>173</v>
      </c>
      <c r="M243"/>
      <c r="N243"/>
      <c r="O243"/>
      <c r="P243"/>
      <c r="Q243"/>
      <c r="R243"/>
      <c r="S243"/>
      <c r="T243" s="9" t="s">
        <v>6375</v>
      </c>
      <c r="U243" s="9" t="s">
        <v>4343</v>
      </c>
      <c r="V243" s="9" t="s">
        <v>6752</v>
      </c>
      <c r="W243" s="9" t="s">
        <v>3709</v>
      </c>
      <c r="X243" s="9" t="s">
        <v>3709</v>
      </c>
    </row>
    <row r="244" spans="1:24" s="9" customFormat="1" ht="15.75" customHeight="1" x14ac:dyDescent="0.15">
      <c r="A244">
        <v>236</v>
      </c>
      <c r="B244" t="s">
        <v>75</v>
      </c>
      <c r="C244" t="s">
        <v>6035</v>
      </c>
      <c r="D244" t="s">
        <v>6753</v>
      </c>
      <c r="E244" s="9" t="s">
        <v>169</v>
      </c>
      <c r="F244">
        <v>30</v>
      </c>
      <c r="G244"/>
      <c r="H244" s="9" t="s">
        <v>3721</v>
      </c>
      <c r="I244" s="9" t="s">
        <v>171</v>
      </c>
      <c r="J244" s="9" t="s">
        <v>177</v>
      </c>
      <c r="K244" s="9" t="s">
        <v>173</v>
      </c>
      <c r="M244"/>
      <c r="N244"/>
      <c r="O244"/>
      <c r="P244"/>
      <c r="Q244"/>
      <c r="R244"/>
      <c r="S244"/>
      <c r="T244" s="9" t="s">
        <v>6375</v>
      </c>
      <c r="U244" s="9" t="s">
        <v>4343</v>
      </c>
      <c r="V244" s="9" t="s">
        <v>6754</v>
      </c>
      <c r="W244" s="9" t="s">
        <v>3709</v>
      </c>
      <c r="X244" s="9" t="s">
        <v>3709</v>
      </c>
    </row>
    <row r="245" spans="1:24" s="9" customFormat="1" ht="15.75" customHeight="1" x14ac:dyDescent="0.15">
      <c r="A245">
        <v>237</v>
      </c>
      <c r="B245" t="s">
        <v>75</v>
      </c>
      <c r="C245" t="s">
        <v>6035</v>
      </c>
      <c r="D245" t="s">
        <v>6755</v>
      </c>
      <c r="E245" s="9" t="s">
        <v>169</v>
      </c>
      <c r="F245">
        <v>31</v>
      </c>
      <c r="G245"/>
      <c r="H245" s="9" t="s">
        <v>3721</v>
      </c>
      <c r="I245" s="9" t="s">
        <v>171</v>
      </c>
      <c r="J245" s="9" t="s">
        <v>177</v>
      </c>
      <c r="K245" s="9" t="s">
        <v>173</v>
      </c>
      <c r="M245"/>
      <c r="N245"/>
      <c r="O245"/>
      <c r="P245"/>
      <c r="Q245"/>
      <c r="R245"/>
      <c r="S245"/>
      <c r="T245" s="9" t="s">
        <v>6375</v>
      </c>
      <c r="U245" s="9" t="s">
        <v>4343</v>
      </c>
      <c r="V245" s="9" t="s">
        <v>6756</v>
      </c>
      <c r="W245" s="9" t="s">
        <v>3709</v>
      </c>
      <c r="X245" s="9" t="s">
        <v>3709</v>
      </c>
    </row>
    <row r="246" spans="1:24" s="9" customFormat="1" ht="15.75" customHeight="1" x14ac:dyDescent="0.15">
      <c r="A246">
        <v>238</v>
      </c>
      <c r="B246" t="s">
        <v>75</v>
      </c>
      <c r="C246" t="s">
        <v>6035</v>
      </c>
      <c r="D246" t="s">
        <v>6757</v>
      </c>
      <c r="E246" s="9" t="s">
        <v>169</v>
      </c>
      <c r="F246">
        <v>32</v>
      </c>
      <c r="G246"/>
      <c r="H246" s="9" t="s">
        <v>3721</v>
      </c>
      <c r="I246" s="9" t="s">
        <v>171</v>
      </c>
      <c r="J246" s="9" t="s">
        <v>177</v>
      </c>
      <c r="K246" s="9" t="s">
        <v>173</v>
      </c>
      <c r="M246"/>
      <c r="N246"/>
      <c r="O246"/>
      <c r="P246"/>
      <c r="Q246"/>
      <c r="R246"/>
      <c r="S246"/>
      <c r="T246" s="9" t="s">
        <v>6375</v>
      </c>
      <c r="U246" s="9" t="s">
        <v>4343</v>
      </c>
      <c r="V246" s="9" t="s">
        <v>6758</v>
      </c>
      <c r="W246" s="9" t="s">
        <v>3709</v>
      </c>
      <c r="X246" s="9" t="s">
        <v>3709</v>
      </c>
    </row>
    <row r="247" spans="1:24" s="9" customFormat="1" ht="15.75" customHeight="1" x14ac:dyDescent="0.15">
      <c r="A247">
        <v>239</v>
      </c>
      <c r="B247" t="s">
        <v>75</v>
      </c>
      <c r="C247" t="s">
        <v>6035</v>
      </c>
      <c r="D247" t="s">
        <v>6759</v>
      </c>
      <c r="E247" s="9" t="s">
        <v>169</v>
      </c>
      <c r="F247">
        <v>33</v>
      </c>
      <c r="G247"/>
      <c r="H247" s="9" t="s">
        <v>3721</v>
      </c>
      <c r="I247" s="9" t="s">
        <v>171</v>
      </c>
      <c r="J247" s="9" t="s">
        <v>177</v>
      </c>
      <c r="K247" s="9" t="s">
        <v>173</v>
      </c>
      <c r="M247"/>
      <c r="N247"/>
      <c r="O247"/>
      <c r="P247"/>
      <c r="Q247"/>
      <c r="R247"/>
      <c r="S247"/>
      <c r="T247" s="9" t="s">
        <v>6375</v>
      </c>
      <c r="U247" s="9" t="s">
        <v>4343</v>
      </c>
      <c r="V247" s="9" t="s">
        <v>6760</v>
      </c>
      <c r="W247" s="9" t="s">
        <v>3709</v>
      </c>
      <c r="X247" s="9" t="s">
        <v>3709</v>
      </c>
    </row>
    <row r="248" spans="1:24" s="9" customFormat="1" ht="15.75" customHeight="1" x14ac:dyDescent="0.15">
      <c r="A248">
        <v>240</v>
      </c>
      <c r="B248" t="s">
        <v>75</v>
      </c>
      <c r="C248" t="s">
        <v>6035</v>
      </c>
      <c r="D248" t="s">
        <v>6761</v>
      </c>
      <c r="E248" s="9" t="s">
        <v>169</v>
      </c>
      <c r="F248">
        <v>34</v>
      </c>
      <c r="G248"/>
      <c r="H248" s="9" t="s">
        <v>3721</v>
      </c>
      <c r="I248" s="9" t="s">
        <v>171</v>
      </c>
      <c r="J248" s="9" t="s">
        <v>177</v>
      </c>
      <c r="K248" s="9" t="s">
        <v>173</v>
      </c>
      <c r="M248"/>
      <c r="N248"/>
      <c r="O248"/>
      <c r="P248"/>
      <c r="Q248"/>
      <c r="R248"/>
      <c r="S248"/>
      <c r="T248" s="9" t="s">
        <v>6375</v>
      </c>
      <c r="U248" s="9" t="s">
        <v>4343</v>
      </c>
      <c r="V248" s="9" t="s">
        <v>6762</v>
      </c>
      <c r="W248" s="9" t="s">
        <v>3709</v>
      </c>
      <c r="X248" s="9" t="s">
        <v>3709</v>
      </c>
    </row>
    <row r="249" spans="1:24" s="9" customFormat="1" ht="15.75" customHeight="1" x14ac:dyDescent="0.15">
      <c r="A249">
        <v>241</v>
      </c>
      <c r="B249" t="s">
        <v>75</v>
      </c>
      <c r="C249" t="s">
        <v>6035</v>
      </c>
      <c r="D249" t="s">
        <v>6763</v>
      </c>
      <c r="E249" s="9" t="s">
        <v>169</v>
      </c>
      <c r="F249">
        <v>35</v>
      </c>
      <c r="G249"/>
      <c r="H249" s="9" t="s">
        <v>3721</v>
      </c>
      <c r="I249" s="9" t="s">
        <v>171</v>
      </c>
      <c r="J249" s="9" t="s">
        <v>177</v>
      </c>
      <c r="K249" s="9" t="s">
        <v>173</v>
      </c>
      <c r="M249"/>
      <c r="N249"/>
      <c r="O249"/>
      <c r="P249"/>
      <c r="Q249"/>
      <c r="R249"/>
      <c r="S249"/>
      <c r="T249" s="9" t="s">
        <v>6375</v>
      </c>
      <c r="U249" s="9" t="s">
        <v>4343</v>
      </c>
      <c r="V249" s="9" t="s">
        <v>6764</v>
      </c>
      <c r="W249" s="9" t="s">
        <v>3709</v>
      </c>
      <c r="X249" s="9" t="s">
        <v>3709</v>
      </c>
    </row>
    <row r="250" spans="1:24" s="9" customFormat="1" ht="15.75" customHeight="1" x14ac:dyDescent="0.15">
      <c r="A250">
        <v>242</v>
      </c>
      <c r="B250" t="s">
        <v>75</v>
      </c>
      <c r="C250" t="s">
        <v>6035</v>
      </c>
      <c r="D250" t="s">
        <v>6765</v>
      </c>
      <c r="E250" s="9" t="s">
        <v>169</v>
      </c>
      <c r="F250">
        <v>36</v>
      </c>
      <c r="G250"/>
      <c r="H250" s="9" t="s">
        <v>3721</v>
      </c>
      <c r="I250" s="9" t="s">
        <v>171</v>
      </c>
      <c r="J250" s="9" t="s">
        <v>177</v>
      </c>
      <c r="K250" s="9" t="s">
        <v>173</v>
      </c>
      <c r="M250"/>
      <c r="N250"/>
      <c r="O250"/>
      <c r="P250"/>
      <c r="Q250"/>
      <c r="R250"/>
      <c r="S250"/>
      <c r="T250" s="9" t="s">
        <v>6375</v>
      </c>
      <c r="U250" s="9" t="s">
        <v>4343</v>
      </c>
      <c r="V250" s="9" t="s">
        <v>6766</v>
      </c>
      <c r="W250" s="9" t="s">
        <v>3709</v>
      </c>
      <c r="X250" s="9" t="s">
        <v>3709</v>
      </c>
    </row>
    <row r="251" spans="1:24" s="9" customFormat="1" ht="15.75" customHeight="1" x14ac:dyDescent="0.15">
      <c r="A251">
        <v>243</v>
      </c>
      <c r="B251" t="s">
        <v>75</v>
      </c>
      <c r="C251" t="s">
        <v>6035</v>
      </c>
      <c r="D251" t="s">
        <v>6767</v>
      </c>
      <c r="E251" s="9" t="s">
        <v>169</v>
      </c>
      <c r="F251">
        <v>37</v>
      </c>
      <c r="G251"/>
      <c r="H251" s="9" t="s">
        <v>3721</v>
      </c>
      <c r="I251" s="9" t="s">
        <v>171</v>
      </c>
      <c r="J251" s="9" t="s">
        <v>177</v>
      </c>
      <c r="K251" s="9" t="s">
        <v>173</v>
      </c>
      <c r="M251"/>
      <c r="N251"/>
      <c r="O251"/>
      <c r="P251"/>
      <c r="Q251"/>
      <c r="R251"/>
      <c r="S251"/>
      <c r="T251" s="9" t="s">
        <v>6375</v>
      </c>
      <c r="U251" s="9" t="s">
        <v>4343</v>
      </c>
      <c r="V251" s="9" t="s">
        <v>6768</v>
      </c>
      <c r="W251" s="9" t="s">
        <v>3709</v>
      </c>
      <c r="X251" s="9" t="s">
        <v>3709</v>
      </c>
    </row>
    <row r="252" spans="1:24" s="9" customFormat="1" ht="15.75" customHeight="1" x14ac:dyDescent="0.15">
      <c r="A252">
        <v>244</v>
      </c>
      <c r="B252" t="s">
        <v>75</v>
      </c>
      <c r="C252" t="s">
        <v>6035</v>
      </c>
      <c r="D252" t="s">
        <v>6769</v>
      </c>
      <c r="E252" s="9" t="s">
        <v>169</v>
      </c>
      <c r="F252">
        <v>38</v>
      </c>
      <c r="G252"/>
      <c r="H252" s="9" t="s">
        <v>3721</v>
      </c>
      <c r="I252" s="9" t="s">
        <v>171</v>
      </c>
      <c r="J252" s="9" t="s">
        <v>177</v>
      </c>
      <c r="K252" s="9" t="s">
        <v>173</v>
      </c>
      <c r="M252"/>
      <c r="N252"/>
      <c r="O252"/>
      <c r="P252"/>
      <c r="Q252"/>
      <c r="R252"/>
      <c r="S252"/>
      <c r="T252" s="9" t="s">
        <v>6375</v>
      </c>
      <c r="U252" s="9" t="s">
        <v>4343</v>
      </c>
      <c r="V252" s="9" t="s">
        <v>6770</v>
      </c>
      <c r="W252" s="9" t="s">
        <v>3709</v>
      </c>
      <c r="X252" s="9" t="s">
        <v>3709</v>
      </c>
    </row>
    <row r="253" spans="1:24" s="9" customFormat="1" ht="15.75" customHeight="1" x14ac:dyDescent="0.15">
      <c r="A253">
        <v>245</v>
      </c>
      <c r="B253" t="s">
        <v>75</v>
      </c>
      <c r="C253" t="s">
        <v>6035</v>
      </c>
      <c r="D253" t="s">
        <v>6771</v>
      </c>
      <c r="E253" s="9" t="s">
        <v>169</v>
      </c>
      <c r="F253">
        <v>39</v>
      </c>
      <c r="G253"/>
      <c r="H253" s="9" t="s">
        <v>3721</v>
      </c>
      <c r="I253" s="9" t="s">
        <v>171</v>
      </c>
      <c r="J253" s="9" t="s">
        <v>177</v>
      </c>
      <c r="K253" s="9" t="s">
        <v>173</v>
      </c>
      <c r="M253"/>
      <c r="N253"/>
      <c r="O253"/>
      <c r="P253"/>
      <c r="Q253"/>
      <c r="R253"/>
      <c r="S253"/>
      <c r="T253" s="9" t="s">
        <v>6375</v>
      </c>
      <c r="U253" s="9" t="s">
        <v>4343</v>
      </c>
      <c r="V253" s="9" t="s">
        <v>6772</v>
      </c>
      <c r="W253" s="9" t="s">
        <v>3709</v>
      </c>
      <c r="X253" s="9" t="s">
        <v>3709</v>
      </c>
    </row>
    <row r="254" spans="1:24" s="9" customFormat="1" ht="15.75" customHeight="1" x14ac:dyDescent="0.15">
      <c r="A254">
        <v>246</v>
      </c>
      <c r="B254" t="s">
        <v>75</v>
      </c>
      <c r="C254" t="s">
        <v>6035</v>
      </c>
      <c r="D254" t="s">
        <v>6773</v>
      </c>
      <c r="E254" s="9" t="s">
        <v>169</v>
      </c>
      <c r="F254">
        <v>40</v>
      </c>
      <c r="G254"/>
      <c r="H254" s="9" t="s">
        <v>3721</v>
      </c>
      <c r="I254" s="9" t="s">
        <v>171</v>
      </c>
      <c r="J254" s="9" t="s">
        <v>177</v>
      </c>
      <c r="K254" s="9" t="s">
        <v>173</v>
      </c>
      <c r="M254"/>
      <c r="N254"/>
      <c r="O254"/>
      <c r="P254"/>
      <c r="Q254"/>
      <c r="R254"/>
      <c r="S254"/>
      <c r="T254" s="9" t="s">
        <v>6375</v>
      </c>
      <c r="U254" s="9" t="s">
        <v>4343</v>
      </c>
      <c r="V254" s="9" t="s">
        <v>6774</v>
      </c>
      <c r="W254" s="9" t="s">
        <v>3709</v>
      </c>
      <c r="X254" s="9" t="s">
        <v>3709</v>
      </c>
    </row>
    <row r="255" spans="1:24" s="9" customFormat="1" ht="15.75" customHeight="1" x14ac:dyDescent="0.15">
      <c r="A255">
        <v>247</v>
      </c>
      <c r="B255" t="s">
        <v>75</v>
      </c>
      <c r="C255" t="s">
        <v>6035</v>
      </c>
      <c r="D255" t="s">
        <v>6775</v>
      </c>
      <c r="E255" s="9" t="s">
        <v>169</v>
      </c>
      <c r="F255">
        <v>41</v>
      </c>
      <c r="G255"/>
      <c r="H255" s="9" t="s">
        <v>3721</v>
      </c>
      <c r="I255" s="9" t="s">
        <v>171</v>
      </c>
      <c r="J255" s="9" t="s">
        <v>177</v>
      </c>
      <c r="K255" s="9" t="s">
        <v>173</v>
      </c>
      <c r="M255"/>
      <c r="N255"/>
      <c r="O255"/>
      <c r="P255"/>
      <c r="Q255"/>
      <c r="R255"/>
      <c r="S255"/>
      <c r="T255" s="9" t="s">
        <v>6375</v>
      </c>
      <c r="U255" s="9" t="s">
        <v>4343</v>
      </c>
      <c r="V255" s="9" t="s">
        <v>6776</v>
      </c>
      <c r="W255" s="9" t="s">
        <v>3709</v>
      </c>
      <c r="X255" s="9" t="s">
        <v>3709</v>
      </c>
    </row>
    <row r="256" spans="1:24" s="9" customFormat="1" ht="15.75" customHeight="1" x14ac:dyDescent="0.15">
      <c r="A256">
        <v>248</v>
      </c>
      <c r="B256" t="s">
        <v>75</v>
      </c>
      <c r="C256" t="s">
        <v>6035</v>
      </c>
      <c r="D256" t="s">
        <v>6777</v>
      </c>
      <c r="E256" s="9" t="s">
        <v>169</v>
      </c>
      <c r="F256">
        <v>42</v>
      </c>
      <c r="G256"/>
      <c r="H256" s="9" t="s">
        <v>3721</v>
      </c>
      <c r="I256" s="9" t="s">
        <v>171</v>
      </c>
      <c r="J256" s="9" t="s">
        <v>177</v>
      </c>
      <c r="K256" s="9" t="s">
        <v>173</v>
      </c>
      <c r="M256"/>
      <c r="N256"/>
      <c r="O256"/>
      <c r="P256"/>
      <c r="Q256"/>
      <c r="R256"/>
      <c r="S256"/>
      <c r="T256" s="9" t="s">
        <v>6375</v>
      </c>
      <c r="U256" s="9" t="s">
        <v>4343</v>
      </c>
      <c r="V256" s="9" t="s">
        <v>6778</v>
      </c>
      <c r="W256" s="9" t="s">
        <v>3709</v>
      </c>
      <c r="X256" s="9" t="s">
        <v>3709</v>
      </c>
    </row>
    <row r="257" spans="1:24" s="9" customFormat="1" ht="15.75" customHeight="1" x14ac:dyDescent="0.15">
      <c r="A257">
        <v>249</v>
      </c>
      <c r="B257" t="s">
        <v>75</v>
      </c>
      <c r="C257" t="s">
        <v>6035</v>
      </c>
      <c r="D257" t="s">
        <v>6779</v>
      </c>
      <c r="E257" s="9" t="s">
        <v>169</v>
      </c>
      <c r="F257">
        <v>43</v>
      </c>
      <c r="G257"/>
      <c r="H257" s="9" t="s">
        <v>3721</v>
      </c>
      <c r="I257" s="9" t="s">
        <v>171</v>
      </c>
      <c r="J257" s="9" t="s">
        <v>177</v>
      </c>
      <c r="K257" s="9" t="s">
        <v>173</v>
      </c>
      <c r="M257"/>
      <c r="N257"/>
      <c r="O257"/>
      <c r="P257"/>
      <c r="Q257"/>
      <c r="R257"/>
      <c r="S257"/>
      <c r="T257" s="9" t="s">
        <v>6375</v>
      </c>
      <c r="U257" s="9" t="s">
        <v>4343</v>
      </c>
      <c r="V257" s="9" t="s">
        <v>6780</v>
      </c>
      <c r="W257" s="9" t="s">
        <v>3709</v>
      </c>
      <c r="X257" s="9" t="s">
        <v>3709</v>
      </c>
    </row>
    <row r="258" spans="1:24" s="9" customFormat="1" ht="15.75" customHeight="1" x14ac:dyDescent="0.15">
      <c r="A258">
        <v>250</v>
      </c>
      <c r="B258" t="s">
        <v>75</v>
      </c>
      <c r="C258" t="s">
        <v>6035</v>
      </c>
      <c r="D258" t="s">
        <v>6781</v>
      </c>
      <c r="E258" s="9" t="s">
        <v>169</v>
      </c>
      <c r="F258">
        <v>44</v>
      </c>
      <c r="G258"/>
      <c r="H258" s="9" t="s">
        <v>3721</v>
      </c>
      <c r="I258" s="9" t="s">
        <v>171</v>
      </c>
      <c r="J258" s="9" t="s">
        <v>177</v>
      </c>
      <c r="K258" s="9" t="s">
        <v>173</v>
      </c>
      <c r="M258"/>
      <c r="N258"/>
      <c r="O258"/>
      <c r="P258"/>
      <c r="Q258"/>
      <c r="R258"/>
      <c r="S258"/>
      <c r="T258" s="9" t="s">
        <v>6375</v>
      </c>
      <c r="U258" s="9" t="s">
        <v>4343</v>
      </c>
      <c r="V258" s="9" t="s">
        <v>6782</v>
      </c>
      <c r="W258" s="9" t="s">
        <v>3709</v>
      </c>
      <c r="X258" s="9" t="s">
        <v>3709</v>
      </c>
    </row>
    <row r="259" spans="1:24" s="9" customFormat="1" ht="15.75" customHeight="1" x14ac:dyDescent="0.15">
      <c r="A259">
        <v>251</v>
      </c>
      <c r="B259" t="s">
        <v>75</v>
      </c>
      <c r="C259" t="s">
        <v>6035</v>
      </c>
      <c r="D259" t="s">
        <v>6783</v>
      </c>
      <c r="E259" s="9" t="s">
        <v>169</v>
      </c>
      <c r="F259">
        <v>45</v>
      </c>
      <c r="G259"/>
      <c r="H259" s="9" t="s">
        <v>3721</v>
      </c>
      <c r="I259" s="9" t="s">
        <v>171</v>
      </c>
      <c r="J259" s="9" t="s">
        <v>177</v>
      </c>
      <c r="K259" s="9" t="s">
        <v>173</v>
      </c>
      <c r="M259"/>
      <c r="N259"/>
      <c r="O259"/>
      <c r="P259"/>
      <c r="Q259"/>
      <c r="R259"/>
      <c r="S259"/>
      <c r="T259" s="9" t="s">
        <v>6375</v>
      </c>
      <c r="U259" s="9" t="s">
        <v>4343</v>
      </c>
      <c r="V259" s="9" t="s">
        <v>6784</v>
      </c>
      <c r="W259" s="9" t="s">
        <v>3709</v>
      </c>
      <c r="X259" s="9" t="s">
        <v>3709</v>
      </c>
    </row>
    <row r="260" spans="1:24" s="9" customFormat="1" ht="15.75" customHeight="1" x14ac:dyDescent="0.15">
      <c r="A260">
        <v>252</v>
      </c>
      <c r="B260" t="s">
        <v>75</v>
      </c>
      <c r="C260" t="s">
        <v>6035</v>
      </c>
      <c r="D260" t="s">
        <v>6785</v>
      </c>
      <c r="E260" s="9" t="s">
        <v>169</v>
      </c>
      <c r="F260">
        <v>46</v>
      </c>
      <c r="G260"/>
      <c r="H260" s="9" t="s">
        <v>3721</v>
      </c>
      <c r="I260" s="9" t="s">
        <v>171</v>
      </c>
      <c r="J260" s="9" t="s">
        <v>177</v>
      </c>
      <c r="K260" s="9" t="s">
        <v>173</v>
      </c>
      <c r="M260"/>
      <c r="N260"/>
      <c r="O260"/>
      <c r="P260"/>
      <c r="Q260"/>
      <c r="R260"/>
      <c r="S260"/>
      <c r="T260" s="9" t="s">
        <v>6375</v>
      </c>
      <c r="U260" s="9" t="s">
        <v>4343</v>
      </c>
      <c r="V260" s="9" t="s">
        <v>6786</v>
      </c>
      <c r="W260" s="9" t="s">
        <v>3709</v>
      </c>
      <c r="X260" s="9" t="s">
        <v>3709</v>
      </c>
    </row>
    <row r="261" spans="1:24" s="9" customFormat="1" ht="15.75" customHeight="1" x14ac:dyDescent="0.15">
      <c r="A261">
        <v>253</v>
      </c>
      <c r="B261" t="s">
        <v>75</v>
      </c>
      <c r="C261" t="s">
        <v>6035</v>
      </c>
      <c r="D261" t="s">
        <v>6787</v>
      </c>
      <c r="E261" s="9" t="s">
        <v>169</v>
      </c>
      <c r="F261">
        <v>47</v>
      </c>
      <c r="G261"/>
      <c r="H261" s="9" t="s">
        <v>3721</v>
      </c>
      <c r="I261" s="9" t="s">
        <v>171</v>
      </c>
      <c r="J261" s="9" t="s">
        <v>177</v>
      </c>
      <c r="K261" s="9" t="s">
        <v>173</v>
      </c>
      <c r="M261"/>
      <c r="N261"/>
      <c r="O261"/>
      <c r="P261"/>
      <c r="Q261"/>
      <c r="R261"/>
      <c r="S261"/>
      <c r="T261" s="9" t="s">
        <v>6375</v>
      </c>
      <c r="U261" s="9" t="s">
        <v>4343</v>
      </c>
      <c r="V261" s="9" t="s">
        <v>6788</v>
      </c>
      <c r="W261" s="9" t="s">
        <v>3709</v>
      </c>
      <c r="X261" s="9" t="s">
        <v>3709</v>
      </c>
    </row>
    <row r="262" spans="1:24" s="9" customFormat="1" ht="15.75" customHeight="1" x14ac:dyDescent="0.15">
      <c r="A262">
        <v>254</v>
      </c>
      <c r="B262" t="s">
        <v>75</v>
      </c>
      <c r="C262" t="s">
        <v>6035</v>
      </c>
      <c r="D262" t="s">
        <v>6789</v>
      </c>
      <c r="E262" s="9" t="s">
        <v>169</v>
      </c>
      <c r="F262">
        <v>48</v>
      </c>
      <c r="G262"/>
      <c r="H262" s="9" t="s">
        <v>3721</v>
      </c>
      <c r="I262" s="9" t="s">
        <v>171</v>
      </c>
      <c r="J262" s="9" t="s">
        <v>177</v>
      </c>
      <c r="K262" s="9" t="s">
        <v>173</v>
      </c>
      <c r="M262"/>
      <c r="N262"/>
      <c r="O262"/>
      <c r="P262"/>
      <c r="Q262"/>
      <c r="R262"/>
      <c r="S262"/>
      <c r="T262" s="9" t="s">
        <v>6375</v>
      </c>
      <c r="U262" s="9" t="s">
        <v>4343</v>
      </c>
      <c r="V262" s="9" t="s">
        <v>6790</v>
      </c>
      <c r="W262" s="9" t="s">
        <v>3709</v>
      </c>
      <c r="X262" s="9" t="s">
        <v>3709</v>
      </c>
    </row>
    <row r="263" spans="1:24" s="9" customFormat="1" ht="15.75" customHeight="1" x14ac:dyDescent="0.15">
      <c r="A263">
        <v>255</v>
      </c>
      <c r="B263" t="s">
        <v>75</v>
      </c>
      <c r="C263" t="s">
        <v>6035</v>
      </c>
      <c r="D263" t="s">
        <v>6791</v>
      </c>
      <c r="E263" s="9" t="s">
        <v>169</v>
      </c>
      <c r="F263">
        <v>49</v>
      </c>
      <c r="G263"/>
      <c r="H263" s="9" t="s">
        <v>3721</v>
      </c>
      <c r="I263" s="9" t="s">
        <v>171</v>
      </c>
      <c r="J263" s="9" t="s">
        <v>177</v>
      </c>
      <c r="K263" s="9" t="s">
        <v>173</v>
      </c>
      <c r="M263"/>
      <c r="N263"/>
      <c r="O263"/>
      <c r="P263"/>
      <c r="Q263"/>
      <c r="R263"/>
      <c r="S263"/>
      <c r="T263" s="9" t="s">
        <v>6375</v>
      </c>
      <c r="U263" s="9" t="s">
        <v>4343</v>
      </c>
      <c r="V263" s="9" t="s">
        <v>6792</v>
      </c>
      <c r="W263" s="9" t="s">
        <v>3709</v>
      </c>
      <c r="X263" s="9" t="s">
        <v>3709</v>
      </c>
    </row>
    <row r="264" spans="1:24" s="9" customFormat="1" ht="15.75" customHeight="1" x14ac:dyDescent="0.15">
      <c r="A264">
        <v>256</v>
      </c>
      <c r="B264" t="s">
        <v>75</v>
      </c>
      <c r="C264" t="s">
        <v>6035</v>
      </c>
      <c r="D264" t="s">
        <v>6793</v>
      </c>
      <c r="E264" s="9" t="s">
        <v>169</v>
      </c>
      <c r="F264">
        <v>50</v>
      </c>
      <c r="G264"/>
      <c r="H264" s="9" t="s">
        <v>3721</v>
      </c>
      <c r="I264" s="9" t="s">
        <v>171</v>
      </c>
      <c r="J264" s="9" t="s">
        <v>177</v>
      </c>
      <c r="K264" s="9" t="s">
        <v>173</v>
      </c>
      <c r="M264"/>
      <c r="N264"/>
      <c r="O264"/>
      <c r="P264"/>
      <c r="Q264"/>
      <c r="R264"/>
      <c r="S264"/>
      <c r="T264" s="9" t="s">
        <v>6375</v>
      </c>
      <c r="U264" s="9" t="s">
        <v>4343</v>
      </c>
      <c r="V264" s="9" t="s">
        <v>6794</v>
      </c>
      <c r="W264" s="9" t="s">
        <v>3709</v>
      </c>
      <c r="X264" s="9" t="s">
        <v>3709</v>
      </c>
    </row>
    <row r="265" spans="1:24" s="9" customFormat="1" ht="15.75" customHeight="1" x14ac:dyDescent="0.15">
      <c r="A265">
        <v>257</v>
      </c>
      <c r="B265" t="s">
        <v>75</v>
      </c>
      <c r="C265" t="s">
        <v>6035</v>
      </c>
      <c r="D265" t="s">
        <v>6795</v>
      </c>
      <c r="E265" s="9" t="s">
        <v>169</v>
      </c>
      <c r="F265">
        <v>51</v>
      </c>
      <c r="G265"/>
      <c r="H265" s="9" t="s">
        <v>3721</v>
      </c>
      <c r="I265" s="9" t="s">
        <v>171</v>
      </c>
      <c r="J265" s="9" t="s">
        <v>177</v>
      </c>
      <c r="K265" s="9" t="s">
        <v>173</v>
      </c>
      <c r="M265"/>
      <c r="N265"/>
      <c r="O265"/>
      <c r="P265"/>
      <c r="Q265"/>
      <c r="R265"/>
      <c r="S265"/>
      <c r="T265" s="9" t="s">
        <v>6375</v>
      </c>
      <c r="U265" s="9" t="s">
        <v>4343</v>
      </c>
      <c r="V265" s="9" t="s">
        <v>6796</v>
      </c>
      <c r="W265" s="9" t="s">
        <v>3709</v>
      </c>
      <c r="X265" s="9" t="s">
        <v>3709</v>
      </c>
    </row>
    <row r="266" spans="1:24" s="9" customFormat="1" ht="15.75" customHeight="1" x14ac:dyDescent="0.15">
      <c r="A266">
        <v>258</v>
      </c>
      <c r="B266" t="s">
        <v>75</v>
      </c>
      <c r="C266" t="s">
        <v>6035</v>
      </c>
      <c r="D266" t="s">
        <v>6797</v>
      </c>
      <c r="E266" s="9" t="s">
        <v>169</v>
      </c>
      <c r="F266">
        <v>52</v>
      </c>
      <c r="G266"/>
      <c r="H266" s="9" t="s">
        <v>3721</v>
      </c>
      <c r="I266" s="9" t="s">
        <v>171</v>
      </c>
      <c r="J266" s="9" t="s">
        <v>177</v>
      </c>
      <c r="K266" s="9" t="s">
        <v>173</v>
      </c>
      <c r="M266"/>
      <c r="N266"/>
      <c r="O266"/>
      <c r="P266"/>
      <c r="Q266"/>
      <c r="R266"/>
      <c r="S266"/>
      <c r="T266" s="9" t="s">
        <v>6375</v>
      </c>
      <c r="U266" s="9" t="s">
        <v>4343</v>
      </c>
      <c r="V266" s="9" t="s">
        <v>6798</v>
      </c>
      <c r="W266" s="9" t="s">
        <v>3709</v>
      </c>
      <c r="X266" s="9" t="s">
        <v>3709</v>
      </c>
    </row>
    <row r="267" spans="1:24" s="9" customFormat="1" ht="15.75" customHeight="1" x14ac:dyDescent="0.15">
      <c r="A267">
        <v>259</v>
      </c>
      <c r="B267" t="s">
        <v>75</v>
      </c>
      <c r="C267" t="s">
        <v>6035</v>
      </c>
      <c r="D267" t="s">
        <v>6799</v>
      </c>
      <c r="E267" s="9" t="s">
        <v>169</v>
      </c>
      <c r="F267">
        <v>53</v>
      </c>
      <c r="G267"/>
      <c r="H267" s="9" t="s">
        <v>3721</v>
      </c>
      <c r="I267" s="9" t="s">
        <v>171</v>
      </c>
      <c r="J267" s="9" t="s">
        <v>177</v>
      </c>
      <c r="K267" s="9" t="s">
        <v>173</v>
      </c>
      <c r="M267"/>
      <c r="N267"/>
      <c r="O267"/>
      <c r="P267"/>
      <c r="Q267"/>
      <c r="R267"/>
      <c r="S267"/>
      <c r="T267" s="9" t="s">
        <v>6375</v>
      </c>
      <c r="U267" s="9" t="s">
        <v>4343</v>
      </c>
      <c r="V267" s="9" t="s">
        <v>6800</v>
      </c>
      <c r="W267" s="9" t="s">
        <v>3709</v>
      </c>
      <c r="X267" s="9" t="s">
        <v>3709</v>
      </c>
    </row>
    <row r="268" spans="1:24" s="9" customFormat="1" ht="15.75" customHeight="1" x14ac:dyDescent="0.15">
      <c r="A268">
        <v>260</v>
      </c>
      <c r="B268" t="s">
        <v>75</v>
      </c>
      <c r="C268" t="s">
        <v>6035</v>
      </c>
      <c r="D268" t="s">
        <v>6801</v>
      </c>
      <c r="E268" s="9" t="s">
        <v>169</v>
      </c>
      <c r="F268">
        <v>54</v>
      </c>
      <c r="G268"/>
      <c r="H268" s="9" t="s">
        <v>3721</v>
      </c>
      <c r="I268" s="9" t="s">
        <v>171</v>
      </c>
      <c r="J268" s="9" t="s">
        <v>177</v>
      </c>
      <c r="K268" s="9" t="s">
        <v>173</v>
      </c>
      <c r="M268"/>
      <c r="N268"/>
      <c r="O268"/>
      <c r="P268"/>
      <c r="Q268"/>
      <c r="R268"/>
      <c r="S268"/>
      <c r="T268" s="9" t="s">
        <v>6375</v>
      </c>
      <c r="U268" s="9" t="s">
        <v>4343</v>
      </c>
      <c r="V268" s="9" t="s">
        <v>6802</v>
      </c>
      <c r="W268" s="9" t="s">
        <v>3709</v>
      </c>
      <c r="X268" s="9" t="s">
        <v>3709</v>
      </c>
    </row>
    <row r="269" spans="1:24" s="9" customFormat="1" ht="15.75" customHeight="1" x14ac:dyDescent="0.15">
      <c r="A269">
        <v>261</v>
      </c>
      <c r="B269" t="s">
        <v>75</v>
      </c>
      <c r="C269" t="s">
        <v>6035</v>
      </c>
      <c r="D269" t="s">
        <v>6803</v>
      </c>
      <c r="E269" s="9" t="s">
        <v>169</v>
      </c>
      <c r="F269">
        <v>55</v>
      </c>
      <c r="G269"/>
      <c r="H269" s="9" t="s">
        <v>3721</v>
      </c>
      <c r="I269" s="9" t="s">
        <v>171</v>
      </c>
      <c r="J269" s="9" t="s">
        <v>177</v>
      </c>
      <c r="K269" s="9" t="s">
        <v>173</v>
      </c>
      <c r="M269"/>
      <c r="N269"/>
      <c r="O269"/>
      <c r="P269"/>
      <c r="Q269"/>
      <c r="R269"/>
      <c r="S269"/>
      <c r="T269" s="9" t="s">
        <v>6375</v>
      </c>
      <c r="U269" s="9" t="s">
        <v>4343</v>
      </c>
      <c r="V269" s="9" t="s">
        <v>6804</v>
      </c>
      <c r="W269" s="9" t="s">
        <v>3709</v>
      </c>
      <c r="X269" s="9" t="s">
        <v>3709</v>
      </c>
    </row>
    <row r="270" spans="1:24" s="9" customFormat="1" ht="15.75" customHeight="1" x14ac:dyDescent="0.15">
      <c r="A270">
        <v>262</v>
      </c>
      <c r="B270" t="s">
        <v>75</v>
      </c>
      <c r="C270" t="s">
        <v>6035</v>
      </c>
      <c r="D270" t="s">
        <v>6805</v>
      </c>
      <c r="E270" s="9" t="s">
        <v>169</v>
      </c>
      <c r="F270">
        <v>56</v>
      </c>
      <c r="G270"/>
      <c r="H270" s="9" t="s">
        <v>3721</v>
      </c>
      <c r="I270" s="9" t="s">
        <v>171</v>
      </c>
      <c r="J270" s="9" t="s">
        <v>177</v>
      </c>
      <c r="K270" s="9" t="s">
        <v>173</v>
      </c>
      <c r="M270"/>
      <c r="N270"/>
      <c r="O270"/>
      <c r="P270"/>
      <c r="Q270"/>
      <c r="R270"/>
      <c r="S270"/>
      <c r="T270" s="9" t="s">
        <v>6375</v>
      </c>
      <c r="U270" s="9" t="s">
        <v>4343</v>
      </c>
      <c r="V270" s="9" t="s">
        <v>6806</v>
      </c>
      <c r="W270" s="9" t="s">
        <v>3709</v>
      </c>
      <c r="X270" s="9" t="s">
        <v>3709</v>
      </c>
    </row>
    <row r="271" spans="1:24" s="9" customFormat="1" ht="15.75" customHeight="1" x14ac:dyDescent="0.15">
      <c r="A271">
        <v>263</v>
      </c>
      <c r="B271" t="s">
        <v>75</v>
      </c>
      <c r="C271" t="s">
        <v>6035</v>
      </c>
      <c r="D271" t="s">
        <v>6807</v>
      </c>
      <c r="E271" s="9" t="s">
        <v>169</v>
      </c>
      <c r="F271">
        <v>57</v>
      </c>
      <c r="G271"/>
      <c r="H271" s="9" t="s">
        <v>3721</v>
      </c>
      <c r="I271" s="9" t="s">
        <v>171</v>
      </c>
      <c r="J271" s="9" t="s">
        <v>177</v>
      </c>
      <c r="K271" s="9" t="s">
        <v>173</v>
      </c>
      <c r="M271"/>
      <c r="N271"/>
      <c r="O271"/>
      <c r="P271"/>
      <c r="Q271"/>
      <c r="R271"/>
      <c r="S271"/>
      <c r="T271" s="9" t="s">
        <v>6375</v>
      </c>
      <c r="U271" s="9" t="s">
        <v>4343</v>
      </c>
      <c r="V271" s="9" t="s">
        <v>6808</v>
      </c>
      <c r="W271" s="9" t="s">
        <v>3709</v>
      </c>
      <c r="X271" s="9" t="s">
        <v>3709</v>
      </c>
    </row>
    <row r="272" spans="1:24" s="9" customFormat="1" ht="15.75" customHeight="1" x14ac:dyDescent="0.15">
      <c r="A272">
        <v>264</v>
      </c>
      <c r="B272" t="s">
        <v>75</v>
      </c>
      <c r="C272" t="s">
        <v>6035</v>
      </c>
      <c r="D272" t="s">
        <v>6809</v>
      </c>
      <c r="E272" s="9" t="s">
        <v>169</v>
      </c>
      <c r="F272">
        <v>58</v>
      </c>
      <c r="G272"/>
      <c r="H272" s="9" t="s">
        <v>3721</v>
      </c>
      <c r="I272" s="9" t="s">
        <v>171</v>
      </c>
      <c r="J272" s="9" t="s">
        <v>177</v>
      </c>
      <c r="K272" s="9" t="s">
        <v>173</v>
      </c>
      <c r="M272"/>
      <c r="N272"/>
      <c r="O272"/>
      <c r="P272"/>
      <c r="Q272"/>
      <c r="R272"/>
      <c r="S272"/>
      <c r="T272" s="9" t="s">
        <v>6375</v>
      </c>
      <c r="U272" s="9" t="s">
        <v>4343</v>
      </c>
      <c r="V272" s="9" t="s">
        <v>6810</v>
      </c>
      <c r="W272" s="9" t="s">
        <v>3709</v>
      </c>
      <c r="X272" s="9" t="s">
        <v>3709</v>
      </c>
    </row>
    <row r="273" spans="1:24" s="9" customFormat="1" ht="15.75" customHeight="1" x14ac:dyDescent="0.15">
      <c r="A273">
        <v>265</v>
      </c>
      <c r="B273" t="s">
        <v>75</v>
      </c>
      <c r="C273" t="s">
        <v>6035</v>
      </c>
      <c r="D273" t="s">
        <v>6811</v>
      </c>
      <c r="E273" s="9" t="s">
        <v>169</v>
      </c>
      <c r="F273">
        <v>59</v>
      </c>
      <c r="G273"/>
      <c r="H273" s="9" t="s">
        <v>3721</v>
      </c>
      <c r="I273" s="9" t="s">
        <v>171</v>
      </c>
      <c r="J273" s="9" t="s">
        <v>177</v>
      </c>
      <c r="K273" s="9" t="s">
        <v>173</v>
      </c>
      <c r="M273"/>
      <c r="N273"/>
      <c r="O273"/>
      <c r="P273"/>
      <c r="Q273"/>
      <c r="R273"/>
      <c r="S273"/>
      <c r="T273" s="9" t="s">
        <v>6375</v>
      </c>
      <c r="U273" s="9" t="s">
        <v>4343</v>
      </c>
      <c r="V273" s="9" t="s">
        <v>6812</v>
      </c>
      <c r="W273" s="9" t="s">
        <v>3709</v>
      </c>
      <c r="X273" s="9" t="s">
        <v>3709</v>
      </c>
    </row>
    <row r="274" spans="1:24" s="9" customFormat="1" ht="15.75" customHeight="1" x14ac:dyDescent="0.15">
      <c r="A274">
        <v>266</v>
      </c>
      <c r="B274" t="s">
        <v>75</v>
      </c>
      <c r="C274" t="s">
        <v>6035</v>
      </c>
      <c r="D274" t="s">
        <v>6813</v>
      </c>
      <c r="E274" s="9" t="s">
        <v>169</v>
      </c>
      <c r="F274">
        <v>60</v>
      </c>
      <c r="G274"/>
      <c r="H274" s="9" t="s">
        <v>3721</v>
      </c>
      <c r="I274" s="9" t="s">
        <v>171</v>
      </c>
      <c r="J274" s="9" t="s">
        <v>177</v>
      </c>
      <c r="K274" s="9" t="s">
        <v>173</v>
      </c>
      <c r="M274"/>
      <c r="N274"/>
      <c r="O274"/>
      <c r="P274"/>
      <c r="Q274"/>
      <c r="R274"/>
      <c r="S274"/>
      <c r="T274" s="9" t="s">
        <v>6375</v>
      </c>
      <c r="U274" s="9" t="s">
        <v>4343</v>
      </c>
      <c r="V274" s="9" t="s">
        <v>6814</v>
      </c>
      <c r="W274" s="9" t="s">
        <v>3709</v>
      </c>
      <c r="X274" s="9" t="s">
        <v>3709</v>
      </c>
    </row>
    <row r="275" spans="1:24" s="9" customFormat="1" ht="15.75" customHeight="1" x14ac:dyDescent="0.15">
      <c r="A275">
        <v>267</v>
      </c>
      <c r="B275" t="s">
        <v>75</v>
      </c>
      <c r="C275" t="s">
        <v>6035</v>
      </c>
      <c r="D275" t="s">
        <v>6815</v>
      </c>
      <c r="E275" s="9" t="s">
        <v>169</v>
      </c>
      <c r="F275">
        <v>61</v>
      </c>
      <c r="G275"/>
      <c r="H275" s="9" t="s">
        <v>3721</v>
      </c>
      <c r="I275" s="9" t="s">
        <v>171</v>
      </c>
      <c r="J275" s="9" t="s">
        <v>177</v>
      </c>
      <c r="K275" s="9" t="s">
        <v>173</v>
      </c>
      <c r="M275"/>
      <c r="N275"/>
      <c r="O275"/>
      <c r="P275"/>
      <c r="Q275"/>
      <c r="R275"/>
      <c r="S275"/>
      <c r="T275" s="9" t="s">
        <v>6375</v>
      </c>
      <c r="U275" s="9" t="s">
        <v>4343</v>
      </c>
      <c r="V275" s="9" t="s">
        <v>6816</v>
      </c>
      <c r="W275" s="9" t="s">
        <v>3709</v>
      </c>
      <c r="X275" s="9" t="s">
        <v>3709</v>
      </c>
    </row>
    <row r="276" spans="1:24" s="9" customFormat="1" ht="15.75" customHeight="1" x14ac:dyDescent="0.15">
      <c r="A276">
        <v>268</v>
      </c>
      <c r="B276" t="s">
        <v>75</v>
      </c>
      <c r="C276" t="s">
        <v>6035</v>
      </c>
      <c r="D276" t="s">
        <v>6817</v>
      </c>
      <c r="E276" s="9" t="s">
        <v>169</v>
      </c>
      <c r="F276">
        <v>62</v>
      </c>
      <c r="G276"/>
      <c r="H276" s="9" t="s">
        <v>3721</v>
      </c>
      <c r="I276" s="9" t="s">
        <v>171</v>
      </c>
      <c r="J276" s="9" t="s">
        <v>177</v>
      </c>
      <c r="K276" s="9" t="s">
        <v>173</v>
      </c>
      <c r="M276"/>
      <c r="N276"/>
      <c r="O276"/>
      <c r="P276"/>
      <c r="Q276"/>
      <c r="R276"/>
      <c r="S276"/>
      <c r="T276" s="9" t="s">
        <v>6375</v>
      </c>
      <c r="U276" s="9" t="s">
        <v>4343</v>
      </c>
      <c r="V276" s="9" t="s">
        <v>6818</v>
      </c>
      <c r="W276" s="9" t="s">
        <v>3709</v>
      </c>
      <c r="X276" s="9" t="s">
        <v>3709</v>
      </c>
    </row>
    <row r="277" spans="1:24" s="9" customFormat="1" ht="15.75" customHeight="1" x14ac:dyDescent="0.15">
      <c r="A277">
        <v>269</v>
      </c>
      <c r="B277" t="s">
        <v>75</v>
      </c>
      <c r="C277" t="s">
        <v>6035</v>
      </c>
      <c r="D277" t="s">
        <v>6819</v>
      </c>
      <c r="E277" s="9" t="s">
        <v>169</v>
      </c>
      <c r="F277">
        <v>63</v>
      </c>
      <c r="G277"/>
      <c r="H277" s="9" t="s">
        <v>3721</v>
      </c>
      <c r="I277" s="9" t="s">
        <v>171</v>
      </c>
      <c r="J277" s="9" t="s">
        <v>177</v>
      </c>
      <c r="K277" s="9" t="s">
        <v>173</v>
      </c>
      <c r="M277"/>
      <c r="N277"/>
      <c r="O277"/>
      <c r="P277"/>
      <c r="Q277"/>
      <c r="R277"/>
      <c r="S277"/>
      <c r="T277" s="9" t="s">
        <v>6375</v>
      </c>
      <c r="U277" s="9" t="s">
        <v>4343</v>
      </c>
      <c r="V277" s="9" t="s">
        <v>6820</v>
      </c>
      <c r="W277" s="9" t="s">
        <v>3709</v>
      </c>
      <c r="X277" s="9" t="s">
        <v>3709</v>
      </c>
    </row>
    <row r="278" spans="1:24" s="9" customFormat="1" ht="15.75" customHeight="1" x14ac:dyDescent="0.15">
      <c r="A278">
        <v>270</v>
      </c>
      <c r="B278" t="s">
        <v>75</v>
      </c>
      <c r="C278" t="s">
        <v>6035</v>
      </c>
      <c r="D278" t="s">
        <v>6821</v>
      </c>
      <c r="E278" s="9" t="s">
        <v>169</v>
      </c>
      <c r="F278">
        <v>64</v>
      </c>
      <c r="G278"/>
      <c r="H278" s="9" t="s">
        <v>3721</v>
      </c>
      <c r="I278" s="9" t="s">
        <v>171</v>
      </c>
      <c r="J278" s="9" t="s">
        <v>177</v>
      </c>
      <c r="K278" s="9" t="s">
        <v>173</v>
      </c>
      <c r="M278"/>
      <c r="N278"/>
      <c r="O278"/>
      <c r="P278"/>
      <c r="Q278"/>
      <c r="R278"/>
      <c r="S278"/>
      <c r="T278" s="9" t="s">
        <v>6375</v>
      </c>
      <c r="U278" s="9" t="s">
        <v>4343</v>
      </c>
      <c r="V278" s="9" t="s">
        <v>6822</v>
      </c>
      <c r="W278" s="9" t="s">
        <v>3709</v>
      </c>
      <c r="X278" s="9" t="s">
        <v>3709</v>
      </c>
    </row>
    <row r="279" spans="1:24" s="9" customFormat="1" ht="15.75" customHeight="1" x14ac:dyDescent="0.15">
      <c r="A279">
        <v>271</v>
      </c>
      <c r="B279" t="s">
        <v>75</v>
      </c>
      <c r="C279" t="s">
        <v>6035</v>
      </c>
      <c r="D279" t="s">
        <v>6823</v>
      </c>
      <c r="E279" s="9" t="s">
        <v>169</v>
      </c>
      <c r="F279">
        <v>65</v>
      </c>
      <c r="G279"/>
      <c r="H279" s="9" t="s">
        <v>3721</v>
      </c>
      <c r="I279" s="9" t="s">
        <v>171</v>
      </c>
      <c r="J279" s="9" t="s">
        <v>177</v>
      </c>
      <c r="K279" s="9" t="s">
        <v>173</v>
      </c>
      <c r="M279"/>
      <c r="N279"/>
      <c r="O279"/>
      <c r="P279"/>
      <c r="Q279"/>
      <c r="R279"/>
      <c r="S279"/>
      <c r="T279" s="9" t="s">
        <v>6375</v>
      </c>
      <c r="U279" s="9" t="s">
        <v>4343</v>
      </c>
      <c r="V279" s="9" t="s">
        <v>6824</v>
      </c>
      <c r="W279" s="9" t="s">
        <v>3709</v>
      </c>
      <c r="X279" s="9" t="s">
        <v>3709</v>
      </c>
    </row>
    <row r="280" spans="1:24" s="9" customFormat="1" ht="15.75" customHeight="1" x14ac:dyDescent="0.15">
      <c r="A280">
        <v>272</v>
      </c>
      <c r="B280" t="s">
        <v>75</v>
      </c>
      <c r="C280" t="s">
        <v>6035</v>
      </c>
      <c r="D280" t="s">
        <v>6825</v>
      </c>
      <c r="E280" s="9" t="s">
        <v>169</v>
      </c>
      <c r="F280">
        <v>66</v>
      </c>
      <c r="G280"/>
      <c r="H280" s="9" t="s">
        <v>3721</v>
      </c>
      <c r="I280" s="9" t="s">
        <v>171</v>
      </c>
      <c r="J280" s="9" t="s">
        <v>177</v>
      </c>
      <c r="K280" s="9" t="s">
        <v>173</v>
      </c>
      <c r="M280"/>
      <c r="N280"/>
      <c r="O280"/>
      <c r="P280"/>
      <c r="Q280"/>
      <c r="R280"/>
      <c r="S280"/>
      <c r="T280" s="9" t="s">
        <v>6375</v>
      </c>
      <c r="U280" s="9" t="s">
        <v>4343</v>
      </c>
      <c r="V280" s="9" t="s">
        <v>6826</v>
      </c>
      <c r="W280" s="9" t="s">
        <v>3709</v>
      </c>
      <c r="X280" s="9" t="s">
        <v>3709</v>
      </c>
    </row>
    <row r="281" spans="1:24" s="9" customFormat="1" ht="15.75" customHeight="1" x14ac:dyDescent="0.15">
      <c r="A281">
        <v>273</v>
      </c>
      <c r="B281" t="s">
        <v>75</v>
      </c>
      <c r="C281" t="s">
        <v>6035</v>
      </c>
      <c r="D281" t="s">
        <v>6827</v>
      </c>
      <c r="E281" s="9" t="s">
        <v>169</v>
      </c>
      <c r="F281">
        <v>67</v>
      </c>
      <c r="G281"/>
      <c r="H281" s="9" t="s">
        <v>3721</v>
      </c>
      <c r="I281" s="9" t="s">
        <v>171</v>
      </c>
      <c r="J281" s="9" t="s">
        <v>177</v>
      </c>
      <c r="K281" s="9" t="s">
        <v>173</v>
      </c>
      <c r="M281"/>
      <c r="N281"/>
      <c r="O281"/>
      <c r="P281"/>
      <c r="Q281"/>
      <c r="R281"/>
      <c r="S281"/>
      <c r="T281" s="9" t="s">
        <v>6375</v>
      </c>
      <c r="U281" s="9" t="s">
        <v>4343</v>
      </c>
      <c r="V281" s="9" t="s">
        <v>6828</v>
      </c>
      <c r="W281" s="9" t="s">
        <v>3709</v>
      </c>
      <c r="X281" s="9" t="s">
        <v>3709</v>
      </c>
    </row>
    <row r="282" spans="1:24" s="9" customFormat="1" ht="15.75" customHeight="1" x14ac:dyDescent="0.15">
      <c r="A282">
        <v>274</v>
      </c>
      <c r="B282" t="s">
        <v>75</v>
      </c>
      <c r="C282" t="s">
        <v>6035</v>
      </c>
      <c r="D282" t="s">
        <v>6829</v>
      </c>
      <c r="E282" s="9" t="s">
        <v>169</v>
      </c>
      <c r="F282">
        <v>68</v>
      </c>
      <c r="G282"/>
      <c r="H282" s="9" t="s">
        <v>3721</v>
      </c>
      <c r="I282" s="9" t="s">
        <v>171</v>
      </c>
      <c r="J282" s="9" t="s">
        <v>177</v>
      </c>
      <c r="K282" s="9" t="s">
        <v>173</v>
      </c>
      <c r="M282"/>
      <c r="N282"/>
      <c r="O282"/>
      <c r="P282"/>
      <c r="Q282"/>
      <c r="R282"/>
      <c r="S282"/>
      <c r="T282" s="9" t="s">
        <v>6375</v>
      </c>
      <c r="U282" s="9" t="s">
        <v>4343</v>
      </c>
      <c r="V282" s="9" t="s">
        <v>6830</v>
      </c>
      <c r="W282" s="9" t="s">
        <v>3709</v>
      </c>
      <c r="X282" s="9" t="s">
        <v>3709</v>
      </c>
    </row>
    <row r="283" spans="1:24" s="9" customFormat="1" ht="15.75" customHeight="1" x14ac:dyDescent="0.15">
      <c r="A283">
        <v>275</v>
      </c>
      <c r="B283" t="s">
        <v>75</v>
      </c>
      <c r="C283" t="s">
        <v>6035</v>
      </c>
      <c r="D283" t="s">
        <v>6831</v>
      </c>
      <c r="E283" s="9" t="s">
        <v>169</v>
      </c>
      <c r="F283">
        <v>69</v>
      </c>
      <c r="G283"/>
      <c r="H283" s="9" t="s">
        <v>3721</v>
      </c>
      <c r="I283" s="9" t="s">
        <v>171</v>
      </c>
      <c r="J283" s="9" t="s">
        <v>177</v>
      </c>
      <c r="K283" s="9" t="s">
        <v>173</v>
      </c>
      <c r="M283"/>
      <c r="N283"/>
      <c r="O283"/>
      <c r="P283"/>
      <c r="Q283"/>
      <c r="R283"/>
      <c r="S283"/>
      <c r="T283" s="9" t="s">
        <v>6375</v>
      </c>
      <c r="U283" s="9" t="s">
        <v>4343</v>
      </c>
      <c r="V283" s="9" t="s">
        <v>6832</v>
      </c>
      <c r="W283" s="9" t="s">
        <v>3709</v>
      </c>
      <c r="X283" s="9" t="s">
        <v>3709</v>
      </c>
    </row>
    <row r="284" spans="1:24" s="9" customFormat="1" ht="15.75" customHeight="1" x14ac:dyDescent="0.15">
      <c r="A284">
        <v>276</v>
      </c>
      <c r="B284" t="s">
        <v>75</v>
      </c>
      <c r="C284" t="s">
        <v>6035</v>
      </c>
      <c r="D284" t="s">
        <v>6833</v>
      </c>
      <c r="E284" s="9" t="s">
        <v>169</v>
      </c>
      <c r="F284">
        <v>70</v>
      </c>
      <c r="G284"/>
      <c r="H284" s="9" t="s">
        <v>3721</v>
      </c>
      <c r="I284" s="9" t="s">
        <v>171</v>
      </c>
      <c r="J284" s="9" t="s">
        <v>177</v>
      </c>
      <c r="K284" s="9" t="s">
        <v>173</v>
      </c>
      <c r="M284"/>
      <c r="N284"/>
      <c r="O284"/>
      <c r="P284"/>
      <c r="Q284"/>
      <c r="R284"/>
      <c r="S284"/>
      <c r="T284" s="9" t="s">
        <v>6375</v>
      </c>
      <c r="U284" s="9" t="s">
        <v>4343</v>
      </c>
      <c r="V284" s="9" t="s">
        <v>6834</v>
      </c>
      <c r="W284" s="9" t="s">
        <v>3709</v>
      </c>
      <c r="X284" s="9" t="s">
        <v>3709</v>
      </c>
    </row>
    <row r="285" spans="1:24" s="9" customFormat="1" ht="15.75" customHeight="1" x14ac:dyDescent="0.15">
      <c r="A285">
        <v>277</v>
      </c>
      <c r="B285" t="s">
        <v>75</v>
      </c>
      <c r="C285" t="s">
        <v>6035</v>
      </c>
      <c r="D285" t="s">
        <v>6835</v>
      </c>
      <c r="E285" s="9" t="s">
        <v>169</v>
      </c>
      <c r="F285">
        <v>71</v>
      </c>
      <c r="G285"/>
      <c r="H285" s="9" t="s">
        <v>3721</v>
      </c>
      <c r="I285" s="9" t="s">
        <v>171</v>
      </c>
      <c r="J285" s="9" t="s">
        <v>177</v>
      </c>
      <c r="K285" s="9" t="s">
        <v>173</v>
      </c>
      <c r="M285"/>
      <c r="N285"/>
      <c r="O285"/>
      <c r="P285"/>
      <c r="Q285"/>
      <c r="R285"/>
      <c r="S285"/>
      <c r="T285" s="9" t="s">
        <v>6375</v>
      </c>
      <c r="U285" s="9" t="s">
        <v>4343</v>
      </c>
      <c r="V285" s="9" t="s">
        <v>6836</v>
      </c>
      <c r="W285" s="9" t="s">
        <v>3709</v>
      </c>
      <c r="X285" s="9" t="s">
        <v>3709</v>
      </c>
    </row>
    <row r="286" spans="1:24" s="9" customFormat="1" ht="15.75" customHeight="1" x14ac:dyDescent="0.15">
      <c r="A286">
        <v>278</v>
      </c>
      <c r="B286" t="s">
        <v>75</v>
      </c>
      <c r="C286" t="s">
        <v>6035</v>
      </c>
      <c r="D286" t="s">
        <v>6837</v>
      </c>
      <c r="E286" s="9" t="s">
        <v>169</v>
      </c>
      <c r="F286">
        <v>72</v>
      </c>
      <c r="G286"/>
      <c r="H286" s="9" t="s">
        <v>3721</v>
      </c>
      <c r="I286" s="9" t="s">
        <v>171</v>
      </c>
      <c r="J286" s="9" t="s">
        <v>177</v>
      </c>
      <c r="K286" s="9" t="s">
        <v>173</v>
      </c>
      <c r="M286"/>
      <c r="N286"/>
      <c r="O286"/>
      <c r="P286"/>
      <c r="Q286"/>
      <c r="R286"/>
      <c r="S286"/>
      <c r="T286" s="9" t="s">
        <v>6375</v>
      </c>
      <c r="U286" s="9" t="s">
        <v>4343</v>
      </c>
      <c r="V286" s="9" t="s">
        <v>6838</v>
      </c>
      <c r="W286" s="9" t="s">
        <v>3709</v>
      </c>
      <c r="X286" s="9" t="s">
        <v>3709</v>
      </c>
    </row>
    <row r="287" spans="1:24" s="9" customFormat="1" ht="15.75" customHeight="1" x14ac:dyDescent="0.15">
      <c r="A287">
        <v>279</v>
      </c>
      <c r="B287" t="s">
        <v>75</v>
      </c>
      <c r="C287" t="s">
        <v>6035</v>
      </c>
      <c r="D287" t="s">
        <v>6839</v>
      </c>
      <c r="E287" s="9" t="s">
        <v>169</v>
      </c>
      <c r="F287">
        <v>73</v>
      </c>
      <c r="G287"/>
      <c r="H287" s="9" t="s">
        <v>3721</v>
      </c>
      <c r="I287" s="9" t="s">
        <v>171</v>
      </c>
      <c r="J287" s="9" t="s">
        <v>177</v>
      </c>
      <c r="K287" s="9" t="s">
        <v>173</v>
      </c>
      <c r="M287"/>
      <c r="N287"/>
      <c r="O287"/>
      <c r="P287"/>
      <c r="Q287"/>
      <c r="R287"/>
      <c r="S287"/>
      <c r="T287" s="9" t="s">
        <v>6375</v>
      </c>
      <c r="U287" s="9" t="s">
        <v>4343</v>
      </c>
      <c r="V287" s="9" t="s">
        <v>6840</v>
      </c>
      <c r="W287" s="9" t="s">
        <v>3709</v>
      </c>
      <c r="X287" s="9" t="s">
        <v>3709</v>
      </c>
    </row>
    <row r="288" spans="1:24" s="9" customFormat="1" ht="15.75" customHeight="1" x14ac:dyDescent="0.15">
      <c r="A288">
        <v>280</v>
      </c>
      <c r="B288" t="s">
        <v>75</v>
      </c>
      <c r="C288" t="s">
        <v>6035</v>
      </c>
      <c r="D288" t="s">
        <v>6841</v>
      </c>
      <c r="E288" s="9" t="s">
        <v>169</v>
      </c>
      <c r="F288">
        <v>74</v>
      </c>
      <c r="G288"/>
      <c r="H288" s="9" t="s">
        <v>3721</v>
      </c>
      <c r="I288" s="9" t="s">
        <v>171</v>
      </c>
      <c r="J288" s="9" t="s">
        <v>177</v>
      </c>
      <c r="K288" s="9" t="s">
        <v>173</v>
      </c>
      <c r="M288"/>
      <c r="N288"/>
      <c r="O288"/>
      <c r="P288"/>
      <c r="Q288"/>
      <c r="R288"/>
      <c r="S288"/>
      <c r="T288" s="9" t="s">
        <v>6375</v>
      </c>
      <c r="U288" s="9" t="s">
        <v>4343</v>
      </c>
      <c r="V288" s="9" t="s">
        <v>6842</v>
      </c>
      <c r="W288" s="9" t="s">
        <v>3709</v>
      </c>
      <c r="X288" s="9" t="s">
        <v>3709</v>
      </c>
    </row>
    <row r="289" spans="1:24" s="9" customFormat="1" ht="15.75" customHeight="1" x14ac:dyDescent="0.15">
      <c r="A289">
        <v>281</v>
      </c>
      <c r="B289" t="s">
        <v>75</v>
      </c>
      <c r="C289" t="s">
        <v>6035</v>
      </c>
      <c r="D289" t="s">
        <v>6843</v>
      </c>
      <c r="E289" s="9" t="s">
        <v>169</v>
      </c>
      <c r="F289">
        <v>75</v>
      </c>
      <c r="G289"/>
      <c r="H289" s="9" t="s">
        <v>3721</v>
      </c>
      <c r="I289" s="9" t="s">
        <v>171</v>
      </c>
      <c r="J289" s="9" t="s">
        <v>177</v>
      </c>
      <c r="K289" s="9" t="s">
        <v>173</v>
      </c>
      <c r="M289"/>
      <c r="N289"/>
      <c r="O289"/>
      <c r="P289"/>
      <c r="Q289"/>
      <c r="R289"/>
      <c r="S289"/>
      <c r="T289" s="9" t="s">
        <v>6375</v>
      </c>
      <c r="U289" s="9" t="s">
        <v>4343</v>
      </c>
      <c r="V289" s="9" t="s">
        <v>6844</v>
      </c>
      <c r="W289" s="9" t="s">
        <v>3709</v>
      </c>
      <c r="X289" s="9" t="s">
        <v>3709</v>
      </c>
    </row>
    <row r="290" spans="1:24" s="9" customFormat="1" ht="15.75" customHeight="1" x14ac:dyDescent="0.15">
      <c r="A290">
        <v>282</v>
      </c>
      <c r="B290" t="s">
        <v>75</v>
      </c>
      <c r="C290" t="s">
        <v>6035</v>
      </c>
      <c r="D290" t="s">
        <v>6845</v>
      </c>
      <c r="E290" s="9" t="s">
        <v>169</v>
      </c>
      <c r="F290">
        <v>76</v>
      </c>
      <c r="G290"/>
      <c r="H290" s="9" t="s">
        <v>3721</v>
      </c>
      <c r="I290" s="9" t="s">
        <v>171</v>
      </c>
      <c r="J290" s="9" t="s">
        <v>177</v>
      </c>
      <c r="K290" s="9" t="s">
        <v>173</v>
      </c>
      <c r="M290"/>
      <c r="N290"/>
      <c r="O290"/>
      <c r="P290"/>
      <c r="Q290"/>
      <c r="R290"/>
      <c r="S290"/>
      <c r="T290" s="9" t="s">
        <v>6375</v>
      </c>
      <c r="U290" s="9" t="s">
        <v>4343</v>
      </c>
      <c r="V290" s="9" t="s">
        <v>6846</v>
      </c>
      <c r="W290" s="9" t="s">
        <v>3709</v>
      </c>
      <c r="X290" s="9" t="s">
        <v>3709</v>
      </c>
    </row>
    <row r="291" spans="1:24" s="9" customFormat="1" ht="15.75" customHeight="1" x14ac:dyDescent="0.15">
      <c r="A291">
        <v>283</v>
      </c>
      <c r="B291" t="s">
        <v>75</v>
      </c>
      <c r="C291" t="s">
        <v>6035</v>
      </c>
      <c r="D291" t="s">
        <v>6847</v>
      </c>
      <c r="E291" s="9" t="s">
        <v>169</v>
      </c>
      <c r="F291">
        <v>77</v>
      </c>
      <c r="G291"/>
      <c r="H291" s="9" t="s">
        <v>3721</v>
      </c>
      <c r="I291" s="9" t="s">
        <v>171</v>
      </c>
      <c r="J291" s="9" t="s">
        <v>177</v>
      </c>
      <c r="K291" s="9" t="s">
        <v>173</v>
      </c>
      <c r="M291"/>
      <c r="N291"/>
      <c r="O291"/>
      <c r="P291"/>
      <c r="Q291"/>
      <c r="R291"/>
      <c r="S291"/>
      <c r="T291" s="9" t="s">
        <v>6375</v>
      </c>
      <c r="U291" s="9" t="s">
        <v>4343</v>
      </c>
      <c r="V291" s="9" t="s">
        <v>6848</v>
      </c>
      <c r="W291" s="9" t="s">
        <v>3709</v>
      </c>
      <c r="X291" s="9" t="s">
        <v>3709</v>
      </c>
    </row>
  </sheetData>
  <phoneticPr fontId="26" type="noConversion"/>
  <dataValidations count="2">
    <dataValidation type="whole" errorStyle="warning" allowBlank="1" showInputMessage="1" showErrorMessage="1" errorTitle="Device Modbus Register Base" error="This value is the device register number of the first register in the table.  Typically this value is 1, occasionally it is 0.  " sqref="C4:C6" xr:uid="{E6A9695F-4BC2-4E42-BE77-AA06C3C21FFB}">
      <formula1>0</formula1>
      <formula2>1</formula2>
    </dataValidation>
    <dataValidation type="custom" allowBlank="1" showErrorMessage="1" errorTitle="Invalid IEC 61131-3 Variable Nam" error="Please enter only alphanumeric and underscore characters." sqref="L3:L7" xr:uid="{1A6EF047-1DCB-42BA-939C-73564B0D74FA}">
      <formula1>ISNUMBER(SUMPRODUCT(SEARCH(MID(L3,ROW(INDIRECT("1:"&amp;LEN(L3))),1),"0123456789abcdefghijklmnopqrstuvwxyzABCDEFGHIJKLMNOPQRSTUVWXYZ-_")))</formula1>
    </dataValidation>
  </dataValidations>
  <pageMargins left="0.25" right="0.25" top="0.75" bottom="0.75" header="0.3" footer="0.3"/>
  <pageSetup paperSize="3" scale="24" fitToHeight="0" orientation="portrait" r:id="rId1"/>
  <legacyDrawing r:id="rId2"/>
  <tableParts count="1">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90A4-88AC-4468-B6A0-9EDFBF702767}">
  <sheetPr codeName="Sheet14">
    <tabColor rgb="FF00B0F0"/>
    <pageSetUpPr fitToPage="1"/>
  </sheetPr>
  <dimension ref="A1:AG165"/>
  <sheetViews>
    <sheetView tabSelected="1" topLeftCell="A26" zoomScaleNormal="100" workbookViewId="0">
      <selection activeCell="F41" sqref="F41"/>
    </sheetView>
  </sheetViews>
  <sheetFormatPr defaultColWidth="14.6640625" defaultRowHeight="16.149999999999999" customHeight="1" x14ac:dyDescent="0.15"/>
  <cols>
    <col min="1" max="1" width="11.6640625" bestFit="1" customWidth="1"/>
    <col min="2" max="2" width="12.33203125" bestFit="1" customWidth="1"/>
    <col min="3" max="3" width="12.5" bestFit="1" customWidth="1"/>
    <col min="4" max="4" width="39.33203125" bestFit="1" customWidth="1"/>
    <col min="5" max="5" width="12.1640625" bestFit="1" customWidth="1"/>
    <col min="6" max="6" width="12" bestFit="1" customWidth="1"/>
    <col min="7" max="7" width="8.5" bestFit="1" customWidth="1"/>
    <col min="8" max="8" width="20.33203125" bestFit="1" customWidth="1"/>
    <col min="9" max="9" width="13.1640625" bestFit="1" customWidth="1"/>
    <col min="10" max="10" width="13.83203125" bestFit="1" customWidth="1"/>
    <col min="11" max="11" width="14.1640625" bestFit="1" customWidth="1"/>
    <col min="12" max="12" width="11.1640625" bestFit="1" customWidth="1"/>
    <col min="13" max="13" width="8.6640625" bestFit="1" customWidth="1"/>
    <col min="14" max="14" width="13.33203125" hidden="1" customWidth="1"/>
    <col min="15" max="15" width="12.5" hidden="1" customWidth="1"/>
    <col min="16" max="16" width="12.1640625" hidden="1" customWidth="1"/>
    <col min="17" max="17" width="12.5" hidden="1" customWidth="1"/>
    <col min="18" max="18" width="20.83203125" bestFit="1" customWidth="1"/>
    <col min="19" max="19" width="13.83203125" bestFit="1" customWidth="1"/>
    <col min="20" max="20" width="16.5" bestFit="1" customWidth="1"/>
    <col min="21" max="21" width="15" bestFit="1" customWidth="1"/>
    <col min="22" max="22" width="51.33203125" style="9" bestFit="1" customWidth="1"/>
    <col min="23" max="23" width="18.83203125" bestFit="1" customWidth="1"/>
    <col min="24" max="24" width="17.1640625" style="9" bestFit="1" customWidth="1"/>
    <col min="25" max="25" width="81.33203125" style="9" bestFit="1" customWidth="1"/>
    <col min="26" max="26" width="5.5" style="9" customWidth="1"/>
    <col min="29" max="29" width="5.5" customWidth="1"/>
    <col min="30" max="30" width="25" style="9" bestFit="1" customWidth="1"/>
    <col min="31" max="31" width="39.6640625" style="9" customWidth="1"/>
    <col min="32" max="32" width="68" style="9" customWidth="1"/>
    <col min="33" max="33" width="5.5" style="9" bestFit="1" customWidth="1"/>
    <col min="34" max="34" width="56.5" customWidth="1"/>
    <col min="35" max="35" width="14.33203125" customWidth="1"/>
    <col min="36" max="36" width="11.33203125" bestFit="1" customWidth="1"/>
    <col min="37" max="37" width="14.6640625" customWidth="1"/>
    <col min="38" max="38" width="48.5" bestFit="1" customWidth="1"/>
  </cols>
  <sheetData>
    <row r="1" spans="1:33" ht="24" customHeight="1" x14ac:dyDescent="0.15">
      <c r="A1" s="25" t="str">
        <f>'Data Flows'!A1</f>
        <v>Site Name</v>
      </c>
      <c r="B1" s="2"/>
      <c r="C1" s="2"/>
      <c r="D1" s="2"/>
      <c r="E1" s="2"/>
      <c r="F1" s="2"/>
      <c r="G1" s="25" t="s">
        <v>3711</v>
      </c>
      <c r="J1" s="25" t="s">
        <v>6849</v>
      </c>
      <c r="K1" s="25"/>
      <c r="V1" s="6"/>
      <c r="Z1"/>
      <c r="AD1"/>
      <c r="AE1"/>
      <c r="AF1"/>
      <c r="AG1"/>
    </row>
    <row r="2" spans="1:33" ht="16.149999999999999" customHeight="1" x14ac:dyDescent="0.15">
      <c r="A2" s="10" t="s">
        <v>21</v>
      </c>
      <c r="B2" s="2"/>
      <c r="C2" s="11">
        <v>45082</v>
      </c>
      <c r="D2" s="41" t="s">
        <v>22</v>
      </c>
      <c r="E2" t="s">
        <v>3706</v>
      </c>
      <c r="J2" t="s">
        <v>24</v>
      </c>
      <c r="V2" s="6"/>
      <c r="Z2"/>
      <c r="AD2"/>
      <c r="AE2"/>
      <c r="AF2"/>
      <c r="AG2"/>
    </row>
    <row r="3" spans="1:33" ht="16.149999999999999" customHeight="1" x14ac:dyDescent="0.15">
      <c r="A3" s="12" t="s">
        <v>25</v>
      </c>
      <c r="C3">
        <v>4</v>
      </c>
      <c r="D3" s="42" t="s">
        <v>26</v>
      </c>
      <c r="E3" t="s">
        <v>3706</v>
      </c>
      <c r="L3" s="13"/>
      <c r="M3" s="8"/>
      <c r="V3" s="6"/>
      <c r="X3" s="37"/>
      <c r="Y3"/>
      <c r="Z3"/>
      <c r="AD3"/>
      <c r="AE3"/>
      <c r="AF3"/>
      <c r="AG3"/>
    </row>
    <row r="4" spans="1:33" ht="16.149999999999999" customHeight="1" x14ac:dyDescent="0.15">
      <c r="A4" s="12"/>
      <c r="D4" s="42"/>
      <c r="M4" s="2"/>
      <c r="V4" s="6"/>
      <c r="X4"/>
      <c r="Y4"/>
      <c r="Z4"/>
      <c r="AD4"/>
      <c r="AE4"/>
      <c r="AF4"/>
      <c r="AG4"/>
    </row>
    <row r="5" spans="1:33" ht="16.149999999999999" customHeight="1" x14ac:dyDescent="0.15">
      <c r="A5" s="12"/>
      <c r="D5" s="42"/>
      <c r="M5" s="2"/>
      <c r="V5" s="6"/>
      <c r="X5"/>
      <c r="Y5"/>
      <c r="Z5"/>
      <c r="AD5"/>
      <c r="AE5"/>
      <c r="AF5"/>
      <c r="AG5"/>
    </row>
    <row r="6" spans="1:33" ht="30" customHeight="1" x14ac:dyDescent="0.15">
      <c r="A6" t="s">
        <v>31</v>
      </c>
      <c r="B6" t="s">
        <v>32</v>
      </c>
      <c r="C6" t="s">
        <v>3714</v>
      </c>
      <c r="D6" t="s">
        <v>34</v>
      </c>
      <c r="E6" t="s">
        <v>35</v>
      </c>
      <c r="F6" t="s">
        <v>3715</v>
      </c>
      <c r="G6" t="s">
        <v>3716</v>
      </c>
      <c r="H6" t="s">
        <v>39</v>
      </c>
      <c r="I6" t="s">
        <v>40</v>
      </c>
      <c r="J6" t="s">
        <v>41</v>
      </c>
      <c r="K6" t="s">
        <v>42</v>
      </c>
      <c r="L6" t="s">
        <v>43</v>
      </c>
      <c r="M6" t="s">
        <v>44</v>
      </c>
      <c r="N6" t="s">
        <v>45</v>
      </c>
      <c r="O6" t="s">
        <v>46</v>
      </c>
      <c r="P6" t="s">
        <v>47</v>
      </c>
      <c r="Q6" t="s">
        <v>48</v>
      </c>
      <c r="R6" t="s">
        <v>49</v>
      </c>
      <c r="S6" t="s">
        <v>50</v>
      </c>
      <c r="T6" t="s">
        <v>51</v>
      </c>
      <c r="U6" t="s">
        <v>52</v>
      </c>
      <c r="V6" t="s">
        <v>53</v>
      </c>
      <c r="W6" t="s">
        <v>54</v>
      </c>
      <c r="X6" t="s">
        <v>55</v>
      </c>
      <c r="Y6" t="s">
        <v>6850</v>
      </c>
      <c r="Z6"/>
      <c r="AD6"/>
      <c r="AE6"/>
      <c r="AF6"/>
      <c r="AG6"/>
    </row>
    <row r="7" spans="1:33" ht="15.75" customHeight="1" x14ac:dyDescent="0.15">
      <c r="A7" s="9">
        <v>1</v>
      </c>
      <c r="B7" t="s">
        <v>75</v>
      </c>
      <c r="C7" t="s">
        <v>3719</v>
      </c>
      <c r="D7" t="s">
        <v>6851</v>
      </c>
      <c r="E7" s="9" t="s">
        <v>3192</v>
      </c>
      <c r="F7" s="9">
        <v>0</v>
      </c>
      <c r="G7" s="9"/>
      <c r="H7" s="9"/>
      <c r="I7" s="9"/>
      <c r="J7" s="9"/>
      <c r="K7" s="9"/>
      <c r="L7" s="9" t="s">
        <v>3722</v>
      </c>
      <c r="M7" s="9">
        <v>1</v>
      </c>
      <c r="N7" s="9">
        <v>-3.4028200000000001E+38</v>
      </c>
      <c r="O7" s="9">
        <v>3.4028200000000001E+38</v>
      </c>
      <c r="P7" s="9">
        <v>-3.4027999999999999E+38</v>
      </c>
      <c r="Q7" s="9">
        <v>3.4028200000000001E+38</v>
      </c>
      <c r="R7" s="9"/>
      <c r="S7" s="9"/>
      <c r="T7" s="9" t="s">
        <v>3723</v>
      </c>
      <c r="U7" s="9" t="s">
        <v>3708</v>
      </c>
      <c r="V7" s="9" t="s">
        <v>6852</v>
      </c>
      <c r="W7" s="8" t="s">
        <v>6853</v>
      </c>
      <c r="Y7" t="s">
        <v>6854</v>
      </c>
      <c r="Z7"/>
      <c r="AD7"/>
      <c r="AE7"/>
      <c r="AF7"/>
      <c r="AG7"/>
    </row>
    <row r="8" spans="1:33" ht="15.75" customHeight="1" x14ac:dyDescent="0.15">
      <c r="A8" s="9">
        <v>2</v>
      </c>
      <c r="B8" t="s">
        <v>75</v>
      </c>
      <c r="C8" t="s">
        <v>3719</v>
      </c>
      <c r="D8" t="s">
        <v>6855</v>
      </c>
      <c r="E8" s="9" t="s">
        <v>3192</v>
      </c>
      <c r="F8" s="9">
        <v>1</v>
      </c>
      <c r="G8" s="9"/>
      <c r="H8" s="9"/>
      <c r="I8" s="9"/>
      <c r="J8" s="9"/>
      <c r="K8" s="9"/>
      <c r="L8" s="9" t="s">
        <v>3722</v>
      </c>
      <c r="M8" s="9">
        <v>1</v>
      </c>
      <c r="N8" s="9">
        <v>-3.4028200000000001E+38</v>
      </c>
      <c r="O8" s="9">
        <v>3.4028200000000001E+38</v>
      </c>
      <c r="P8" s="9">
        <v>-3.4027999999999999E+38</v>
      </c>
      <c r="Q8" s="9">
        <v>3.4028200000000001E+38</v>
      </c>
      <c r="R8" s="9"/>
      <c r="S8" s="9"/>
      <c r="T8" s="9" t="s">
        <v>3723</v>
      </c>
      <c r="U8" s="9" t="s">
        <v>3708</v>
      </c>
      <c r="V8" s="9" t="s">
        <v>6856</v>
      </c>
      <c r="W8" s="8" t="s">
        <v>6217</v>
      </c>
      <c r="Y8" t="s">
        <v>6857</v>
      </c>
      <c r="Z8"/>
      <c r="AD8"/>
      <c r="AE8"/>
      <c r="AF8"/>
      <c r="AG8"/>
    </row>
    <row r="9" spans="1:33" ht="15.75" customHeight="1" x14ac:dyDescent="0.15">
      <c r="A9" s="9">
        <v>3</v>
      </c>
      <c r="B9" t="s">
        <v>75</v>
      </c>
      <c r="C9" t="s">
        <v>3719</v>
      </c>
      <c r="D9" t="s">
        <v>6858</v>
      </c>
      <c r="E9" s="9" t="s">
        <v>3192</v>
      </c>
      <c r="F9" s="9">
        <v>2</v>
      </c>
      <c r="G9" s="9"/>
      <c r="H9" s="9"/>
      <c r="I9" s="9"/>
      <c r="J9" s="9"/>
      <c r="K9" s="9"/>
      <c r="L9" s="9" t="s">
        <v>6859</v>
      </c>
      <c r="M9" s="9">
        <v>1</v>
      </c>
      <c r="N9" s="9">
        <v>-3.4028200000000001E+38</v>
      </c>
      <c r="O9" s="9">
        <v>3.4028200000000001E+38</v>
      </c>
      <c r="P9" s="9">
        <v>-3.4027999999999999E+38</v>
      </c>
      <c r="Q9" s="9">
        <v>3.4028200000000001E+38</v>
      </c>
      <c r="R9" s="9"/>
      <c r="S9" s="9"/>
      <c r="T9" s="9" t="s">
        <v>3723</v>
      </c>
      <c r="U9" s="9" t="s">
        <v>3708</v>
      </c>
      <c r="V9" s="9" t="s">
        <v>6860</v>
      </c>
      <c r="W9" s="8"/>
      <c r="Y9" t="s">
        <v>3780</v>
      </c>
      <c r="Z9"/>
      <c r="AD9"/>
      <c r="AE9"/>
      <c r="AF9"/>
      <c r="AG9"/>
    </row>
    <row r="10" spans="1:33" ht="15.75" customHeight="1" x14ac:dyDescent="0.15">
      <c r="A10" s="9">
        <v>4</v>
      </c>
      <c r="B10" t="s">
        <v>75</v>
      </c>
      <c r="C10" t="s">
        <v>3719</v>
      </c>
      <c r="D10" t="s">
        <v>6861</v>
      </c>
      <c r="E10" s="9" t="s">
        <v>3192</v>
      </c>
      <c r="F10" s="9">
        <v>3</v>
      </c>
      <c r="G10" s="9"/>
      <c r="H10" s="9"/>
      <c r="I10" s="9"/>
      <c r="J10" s="9"/>
      <c r="K10" s="9"/>
      <c r="L10" s="9" t="s">
        <v>3722</v>
      </c>
      <c r="M10" s="9">
        <v>1</v>
      </c>
      <c r="N10" s="9">
        <v>-3.4028200000000001E+38</v>
      </c>
      <c r="O10" s="9">
        <v>3.4028200000000001E+38</v>
      </c>
      <c r="P10" s="9">
        <v>-3.4027999999999999E+38</v>
      </c>
      <c r="Q10" s="9">
        <v>3.4028200000000001E+38</v>
      </c>
      <c r="R10" s="9"/>
      <c r="S10" s="9"/>
      <c r="T10" s="9" t="s">
        <v>3723</v>
      </c>
      <c r="U10" s="9" t="s">
        <v>3708</v>
      </c>
      <c r="V10" s="9" t="s">
        <v>6862</v>
      </c>
      <c r="W10" s="8" t="s">
        <v>6863</v>
      </c>
      <c r="Y10" t="s">
        <v>3789</v>
      </c>
      <c r="Z10"/>
      <c r="AD10"/>
      <c r="AE10"/>
      <c r="AF10"/>
      <c r="AG10"/>
    </row>
    <row r="11" spans="1:33" ht="15.75" customHeight="1" x14ac:dyDescent="0.15">
      <c r="A11" s="9">
        <v>5</v>
      </c>
      <c r="B11" t="s">
        <v>75</v>
      </c>
      <c r="C11" t="s">
        <v>3719</v>
      </c>
      <c r="D11" t="s">
        <v>6864</v>
      </c>
      <c r="E11" s="9" t="s">
        <v>3192</v>
      </c>
      <c r="F11" s="9">
        <v>4</v>
      </c>
      <c r="G11" s="9"/>
      <c r="H11" s="9"/>
      <c r="I11" s="9"/>
      <c r="J11" s="9"/>
      <c r="K11" s="9"/>
      <c r="L11" s="9" t="s">
        <v>2324</v>
      </c>
      <c r="M11" s="9">
        <v>1</v>
      </c>
      <c r="N11" s="9">
        <v>-3.4028200000000001E+38</v>
      </c>
      <c r="O11" s="9">
        <v>3.4028200000000001E+38</v>
      </c>
      <c r="P11" s="9">
        <v>-3.4027999999999999E+38</v>
      </c>
      <c r="Q11" s="9">
        <v>3.4028200000000001E+38</v>
      </c>
      <c r="R11" s="9"/>
      <c r="S11" s="9"/>
      <c r="T11" s="9" t="s">
        <v>3723</v>
      </c>
      <c r="U11" s="9" t="s">
        <v>3708</v>
      </c>
      <c r="V11" s="9" t="s">
        <v>6865</v>
      </c>
      <c r="W11" s="8"/>
      <c r="Y11" t="s">
        <v>6866</v>
      </c>
      <c r="Z11"/>
      <c r="AD11"/>
      <c r="AE11"/>
      <c r="AF11"/>
      <c r="AG11"/>
    </row>
    <row r="12" spans="1:33" ht="15.75" customHeight="1" x14ac:dyDescent="0.15">
      <c r="A12" s="9">
        <v>6</v>
      </c>
      <c r="B12" t="s">
        <v>75</v>
      </c>
      <c r="C12" t="s">
        <v>3719</v>
      </c>
      <c r="D12" t="s">
        <v>6867</v>
      </c>
      <c r="E12" s="9" t="s">
        <v>3192</v>
      </c>
      <c r="F12" s="9">
        <v>5</v>
      </c>
      <c r="G12" s="9"/>
      <c r="H12" s="9"/>
      <c r="I12" s="9"/>
      <c r="J12" s="9"/>
      <c r="K12" s="9"/>
      <c r="L12" s="9" t="s">
        <v>145</v>
      </c>
      <c r="M12" s="9">
        <v>1</v>
      </c>
      <c r="N12" s="9">
        <v>-3.4028200000000001E+38</v>
      </c>
      <c r="O12" s="9">
        <v>3.4028200000000001E+38</v>
      </c>
      <c r="P12" s="9">
        <v>-3.4027999999999999E+38</v>
      </c>
      <c r="Q12" s="9">
        <v>3.4028200000000001E+38</v>
      </c>
      <c r="R12" s="9"/>
      <c r="S12" s="9"/>
      <c r="T12" s="9" t="s">
        <v>3723</v>
      </c>
      <c r="U12" s="9" t="s">
        <v>3708</v>
      </c>
      <c r="V12" s="9" t="s">
        <v>6868</v>
      </c>
      <c r="W12" s="8"/>
      <c r="Y12" t="s">
        <v>6869</v>
      </c>
      <c r="Z12"/>
      <c r="AD12"/>
      <c r="AE12"/>
      <c r="AF12"/>
      <c r="AG12"/>
    </row>
    <row r="13" spans="1:33" ht="15.75" customHeight="1" x14ac:dyDescent="0.15">
      <c r="A13" s="9">
        <v>7</v>
      </c>
      <c r="B13" t="s">
        <v>75</v>
      </c>
      <c r="C13" t="s">
        <v>3719</v>
      </c>
      <c r="D13" t="s">
        <v>6870</v>
      </c>
      <c r="E13" s="9" t="s">
        <v>3192</v>
      </c>
      <c r="F13" s="9">
        <v>6</v>
      </c>
      <c r="G13" s="9"/>
      <c r="H13" s="9"/>
      <c r="I13" s="9"/>
      <c r="J13" s="9"/>
      <c r="K13" s="9"/>
      <c r="L13" s="9" t="s">
        <v>6871</v>
      </c>
      <c r="M13" s="9">
        <v>1</v>
      </c>
      <c r="N13" s="9">
        <v>-3.4028200000000001E+38</v>
      </c>
      <c r="O13" s="9">
        <v>3.4028200000000001E+38</v>
      </c>
      <c r="P13" s="9">
        <v>-3.4027999999999999E+38</v>
      </c>
      <c r="Q13" s="9">
        <v>3.4028200000000001E+38</v>
      </c>
      <c r="R13" s="9"/>
      <c r="S13" s="9"/>
      <c r="T13" s="9" t="s">
        <v>3723</v>
      </c>
      <c r="U13" s="9" t="s">
        <v>3708</v>
      </c>
      <c r="V13" s="9" t="s">
        <v>6872</v>
      </c>
      <c r="W13" s="8"/>
      <c r="Y13" t="s">
        <v>6873</v>
      </c>
      <c r="Z13"/>
      <c r="AD13"/>
      <c r="AE13"/>
      <c r="AF13"/>
      <c r="AG13"/>
    </row>
    <row r="14" spans="1:33" ht="15.75" customHeight="1" x14ac:dyDescent="0.15">
      <c r="A14" s="9">
        <v>8</v>
      </c>
      <c r="B14" t="s">
        <v>75</v>
      </c>
      <c r="C14" t="s">
        <v>3719</v>
      </c>
      <c r="D14" t="s">
        <v>6874</v>
      </c>
      <c r="E14" s="9" t="s">
        <v>3192</v>
      </c>
      <c r="F14" s="9">
        <v>7</v>
      </c>
      <c r="G14" s="9"/>
      <c r="H14" s="9"/>
      <c r="I14" s="9"/>
      <c r="J14" s="9"/>
      <c r="K14" s="9"/>
      <c r="L14" s="9" t="s">
        <v>3722</v>
      </c>
      <c r="M14" s="9">
        <v>1</v>
      </c>
      <c r="N14" s="9">
        <v>-3.4028200000000001E+38</v>
      </c>
      <c r="O14" s="9">
        <v>3.4028200000000001E+38</v>
      </c>
      <c r="P14" s="9">
        <v>-3.4027999999999999E+38</v>
      </c>
      <c r="Q14" s="9">
        <v>3.4028200000000001E+38</v>
      </c>
      <c r="R14" s="9"/>
      <c r="S14" s="9"/>
      <c r="T14" s="9" t="s">
        <v>3723</v>
      </c>
      <c r="U14" s="9" t="s">
        <v>3708</v>
      </c>
      <c r="V14" s="9" t="s">
        <v>6875</v>
      </c>
      <c r="W14" s="8" t="s">
        <v>2351</v>
      </c>
      <c r="Y14" t="s">
        <v>6876</v>
      </c>
      <c r="Z14"/>
      <c r="AD14"/>
      <c r="AE14"/>
      <c r="AF14"/>
      <c r="AG14"/>
    </row>
    <row r="15" spans="1:33" ht="15.75" customHeight="1" x14ac:dyDescent="0.15">
      <c r="A15" s="9">
        <v>9</v>
      </c>
      <c r="B15" t="s">
        <v>75</v>
      </c>
      <c r="C15" t="s">
        <v>3719</v>
      </c>
      <c r="D15" t="s">
        <v>6877</v>
      </c>
      <c r="E15" s="9" t="s">
        <v>3192</v>
      </c>
      <c r="F15" s="9">
        <v>8</v>
      </c>
      <c r="G15" s="9"/>
      <c r="H15" s="9"/>
      <c r="I15" s="9"/>
      <c r="J15" s="9"/>
      <c r="K15" s="9"/>
      <c r="L15" s="9" t="s">
        <v>3722</v>
      </c>
      <c r="M15" s="9">
        <v>1</v>
      </c>
      <c r="N15" s="9">
        <v>-3.4028200000000001E+38</v>
      </c>
      <c r="O15" s="9">
        <v>3.4028200000000001E+38</v>
      </c>
      <c r="P15" s="9">
        <v>-3.4027999999999999E+38</v>
      </c>
      <c r="Q15" s="9">
        <v>3.4028200000000001E+38</v>
      </c>
      <c r="R15" s="9"/>
      <c r="S15" s="9"/>
      <c r="T15" s="9" t="s">
        <v>3723</v>
      </c>
      <c r="U15" s="9" t="s">
        <v>3708</v>
      </c>
      <c r="V15" s="9" t="s">
        <v>6878</v>
      </c>
      <c r="W15" s="8" t="s">
        <v>2351</v>
      </c>
      <c r="Y15" t="s">
        <v>6879</v>
      </c>
      <c r="Z15"/>
      <c r="AD15"/>
      <c r="AE15"/>
      <c r="AF15"/>
      <c r="AG15"/>
    </row>
    <row r="16" spans="1:33" ht="15.75" customHeight="1" x14ac:dyDescent="0.15">
      <c r="A16" s="9">
        <v>10</v>
      </c>
      <c r="B16" t="s">
        <v>75</v>
      </c>
      <c r="C16" t="s">
        <v>3719</v>
      </c>
      <c r="D16" t="s">
        <v>6880</v>
      </c>
      <c r="E16" s="9" t="s">
        <v>3192</v>
      </c>
      <c r="F16" s="9">
        <v>9</v>
      </c>
      <c r="G16" s="9"/>
      <c r="H16" s="9"/>
      <c r="I16" s="9"/>
      <c r="J16" s="9"/>
      <c r="K16" s="9"/>
      <c r="L16" s="9" t="s">
        <v>6859</v>
      </c>
      <c r="M16" s="9">
        <v>1</v>
      </c>
      <c r="N16" s="9">
        <v>-3.4028200000000001E+38</v>
      </c>
      <c r="O16" s="9">
        <v>3.4028200000000001E+38</v>
      </c>
      <c r="P16" s="9">
        <v>-3.4027999999999999E+38</v>
      </c>
      <c r="Q16" s="9">
        <v>3.4028200000000001E+38</v>
      </c>
      <c r="R16" s="9"/>
      <c r="S16" s="9"/>
      <c r="T16" s="9" t="s">
        <v>3707</v>
      </c>
      <c r="U16" s="9" t="s">
        <v>3708</v>
      </c>
      <c r="V16" s="9" t="s">
        <v>6881</v>
      </c>
      <c r="W16" s="8"/>
      <c r="Y16" t="s">
        <v>6882</v>
      </c>
      <c r="Z16"/>
      <c r="AD16"/>
      <c r="AE16"/>
      <c r="AF16"/>
      <c r="AG16"/>
    </row>
    <row r="17" spans="1:33" ht="15.75" customHeight="1" x14ac:dyDescent="0.15">
      <c r="A17" s="9">
        <v>11</v>
      </c>
      <c r="B17" t="s">
        <v>75</v>
      </c>
      <c r="C17" t="s">
        <v>3719</v>
      </c>
      <c r="D17" t="s">
        <v>6883</v>
      </c>
      <c r="E17" s="9" t="s">
        <v>3192</v>
      </c>
      <c r="F17" s="9">
        <v>10</v>
      </c>
      <c r="G17" s="9"/>
      <c r="H17" s="9"/>
      <c r="I17" s="9"/>
      <c r="J17" s="9"/>
      <c r="K17" s="9"/>
      <c r="L17" s="9" t="s">
        <v>6871</v>
      </c>
      <c r="M17" s="9">
        <v>1</v>
      </c>
      <c r="N17" s="9">
        <v>-3.4028200000000001E+38</v>
      </c>
      <c r="O17" s="9">
        <v>3.4028200000000001E+38</v>
      </c>
      <c r="P17" s="9">
        <v>-3.4027999999999999E+38</v>
      </c>
      <c r="Q17" s="9">
        <v>3.4028200000000001E+38</v>
      </c>
      <c r="R17" s="9"/>
      <c r="S17" s="9"/>
      <c r="T17" s="9" t="s">
        <v>3707</v>
      </c>
      <c r="U17" s="9" t="s">
        <v>3708</v>
      </c>
      <c r="V17" s="9" t="s">
        <v>6884</v>
      </c>
      <c r="W17" s="8"/>
      <c r="Y17" t="s">
        <v>6885</v>
      </c>
      <c r="Z17"/>
      <c r="AD17"/>
      <c r="AE17"/>
      <c r="AF17"/>
      <c r="AG17"/>
    </row>
    <row r="18" spans="1:33" ht="15.75" customHeight="1" x14ac:dyDescent="0.15">
      <c r="A18" s="9">
        <v>12</v>
      </c>
      <c r="B18" t="s">
        <v>75</v>
      </c>
      <c r="C18" t="s">
        <v>3719</v>
      </c>
      <c r="D18" t="s">
        <v>9574</v>
      </c>
      <c r="E18" s="9" t="s">
        <v>3192</v>
      </c>
      <c r="F18" s="9">
        <v>11</v>
      </c>
      <c r="G18" s="9"/>
      <c r="H18" s="9"/>
      <c r="I18" s="9"/>
      <c r="J18" s="9"/>
      <c r="K18" s="9"/>
      <c r="L18" s="9" t="s">
        <v>2324</v>
      </c>
      <c r="M18" s="9">
        <v>1</v>
      </c>
      <c r="N18" s="9">
        <v>-3.4028200000000001E+38</v>
      </c>
      <c r="O18" s="9">
        <v>3.4028200000000001E+38</v>
      </c>
      <c r="P18" s="9">
        <v>-3.4027999999999999E+38</v>
      </c>
      <c r="Q18" s="9">
        <v>3.4028200000000001E+38</v>
      </c>
      <c r="R18" s="9"/>
      <c r="S18" s="9"/>
      <c r="T18" s="9" t="s">
        <v>3707</v>
      </c>
      <c r="U18" s="9" t="s">
        <v>3708</v>
      </c>
      <c r="V18" s="9" t="s">
        <v>6887</v>
      </c>
      <c r="W18" s="8"/>
      <c r="X18" s="9" t="s">
        <v>9575</v>
      </c>
      <c r="Y18" t="s">
        <v>6888</v>
      </c>
      <c r="Z18"/>
      <c r="AD18"/>
      <c r="AE18"/>
      <c r="AF18"/>
      <c r="AG18"/>
    </row>
    <row r="19" spans="1:33" ht="15.75" customHeight="1" x14ac:dyDescent="0.15">
      <c r="A19" s="9">
        <v>13</v>
      </c>
      <c r="B19" t="s">
        <v>75</v>
      </c>
      <c r="C19" t="s">
        <v>3719</v>
      </c>
      <c r="D19" t="s">
        <v>3710</v>
      </c>
      <c r="E19" s="9" t="s">
        <v>3192</v>
      </c>
      <c r="F19" s="9">
        <v>12</v>
      </c>
      <c r="G19" s="9"/>
      <c r="H19" s="9"/>
      <c r="I19" s="9"/>
      <c r="J19" s="9"/>
      <c r="K19" s="9"/>
      <c r="L19" s="9" t="s">
        <v>145</v>
      </c>
      <c r="M19" s="9">
        <v>1</v>
      </c>
      <c r="N19" s="9">
        <v>-3.4028200000000001E+38</v>
      </c>
      <c r="O19" s="9">
        <v>3.4028200000000001E+38</v>
      </c>
      <c r="P19" s="9">
        <v>-3.4027999999999999E+38</v>
      </c>
      <c r="Q19" s="9">
        <v>3.4028200000000001E+38</v>
      </c>
      <c r="R19" s="9"/>
      <c r="S19" s="9"/>
      <c r="T19" s="9" t="s">
        <v>3707</v>
      </c>
      <c r="U19" s="9" t="s">
        <v>3708</v>
      </c>
      <c r="V19" s="9" t="s">
        <v>6889</v>
      </c>
      <c r="W19" s="8"/>
      <c r="Y19" t="s">
        <v>6890</v>
      </c>
      <c r="Z19"/>
      <c r="AD19"/>
      <c r="AE19"/>
      <c r="AF19"/>
      <c r="AG19"/>
    </row>
    <row r="20" spans="1:33" ht="15.75" customHeight="1" x14ac:dyDescent="0.15">
      <c r="A20" s="9">
        <v>14</v>
      </c>
      <c r="B20" t="s">
        <v>75</v>
      </c>
      <c r="C20" t="s">
        <v>3719</v>
      </c>
      <c r="D20" t="s">
        <v>147</v>
      </c>
      <c r="E20" s="9" t="s">
        <v>3192</v>
      </c>
      <c r="F20" s="9">
        <v>13</v>
      </c>
      <c r="G20" s="9"/>
      <c r="H20" s="9"/>
      <c r="I20" s="9"/>
      <c r="J20" s="9"/>
      <c r="K20" s="9"/>
      <c r="L20" s="9" t="s">
        <v>149</v>
      </c>
      <c r="M20" s="9">
        <v>1</v>
      </c>
      <c r="N20" s="9">
        <v>-3.4028200000000001E+38</v>
      </c>
      <c r="O20" s="9">
        <v>3.4028200000000001E+38</v>
      </c>
      <c r="P20" s="9">
        <v>-3.4027999999999999E+38</v>
      </c>
      <c r="Q20" s="9">
        <v>3.4028200000000001E+38</v>
      </c>
      <c r="R20" s="9"/>
      <c r="S20" s="9"/>
      <c r="T20" s="9" t="s">
        <v>3707</v>
      </c>
      <c r="U20" s="9" t="s">
        <v>3708</v>
      </c>
      <c r="V20" s="9" t="s">
        <v>6891</v>
      </c>
      <c r="W20" s="8"/>
      <c r="Y20" t="s">
        <v>6892</v>
      </c>
      <c r="Z20"/>
      <c r="AD20"/>
      <c r="AE20"/>
      <c r="AF20"/>
      <c r="AG20"/>
    </row>
    <row r="21" spans="1:33" ht="15.75" customHeight="1" x14ac:dyDescent="0.15">
      <c r="A21" s="9">
        <v>15</v>
      </c>
      <c r="B21" t="s">
        <v>75</v>
      </c>
      <c r="C21" t="s">
        <v>3719</v>
      </c>
      <c r="D21" t="s">
        <v>6893</v>
      </c>
      <c r="E21" s="9" t="s">
        <v>3192</v>
      </c>
      <c r="F21" s="9">
        <v>14</v>
      </c>
      <c r="G21" s="9"/>
      <c r="H21" s="9"/>
      <c r="I21" s="9"/>
      <c r="J21" s="9"/>
      <c r="K21" s="9"/>
      <c r="L21" s="9" t="s">
        <v>6859</v>
      </c>
      <c r="M21" s="9">
        <v>1</v>
      </c>
      <c r="N21" s="9">
        <v>-3.4028200000000001E+38</v>
      </c>
      <c r="O21" s="9">
        <v>3.4028200000000001E+38</v>
      </c>
      <c r="P21" s="9">
        <v>-3.4027999999999999E+38</v>
      </c>
      <c r="Q21" s="9">
        <v>3.4028200000000001E+38</v>
      </c>
      <c r="R21" s="9"/>
      <c r="S21" s="9"/>
      <c r="T21" s="9" t="s">
        <v>3807</v>
      </c>
      <c r="U21" s="9" t="s">
        <v>3708</v>
      </c>
      <c r="V21" s="9" t="s">
        <v>6894</v>
      </c>
      <c r="W21" s="8"/>
      <c r="Y21" t="s">
        <v>6895</v>
      </c>
      <c r="Z21"/>
      <c r="AD21"/>
      <c r="AE21"/>
      <c r="AF21"/>
      <c r="AG21"/>
    </row>
    <row r="22" spans="1:33" ht="15.75" customHeight="1" x14ac:dyDescent="0.15">
      <c r="A22" s="9">
        <v>16</v>
      </c>
      <c r="B22" t="s">
        <v>75</v>
      </c>
      <c r="C22" t="s">
        <v>3719</v>
      </c>
      <c r="D22" t="s">
        <v>6896</v>
      </c>
      <c r="E22" s="9" t="s">
        <v>3192</v>
      </c>
      <c r="F22" s="9">
        <v>15</v>
      </c>
      <c r="G22" s="9"/>
      <c r="H22" s="9"/>
      <c r="I22" s="9"/>
      <c r="J22" s="9"/>
      <c r="K22" s="9"/>
      <c r="L22" s="9" t="s">
        <v>6871</v>
      </c>
      <c r="M22" s="9">
        <v>1</v>
      </c>
      <c r="N22" s="9">
        <v>-3.4028200000000001E+38</v>
      </c>
      <c r="O22" s="9">
        <v>3.4028200000000001E+38</v>
      </c>
      <c r="P22" s="9">
        <v>-3.4027999999999999E+38</v>
      </c>
      <c r="Q22" s="9">
        <v>3.4028200000000001E+38</v>
      </c>
      <c r="R22" s="9"/>
      <c r="S22" s="9"/>
      <c r="T22" s="9" t="s">
        <v>3807</v>
      </c>
      <c r="U22" s="9" t="s">
        <v>3708</v>
      </c>
      <c r="V22" s="9" t="s">
        <v>6897</v>
      </c>
      <c r="W22" s="8"/>
      <c r="Y22" t="s">
        <v>6898</v>
      </c>
      <c r="Z22"/>
      <c r="AD22"/>
      <c r="AE22"/>
      <c r="AF22"/>
      <c r="AG22"/>
    </row>
    <row r="23" spans="1:33" ht="15.75" customHeight="1" x14ac:dyDescent="0.15">
      <c r="A23" s="9">
        <v>17</v>
      </c>
      <c r="B23" t="s">
        <v>75</v>
      </c>
      <c r="C23" t="s">
        <v>3719</v>
      </c>
      <c r="D23" t="s">
        <v>6899</v>
      </c>
      <c r="E23" s="9" t="s">
        <v>3192</v>
      </c>
      <c r="F23" s="9">
        <v>16</v>
      </c>
      <c r="G23" s="9"/>
      <c r="H23" s="9"/>
      <c r="I23" s="9"/>
      <c r="J23" s="9"/>
      <c r="K23" s="9"/>
      <c r="L23" s="9" t="s">
        <v>6871</v>
      </c>
      <c r="M23" s="9">
        <v>1</v>
      </c>
      <c r="N23" s="9">
        <v>-3.4028200000000001E+38</v>
      </c>
      <c r="O23" s="9">
        <v>3.4028200000000001E+38</v>
      </c>
      <c r="P23" s="9">
        <v>-3.4027999999999999E+38</v>
      </c>
      <c r="Q23" s="9">
        <v>3.4028200000000001E+38</v>
      </c>
      <c r="R23" s="9"/>
      <c r="S23" s="9"/>
      <c r="T23" s="9" t="s">
        <v>3807</v>
      </c>
      <c r="U23" s="9" t="s">
        <v>3708</v>
      </c>
      <c r="V23" s="9" t="s">
        <v>6900</v>
      </c>
      <c r="W23" s="8"/>
      <c r="Y23" t="s">
        <v>6901</v>
      </c>
      <c r="Z23"/>
      <c r="AD23"/>
      <c r="AE23"/>
      <c r="AF23"/>
      <c r="AG23"/>
    </row>
    <row r="24" spans="1:33" ht="15.75" customHeight="1" x14ac:dyDescent="0.15">
      <c r="A24" s="9">
        <v>18</v>
      </c>
      <c r="B24" t="s">
        <v>75</v>
      </c>
      <c r="C24" t="s">
        <v>3719</v>
      </c>
      <c r="D24" t="s">
        <v>6902</v>
      </c>
      <c r="E24" s="9" t="s">
        <v>3192</v>
      </c>
      <c r="F24" s="9">
        <v>17</v>
      </c>
      <c r="G24" s="9"/>
      <c r="H24" s="9"/>
      <c r="I24" s="9"/>
      <c r="J24" s="9"/>
      <c r="K24" s="9"/>
      <c r="L24" s="9" t="s">
        <v>6121</v>
      </c>
      <c r="M24" s="9">
        <v>1</v>
      </c>
      <c r="N24" s="9">
        <v>-3.4028200000000001E+38</v>
      </c>
      <c r="O24" s="9">
        <v>3.4028200000000001E+38</v>
      </c>
      <c r="P24" s="9">
        <v>-3.4027999999999999E+38</v>
      </c>
      <c r="Q24" s="9">
        <v>3.4028200000000001E+38</v>
      </c>
      <c r="R24" s="9"/>
      <c r="S24" s="9"/>
      <c r="T24" s="9" t="s">
        <v>3707</v>
      </c>
      <c r="U24" s="9" t="s">
        <v>3708</v>
      </c>
      <c r="V24" s="9" t="s">
        <v>6903</v>
      </c>
      <c r="W24" s="8"/>
      <c r="Y24" t="s">
        <v>6904</v>
      </c>
      <c r="Z24"/>
      <c r="AD24"/>
      <c r="AE24"/>
      <c r="AF24"/>
      <c r="AG24"/>
    </row>
    <row r="25" spans="1:33" ht="15.75" customHeight="1" x14ac:dyDescent="0.15">
      <c r="A25" s="9">
        <v>19</v>
      </c>
      <c r="B25" t="s">
        <v>75</v>
      </c>
      <c r="C25" t="s">
        <v>3719</v>
      </c>
      <c r="D25" t="s">
        <v>6905</v>
      </c>
      <c r="E25" s="9" t="s">
        <v>3192</v>
      </c>
      <c r="F25" s="9">
        <v>18</v>
      </c>
      <c r="G25" s="9"/>
      <c r="H25" s="9"/>
      <c r="I25" s="9"/>
      <c r="J25" s="9"/>
      <c r="K25" s="9"/>
      <c r="L25" s="9" t="s">
        <v>6906</v>
      </c>
      <c r="M25" s="9">
        <v>1</v>
      </c>
      <c r="N25" s="9">
        <v>-3.4028200000000001E+38</v>
      </c>
      <c r="O25" s="9">
        <v>3.4028200000000001E+38</v>
      </c>
      <c r="P25" s="9">
        <v>-3.4027999999999999E+38</v>
      </c>
      <c r="Q25" s="9">
        <v>3.4028200000000001E+38</v>
      </c>
      <c r="R25" s="9"/>
      <c r="S25" s="9"/>
      <c r="T25" s="9" t="s">
        <v>3807</v>
      </c>
      <c r="U25" s="9" t="s">
        <v>3708</v>
      </c>
      <c r="V25" s="9" t="s">
        <v>6907</v>
      </c>
      <c r="W25" s="8"/>
      <c r="Y25" t="s">
        <v>6908</v>
      </c>
      <c r="Z25"/>
      <c r="AD25"/>
      <c r="AE25"/>
      <c r="AF25"/>
      <c r="AG25"/>
    </row>
    <row r="26" spans="1:33" ht="15.75" customHeight="1" x14ac:dyDescent="0.15">
      <c r="A26" s="9">
        <v>20</v>
      </c>
      <c r="B26" t="s">
        <v>75</v>
      </c>
      <c r="C26" t="s">
        <v>3719</v>
      </c>
      <c r="D26" t="s">
        <v>6909</v>
      </c>
      <c r="E26" s="9" t="s">
        <v>3192</v>
      </c>
      <c r="F26" s="9">
        <v>19</v>
      </c>
      <c r="G26" s="9"/>
      <c r="H26" s="9"/>
      <c r="I26" s="9"/>
      <c r="J26" s="9"/>
      <c r="K26" s="9"/>
      <c r="L26" s="9" t="s">
        <v>6906</v>
      </c>
      <c r="M26" s="9">
        <v>1</v>
      </c>
      <c r="N26" s="9">
        <v>-3.4028200000000001E+38</v>
      </c>
      <c r="O26" s="9">
        <v>3.4028200000000001E+38</v>
      </c>
      <c r="P26" s="9">
        <v>-3.4027999999999999E+38</v>
      </c>
      <c r="Q26" s="9">
        <v>3.4028200000000001E+38</v>
      </c>
      <c r="R26" s="9"/>
      <c r="S26" s="9"/>
      <c r="T26" s="9" t="s">
        <v>3807</v>
      </c>
      <c r="U26" s="9" t="s">
        <v>3708</v>
      </c>
      <c r="V26" s="9" t="s">
        <v>6910</v>
      </c>
      <c r="W26" s="8"/>
      <c r="Y26" t="s">
        <v>6911</v>
      </c>
      <c r="Z26"/>
      <c r="AD26"/>
      <c r="AE26"/>
      <c r="AF26"/>
      <c r="AG26"/>
    </row>
    <row r="27" spans="1:33" ht="15.75" customHeight="1" x14ac:dyDescent="0.15">
      <c r="A27" s="9">
        <v>21</v>
      </c>
      <c r="B27" t="s">
        <v>75</v>
      </c>
      <c r="C27" t="s">
        <v>3719</v>
      </c>
      <c r="D27" t="s">
        <v>6912</v>
      </c>
      <c r="E27" s="9" t="s">
        <v>3192</v>
      </c>
      <c r="F27" s="9">
        <v>20</v>
      </c>
      <c r="G27" s="9"/>
      <c r="H27" s="9"/>
      <c r="I27" s="9"/>
      <c r="J27" s="9"/>
      <c r="K27" s="9"/>
      <c r="L27" s="9" t="s">
        <v>2311</v>
      </c>
      <c r="M27" s="9">
        <v>1</v>
      </c>
      <c r="N27" s="9">
        <v>-3.4028200000000001E+38</v>
      </c>
      <c r="O27" s="9">
        <v>3.4028200000000001E+38</v>
      </c>
      <c r="P27" s="9">
        <v>-3.4027999999999999E+38</v>
      </c>
      <c r="Q27" s="9">
        <v>3.4028200000000001E+38</v>
      </c>
      <c r="R27" s="9"/>
      <c r="S27" s="9"/>
      <c r="T27" s="9" t="s">
        <v>3723</v>
      </c>
      <c r="U27" s="9" t="s">
        <v>3708</v>
      </c>
      <c r="V27" s="9" t="s">
        <v>6913</v>
      </c>
      <c r="W27" s="8"/>
      <c r="Y27" t="s">
        <v>6914</v>
      </c>
      <c r="Z27"/>
      <c r="AD27"/>
      <c r="AE27"/>
      <c r="AF27"/>
      <c r="AG27"/>
    </row>
    <row r="28" spans="1:33" ht="15.75" customHeight="1" x14ac:dyDescent="0.15">
      <c r="A28" s="9">
        <v>22</v>
      </c>
      <c r="B28" t="s">
        <v>75</v>
      </c>
      <c r="C28" t="s">
        <v>3719</v>
      </c>
      <c r="D28" t="s">
        <v>6915</v>
      </c>
      <c r="E28" s="9" t="s">
        <v>3192</v>
      </c>
      <c r="F28" s="9">
        <v>21</v>
      </c>
      <c r="G28" s="9"/>
      <c r="H28" s="9"/>
      <c r="I28" s="9"/>
      <c r="J28" s="9"/>
      <c r="K28" s="9"/>
      <c r="L28" s="9" t="s">
        <v>3709</v>
      </c>
      <c r="M28" s="9"/>
      <c r="N28" s="9">
        <v>-3.4028200000000001E+38</v>
      </c>
      <c r="O28" s="9">
        <v>3.4028200000000001E+38</v>
      </c>
      <c r="P28" s="9"/>
      <c r="Q28" s="9"/>
      <c r="R28" s="9"/>
      <c r="S28" s="9"/>
      <c r="T28" s="9" t="s">
        <v>3709</v>
      </c>
      <c r="U28" s="9" t="s">
        <v>3709</v>
      </c>
      <c r="V28" s="9" t="s">
        <v>6916</v>
      </c>
      <c r="W28" s="33"/>
      <c r="X28" s="9" t="s">
        <v>3709</v>
      </c>
      <c r="Y28" t="s">
        <v>3709</v>
      </c>
      <c r="Z28"/>
      <c r="AD28"/>
      <c r="AE28"/>
      <c r="AF28"/>
      <c r="AG28"/>
    </row>
    <row r="29" spans="1:33" ht="15.75" customHeight="1" x14ac:dyDescent="0.15">
      <c r="A29" s="9">
        <v>23</v>
      </c>
      <c r="B29" t="s">
        <v>75</v>
      </c>
      <c r="C29" t="s">
        <v>3719</v>
      </c>
      <c r="D29" t="s">
        <v>6917</v>
      </c>
      <c r="E29" s="9" t="s">
        <v>3192</v>
      </c>
      <c r="F29" s="9">
        <v>22</v>
      </c>
      <c r="G29" s="9"/>
      <c r="H29" s="9"/>
      <c r="I29" s="9"/>
      <c r="J29" s="9"/>
      <c r="K29" s="9"/>
      <c r="L29" s="9" t="s">
        <v>266</v>
      </c>
      <c r="M29" s="9">
        <v>1</v>
      </c>
      <c r="N29" s="9">
        <v>-3.4028200000000001E+38</v>
      </c>
      <c r="O29" s="9">
        <v>3.4028200000000001E+38</v>
      </c>
      <c r="P29" s="9">
        <v>-3.4027999999999999E+38</v>
      </c>
      <c r="Q29" s="9">
        <v>3.4028200000000001E+38</v>
      </c>
      <c r="R29" s="9"/>
      <c r="S29" s="9"/>
      <c r="T29" s="9" t="s">
        <v>3707</v>
      </c>
      <c r="U29" s="9" t="s">
        <v>3950</v>
      </c>
      <c r="V29" s="9" t="s">
        <v>6918</v>
      </c>
      <c r="W29" s="33"/>
      <c r="X29" s="9" t="s">
        <v>3709</v>
      </c>
      <c r="Y29" t="s">
        <v>3709</v>
      </c>
      <c r="Z29"/>
      <c r="AD29"/>
      <c r="AE29"/>
      <c r="AF29"/>
      <c r="AG29"/>
    </row>
    <row r="30" spans="1:33" ht="15.75" customHeight="1" x14ac:dyDescent="0.15">
      <c r="A30" s="9">
        <v>24</v>
      </c>
      <c r="B30" t="s">
        <v>75</v>
      </c>
      <c r="C30" t="s">
        <v>3719</v>
      </c>
      <c r="D30" t="s">
        <v>6919</v>
      </c>
      <c r="E30" s="9" t="s">
        <v>3192</v>
      </c>
      <c r="F30" s="9">
        <v>23</v>
      </c>
      <c r="G30" s="9"/>
      <c r="H30" s="9"/>
      <c r="I30" s="9"/>
      <c r="J30" s="9"/>
      <c r="K30" s="9"/>
      <c r="L30" s="9" t="s">
        <v>266</v>
      </c>
      <c r="M30" s="9">
        <v>1</v>
      </c>
      <c r="N30" s="9">
        <v>-3.4028200000000001E+38</v>
      </c>
      <c r="O30" s="9">
        <v>3.4028200000000001E+38</v>
      </c>
      <c r="P30" s="9">
        <v>-3.4027999999999999E+38</v>
      </c>
      <c r="Q30" s="9">
        <v>3.4028200000000001E+38</v>
      </c>
      <c r="R30" s="9"/>
      <c r="S30" s="9"/>
      <c r="T30" s="9" t="s">
        <v>3707</v>
      </c>
      <c r="U30" s="9" t="s">
        <v>3950</v>
      </c>
      <c r="V30" s="9" t="s">
        <v>6920</v>
      </c>
      <c r="W30" s="33"/>
      <c r="X30" s="9" t="s">
        <v>3709</v>
      </c>
      <c r="Y30" t="s">
        <v>3709</v>
      </c>
      <c r="Z30"/>
      <c r="AD30"/>
      <c r="AE30"/>
      <c r="AF30"/>
      <c r="AG30"/>
    </row>
    <row r="31" spans="1:33" s="9" customFormat="1" ht="15.75" customHeight="1" x14ac:dyDescent="0.15">
      <c r="A31" s="9">
        <v>25</v>
      </c>
      <c r="B31" t="s">
        <v>75</v>
      </c>
      <c r="C31" t="s">
        <v>3719</v>
      </c>
      <c r="D31" t="s">
        <v>6921</v>
      </c>
      <c r="E31" s="9" t="s">
        <v>3192</v>
      </c>
      <c r="F31" s="9">
        <v>24</v>
      </c>
      <c r="L31" s="9" t="s">
        <v>6152</v>
      </c>
      <c r="M31" s="9">
        <v>1</v>
      </c>
      <c r="N31" s="9">
        <v>-3.4028200000000001E+38</v>
      </c>
      <c r="O31" s="9">
        <v>3.4028200000000001E+38</v>
      </c>
      <c r="P31" s="9">
        <v>-3.4027999999999999E+38</v>
      </c>
      <c r="Q31" s="9">
        <v>3.4028200000000001E+38</v>
      </c>
      <c r="T31" s="9" t="s">
        <v>3707</v>
      </c>
      <c r="U31" s="9" t="s">
        <v>3950</v>
      </c>
      <c r="V31" s="9" t="s">
        <v>6922</v>
      </c>
      <c r="W31" s="33"/>
      <c r="X31" s="9" t="s">
        <v>3709</v>
      </c>
      <c r="Y31" t="s">
        <v>3709</v>
      </c>
    </row>
    <row r="32" spans="1:33" s="9" customFormat="1" ht="15.75" customHeight="1" x14ac:dyDescent="0.15">
      <c r="A32" s="9">
        <v>26</v>
      </c>
      <c r="B32" t="s">
        <v>75</v>
      </c>
      <c r="C32" t="s">
        <v>3719</v>
      </c>
      <c r="D32" t="s">
        <v>6923</v>
      </c>
      <c r="E32" s="9" t="s">
        <v>3192</v>
      </c>
      <c r="F32" s="9">
        <v>25</v>
      </c>
      <c r="L32" s="9" t="s">
        <v>6111</v>
      </c>
      <c r="M32" s="9">
        <v>1</v>
      </c>
      <c r="N32" s="9">
        <v>-3.4028200000000001E+38</v>
      </c>
      <c r="O32" s="9">
        <v>3.4028200000000001E+38</v>
      </c>
      <c r="P32" s="9">
        <v>-3.4027999999999999E+38</v>
      </c>
      <c r="Q32" s="9">
        <v>3.4028200000000001E+38</v>
      </c>
      <c r="T32" s="9" t="s">
        <v>3707</v>
      </c>
      <c r="U32" s="9" t="s">
        <v>3950</v>
      </c>
      <c r="V32" s="9" t="s">
        <v>6924</v>
      </c>
      <c r="W32" s="33"/>
      <c r="X32" s="9" t="s">
        <v>3709</v>
      </c>
      <c r="Y32" t="s">
        <v>3709</v>
      </c>
    </row>
    <row r="33" spans="1:25" s="9" customFormat="1" ht="15.75" customHeight="1" x14ac:dyDescent="0.15">
      <c r="A33" s="9">
        <v>27</v>
      </c>
      <c r="B33" t="s">
        <v>75</v>
      </c>
      <c r="C33" t="s">
        <v>3719</v>
      </c>
      <c r="D33" t="s">
        <v>6925</v>
      </c>
      <c r="E33" s="9" t="s">
        <v>3192</v>
      </c>
      <c r="F33" s="9">
        <v>26</v>
      </c>
      <c r="L33" s="9" t="s">
        <v>6121</v>
      </c>
      <c r="M33" s="9">
        <v>1</v>
      </c>
      <c r="N33" s="9">
        <v>-3.4028200000000001E+38</v>
      </c>
      <c r="O33" s="9">
        <v>3.4028200000000001E+38</v>
      </c>
      <c r="P33" s="9">
        <v>-3.4027999999999999E+38</v>
      </c>
      <c r="Q33" s="9">
        <v>3.4028200000000001E+38</v>
      </c>
      <c r="T33" s="9" t="s">
        <v>3707</v>
      </c>
      <c r="U33" s="9" t="s">
        <v>3950</v>
      </c>
      <c r="V33" s="9" t="s">
        <v>6926</v>
      </c>
      <c r="W33" s="33"/>
      <c r="X33" s="9" t="s">
        <v>3709</v>
      </c>
      <c r="Y33" t="s">
        <v>3709</v>
      </c>
    </row>
    <row r="34" spans="1:25" s="9" customFormat="1" ht="15.75" customHeight="1" x14ac:dyDescent="0.15">
      <c r="A34" s="9">
        <v>28</v>
      </c>
      <c r="B34" t="s">
        <v>75</v>
      </c>
      <c r="C34" t="s">
        <v>3719</v>
      </c>
      <c r="D34" t="s">
        <v>6927</v>
      </c>
      <c r="E34" s="9" t="s">
        <v>3192</v>
      </c>
      <c r="F34" s="9">
        <v>27</v>
      </c>
      <c r="L34" s="9" t="s">
        <v>6121</v>
      </c>
      <c r="M34" s="9">
        <v>1</v>
      </c>
      <c r="N34" s="9">
        <v>-3.4028200000000001E+38</v>
      </c>
      <c r="O34" s="9">
        <v>3.4028200000000001E+38</v>
      </c>
      <c r="P34" s="9">
        <v>-3.4027999999999999E+38</v>
      </c>
      <c r="Q34" s="9">
        <v>3.4028200000000001E+38</v>
      </c>
      <c r="T34" s="9" t="s">
        <v>3707</v>
      </c>
      <c r="U34" s="9" t="s">
        <v>3708</v>
      </c>
      <c r="V34" s="9" t="s">
        <v>6928</v>
      </c>
      <c r="W34" s="33"/>
      <c r="X34" s="9" t="s">
        <v>3709</v>
      </c>
      <c r="Y34" t="s">
        <v>3709</v>
      </c>
    </row>
    <row r="35" spans="1:25" s="9" customFormat="1" ht="15.75" customHeight="1" x14ac:dyDescent="0.15">
      <c r="A35" s="9">
        <v>29</v>
      </c>
      <c r="B35" t="s">
        <v>75</v>
      </c>
      <c r="C35" t="s">
        <v>3719</v>
      </c>
      <c r="D35" t="s">
        <v>6929</v>
      </c>
      <c r="E35" s="9" t="s">
        <v>3192</v>
      </c>
      <c r="F35" s="9">
        <v>28</v>
      </c>
      <c r="L35" s="9" t="s">
        <v>560</v>
      </c>
      <c r="M35" s="9">
        <v>1</v>
      </c>
      <c r="N35" s="9">
        <v>-3.4028200000000001E+38</v>
      </c>
      <c r="O35" s="9">
        <v>3.4028200000000001E+38</v>
      </c>
      <c r="P35" s="9">
        <v>-3.4027999999999999E+38</v>
      </c>
      <c r="Q35" s="9">
        <v>3.4028200000000001E+38</v>
      </c>
      <c r="T35" s="9" t="s">
        <v>3707</v>
      </c>
      <c r="U35" s="9" t="s">
        <v>3950</v>
      </c>
      <c r="V35" s="9" t="s">
        <v>6930</v>
      </c>
      <c r="W35" s="33"/>
      <c r="X35" s="9" t="s">
        <v>3709</v>
      </c>
      <c r="Y35" t="s">
        <v>3709</v>
      </c>
    </row>
    <row r="36" spans="1:25" s="9" customFormat="1" ht="15.75" customHeight="1" x14ac:dyDescent="0.15">
      <c r="A36" s="9">
        <v>30</v>
      </c>
      <c r="B36" t="s">
        <v>75</v>
      </c>
      <c r="C36" t="s">
        <v>3719</v>
      </c>
      <c r="D36" t="s">
        <v>6931</v>
      </c>
      <c r="E36" s="9" t="s">
        <v>3192</v>
      </c>
      <c r="F36" s="9">
        <v>29</v>
      </c>
      <c r="L36" s="9" t="s">
        <v>6165</v>
      </c>
      <c r="M36" s="9">
        <v>1</v>
      </c>
      <c r="N36" s="9">
        <v>-3.4028200000000001E+38</v>
      </c>
      <c r="O36" s="9">
        <v>3.4028200000000001E+38</v>
      </c>
      <c r="P36" s="9">
        <v>-3.4027999999999999E+38</v>
      </c>
      <c r="Q36" s="9">
        <v>3.4028200000000001E+38</v>
      </c>
      <c r="T36" s="9" t="s">
        <v>3707</v>
      </c>
      <c r="U36" s="9" t="s">
        <v>3950</v>
      </c>
      <c r="V36" s="9" t="s">
        <v>6932</v>
      </c>
      <c r="W36" s="33"/>
      <c r="X36" s="9" t="s">
        <v>3709</v>
      </c>
      <c r="Y36" t="s">
        <v>3709</v>
      </c>
    </row>
    <row r="37" spans="1:25" s="9" customFormat="1" ht="15.75" customHeight="1" x14ac:dyDescent="0.15">
      <c r="A37" s="9">
        <v>31</v>
      </c>
      <c r="B37" t="s">
        <v>75</v>
      </c>
      <c r="C37" t="s">
        <v>3719</v>
      </c>
      <c r="D37" t="s">
        <v>6933</v>
      </c>
      <c r="E37" s="9" t="s">
        <v>3192</v>
      </c>
      <c r="F37" s="9">
        <v>30</v>
      </c>
      <c r="L37" s="9" t="s">
        <v>6185</v>
      </c>
      <c r="M37" s="9">
        <v>1</v>
      </c>
      <c r="N37" s="9">
        <v>-3.4028200000000001E+38</v>
      </c>
      <c r="O37" s="9">
        <v>3.4028200000000001E+38</v>
      </c>
      <c r="P37" s="9">
        <v>-3.4027999999999999E+38</v>
      </c>
      <c r="Q37" s="9">
        <v>3.4028200000000001E+38</v>
      </c>
      <c r="T37" s="9" t="s">
        <v>3707</v>
      </c>
      <c r="U37" s="9" t="s">
        <v>3950</v>
      </c>
      <c r="V37" s="9" t="s">
        <v>6934</v>
      </c>
      <c r="W37" s="33"/>
      <c r="X37" s="9" t="s">
        <v>3709</v>
      </c>
      <c r="Y37" t="s">
        <v>3709</v>
      </c>
    </row>
    <row r="38" spans="1:25" s="9" customFormat="1" ht="15.75" customHeight="1" x14ac:dyDescent="0.15">
      <c r="A38" s="9">
        <v>32</v>
      </c>
      <c r="B38" t="s">
        <v>75</v>
      </c>
      <c r="C38" t="s">
        <v>3719</v>
      </c>
      <c r="D38" t="s">
        <v>6935</v>
      </c>
      <c r="E38" s="9" t="s">
        <v>3192</v>
      </c>
      <c r="F38" s="9">
        <v>31</v>
      </c>
      <c r="L38" s="9" t="s">
        <v>6936</v>
      </c>
      <c r="M38" s="9">
        <v>1</v>
      </c>
      <c r="N38" s="9">
        <v>-3.4028200000000001E+38</v>
      </c>
      <c r="O38" s="9">
        <v>3.4028200000000001E+38</v>
      </c>
      <c r="P38" s="9">
        <v>-3.4027999999999999E+38</v>
      </c>
      <c r="Q38" s="9">
        <v>3.4028200000000001E+38</v>
      </c>
      <c r="T38" s="9" t="s">
        <v>3723</v>
      </c>
      <c r="U38" s="9" t="s">
        <v>3708</v>
      </c>
      <c r="V38" s="9" t="s">
        <v>6937</v>
      </c>
      <c r="W38" s="33"/>
      <c r="X38" s="9" t="s">
        <v>3709</v>
      </c>
      <c r="Y38" t="s">
        <v>6938</v>
      </c>
    </row>
    <row r="39" spans="1:25" s="9" customFormat="1" ht="15.75" customHeight="1" x14ac:dyDescent="0.15">
      <c r="A39" s="9">
        <v>33</v>
      </c>
      <c r="B39" t="s">
        <v>75</v>
      </c>
      <c r="C39" t="s">
        <v>3719</v>
      </c>
      <c r="D39" t="s">
        <v>6939</v>
      </c>
      <c r="E39" s="9" t="s">
        <v>3192</v>
      </c>
      <c r="F39" s="9">
        <v>32</v>
      </c>
      <c r="L39" s="9" t="s">
        <v>6940</v>
      </c>
      <c r="M39" s="9">
        <v>1</v>
      </c>
      <c r="N39" s="9">
        <v>-3.4028200000000001E+38</v>
      </c>
      <c r="O39" s="9">
        <v>3.4028200000000001E+38</v>
      </c>
      <c r="P39" s="9">
        <v>-3.4027999999999999E+38</v>
      </c>
      <c r="Q39" s="9">
        <v>3.4028200000000001E+38</v>
      </c>
      <c r="T39" s="9" t="s">
        <v>3723</v>
      </c>
      <c r="U39" s="9" t="s">
        <v>3708</v>
      </c>
      <c r="V39" s="9" t="s">
        <v>6941</v>
      </c>
      <c r="W39" s="33"/>
      <c r="X39" s="9" t="s">
        <v>3709</v>
      </c>
      <c r="Y39" t="s">
        <v>6942</v>
      </c>
    </row>
    <row r="40" spans="1:25" s="9" customFormat="1" ht="15.75" customHeight="1" x14ac:dyDescent="0.15">
      <c r="A40" s="9">
        <v>34</v>
      </c>
      <c r="B40" t="s">
        <v>2278</v>
      </c>
      <c r="C40" t="s">
        <v>3719</v>
      </c>
      <c r="D40" t="s">
        <v>6943</v>
      </c>
      <c r="E40" s="9" t="s">
        <v>3192</v>
      </c>
      <c r="F40" s="9">
        <v>33</v>
      </c>
      <c r="L40" s="9" t="s">
        <v>6859</v>
      </c>
      <c r="M40" s="9">
        <v>1</v>
      </c>
      <c r="N40" s="9">
        <v>-3.4028200000000001E+38</v>
      </c>
      <c r="O40" s="9">
        <v>3.4028200000000001E+38</v>
      </c>
      <c r="P40" s="9">
        <v>-3.4027999999999999E+38</v>
      </c>
      <c r="Q40" s="9">
        <v>3.4028200000000001E+38</v>
      </c>
      <c r="T40" s="9" t="s">
        <v>3723</v>
      </c>
      <c r="U40" s="9" t="s">
        <v>3708</v>
      </c>
      <c r="V40" s="9" t="s">
        <v>6944</v>
      </c>
      <c r="W40" s="33"/>
      <c r="X40" s="9" t="s">
        <v>3709</v>
      </c>
      <c r="Y40" t="s">
        <v>3709</v>
      </c>
    </row>
    <row r="41" spans="1:25" s="9" customFormat="1" ht="15.75" customHeight="1" x14ac:dyDescent="0.15">
      <c r="A41" s="9">
        <v>35</v>
      </c>
      <c r="B41" t="s">
        <v>75</v>
      </c>
      <c r="C41" t="s">
        <v>6050</v>
      </c>
      <c r="D41" t="s">
        <v>6945</v>
      </c>
      <c r="E41" s="9" t="s">
        <v>3192</v>
      </c>
      <c r="F41" s="9">
        <v>0</v>
      </c>
      <c r="L41" s="9" t="s">
        <v>3722</v>
      </c>
      <c r="M41" s="9">
        <v>1</v>
      </c>
      <c r="N41" s="9">
        <v>-3.4028200000000001E+38</v>
      </c>
      <c r="O41" s="9">
        <v>3.4028200000000001E+38</v>
      </c>
      <c r="P41" s="9">
        <v>-3.4027999999999999E+38</v>
      </c>
      <c r="Q41" s="9">
        <v>3.4028200000000001E+38</v>
      </c>
      <c r="T41" s="9" t="s">
        <v>3723</v>
      </c>
      <c r="U41" s="9" t="s">
        <v>3708</v>
      </c>
      <c r="V41" s="9" t="s">
        <v>6946</v>
      </c>
      <c r="W41" s="8" t="s">
        <v>6217</v>
      </c>
      <c r="X41" s="9" t="s">
        <v>3709</v>
      </c>
      <c r="Y41" t="s">
        <v>6947</v>
      </c>
    </row>
    <row r="42" spans="1:25" s="9" customFormat="1" ht="15.75" customHeight="1" x14ac:dyDescent="0.15">
      <c r="A42" s="9">
        <v>36</v>
      </c>
      <c r="B42" t="s">
        <v>75</v>
      </c>
      <c r="C42" t="s">
        <v>6050</v>
      </c>
      <c r="D42" t="s">
        <v>6948</v>
      </c>
      <c r="E42" s="9" t="s">
        <v>3192</v>
      </c>
      <c r="F42" s="9">
        <v>1</v>
      </c>
      <c r="L42" s="9" t="s">
        <v>6859</v>
      </c>
      <c r="M42" s="9">
        <v>1</v>
      </c>
      <c r="N42" s="9">
        <v>-3.4028200000000001E+38</v>
      </c>
      <c r="O42" s="9">
        <v>3.4028200000000001E+38</v>
      </c>
      <c r="P42" s="9">
        <v>-3.4027999999999999E+38</v>
      </c>
      <c r="Q42" s="9">
        <v>3.4028200000000001E+38</v>
      </c>
      <c r="T42" s="9" t="s">
        <v>3723</v>
      </c>
      <c r="U42" s="9" t="s">
        <v>3708</v>
      </c>
      <c r="V42" s="9" t="s">
        <v>6949</v>
      </c>
      <c r="W42" s="33"/>
      <c r="X42" s="9" t="s">
        <v>3709</v>
      </c>
      <c r="Y42" t="s">
        <v>6950</v>
      </c>
    </row>
    <row r="43" spans="1:25" s="9" customFormat="1" ht="15.75" customHeight="1" x14ac:dyDescent="0.15">
      <c r="A43" s="9">
        <v>37</v>
      </c>
      <c r="B43" t="s">
        <v>75</v>
      </c>
      <c r="C43" t="s">
        <v>6050</v>
      </c>
      <c r="D43" t="s">
        <v>2667</v>
      </c>
      <c r="E43" s="9" t="s">
        <v>3192</v>
      </c>
      <c r="F43" s="9">
        <v>2</v>
      </c>
      <c r="L43" s="9" t="s">
        <v>3722</v>
      </c>
      <c r="M43" s="9">
        <v>1</v>
      </c>
      <c r="N43" s="9">
        <v>-3.4028200000000001E+38</v>
      </c>
      <c r="O43" s="9">
        <v>3.4028200000000001E+38</v>
      </c>
      <c r="P43" s="9">
        <v>-3.4027999999999999E+38</v>
      </c>
      <c r="Q43" s="9">
        <v>3.4028200000000001E+38</v>
      </c>
      <c r="T43" s="9" t="s">
        <v>3723</v>
      </c>
      <c r="U43" s="9" t="s">
        <v>3708</v>
      </c>
      <c r="V43" s="9" t="s">
        <v>6951</v>
      </c>
      <c r="W43" s="8" t="s">
        <v>6863</v>
      </c>
      <c r="X43" s="9" t="s">
        <v>3709</v>
      </c>
      <c r="Y43" t="s">
        <v>6952</v>
      </c>
    </row>
    <row r="44" spans="1:25" s="9" customFormat="1" ht="15.75" customHeight="1" x14ac:dyDescent="0.15">
      <c r="A44" s="9">
        <v>38</v>
      </c>
      <c r="B44" t="s">
        <v>75</v>
      </c>
      <c r="C44" t="s">
        <v>6050</v>
      </c>
      <c r="D44" t="s">
        <v>6953</v>
      </c>
      <c r="E44" s="9" t="s">
        <v>3192</v>
      </c>
      <c r="F44" s="9">
        <v>3</v>
      </c>
      <c r="L44" s="9" t="s">
        <v>2324</v>
      </c>
      <c r="M44" s="9">
        <v>1</v>
      </c>
      <c r="N44" s="9">
        <v>-3.4028200000000001E+38</v>
      </c>
      <c r="O44" s="9">
        <v>3.4028200000000001E+38</v>
      </c>
      <c r="P44" s="9">
        <v>-3.4027999999999999E+38</v>
      </c>
      <c r="Q44" s="9">
        <v>3.4028200000000001E+38</v>
      </c>
      <c r="T44" s="9" t="s">
        <v>3723</v>
      </c>
      <c r="U44" s="9" t="s">
        <v>3708</v>
      </c>
      <c r="V44" s="9" t="s">
        <v>6954</v>
      </c>
      <c r="W44" s="33"/>
      <c r="X44" s="9" t="s">
        <v>3709</v>
      </c>
      <c r="Y44" t="s">
        <v>6955</v>
      </c>
    </row>
    <row r="45" spans="1:25" s="9" customFormat="1" ht="15.75" customHeight="1" x14ac:dyDescent="0.15">
      <c r="A45" s="9">
        <v>39</v>
      </c>
      <c r="B45" t="s">
        <v>75</v>
      </c>
      <c r="C45" t="s">
        <v>6050</v>
      </c>
      <c r="D45" t="s">
        <v>6956</v>
      </c>
      <c r="E45" s="9" t="s">
        <v>3192</v>
      </c>
      <c r="F45" s="9">
        <v>4</v>
      </c>
      <c r="L45" s="9" t="s">
        <v>145</v>
      </c>
      <c r="M45" s="9">
        <v>1</v>
      </c>
      <c r="N45" s="9">
        <v>-3.4028200000000001E+38</v>
      </c>
      <c r="O45" s="9">
        <v>3.4028200000000001E+38</v>
      </c>
      <c r="P45" s="9">
        <v>-3.4027999999999999E+38</v>
      </c>
      <c r="Q45" s="9">
        <v>3.4028200000000001E+38</v>
      </c>
      <c r="T45" s="9" t="s">
        <v>3723</v>
      </c>
      <c r="U45" s="9" t="s">
        <v>3708</v>
      </c>
      <c r="V45" s="9" t="s">
        <v>6957</v>
      </c>
      <c r="W45" s="33"/>
      <c r="X45" s="9" t="s">
        <v>3709</v>
      </c>
      <c r="Y45" t="s">
        <v>6958</v>
      </c>
    </row>
    <row r="46" spans="1:25" s="9" customFormat="1" ht="15.75" customHeight="1" x14ac:dyDescent="0.15">
      <c r="A46" s="9">
        <v>40</v>
      </c>
      <c r="B46" t="s">
        <v>75</v>
      </c>
      <c r="C46" t="s">
        <v>6050</v>
      </c>
      <c r="D46" t="s">
        <v>6959</v>
      </c>
      <c r="E46" s="9" t="s">
        <v>3192</v>
      </c>
      <c r="F46" s="9">
        <v>5</v>
      </c>
      <c r="L46" s="9" t="s">
        <v>6871</v>
      </c>
      <c r="M46" s="9">
        <v>1</v>
      </c>
      <c r="N46" s="9">
        <v>-3.4028200000000001E+38</v>
      </c>
      <c r="O46" s="9">
        <v>3.4028200000000001E+38</v>
      </c>
      <c r="P46" s="9">
        <v>-3.4027999999999999E+38</v>
      </c>
      <c r="Q46" s="9">
        <v>3.4028200000000001E+38</v>
      </c>
      <c r="T46" s="9" t="s">
        <v>3723</v>
      </c>
      <c r="U46" s="9" t="s">
        <v>3708</v>
      </c>
      <c r="V46" s="9" t="s">
        <v>6960</v>
      </c>
      <c r="W46" s="33"/>
      <c r="X46" s="9" t="s">
        <v>3709</v>
      </c>
      <c r="Y46" t="s">
        <v>6961</v>
      </c>
    </row>
    <row r="47" spans="1:25" s="9" customFormat="1" ht="15.75" customHeight="1" x14ac:dyDescent="0.15">
      <c r="A47" s="9">
        <v>41</v>
      </c>
      <c r="B47" t="s">
        <v>75</v>
      </c>
      <c r="C47" t="s">
        <v>6050</v>
      </c>
      <c r="D47" t="s">
        <v>6962</v>
      </c>
      <c r="E47" s="9" t="s">
        <v>3192</v>
      </c>
      <c r="F47" s="9">
        <v>6</v>
      </c>
      <c r="L47" s="9" t="s">
        <v>3722</v>
      </c>
      <c r="M47" s="9">
        <v>1</v>
      </c>
      <c r="N47" s="9">
        <v>-3.4028200000000001E+38</v>
      </c>
      <c r="O47" s="9">
        <v>3.4028200000000001E+38</v>
      </c>
      <c r="P47" s="9">
        <v>-3.4027999999999999E+38</v>
      </c>
      <c r="Q47" s="9">
        <v>3.4028200000000001E+38</v>
      </c>
      <c r="T47" s="9" t="s">
        <v>3723</v>
      </c>
      <c r="U47" s="9" t="s">
        <v>3708</v>
      </c>
      <c r="V47" s="9" t="s">
        <v>6963</v>
      </c>
      <c r="W47" s="8" t="s">
        <v>2351</v>
      </c>
      <c r="X47" s="9" t="s">
        <v>3709</v>
      </c>
      <c r="Y47" t="s">
        <v>6964</v>
      </c>
    </row>
    <row r="48" spans="1:25" s="9" customFormat="1" ht="15.75" customHeight="1" x14ac:dyDescent="0.15">
      <c r="A48" s="9">
        <v>42</v>
      </c>
      <c r="B48" t="s">
        <v>75</v>
      </c>
      <c r="C48" t="s">
        <v>6050</v>
      </c>
      <c r="D48" t="s">
        <v>6965</v>
      </c>
      <c r="E48" s="9" t="s">
        <v>3192</v>
      </c>
      <c r="F48" s="9">
        <v>7</v>
      </c>
      <c r="L48" s="9" t="s">
        <v>3722</v>
      </c>
      <c r="M48" s="9">
        <v>1</v>
      </c>
      <c r="N48" s="9">
        <v>-3.4028200000000001E+38</v>
      </c>
      <c r="O48" s="9">
        <v>3.4028200000000001E+38</v>
      </c>
      <c r="P48" s="9">
        <v>-3.4027999999999999E+38</v>
      </c>
      <c r="Q48" s="9">
        <v>3.4028200000000001E+38</v>
      </c>
      <c r="T48" s="9" t="s">
        <v>3723</v>
      </c>
      <c r="U48" s="9" t="s">
        <v>3708</v>
      </c>
      <c r="V48" s="9" t="s">
        <v>6966</v>
      </c>
      <c r="W48" s="8" t="s">
        <v>2351</v>
      </c>
      <c r="X48" s="9" t="s">
        <v>3709</v>
      </c>
      <c r="Y48" t="s">
        <v>6967</v>
      </c>
    </row>
    <row r="49" spans="1:25" s="9" customFormat="1" ht="15.75" customHeight="1" x14ac:dyDescent="0.15">
      <c r="A49" s="9">
        <v>43</v>
      </c>
      <c r="B49" t="s">
        <v>75</v>
      </c>
      <c r="C49" t="s">
        <v>6050</v>
      </c>
      <c r="D49" t="s">
        <v>6968</v>
      </c>
      <c r="E49" s="9" t="s">
        <v>3192</v>
      </c>
      <c r="F49" s="9">
        <v>8</v>
      </c>
      <c r="L49" s="9" t="s">
        <v>6936</v>
      </c>
      <c r="M49" s="9">
        <v>1</v>
      </c>
      <c r="N49" s="9">
        <v>-3.4028200000000001E+38</v>
      </c>
      <c r="O49" s="9">
        <v>3.4028200000000001E+38</v>
      </c>
      <c r="P49" s="9">
        <v>-3.4027999999999999E+38</v>
      </c>
      <c r="Q49" s="9">
        <v>3.4028200000000001E+38</v>
      </c>
      <c r="T49" s="9" t="s">
        <v>3723</v>
      </c>
      <c r="U49" s="9" t="s">
        <v>3708</v>
      </c>
      <c r="V49" s="9" t="s">
        <v>6969</v>
      </c>
      <c r="W49" s="9" t="s">
        <v>3709</v>
      </c>
      <c r="X49" s="9" t="s">
        <v>3709</v>
      </c>
      <c r="Y49" t="s">
        <v>6970</v>
      </c>
    </row>
    <row r="50" spans="1:25" s="9" customFormat="1" ht="15.75" customHeight="1" x14ac:dyDescent="0.15">
      <c r="A50" s="9">
        <v>44</v>
      </c>
      <c r="B50" t="s">
        <v>75</v>
      </c>
      <c r="C50" t="s">
        <v>6050</v>
      </c>
      <c r="D50" t="s">
        <v>6971</v>
      </c>
      <c r="E50" s="9" t="s">
        <v>3192</v>
      </c>
      <c r="F50" s="9">
        <v>9</v>
      </c>
      <c r="L50" s="9" t="s">
        <v>6940</v>
      </c>
      <c r="M50" s="9">
        <v>1</v>
      </c>
      <c r="N50" s="9">
        <v>-3.4028200000000001E+38</v>
      </c>
      <c r="O50" s="9">
        <v>3.4028200000000001E+38</v>
      </c>
      <c r="P50" s="9">
        <v>-3.4027999999999999E+38</v>
      </c>
      <c r="Q50" s="9">
        <v>3.4028200000000001E+38</v>
      </c>
      <c r="T50" s="9" t="s">
        <v>3723</v>
      </c>
      <c r="U50" s="9" t="s">
        <v>3708</v>
      </c>
      <c r="V50" s="9" t="s">
        <v>6972</v>
      </c>
      <c r="W50" s="9" t="s">
        <v>3709</v>
      </c>
      <c r="X50" s="9" t="s">
        <v>3709</v>
      </c>
      <c r="Y50" t="s">
        <v>6973</v>
      </c>
    </row>
    <row r="51" spans="1:25" s="9" customFormat="1" ht="15.75" customHeight="1" x14ac:dyDescent="0.15">
      <c r="A51" s="9">
        <v>45</v>
      </c>
      <c r="B51" t="s">
        <v>75</v>
      </c>
      <c r="C51" t="s">
        <v>6035</v>
      </c>
      <c r="D51" t="s">
        <v>6974</v>
      </c>
      <c r="E51" s="9" t="s">
        <v>169</v>
      </c>
      <c r="F51" s="9">
        <v>0</v>
      </c>
      <c r="I51" s="9" t="s">
        <v>171</v>
      </c>
      <c r="J51" s="9" t="s">
        <v>177</v>
      </c>
      <c r="K51" s="9" t="s">
        <v>173</v>
      </c>
      <c r="U51" s="9" t="s">
        <v>3709</v>
      </c>
      <c r="V51" s="9" t="s">
        <v>6975</v>
      </c>
      <c r="W51" s="9" t="s">
        <v>3709</v>
      </c>
      <c r="X51" s="9" t="s">
        <v>3709</v>
      </c>
      <c r="Y51" t="s">
        <v>6976</v>
      </c>
    </row>
    <row r="52" spans="1:25" s="9" customFormat="1" ht="15.75" customHeight="1" x14ac:dyDescent="0.15">
      <c r="A52" s="9">
        <v>46</v>
      </c>
      <c r="B52" t="s">
        <v>75</v>
      </c>
      <c r="C52" t="s">
        <v>6035</v>
      </c>
      <c r="D52" t="s">
        <v>6977</v>
      </c>
      <c r="E52" s="9" t="s">
        <v>169</v>
      </c>
      <c r="F52" s="9">
        <v>1</v>
      </c>
      <c r="I52" s="9" t="s">
        <v>171</v>
      </c>
      <c r="J52" s="9" t="s">
        <v>177</v>
      </c>
      <c r="K52" s="9" t="s">
        <v>173</v>
      </c>
      <c r="U52" s="9" t="s">
        <v>3709</v>
      </c>
      <c r="V52" s="9" t="s">
        <v>6978</v>
      </c>
      <c r="W52" s="9" t="s">
        <v>3709</v>
      </c>
      <c r="X52" s="9" t="s">
        <v>3709</v>
      </c>
      <c r="Y52" t="s">
        <v>6979</v>
      </c>
    </row>
    <row r="53" spans="1:25" s="9" customFormat="1" ht="15.75" customHeight="1" x14ac:dyDescent="0.15">
      <c r="A53" s="9">
        <v>47</v>
      </c>
      <c r="B53" t="s">
        <v>75</v>
      </c>
      <c r="C53" t="s">
        <v>6035</v>
      </c>
      <c r="D53" t="s">
        <v>6980</v>
      </c>
      <c r="E53" s="9" t="s">
        <v>169</v>
      </c>
      <c r="F53" s="9">
        <v>2</v>
      </c>
      <c r="I53" s="9" t="s">
        <v>171</v>
      </c>
      <c r="J53" s="9" t="s">
        <v>177</v>
      </c>
      <c r="K53" s="9" t="s">
        <v>173</v>
      </c>
      <c r="U53" s="9" t="s">
        <v>3709</v>
      </c>
      <c r="V53" s="9" t="s">
        <v>6981</v>
      </c>
      <c r="W53" s="9" t="s">
        <v>3709</v>
      </c>
      <c r="X53" s="9" t="s">
        <v>3709</v>
      </c>
      <c r="Y53" t="s">
        <v>6982</v>
      </c>
    </row>
    <row r="54" spans="1:25" s="9" customFormat="1" ht="15.75" customHeight="1" x14ac:dyDescent="0.15">
      <c r="A54" s="9">
        <v>48</v>
      </c>
      <c r="B54" t="s">
        <v>75</v>
      </c>
      <c r="C54" t="s">
        <v>6035</v>
      </c>
      <c r="D54" t="s">
        <v>6983</v>
      </c>
      <c r="E54" s="9" t="s">
        <v>169</v>
      </c>
      <c r="F54" s="9">
        <v>3</v>
      </c>
      <c r="I54" s="9" t="s">
        <v>171</v>
      </c>
      <c r="J54" s="9" t="s">
        <v>177</v>
      </c>
      <c r="K54" s="9" t="s">
        <v>173</v>
      </c>
      <c r="U54" s="9" t="s">
        <v>3709</v>
      </c>
      <c r="V54" s="9" t="s">
        <v>6984</v>
      </c>
      <c r="W54" s="9" t="s">
        <v>3709</v>
      </c>
      <c r="X54" s="9" t="s">
        <v>3709</v>
      </c>
      <c r="Y54" t="s">
        <v>6985</v>
      </c>
    </row>
    <row r="55" spans="1:25" s="9" customFormat="1" ht="15.75" customHeight="1" x14ac:dyDescent="0.15">
      <c r="A55" s="9">
        <v>49</v>
      </c>
      <c r="B55" t="s">
        <v>75</v>
      </c>
      <c r="C55" t="s">
        <v>6035</v>
      </c>
      <c r="D55" t="s">
        <v>6986</v>
      </c>
      <c r="E55" s="9" t="s">
        <v>169</v>
      </c>
      <c r="F55" s="9">
        <v>4</v>
      </c>
      <c r="I55" s="9" t="s">
        <v>171</v>
      </c>
      <c r="J55" s="9" t="s">
        <v>177</v>
      </c>
      <c r="K55" s="9" t="s">
        <v>173</v>
      </c>
      <c r="U55" s="9" t="s">
        <v>3709</v>
      </c>
      <c r="V55" s="9" t="s">
        <v>6987</v>
      </c>
      <c r="W55" s="9" t="s">
        <v>3709</v>
      </c>
      <c r="X55" s="9" t="s">
        <v>3709</v>
      </c>
      <c r="Y55" t="s">
        <v>6988</v>
      </c>
    </row>
    <row r="56" spans="1:25" s="9" customFormat="1" ht="15.75" customHeight="1" x14ac:dyDescent="0.15">
      <c r="A56" s="9">
        <v>50</v>
      </c>
      <c r="B56" t="s">
        <v>2278</v>
      </c>
      <c r="C56" t="s">
        <v>6035</v>
      </c>
      <c r="D56" t="s">
        <v>6989</v>
      </c>
      <c r="E56" s="9" t="s">
        <v>169</v>
      </c>
      <c r="F56" s="9">
        <v>5</v>
      </c>
      <c r="I56" s="9" t="s">
        <v>196</v>
      </c>
      <c r="J56" s="9" t="s">
        <v>3090</v>
      </c>
      <c r="K56" s="9" t="s">
        <v>3091</v>
      </c>
      <c r="U56" s="9" t="s">
        <v>3709</v>
      </c>
      <c r="V56" s="9" t="s">
        <v>6990</v>
      </c>
      <c r="W56" s="9" t="s">
        <v>3709</v>
      </c>
      <c r="X56" s="9" t="s">
        <v>3709</v>
      </c>
      <c r="Y56"/>
    </row>
    <row r="57" spans="1:25" s="9" customFormat="1" ht="15.75" customHeight="1" x14ac:dyDescent="0.15">
      <c r="A57" s="9">
        <v>51</v>
      </c>
      <c r="B57" t="s">
        <v>2278</v>
      </c>
      <c r="C57" t="s">
        <v>6035</v>
      </c>
      <c r="D57" t="s">
        <v>6991</v>
      </c>
      <c r="E57" s="9" t="s">
        <v>169</v>
      </c>
      <c r="F57" s="9">
        <v>6</v>
      </c>
      <c r="I57" s="9" t="s">
        <v>196</v>
      </c>
      <c r="J57" s="9" t="s">
        <v>3090</v>
      </c>
      <c r="K57" s="9" t="s">
        <v>3091</v>
      </c>
      <c r="U57" s="9" t="s">
        <v>3709</v>
      </c>
      <c r="V57" s="9" t="s">
        <v>6992</v>
      </c>
      <c r="W57" s="9" t="s">
        <v>3709</v>
      </c>
      <c r="X57" s="9" t="s">
        <v>3709</v>
      </c>
      <c r="Y57"/>
    </row>
    <row r="58" spans="1:25" s="9" customFormat="1" ht="15.75" customHeight="1" x14ac:dyDescent="0.15">
      <c r="A58" s="9">
        <v>52</v>
      </c>
      <c r="B58" t="s">
        <v>2278</v>
      </c>
      <c r="C58" t="s">
        <v>6035</v>
      </c>
      <c r="D58" t="s">
        <v>6993</v>
      </c>
      <c r="E58" s="9" t="s">
        <v>169</v>
      </c>
      <c r="F58" s="9">
        <v>7</v>
      </c>
      <c r="I58" s="9" t="s">
        <v>196</v>
      </c>
      <c r="J58" s="9" t="s">
        <v>6046</v>
      </c>
      <c r="K58" s="9" t="s">
        <v>6047</v>
      </c>
      <c r="U58" s="9" t="s">
        <v>3709</v>
      </c>
      <c r="V58" s="9" t="s">
        <v>6994</v>
      </c>
      <c r="W58" s="9" t="s">
        <v>3709</v>
      </c>
      <c r="X58" s="9" t="s">
        <v>3709</v>
      </c>
      <c r="Y58"/>
    </row>
    <row r="59" spans="1:25" s="9" customFormat="1" ht="15.75" customHeight="1" x14ac:dyDescent="0.15">
      <c r="A59" s="9">
        <v>53</v>
      </c>
      <c r="B59" t="s">
        <v>2278</v>
      </c>
      <c r="C59" t="s">
        <v>6035</v>
      </c>
      <c r="D59" t="s">
        <v>6995</v>
      </c>
      <c r="E59" s="9" t="s">
        <v>169</v>
      </c>
      <c r="F59" s="9">
        <v>8</v>
      </c>
      <c r="I59" s="9" t="s">
        <v>171</v>
      </c>
      <c r="J59" s="9" t="s">
        <v>177</v>
      </c>
      <c r="K59" s="9" t="s">
        <v>173</v>
      </c>
      <c r="U59" s="9" t="s">
        <v>3709</v>
      </c>
      <c r="V59" s="9" t="s">
        <v>6996</v>
      </c>
      <c r="W59" s="9" t="s">
        <v>3709</v>
      </c>
      <c r="X59" s="9" t="s">
        <v>3709</v>
      </c>
      <c r="Y59"/>
    </row>
    <row r="60" spans="1:25" s="9" customFormat="1" ht="15.75" customHeight="1" x14ac:dyDescent="0.15">
      <c r="A60" s="9">
        <v>54</v>
      </c>
      <c r="B60" t="s">
        <v>75</v>
      </c>
      <c r="C60" t="s">
        <v>6035</v>
      </c>
      <c r="D60" t="s">
        <v>6997</v>
      </c>
      <c r="E60" s="9" t="s">
        <v>169</v>
      </c>
      <c r="F60" s="9">
        <v>9</v>
      </c>
      <c r="I60" s="9" t="s">
        <v>171</v>
      </c>
      <c r="J60" s="9" t="s">
        <v>177</v>
      </c>
      <c r="K60" s="9" t="s">
        <v>173</v>
      </c>
      <c r="U60" s="9" t="s">
        <v>3709</v>
      </c>
      <c r="V60" s="9" t="s">
        <v>6998</v>
      </c>
      <c r="W60" s="9" t="s">
        <v>3709</v>
      </c>
      <c r="X60" s="9" t="s">
        <v>3709</v>
      </c>
      <c r="Y60" t="s">
        <v>6999</v>
      </c>
    </row>
    <row r="61" spans="1:25" s="9" customFormat="1" ht="15.75" customHeight="1" x14ac:dyDescent="0.15">
      <c r="A61" s="9">
        <v>55</v>
      </c>
      <c r="B61" t="s">
        <v>75</v>
      </c>
      <c r="C61" t="s">
        <v>6035</v>
      </c>
      <c r="D61" t="s">
        <v>7000</v>
      </c>
      <c r="E61" s="9" t="s">
        <v>169</v>
      </c>
      <c r="F61" s="9">
        <v>10</v>
      </c>
      <c r="I61" s="9" t="s">
        <v>171</v>
      </c>
      <c r="J61" s="9" t="s">
        <v>177</v>
      </c>
      <c r="K61" s="9" t="s">
        <v>173</v>
      </c>
      <c r="U61" s="9" t="s">
        <v>3709</v>
      </c>
      <c r="V61" s="9" t="s">
        <v>7001</v>
      </c>
      <c r="W61" s="9" t="s">
        <v>3709</v>
      </c>
      <c r="X61" s="9" t="s">
        <v>3709</v>
      </c>
      <c r="Y61" t="s">
        <v>7002</v>
      </c>
    </row>
    <row r="62" spans="1:25" s="9" customFormat="1" ht="15.75" customHeight="1" x14ac:dyDescent="0.15">
      <c r="A62" s="9">
        <v>56</v>
      </c>
      <c r="B62" t="s">
        <v>75</v>
      </c>
      <c r="C62" t="s">
        <v>6035</v>
      </c>
      <c r="D62" t="s">
        <v>7003</v>
      </c>
      <c r="E62" s="9" t="s">
        <v>169</v>
      </c>
      <c r="F62" s="9">
        <v>11</v>
      </c>
      <c r="I62" s="9" t="s">
        <v>196</v>
      </c>
      <c r="J62" s="9" t="s">
        <v>7004</v>
      </c>
      <c r="K62" s="9" t="s">
        <v>7005</v>
      </c>
      <c r="U62" s="9" t="s">
        <v>3709</v>
      </c>
      <c r="V62" s="9" t="s">
        <v>7006</v>
      </c>
      <c r="W62" s="9" t="s">
        <v>3709</v>
      </c>
      <c r="X62" s="9" t="s">
        <v>3709</v>
      </c>
      <c r="Y62" t="s">
        <v>7007</v>
      </c>
    </row>
    <row r="63" spans="1:25" s="9" customFormat="1" ht="15.75" customHeight="1" x14ac:dyDescent="0.15">
      <c r="A63" s="9">
        <v>57</v>
      </c>
      <c r="B63" t="s">
        <v>2278</v>
      </c>
      <c r="C63" t="s">
        <v>6035</v>
      </c>
      <c r="D63" t="s">
        <v>7008</v>
      </c>
      <c r="E63" s="9" t="s">
        <v>169</v>
      </c>
      <c r="F63" s="9">
        <v>12</v>
      </c>
      <c r="I63" s="9" t="s">
        <v>196</v>
      </c>
      <c r="J63" s="9" t="s">
        <v>940</v>
      </c>
      <c r="K63" s="9" t="s">
        <v>941</v>
      </c>
      <c r="U63" s="9" t="s">
        <v>3709</v>
      </c>
      <c r="V63" s="9" t="s">
        <v>7009</v>
      </c>
      <c r="W63" s="9" t="s">
        <v>3709</v>
      </c>
      <c r="X63" s="9" t="s">
        <v>3709</v>
      </c>
      <c r="Y63"/>
    </row>
    <row r="64" spans="1:25" s="9" customFormat="1" ht="15.75" customHeight="1" x14ac:dyDescent="0.15">
      <c r="A64" s="9">
        <v>58</v>
      </c>
      <c r="B64" t="s">
        <v>2278</v>
      </c>
      <c r="C64" t="s">
        <v>6035</v>
      </c>
      <c r="D64" t="s">
        <v>7010</v>
      </c>
      <c r="E64" s="9" t="s">
        <v>169</v>
      </c>
      <c r="F64" s="9">
        <v>13</v>
      </c>
      <c r="I64" s="9" t="s">
        <v>2274</v>
      </c>
      <c r="J64" s="9" t="s">
        <v>3090</v>
      </c>
      <c r="K64" s="9" t="s">
        <v>3091</v>
      </c>
      <c r="U64" s="9" t="s">
        <v>3709</v>
      </c>
      <c r="V64" s="9" t="s">
        <v>7011</v>
      </c>
      <c r="W64" s="9" t="s">
        <v>3709</v>
      </c>
      <c r="X64" s="9" t="s">
        <v>3709</v>
      </c>
      <c r="Y64"/>
    </row>
    <row r="65" spans="1:29" s="9" customFormat="1" ht="15.75" customHeight="1" x14ac:dyDescent="0.15">
      <c r="A65" s="9">
        <v>59</v>
      </c>
      <c r="B65" t="s">
        <v>75</v>
      </c>
      <c r="C65" t="s">
        <v>6058</v>
      </c>
      <c r="D65" t="s">
        <v>7012</v>
      </c>
      <c r="E65" s="9" t="s">
        <v>169</v>
      </c>
      <c r="F65" s="9">
        <v>0</v>
      </c>
      <c r="G65" s="9" t="s">
        <v>7013</v>
      </c>
      <c r="J65" s="9" t="s">
        <v>6062</v>
      </c>
      <c r="K65" s="9" t="s">
        <v>6063</v>
      </c>
      <c r="U65" s="9" t="s">
        <v>3709</v>
      </c>
      <c r="V65" s="9" t="s">
        <v>7014</v>
      </c>
      <c r="W65" s="9" t="s">
        <v>3709</v>
      </c>
      <c r="X65" s="9" t="s">
        <v>3709</v>
      </c>
      <c r="Y65" t="s">
        <v>7015</v>
      </c>
    </row>
    <row r="66" spans="1:29" s="9" customFormat="1" ht="15.75" customHeight="1" x14ac:dyDescent="0.15">
      <c r="A66" s="9">
        <v>60</v>
      </c>
      <c r="B66" t="s">
        <v>2278</v>
      </c>
      <c r="C66" t="s">
        <v>6058</v>
      </c>
      <c r="D66" t="s">
        <v>7016</v>
      </c>
      <c r="E66" s="9" t="s">
        <v>169</v>
      </c>
      <c r="F66" s="9">
        <v>1</v>
      </c>
      <c r="G66" s="9" t="s">
        <v>7013</v>
      </c>
      <c r="J66" s="9" t="s">
        <v>3090</v>
      </c>
      <c r="K66" s="9" t="s">
        <v>3091</v>
      </c>
      <c r="U66" s="9" t="s">
        <v>3709</v>
      </c>
      <c r="V66" s="9" t="s">
        <v>7017</v>
      </c>
      <c r="W66" s="9" t="s">
        <v>3709</v>
      </c>
      <c r="X66" s="9" t="s">
        <v>3709</v>
      </c>
      <c r="Y66"/>
    </row>
    <row r="67" spans="1:29" s="9" customFormat="1" ht="15.75" customHeight="1" x14ac:dyDescent="0.15">
      <c r="A67" s="9">
        <v>61</v>
      </c>
      <c r="B67" t="s">
        <v>2278</v>
      </c>
      <c r="C67" t="s">
        <v>6058</v>
      </c>
      <c r="D67" t="s">
        <v>7018</v>
      </c>
      <c r="E67" s="9" t="s">
        <v>169</v>
      </c>
      <c r="F67" s="9">
        <v>2</v>
      </c>
      <c r="G67" s="9" t="s">
        <v>7013</v>
      </c>
      <c r="J67" s="9" t="s">
        <v>3090</v>
      </c>
      <c r="K67" s="9" t="s">
        <v>3091</v>
      </c>
      <c r="U67" s="9" t="s">
        <v>3709</v>
      </c>
      <c r="V67" s="9" t="s">
        <v>7019</v>
      </c>
      <c r="W67" s="9" t="s">
        <v>3709</v>
      </c>
      <c r="X67" s="9" t="s">
        <v>3709</v>
      </c>
      <c r="Y67"/>
    </row>
    <row r="68" spans="1:29" s="9" customFormat="1" ht="15.75" customHeight="1" x14ac:dyDescent="0.15">
      <c r="A68" s="9">
        <v>62</v>
      </c>
      <c r="B68" t="s">
        <v>2278</v>
      </c>
      <c r="C68" t="s">
        <v>6058</v>
      </c>
      <c r="D68" t="s">
        <v>7020</v>
      </c>
      <c r="E68" s="9" t="s">
        <v>169</v>
      </c>
      <c r="F68" s="9">
        <v>3</v>
      </c>
      <c r="G68" s="9" t="s">
        <v>7013</v>
      </c>
      <c r="J68" s="9" t="s">
        <v>6071</v>
      </c>
      <c r="K68" s="9" t="s">
        <v>198</v>
      </c>
      <c r="U68" s="9" t="s">
        <v>3709</v>
      </c>
      <c r="V68" s="9" t="s">
        <v>7021</v>
      </c>
      <c r="W68" s="9" t="s">
        <v>3709</v>
      </c>
      <c r="X68" s="9" t="s">
        <v>3709</v>
      </c>
      <c r="Y68"/>
      <c r="AA68"/>
      <c r="AB68"/>
      <c r="AC68"/>
    </row>
    <row r="69" spans="1:29" s="9" customFormat="1" ht="15.75" customHeight="1" x14ac:dyDescent="0.15">
      <c r="A69" s="9">
        <v>63</v>
      </c>
      <c r="B69" t="s">
        <v>75</v>
      </c>
      <c r="C69" t="s">
        <v>6058</v>
      </c>
      <c r="D69" t="s">
        <v>7022</v>
      </c>
      <c r="E69" s="9" t="s">
        <v>169</v>
      </c>
      <c r="F69" s="9">
        <v>4</v>
      </c>
      <c r="G69" s="9" t="s">
        <v>7013</v>
      </c>
      <c r="J69" s="9" t="s">
        <v>6047</v>
      </c>
      <c r="K69" s="9" t="s">
        <v>6046</v>
      </c>
      <c r="U69" s="9" t="s">
        <v>3709</v>
      </c>
      <c r="V69" s="9" t="s">
        <v>7023</v>
      </c>
      <c r="W69" s="9" t="s">
        <v>3709</v>
      </c>
      <c r="X69" s="9" t="s">
        <v>3709</v>
      </c>
      <c r="Y69" t="s">
        <v>7024</v>
      </c>
      <c r="AA69"/>
      <c r="AB69"/>
      <c r="AC69"/>
    </row>
    <row r="70" spans="1:29" s="9" customFormat="1" ht="15.75" customHeight="1" x14ac:dyDescent="0.15">
      <c r="A70" s="9">
        <v>64</v>
      </c>
      <c r="B70" t="s">
        <v>75</v>
      </c>
      <c r="C70" t="s">
        <v>6058</v>
      </c>
      <c r="D70" t="s">
        <v>2657</v>
      </c>
      <c r="E70" s="9" t="s">
        <v>169</v>
      </c>
      <c r="F70" s="9">
        <v>5</v>
      </c>
      <c r="G70" s="9" t="s">
        <v>7025</v>
      </c>
      <c r="J70" s="9" t="s">
        <v>6063</v>
      </c>
      <c r="U70" s="9" t="s">
        <v>3709</v>
      </c>
      <c r="V70" s="9" t="s">
        <v>7026</v>
      </c>
      <c r="W70" s="9" t="s">
        <v>3709</v>
      </c>
      <c r="X70" s="9" t="s">
        <v>3709</v>
      </c>
      <c r="Y70" t="s">
        <v>7027</v>
      </c>
      <c r="AA70"/>
      <c r="AB70"/>
      <c r="AC70"/>
    </row>
    <row r="71" spans="1:29" s="9" customFormat="1" ht="15.75" customHeight="1" x14ac:dyDescent="0.15">
      <c r="A71" s="9">
        <v>65</v>
      </c>
      <c r="B71" t="s">
        <v>2278</v>
      </c>
      <c r="C71" t="s">
        <v>6058</v>
      </c>
      <c r="D71" t="s">
        <v>7028</v>
      </c>
      <c r="E71" s="9" t="s">
        <v>169</v>
      </c>
      <c r="F71" s="9">
        <v>6</v>
      </c>
      <c r="G71" s="9" t="s">
        <v>7013</v>
      </c>
      <c r="H71" s="9" t="s">
        <v>3709</v>
      </c>
      <c r="I71" s="9" t="s">
        <v>3709</v>
      </c>
      <c r="J71" s="9" t="s">
        <v>3090</v>
      </c>
      <c r="K71" s="9" t="s">
        <v>3091</v>
      </c>
      <c r="U71" s="9" t="s">
        <v>3709</v>
      </c>
      <c r="V71" s="9" t="s">
        <v>7029</v>
      </c>
      <c r="W71" s="9" t="s">
        <v>3709</v>
      </c>
      <c r="X71" s="9" t="s">
        <v>3709</v>
      </c>
      <c r="Y71"/>
      <c r="AA71"/>
      <c r="AB71"/>
      <c r="AC71"/>
    </row>
    <row r="72" spans="1:29" s="9" customFormat="1" ht="16.149999999999999" customHeight="1" x14ac:dyDescent="0.15">
      <c r="B72"/>
      <c r="C72"/>
      <c r="D72"/>
      <c r="AA72"/>
      <c r="AB72"/>
      <c r="AC72"/>
    </row>
    <row r="73" spans="1:29" s="9" customFormat="1" ht="16.149999999999999" customHeight="1" x14ac:dyDescent="0.15">
      <c r="B73"/>
      <c r="C73"/>
      <c r="D73"/>
      <c r="AA73"/>
      <c r="AB73"/>
      <c r="AC73"/>
    </row>
    <row r="74" spans="1:29" s="9" customFormat="1" ht="16.149999999999999" customHeight="1" x14ac:dyDescent="0.15">
      <c r="B74"/>
      <c r="C74"/>
      <c r="D74"/>
      <c r="AA74"/>
      <c r="AB74"/>
      <c r="AC74"/>
    </row>
    <row r="75" spans="1:29" s="9" customFormat="1" ht="16.149999999999999" customHeight="1" x14ac:dyDescent="0.15">
      <c r="B75"/>
      <c r="C75"/>
      <c r="D75"/>
      <c r="AA75"/>
      <c r="AB75"/>
      <c r="AC75"/>
    </row>
    <row r="76" spans="1:29" s="9" customFormat="1" ht="16.149999999999999" customHeight="1" x14ac:dyDescent="0.15">
      <c r="B76"/>
      <c r="C76"/>
      <c r="D76"/>
      <c r="AA76"/>
      <c r="AB76"/>
      <c r="AC76"/>
    </row>
    <row r="77" spans="1:29" s="9" customFormat="1" ht="16.149999999999999" customHeight="1" x14ac:dyDescent="0.15">
      <c r="B77"/>
      <c r="C77"/>
      <c r="D77"/>
      <c r="AA77"/>
      <c r="AB77"/>
      <c r="AC77"/>
    </row>
    <row r="78" spans="1:29" s="9" customFormat="1" ht="16.149999999999999" customHeight="1" x14ac:dyDescent="0.15">
      <c r="B78"/>
      <c r="C78"/>
      <c r="D78"/>
      <c r="AA78"/>
      <c r="AB78"/>
      <c r="AC78"/>
    </row>
    <row r="79" spans="1:29" s="9" customFormat="1" ht="16.149999999999999" customHeight="1" x14ac:dyDescent="0.15">
      <c r="A79" s="38"/>
      <c r="B79" s="18"/>
      <c r="C79" s="44"/>
      <c r="D79" s="43"/>
      <c r="E79" s="36"/>
      <c r="F79" s="19"/>
      <c r="G79" s="6"/>
      <c r="H79" s="34"/>
      <c r="I79" s="38"/>
      <c r="J79" s="38"/>
      <c r="K79" s="38"/>
      <c r="L79" s="6"/>
      <c r="M79" s="48"/>
      <c r="N79" s="45"/>
      <c r="O79" s="2"/>
      <c r="P79" s="38"/>
      <c r="Q79" s="36"/>
      <c r="R79" s="34"/>
      <c r="S79" s="34"/>
      <c r="T79" s="34"/>
      <c r="U79" s="33"/>
      <c r="V79" s="33"/>
      <c r="W79" s="33"/>
      <c r="X79" s="33"/>
      <c r="Y79" s="77"/>
      <c r="AA79"/>
      <c r="AB79"/>
      <c r="AC79"/>
    </row>
    <row r="80" spans="1:29" s="9" customFormat="1" ht="16.149999999999999" customHeight="1" x14ac:dyDescent="0.15">
      <c r="A80" s="38"/>
      <c r="B80" s="18"/>
      <c r="C80" s="44"/>
      <c r="D80" s="43"/>
      <c r="E80" s="36"/>
      <c r="F80" s="19"/>
      <c r="G80" s="6"/>
      <c r="H80" s="34"/>
      <c r="I80" s="38"/>
      <c r="J80" s="38"/>
      <c r="K80" s="38"/>
      <c r="L80" s="6"/>
      <c r="M80" s="48"/>
      <c r="N80" s="45"/>
      <c r="O80" s="2"/>
      <c r="P80" s="38"/>
      <c r="Q80" s="36"/>
      <c r="R80" s="34"/>
      <c r="S80" s="34"/>
      <c r="T80" s="34"/>
      <c r="U80" s="33"/>
      <c r="V80" s="33"/>
      <c r="W80" s="33"/>
      <c r="X80" s="33"/>
      <c r="Y80" s="77"/>
      <c r="AA80"/>
      <c r="AB80"/>
      <c r="AC80"/>
    </row>
    <row r="81" spans="1:29" s="9" customFormat="1" ht="16.149999999999999" customHeight="1" x14ac:dyDescent="0.15">
      <c r="A81" s="38"/>
      <c r="B81" s="18"/>
      <c r="C81" s="44"/>
      <c r="D81" s="43"/>
      <c r="E81" s="36"/>
      <c r="F81" s="19"/>
      <c r="G81" s="6"/>
      <c r="H81" s="34"/>
      <c r="I81" s="38"/>
      <c r="J81" s="38"/>
      <c r="K81" s="38"/>
      <c r="L81" s="6"/>
      <c r="M81" s="48"/>
      <c r="N81" s="45"/>
      <c r="O81" s="2"/>
      <c r="P81" s="38"/>
      <c r="Q81" s="36"/>
      <c r="R81" s="34"/>
      <c r="S81" s="34"/>
      <c r="T81" s="34"/>
      <c r="U81" s="33"/>
      <c r="V81" s="33"/>
      <c r="W81" s="33"/>
      <c r="X81" s="33"/>
      <c r="Y81" s="77"/>
      <c r="AA81"/>
      <c r="AB81"/>
      <c r="AC81"/>
    </row>
    <row r="82" spans="1:29" s="9" customFormat="1" ht="16.149999999999999" customHeight="1" x14ac:dyDescent="0.15">
      <c r="A82" s="38"/>
      <c r="B82" s="18"/>
      <c r="C82" s="44"/>
      <c r="D82" s="43"/>
      <c r="E82" s="36"/>
      <c r="F82" s="19"/>
      <c r="G82" s="6"/>
      <c r="H82" s="34"/>
      <c r="I82" s="38"/>
      <c r="J82" s="38"/>
      <c r="K82" s="38"/>
      <c r="L82" s="6"/>
      <c r="M82" s="48"/>
      <c r="N82" s="45"/>
      <c r="O82" s="2"/>
      <c r="P82" s="38"/>
      <c r="Q82" s="36"/>
      <c r="R82" s="34"/>
      <c r="S82" s="34"/>
      <c r="T82" s="34"/>
      <c r="U82" s="33"/>
      <c r="V82" s="33"/>
      <c r="W82" s="33"/>
      <c r="X82" s="33"/>
      <c r="Y82" s="77"/>
      <c r="AA82"/>
      <c r="AB82"/>
      <c r="AC82"/>
    </row>
    <row r="83" spans="1:29" s="9" customFormat="1" ht="16.149999999999999" customHeight="1" x14ac:dyDescent="0.15">
      <c r="A83" s="38"/>
      <c r="B83" s="18"/>
      <c r="C83" s="44"/>
      <c r="D83" s="43"/>
      <c r="E83" s="36"/>
      <c r="F83" s="19"/>
      <c r="G83" s="6"/>
      <c r="H83" s="34"/>
      <c r="I83" s="38"/>
      <c r="J83" s="38"/>
      <c r="K83" s="38"/>
      <c r="L83" s="6"/>
      <c r="M83" s="48"/>
      <c r="N83" s="45"/>
      <c r="O83" s="2"/>
      <c r="P83" s="38"/>
      <c r="Q83" s="36"/>
      <c r="R83" s="34"/>
      <c r="S83" s="34"/>
      <c r="T83" s="34"/>
      <c r="U83" s="33"/>
      <c r="V83" s="33"/>
      <c r="W83" s="33"/>
      <c r="X83" s="33"/>
      <c r="Y83" s="77"/>
      <c r="AA83"/>
      <c r="AB83"/>
      <c r="AC83"/>
    </row>
    <row r="84" spans="1:29" s="9" customFormat="1" ht="16.149999999999999" customHeight="1" x14ac:dyDescent="0.15">
      <c r="A84" s="38"/>
      <c r="B84" s="18"/>
      <c r="C84" s="44"/>
      <c r="D84" s="43"/>
      <c r="E84" s="36"/>
      <c r="F84" s="19"/>
      <c r="G84" s="6"/>
      <c r="H84" s="34"/>
      <c r="I84" s="38"/>
      <c r="J84" s="38"/>
      <c r="K84" s="38"/>
      <c r="L84" s="6"/>
      <c r="M84" s="48"/>
      <c r="N84" s="45"/>
      <c r="O84" s="2"/>
      <c r="P84" s="38"/>
      <c r="Q84" s="36"/>
      <c r="R84" s="34"/>
      <c r="S84" s="34"/>
      <c r="T84" s="34"/>
      <c r="U84" s="33"/>
      <c r="V84" s="33"/>
      <c r="W84" s="33"/>
      <c r="X84" s="33"/>
      <c r="Y84" s="77"/>
      <c r="AA84"/>
      <c r="AB84"/>
      <c r="AC84"/>
    </row>
    <row r="85" spans="1:29" s="9" customFormat="1" ht="16.149999999999999" customHeight="1" x14ac:dyDescent="0.15">
      <c r="A85" s="38"/>
      <c r="B85" s="18"/>
      <c r="C85" s="44"/>
      <c r="D85" s="43"/>
      <c r="E85" s="36"/>
      <c r="F85" s="19"/>
      <c r="G85" s="6"/>
      <c r="H85" s="34"/>
      <c r="I85" s="38"/>
      <c r="J85" s="38"/>
      <c r="K85" s="38"/>
      <c r="L85" s="6"/>
      <c r="M85" s="48"/>
      <c r="N85" s="45"/>
      <c r="O85" s="2"/>
      <c r="P85" s="38"/>
      <c r="Q85" s="36"/>
      <c r="R85" s="34"/>
      <c r="S85" s="34"/>
      <c r="T85" s="34"/>
      <c r="U85" s="33"/>
      <c r="V85" s="33"/>
      <c r="W85" s="33"/>
      <c r="X85" s="33"/>
      <c r="Y85" s="77"/>
      <c r="AA85"/>
      <c r="AB85"/>
      <c r="AC85"/>
    </row>
    <row r="86" spans="1:29" s="9" customFormat="1" ht="16.149999999999999" customHeight="1" x14ac:dyDescent="0.15">
      <c r="A86" s="38"/>
      <c r="B86" s="18"/>
      <c r="C86" s="44"/>
      <c r="D86" s="43"/>
      <c r="E86" s="36"/>
      <c r="F86" s="19"/>
      <c r="G86" s="6"/>
      <c r="H86" s="34"/>
      <c r="I86" s="38"/>
      <c r="J86" s="38"/>
      <c r="K86" s="38"/>
      <c r="L86" s="6"/>
      <c r="M86" s="48"/>
      <c r="N86" s="45"/>
      <c r="O86" s="2"/>
      <c r="P86" s="38"/>
      <c r="Q86" s="36"/>
      <c r="R86" s="34"/>
      <c r="S86" s="34"/>
      <c r="T86" s="34"/>
      <c r="U86" s="33"/>
      <c r="V86" s="33"/>
      <c r="W86" s="33"/>
      <c r="X86" s="33"/>
      <c r="Y86" s="77"/>
      <c r="AA86"/>
      <c r="AB86"/>
      <c r="AC86"/>
    </row>
    <row r="87" spans="1:29" s="9" customFormat="1" ht="16.149999999999999" customHeight="1" x14ac:dyDescent="0.15">
      <c r="A87" s="38"/>
      <c r="B87" s="18"/>
      <c r="C87" s="44"/>
      <c r="D87" s="43"/>
      <c r="E87" s="36"/>
      <c r="F87" s="19"/>
      <c r="G87" s="6"/>
      <c r="H87" s="34"/>
      <c r="I87" s="38"/>
      <c r="J87" s="38"/>
      <c r="K87" s="38"/>
      <c r="L87" s="6"/>
      <c r="M87" s="48"/>
      <c r="N87" s="45"/>
      <c r="O87" s="2"/>
      <c r="P87" s="38"/>
      <c r="Q87" s="36"/>
      <c r="R87" s="34"/>
      <c r="S87" s="34"/>
      <c r="T87" s="34"/>
      <c r="U87" s="33"/>
      <c r="V87" s="33"/>
      <c r="W87" s="33"/>
      <c r="X87" s="33"/>
      <c r="Y87" s="77"/>
      <c r="AA87"/>
      <c r="AB87"/>
      <c r="AC87"/>
    </row>
    <row r="88" spans="1:29" s="9" customFormat="1" ht="16.149999999999999" customHeight="1" x14ac:dyDescent="0.15">
      <c r="A88" s="38"/>
      <c r="B88" s="18"/>
      <c r="C88" s="44"/>
      <c r="D88" s="43"/>
      <c r="E88" s="36"/>
      <c r="F88" s="19"/>
      <c r="G88" s="6"/>
      <c r="H88" s="34"/>
      <c r="I88" s="38"/>
      <c r="J88" s="38"/>
      <c r="K88" s="38"/>
      <c r="L88" s="6"/>
      <c r="M88" s="48"/>
      <c r="N88" s="45"/>
      <c r="O88" s="2"/>
      <c r="P88" s="38"/>
      <c r="Q88" s="36"/>
      <c r="R88" s="34"/>
      <c r="S88" s="34"/>
      <c r="T88" s="34"/>
      <c r="U88" s="33"/>
      <c r="V88" s="33"/>
      <c r="W88" s="33"/>
      <c r="X88" s="33"/>
      <c r="Y88" s="77"/>
      <c r="AA88"/>
      <c r="AB88"/>
      <c r="AC88"/>
    </row>
    <row r="89" spans="1:29" s="9" customFormat="1" ht="16.149999999999999" customHeight="1" x14ac:dyDescent="0.15">
      <c r="A89" s="38"/>
      <c r="B89" s="18"/>
      <c r="C89" s="44"/>
      <c r="D89" s="43"/>
      <c r="E89" s="36"/>
      <c r="F89" s="19"/>
      <c r="G89" s="6"/>
      <c r="H89" s="34"/>
      <c r="I89" s="38"/>
      <c r="J89" s="38"/>
      <c r="K89" s="38"/>
      <c r="L89" s="6"/>
      <c r="M89" s="48"/>
      <c r="N89" s="45"/>
      <c r="O89" s="2"/>
      <c r="P89" s="38"/>
      <c r="Q89" s="36"/>
      <c r="R89" s="34"/>
      <c r="S89" s="34"/>
      <c r="T89" s="34"/>
      <c r="U89" s="33"/>
      <c r="V89" s="33"/>
      <c r="W89" s="33"/>
      <c r="X89" s="33"/>
      <c r="Y89" s="77"/>
      <c r="AA89"/>
      <c r="AB89"/>
      <c r="AC89"/>
    </row>
    <row r="90" spans="1:29" s="9" customFormat="1" ht="16.149999999999999" customHeight="1" x14ac:dyDescent="0.15">
      <c r="A90" s="38"/>
      <c r="B90" s="18"/>
      <c r="C90" s="44"/>
      <c r="D90" s="43"/>
      <c r="E90" s="36"/>
      <c r="F90" s="19"/>
      <c r="G90" s="6"/>
      <c r="H90" s="34"/>
      <c r="I90" s="38"/>
      <c r="J90" s="38"/>
      <c r="K90" s="38"/>
      <c r="L90" s="6"/>
      <c r="M90" s="48"/>
      <c r="N90" s="45"/>
      <c r="O90" s="2"/>
      <c r="P90" s="38"/>
      <c r="Q90" s="36"/>
      <c r="R90" s="34"/>
      <c r="S90" s="34"/>
      <c r="T90" s="34"/>
      <c r="U90" s="33"/>
      <c r="V90" s="33"/>
      <c r="W90" s="33"/>
      <c r="X90" s="33"/>
      <c r="Y90" s="77"/>
      <c r="AA90"/>
      <c r="AB90"/>
      <c r="AC90"/>
    </row>
    <row r="91" spans="1:29" s="9" customFormat="1" ht="16.149999999999999" customHeight="1" x14ac:dyDescent="0.15">
      <c r="A91" s="38"/>
      <c r="B91" s="18"/>
      <c r="C91" s="44"/>
      <c r="D91" s="43"/>
      <c r="E91" s="36"/>
      <c r="F91" s="19"/>
      <c r="G91" s="6"/>
      <c r="H91" s="34"/>
      <c r="I91" s="38"/>
      <c r="J91" s="38"/>
      <c r="K91" s="38"/>
      <c r="L91" s="6"/>
      <c r="M91" s="48"/>
      <c r="N91" s="45"/>
      <c r="O91" s="2"/>
      <c r="P91" s="38"/>
      <c r="Q91" s="36"/>
      <c r="R91" s="34"/>
      <c r="S91" s="34"/>
      <c r="T91" s="34"/>
      <c r="U91" s="33"/>
      <c r="V91" s="33"/>
      <c r="W91" s="33"/>
      <c r="X91" s="33"/>
      <c r="Y91" s="77"/>
      <c r="AA91"/>
      <c r="AB91"/>
      <c r="AC91"/>
    </row>
    <row r="92" spans="1:29" s="9" customFormat="1" ht="16.149999999999999" customHeight="1" x14ac:dyDescent="0.15">
      <c r="A92" s="38"/>
      <c r="B92" s="18"/>
      <c r="C92" s="44"/>
      <c r="D92" s="43"/>
      <c r="E92" s="36"/>
      <c r="F92" s="19"/>
      <c r="G92" s="6"/>
      <c r="H92" s="34"/>
      <c r="I92" s="38"/>
      <c r="J92" s="38"/>
      <c r="K92" s="38"/>
      <c r="L92" s="6"/>
      <c r="M92" s="48"/>
      <c r="N92" s="45"/>
      <c r="O92" s="2"/>
      <c r="P92" s="38"/>
      <c r="Q92" s="36"/>
      <c r="R92" s="34"/>
      <c r="S92" s="34"/>
      <c r="T92" s="34"/>
      <c r="U92" s="33"/>
      <c r="V92" s="33"/>
      <c r="W92" s="33"/>
      <c r="X92" s="33"/>
      <c r="Y92" s="77"/>
      <c r="AA92"/>
      <c r="AB92"/>
      <c r="AC92"/>
    </row>
    <row r="93" spans="1:29" s="9" customFormat="1" ht="16.149999999999999" customHeight="1" x14ac:dyDescent="0.15">
      <c r="A93" s="38"/>
      <c r="B93" s="18"/>
      <c r="C93" s="44"/>
      <c r="D93" s="43"/>
      <c r="E93" s="36"/>
      <c r="F93" s="19"/>
      <c r="G93" s="6"/>
      <c r="H93" s="34"/>
      <c r="I93" s="38"/>
      <c r="J93" s="38"/>
      <c r="K93" s="38"/>
      <c r="L93" s="6"/>
      <c r="M93" s="48"/>
      <c r="N93" s="45"/>
      <c r="O93" s="2"/>
      <c r="P93" s="38"/>
      <c r="Q93" s="36"/>
      <c r="R93" s="34"/>
      <c r="S93" s="34"/>
      <c r="T93" s="34"/>
      <c r="U93" s="33"/>
      <c r="V93" s="33"/>
      <c r="W93" s="33"/>
      <c r="X93" s="33"/>
      <c r="Y93" s="77"/>
      <c r="AA93"/>
      <c r="AB93"/>
      <c r="AC93"/>
    </row>
    <row r="94" spans="1:29" s="9" customFormat="1" ht="16.149999999999999" customHeight="1" x14ac:dyDescent="0.15">
      <c r="A94" s="38"/>
      <c r="B94" s="18"/>
      <c r="C94" s="44"/>
      <c r="D94" s="43"/>
      <c r="E94" s="36"/>
      <c r="F94" s="19"/>
      <c r="G94" s="6"/>
      <c r="H94" s="34"/>
      <c r="I94" s="38"/>
      <c r="J94" s="38"/>
      <c r="K94" s="38"/>
      <c r="L94" s="6"/>
      <c r="M94" s="48"/>
      <c r="N94" s="45"/>
      <c r="O94" s="2"/>
      <c r="P94" s="38"/>
      <c r="Q94" s="36"/>
      <c r="R94" s="34"/>
      <c r="S94" s="34"/>
      <c r="T94" s="34"/>
      <c r="U94" s="33"/>
      <c r="V94" s="33"/>
      <c r="W94" s="33"/>
      <c r="X94" s="33"/>
      <c r="Y94" s="77"/>
      <c r="AA94"/>
      <c r="AB94"/>
      <c r="AC94"/>
    </row>
    <row r="95" spans="1:29" s="9" customFormat="1" ht="16.149999999999999" customHeight="1" x14ac:dyDescent="0.15">
      <c r="A95" s="38"/>
      <c r="B95" s="18"/>
      <c r="C95" s="44"/>
      <c r="D95" s="43"/>
      <c r="E95" s="36"/>
      <c r="F95" s="19"/>
      <c r="G95" s="6"/>
      <c r="H95" s="34"/>
      <c r="I95" s="38"/>
      <c r="J95" s="38"/>
      <c r="K95" s="38"/>
      <c r="L95" s="6"/>
      <c r="M95" s="48"/>
      <c r="N95" s="45"/>
      <c r="O95" s="2"/>
      <c r="P95" s="38"/>
      <c r="Q95" s="36"/>
      <c r="R95" s="34"/>
      <c r="S95" s="34"/>
      <c r="T95" s="34"/>
      <c r="U95" s="33"/>
      <c r="V95" s="33"/>
      <c r="W95" s="33"/>
      <c r="X95" s="33"/>
      <c r="Y95" s="77"/>
      <c r="AA95"/>
      <c r="AB95"/>
      <c r="AC95"/>
    </row>
    <row r="96" spans="1:29" s="9" customFormat="1" ht="16.149999999999999" customHeight="1" x14ac:dyDescent="0.15">
      <c r="A96" s="38"/>
      <c r="B96" s="18"/>
      <c r="C96" s="44"/>
      <c r="D96" s="43"/>
      <c r="E96" s="36"/>
      <c r="F96" s="19"/>
      <c r="G96" s="6"/>
      <c r="H96" s="34"/>
      <c r="I96" s="38"/>
      <c r="J96" s="38"/>
      <c r="K96" s="38"/>
      <c r="L96" s="6"/>
      <c r="M96" s="48"/>
      <c r="N96" s="45"/>
      <c r="O96" s="2"/>
      <c r="P96" s="38"/>
      <c r="Q96" s="36"/>
      <c r="R96" s="34"/>
      <c r="S96" s="34"/>
      <c r="T96" s="34"/>
      <c r="U96" s="33"/>
      <c r="V96" s="33"/>
      <c r="W96" s="33"/>
      <c r="X96" s="33"/>
      <c r="Y96" s="77"/>
      <c r="AA96"/>
      <c r="AB96"/>
      <c r="AC96"/>
    </row>
    <row r="97" spans="1:29" s="9" customFormat="1" ht="16.149999999999999" customHeight="1" x14ac:dyDescent="0.15">
      <c r="A97" s="38"/>
      <c r="B97" s="18"/>
      <c r="C97" s="44"/>
      <c r="D97" s="43"/>
      <c r="E97" s="36"/>
      <c r="F97" s="19"/>
      <c r="G97" s="6"/>
      <c r="H97" s="34"/>
      <c r="I97" s="38"/>
      <c r="J97" s="38"/>
      <c r="K97" s="38"/>
      <c r="L97" s="6"/>
      <c r="M97" s="48"/>
      <c r="N97" s="45"/>
      <c r="O97" s="2"/>
      <c r="P97" s="38"/>
      <c r="Q97" s="36"/>
      <c r="R97" s="34"/>
      <c r="S97" s="34"/>
      <c r="T97" s="34"/>
      <c r="U97" s="33"/>
      <c r="V97" s="33"/>
      <c r="W97" s="33"/>
      <c r="X97" s="33"/>
      <c r="Y97" s="77"/>
      <c r="AA97"/>
      <c r="AB97"/>
      <c r="AC97"/>
    </row>
    <row r="98" spans="1:29" s="9" customFormat="1" ht="16.149999999999999" customHeight="1" x14ac:dyDescent="0.15">
      <c r="A98" s="38"/>
      <c r="B98" s="18"/>
      <c r="C98" s="44"/>
      <c r="D98" s="43"/>
      <c r="E98" s="36"/>
      <c r="F98" s="19"/>
      <c r="G98" s="6"/>
      <c r="H98" s="34"/>
      <c r="I98" s="38"/>
      <c r="J98" s="38"/>
      <c r="K98" s="38"/>
      <c r="L98" s="6"/>
      <c r="M98" s="48"/>
      <c r="N98" s="45"/>
      <c r="O98" s="2"/>
      <c r="P98" s="38"/>
      <c r="Q98" s="36"/>
      <c r="R98" s="34"/>
      <c r="S98" s="34"/>
      <c r="T98" s="34"/>
      <c r="U98" s="33"/>
      <c r="V98" s="33"/>
      <c r="W98" s="33"/>
      <c r="X98" s="33"/>
      <c r="Y98" s="77"/>
      <c r="AA98"/>
      <c r="AB98"/>
      <c r="AC98"/>
    </row>
    <row r="99" spans="1:29" s="9" customFormat="1" ht="16.149999999999999" customHeight="1" x14ac:dyDescent="0.15">
      <c r="A99" s="38"/>
      <c r="B99" s="18"/>
      <c r="C99" s="44"/>
      <c r="D99" s="43"/>
      <c r="E99" s="36"/>
      <c r="F99" s="19"/>
      <c r="G99" s="6"/>
      <c r="H99" s="34"/>
      <c r="I99" s="38"/>
      <c r="J99" s="38"/>
      <c r="K99" s="38"/>
      <c r="L99" s="6"/>
      <c r="M99" s="48"/>
      <c r="N99" s="45"/>
      <c r="O99" s="2"/>
      <c r="P99" s="38"/>
      <c r="Q99" s="36"/>
      <c r="R99" s="34"/>
      <c r="S99" s="34"/>
      <c r="T99" s="34"/>
      <c r="U99" s="33"/>
      <c r="V99" s="33"/>
      <c r="W99" s="33"/>
      <c r="X99" s="33"/>
      <c r="Y99" s="77"/>
      <c r="AA99"/>
      <c r="AB99"/>
      <c r="AC99"/>
    </row>
    <row r="100" spans="1:29" s="9" customFormat="1" ht="16.149999999999999" customHeight="1" x14ac:dyDescent="0.15">
      <c r="A100" s="38"/>
      <c r="B100" s="18"/>
      <c r="C100" s="44"/>
      <c r="D100" s="43"/>
      <c r="E100" s="36"/>
      <c r="F100" s="19"/>
      <c r="G100" s="6"/>
      <c r="H100" s="34"/>
      <c r="I100" s="38"/>
      <c r="J100" s="38"/>
      <c r="K100" s="38"/>
      <c r="L100" s="6"/>
      <c r="M100" s="48"/>
      <c r="N100" s="45"/>
      <c r="O100" s="2"/>
      <c r="P100" s="38"/>
      <c r="Q100" s="36"/>
      <c r="R100" s="34"/>
      <c r="S100" s="34"/>
      <c r="T100" s="34"/>
      <c r="U100" s="33"/>
      <c r="V100" s="33"/>
      <c r="W100" s="33"/>
      <c r="X100" s="33"/>
      <c r="Y100" s="77"/>
      <c r="AA100"/>
      <c r="AB100"/>
      <c r="AC100"/>
    </row>
    <row r="101" spans="1:29" s="9" customFormat="1" ht="16.149999999999999" customHeight="1" x14ac:dyDescent="0.15">
      <c r="A101" s="38"/>
      <c r="B101" s="18"/>
      <c r="C101" s="44"/>
      <c r="D101" s="43"/>
      <c r="E101" s="36"/>
      <c r="F101" s="19"/>
      <c r="G101" s="6"/>
      <c r="H101" s="34"/>
      <c r="I101" s="38"/>
      <c r="J101" s="38"/>
      <c r="K101" s="38"/>
      <c r="L101" s="6"/>
      <c r="M101" s="48"/>
      <c r="N101" s="45"/>
      <c r="O101" s="2"/>
      <c r="P101" s="38"/>
      <c r="Q101" s="36"/>
      <c r="R101" s="34"/>
      <c r="S101" s="34"/>
      <c r="T101" s="34"/>
      <c r="U101" s="33"/>
      <c r="V101" s="33"/>
      <c r="W101" s="33"/>
      <c r="X101" s="33"/>
      <c r="Y101" s="77"/>
      <c r="AA101"/>
      <c r="AB101"/>
      <c r="AC101"/>
    </row>
    <row r="102" spans="1:29" s="9" customFormat="1" ht="16.149999999999999" customHeight="1" x14ac:dyDescent="0.15">
      <c r="A102" s="38"/>
      <c r="B102" s="18"/>
      <c r="C102" s="44"/>
      <c r="D102" s="43"/>
      <c r="E102" s="36"/>
      <c r="F102" s="19"/>
      <c r="G102" s="6"/>
      <c r="H102" s="34"/>
      <c r="I102" s="38"/>
      <c r="J102" s="38"/>
      <c r="K102" s="38"/>
      <c r="L102" s="6"/>
      <c r="M102" s="48"/>
      <c r="N102" s="45"/>
      <c r="O102" s="2"/>
      <c r="P102" s="38"/>
      <c r="Q102" s="36"/>
      <c r="R102" s="34"/>
      <c r="S102" s="34"/>
      <c r="T102" s="34"/>
      <c r="U102" s="33"/>
      <c r="V102" s="33"/>
      <c r="W102" s="33"/>
      <c r="X102" s="33"/>
      <c r="Y102" s="77"/>
      <c r="AA102"/>
      <c r="AB102"/>
      <c r="AC102"/>
    </row>
    <row r="103" spans="1:29" s="9" customFormat="1" ht="16.149999999999999" customHeight="1" x14ac:dyDescent="0.15">
      <c r="A103" s="38"/>
      <c r="B103" s="18"/>
      <c r="C103" s="44"/>
      <c r="D103" s="43"/>
      <c r="E103" s="36"/>
      <c r="F103" s="19"/>
      <c r="G103" s="6"/>
      <c r="H103" s="34"/>
      <c r="I103" s="38"/>
      <c r="J103" s="38"/>
      <c r="K103" s="38"/>
      <c r="L103" s="6"/>
      <c r="M103" s="48"/>
      <c r="N103" s="45"/>
      <c r="O103" s="2"/>
      <c r="P103" s="38"/>
      <c r="Q103" s="36"/>
      <c r="R103" s="34"/>
      <c r="S103" s="34"/>
      <c r="T103" s="34"/>
      <c r="U103" s="33"/>
      <c r="V103" s="33"/>
      <c r="W103" s="33"/>
      <c r="X103" s="33"/>
      <c r="Y103" s="77"/>
      <c r="AA103"/>
      <c r="AB103"/>
      <c r="AC103"/>
    </row>
    <row r="104" spans="1:29" s="9" customFormat="1" ht="16.149999999999999" customHeight="1" x14ac:dyDescent="0.15">
      <c r="A104" s="38"/>
      <c r="B104" s="18"/>
      <c r="C104" s="44"/>
      <c r="D104" s="43"/>
      <c r="E104" s="36"/>
      <c r="F104" s="19"/>
      <c r="G104" s="6"/>
      <c r="H104" s="34"/>
      <c r="I104" s="38"/>
      <c r="J104" s="38"/>
      <c r="K104" s="38"/>
      <c r="L104" s="6"/>
      <c r="M104" s="48"/>
      <c r="N104" s="45"/>
      <c r="O104" s="2"/>
      <c r="P104" s="38"/>
      <c r="Q104" s="36"/>
      <c r="R104" s="34"/>
      <c r="S104" s="34"/>
      <c r="T104" s="34"/>
      <c r="U104" s="33"/>
      <c r="V104" s="33"/>
      <c r="W104" s="33"/>
      <c r="X104" s="33"/>
      <c r="Y104" s="77"/>
      <c r="AA104"/>
      <c r="AB104"/>
      <c r="AC104"/>
    </row>
    <row r="105" spans="1:29" s="9" customFormat="1" ht="16.149999999999999" customHeight="1" x14ac:dyDescent="0.15">
      <c r="A105" s="38"/>
      <c r="B105" s="18"/>
      <c r="C105" s="44"/>
      <c r="D105" s="43"/>
      <c r="E105" s="36"/>
      <c r="F105" s="19"/>
      <c r="G105" s="6"/>
      <c r="H105" s="34"/>
      <c r="I105" s="38"/>
      <c r="J105" s="38"/>
      <c r="K105" s="38"/>
      <c r="L105" s="6"/>
      <c r="M105" s="48"/>
      <c r="N105" s="45"/>
      <c r="O105" s="2"/>
      <c r="P105" s="38"/>
      <c r="Q105" s="36"/>
      <c r="R105" s="34"/>
      <c r="S105" s="34"/>
      <c r="T105" s="34"/>
      <c r="U105" s="33"/>
      <c r="V105" s="33"/>
      <c r="W105" s="33"/>
      <c r="X105" s="33"/>
      <c r="Y105" s="77"/>
      <c r="AA105"/>
      <c r="AB105"/>
      <c r="AC105"/>
    </row>
    <row r="106" spans="1:29" s="9" customFormat="1" ht="16.149999999999999" customHeight="1" x14ac:dyDescent="0.15">
      <c r="A106" s="38"/>
      <c r="B106" s="18"/>
      <c r="C106" s="44"/>
      <c r="D106" s="43"/>
      <c r="E106" s="36"/>
      <c r="F106" s="19"/>
      <c r="G106" s="6"/>
      <c r="H106" s="34"/>
      <c r="I106" s="38"/>
      <c r="J106" s="38"/>
      <c r="K106" s="38"/>
      <c r="L106" s="6"/>
      <c r="M106" s="48"/>
      <c r="N106" s="45"/>
      <c r="O106" s="2"/>
      <c r="P106" s="38"/>
      <c r="Q106" s="36"/>
      <c r="R106" s="34"/>
      <c r="S106" s="34"/>
      <c r="T106" s="34"/>
      <c r="U106" s="33"/>
      <c r="V106" s="33"/>
      <c r="W106" s="33"/>
      <c r="X106" s="33"/>
      <c r="Y106" s="77"/>
      <c r="AA106"/>
      <c r="AB106"/>
      <c r="AC106"/>
    </row>
    <row r="107" spans="1:29" s="9" customFormat="1" ht="16.149999999999999" customHeight="1" x14ac:dyDescent="0.15">
      <c r="A107" s="38"/>
      <c r="B107" s="18"/>
      <c r="C107" s="44"/>
      <c r="D107" s="43"/>
      <c r="E107" s="36"/>
      <c r="F107" s="19"/>
      <c r="G107" s="6"/>
      <c r="H107" s="34"/>
      <c r="I107" s="38"/>
      <c r="J107" s="38"/>
      <c r="K107" s="38"/>
      <c r="L107" s="6"/>
      <c r="M107" s="48"/>
      <c r="N107" s="45"/>
      <c r="O107" s="2"/>
      <c r="P107" s="38"/>
      <c r="Q107" s="36"/>
      <c r="R107" s="34"/>
      <c r="S107" s="34"/>
      <c r="T107" s="34"/>
      <c r="U107" s="33"/>
      <c r="V107" s="33"/>
      <c r="W107" s="33"/>
      <c r="X107" s="33"/>
      <c r="Y107" s="77"/>
      <c r="AA107"/>
      <c r="AB107"/>
      <c r="AC107"/>
    </row>
    <row r="108" spans="1:29" s="9" customFormat="1" ht="16.149999999999999" customHeight="1" x14ac:dyDescent="0.15">
      <c r="A108" s="38"/>
      <c r="B108" s="18"/>
      <c r="C108" s="44"/>
      <c r="D108" s="43"/>
      <c r="E108" s="36"/>
      <c r="F108" s="19"/>
      <c r="G108" s="6"/>
      <c r="H108" s="34"/>
      <c r="I108" s="38"/>
      <c r="J108" s="38"/>
      <c r="K108" s="38"/>
      <c r="L108" s="6"/>
      <c r="M108" s="48"/>
      <c r="N108" s="45"/>
      <c r="O108" s="2"/>
      <c r="P108" s="38"/>
      <c r="Q108" s="36"/>
      <c r="R108" s="34"/>
      <c r="S108" s="34"/>
      <c r="T108" s="34"/>
      <c r="U108" s="33"/>
      <c r="V108" s="33"/>
      <c r="W108" s="33"/>
      <c r="X108" s="33"/>
      <c r="Y108" s="77"/>
      <c r="AA108"/>
      <c r="AB108"/>
      <c r="AC108"/>
    </row>
    <row r="109" spans="1:29" s="9" customFormat="1" ht="16.149999999999999" customHeight="1" x14ac:dyDescent="0.15">
      <c r="A109" s="38"/>
      <c r="B109" s="18"/>
      <c r="C109" s="44"/>
      <c r="D109" s="43"/>
      <c r="E109" s="36"/>
      <c r="F109" s="19"/>
      <c r="G109" s="6"/>
      <c r="H109" s="34"/>
      <c r="I109" s="38"/>
      <c r="J109" s="38"/>
      <c r="K109" s="38"/>
      <c r="L109" s="6"/>
      <c r="M109" s="48"/>
      <c r="N109" s="45"/>
      <c r="O109" s="2"/>
      <c r="P109" s="38"/>
      <c r="Q109" s="36"/>
      <c r="R109" s="34"/>
      <c r="S109" s="34"/>
      <c r="T109" s="34"/>
      <c r="U109" s="33"/>
      <c r="V109" s="33"/>
      <c r="W109" s="33"/>
      <c r="X109" s="33"/>
      <c r="Y109" s="77"/>
      <c r="AA109"/>
      <c r="AB109"/>
      <c r="AC109"/>
    </row>
    <row r="110" spans="1:29" s="9" customFormat="1" ht="16.149999999999999" customHeight="1" x14ac:dyDescent="0.15">
      <c r="A110" s="38"/>
      <c r="B110" s="18"/>
      <c r="C110" s="44"/>
      <c r="D110" s="43"/>
      <c r="E110" s="36"/>
      <c r="F110" s="19"/>
      <c r="G110" s="6"/>
      <c r="H110" s="34"/>
      <c r="I110" s="38"/>
      <c r="J110" s="38"/>
      <c r="K110" s="38"/>
      <c r="L110" s="6"/>
      <c r="M110" s="48"/>
      <c r="N110" s="45"/>
      <c r="O110" s="2"/>
      <c r="P110" s="38"/>
      <c r="Q110" s="36"/>
      <c r="R110" s="34"/>
      <c r="S110" s="34"/>
      <c r="T110" s="34"/>
      <c r="U110" s="33"/>
      <c r="V110" s="33"/>
      <c r="W110" s="33"/>
      <c r="X110" s="33"/>
      <c r="Y110" s="77"/>
      <c r="AA110"/>
      <c r="AB110"/>
      <c r="AC110"/>
    </row>
    <row r="111" spans="1:29" s="9" customFormat="1" ht="16.149999999999999" customHeight="1" x14ac:dyDescent="0.15">
      <c r="A111" s="38"/>
      <c r="B111" s="18"/>
      <c r="C111" s="44"/>
      <c r="D111" s="43"/>
      <c r="E111" s="36"/>
      <c r="F111" s="19"/>
      <c r="G111" s="6"/>
      <c r="H111" s="34"/>
      <c r="I111" s="38"/>
      <c r="J111" s="38"/>
      <c r="K111" s="38"/>
      <c r="L111" s="6"/>
      <c r="M111" s="48"/>
      <c r="N111" s="45"/>
      <c r="O111" s="2"/>
      <c r="P111" s="38"/>
      <c r="Q111" s="36"/>
      <c r="R111" s="34"/>
      <c r="S111" s="34"/>
      <c r="T111" s="34"/>
      <c r="U111" s="33"/>
      <c r="V111" s="33"/>
      <c r="W111" s="33"/>
      <c r="X111" s="33"/>
      <c r="Y111" s="77"/>
      <c r="AA111"/>
      <c r="AB111"/>
      <c r="AC111"/>
    </row>
    <row r="112" spans="1:29" s="9" customFormat="1" ht="16.149999999999999" customHeight="1" x14ac:dyDescent="0.15">
      <c r="A112" s="38"/>
      <c r="B112" s="18"/>
      <c r="C112" s="44"/>
      <c r="D112" s="43"/>
      <c r="E112" s="36"/>
      <c r="F112" s="19"/>
      <c r="G112" s="6"/>
      <c r="H112" s="34"/>
      <c r="I112" s="38"/>
      <c r="J112" s="38"/>
      <c r="K112" s="38"/>
      <c r="L112" s="6"/>
      <c r="M112" s="48"/>
      <c r="N112" s="45"/>
      <c r="O112" s="2"/>
      <c r="P112" s="38"/>
      <c r="Q112" s="36"/>
      <c r="R112" s="34"/>
      <c r="S112" s="34"/>
      <c r="T112" s="34"/>
      <c r="U112" s="33"/>
      <c r="V112" s="33"/>
      <c r="W112" s="33"/>
      <c r="X112" s="33"/>
      <c r="Y112" s="77"/>
      <c r="AA112"/>
      <c r="AB112"/>
      <c r="AC112"/>
    </row>
    <row r="113" spans="1:29" s="9" customFormat="1" ht="16.149999999999999" customHeight="1" x14ac:dyDescent="0.15">
      <c r="A113" s="38"/>
      <c r="B113" s="18"/>
      <c r="C113" s="44"/>
      <c r="D113" s="43"/>
      <c r="E113" s="36"/>
      <c r="F113" s="19"/>
      <c r="G113" s="6"/>
      <c r="H113" s="34"/>
      <c r="I113" s="38"/>
      <c r="J113" s="38"/>
      <c r="K113" s="38"/>
      <c r="L113" s="6"/>
      <c r="M113" s="48"/>
      <c r="N113" s="45"/>
      <c r="O113" s="2"/>
      <c r="P113" s="38"/>
      <c r="Q113" s="36"/>
      <c r="R113" s="34"/>
      <c r="S113" s="34"/>
      <c r="T113" s="34"/>
      <c r="U113" s="33"/>
      <c r="V113" s="33"/>
      <c r="W113" s="33"/>
      <c r="X113" s="33"/>
      <c r="Y113" s="77"/>
      <c r="AA113"/>
      <c r="AB113"/>
      <c r="AC113"/>
    </row>
    <row r="114" spans="1:29" s="9" customFormat="1" ht="16.149999999999999" customHeight="1" x14ac:dyDescent="0.15">
      <c r="A114" s="38"/>
      <c r="B114" s="18"/>
      <c r="C114" s="44"/>
      <c r="D114" s="43"/>
      <c r="E114" s="36"/>
      <c r="F114" s="19"/>
      <c r="G114" s="6"/>
      <c r="H114" s="34"/>
      <c r="I114" s="38"/>
      <c r="J114" s="38"/>
      <c r="K114" s="38"/>
      <c r="L114" s="6"/>
      <c r="M114" s="48"/>
      <c r="N114" s="45"/>
      <c r="O114" s="2"/>
      <c r="P114" s="38"/>
      <c r="Q114" s="36"/>
      <c r="R114" s="34"/>
      <c r="S114" s="34"/>
      <c r="T114" s="34"/>
      <c r="U114" s="33"/>
      <c r="V114" s="33"/>
      <c r="W114" s="33"/>
      <c r="X114" s="33"/>
      <c r="Y114" s="77"/>
      <c r="AA114"/>
      <c r="AB114"/>
      <c r="AC114"/>
    </row>
    <row r="115" spans="1:29" s="9" customFormat="1" ht="16.149999999999999" customHeight="1" x14ac:dyDescent="0.15">
      <c r="A115" s="38"/>
      <c r="B115" s="18"/>
      <c r="C115" s="44"/>
      <c r="D115" s="43"/>
      <c r="E115" s="36"/>
      <c r="F115" s="19"/>
      <c r="G115" s="6"/>
      <c r="H115" s="34"/>
      <c r="I115" s="38"/>
      <c r="J115" s="38"/>
      <c r="K115" s="38"/>
      <c r="L115" s="6"/>
      <c r="M115" s="48"/>
      <c r="N115" s="45"/>
      <c r="O115" s="2"/>
      <c r="P115" s="38"/>
      <c r="Q115" s="36"/>
      <c r="R115" s="34"/>
      <c r="S115" s="34"/>
      <c r="T115" s="34"/>
      <c r="U115" s="33"/>
      <c r="V115" s="33"/>
      <c r="W115" s="33"/>
      <c r="X115" s="33"/>
      <c r="Y115" s="77"/>
      <c r="AA115"/>
      <c r="AB115"/>
      <c r="AC115"/>
    </row>
    <row r="116" spans="1:29" s="9" customFormat="1" ht="16.149999999999999" customHeight="1" x14ac:dyDescent="0.15">
      <c r="A116" s="38"/>
      <c r="B116" s="18"/>
      <c r="C116" s="44"/>
      <c r="D116" s="43"/>
      <c r="E116" s="36"/>
      <c r="F116" s="19"/>
      <c r="G116" s="6"/>
      <c r="H116" s="34"/>
      <c r="I116" s="38"/>
      <c r="J116" s="38"/>
      <c r="K116" s="38"/>
      <c r="L116" s="6"/>
      <c r="M116" s="48"/>
      <c r="N116" s="45"/>
      <c r="O116" s="2"/>
      <c r="P116" s="38"/>
      <c r="Q116" s="36"/>
      <c r="R116" s="34"/>
      <c r="S116" s="34"/>
      <c r="T116" s="34"/>
      <c r="U116" s="33"/>
      <c r="V116" s="33"/>
      <c r="W116" s="33"/>
      <c r="X116" s="33"/>
      <c r="Y116" s="77"/>
      <c r="AA116"/>
      <c r="AB116"/>
      <c r="AC116"/>
    </row>
    <row r="117" spans="1:29" s="9" customFormat="1" ht="16.149999999999999" customHeight="1" x14ac:dyDescent="0.15">
      <c r="A117" s="38"/>
      <c r="B117" s="18"/>
      <c r="C117" s="44"/>
      <c r="D117" s="43"/>
      <c r="E117" s="36"/>
      <c r="F117" s="19"/>
      <c r="G117" s="6"/>
      <c r="H117" s="34"/>
      <c r="I117" s="38"/>
      <c r="J117" s="38"/>
      <c r="K117" s="38"/>
      <c r="L117" s="6"/>
      <c r="M117" s="48"/>
      <c r="N117" s="45"/>
      <c r="O117" s="2"/>
      <c r="P117" s="38"/>
      <c r="Q117" s="36"/>
      <c r="R117" s="34"/>
      <c r="S117" s="34"/>
      <c r="T117" s="34"/>
      <c r="U117" s="33"/>
      <c r="V117" s="33"/>
      <c r="W117" s="33"/>
      <c r="X117" s="33"/>
      <c r="Y117" s="77"/>
      <c r="AA117"/>
      <c r="AB117"/>
      <c r="AC117"/>
    </row>
    <row r="118" spans="1:29" s="9" customFormat="1" ht="16.149999999999999" customHeight="1" x14ac:dyDescent="0.15">
      <c r="A118" s="38"/>
      <c r="B118" s="18"/>
      <c r="C118" s="44"/>
      <c r="D118" s="43"/>
      <c r="E118" s="36"/>
      <c r="F118" s="19"/>
      <c r="G118" s="6"/>
      <c r="H118" s="34"/>
      <c r="I118" s="38"/>
      <c r="J118" s="38"/>
      <c r="K118" s="38"/>
      <c r="L118" s="6"/>
      <c r="M118" s="48"/>
      <c r="N118" s="45"/>
      <c r="O118" s="2"/>
      <c r="P118" s="38"/>
      <c r="Q118" s="36"/>
      <c r="R118" s="34"/>
      <c r="S118" s="34"/>
      <c r="T118" s="34"/>
      <c r="U118" s="33"/>
      <c r="V118" s="33"/>
      <c r="W118" s="33"/>
      <c r="X118" s="33"/>
      <c r="Y118" s="77"/>
      <c r="AA118"/>
      <c r="AB118"/>
      <c r="AC118"/>
    </row>
    <row r="119" spans="1:29" s="9" customFormat="1" ht="16.149999999999999" customHeight="1" x14ac:dyDescent="0.15">
      <c r="A119" s="38"/>
      <c r="B119" s="18"/>
      <c r="C119" s="44"/>
      <c r="D119" s="43"/>
      <c r="E119" s="36"/>
      <c r="F119" s="19"/>
      <c r="G119" s="6"/>
      <c r="H119" s="34"/>
      <c r="I119" s="38"/>
      <c r="J119" s="38"/>
      <c r="K119" s="38"/>
      <c r="L119" s="6"/>
      <c r="M119" s="48"/>
      <c r="N119" s="45"/>
      <c r="O119" s="2"/>
      <c r="P119" s="38"/>
      <c r="Q119" s="36"/>
      <c r="R119" s="34"/>
      <c r="S119" s="34"/>
      <c r="T119" s="34"/>
      <c r="U119" s="33"/>
      <c r="V119" s="33"/>
      <c r="W119" s="33"/>
      <c r="X119" s="33"/>
      <c r="Y119" s="77"/>
      <c r="AA119"/>
      <c r="AB119"/>
      <c r="AC119"/>
    </row>
    <row r="120" spans="1:29" s="9" customFormat="1" ht="16.149999999999999" customHeight="1" x14ac:dyDescent="0.15">
      <c r="A120" s="38"/>
      <c r="B120" s="18"/>
      <c r="C120" s="44"/>
      <c r="D120" s="43"/>
      <c r="E120" s="36"/>
      <c r="F120" s="19"/>
      <c r="G120" s="6"/>
      <c r="H120" s="34"/>
      <c r="I120" s="38"/>
      <c r="J120" s="38"/>
      <c r="K120" s="38"/>
      <c r="L120" s="6"/>
      <c r="M120" s="48"/>
      <c r="N120" s="45"/>
      <c r="O120" s="2"/>
      <c r="P120" s="38"/>
      <c r="Q120" s="36"/>
      <c r="R120" s="34"/>
      <c r="S120" s="34"/>
      <c r="T120" s="34"/>
      <c r="U120" s="33"/>
      <c r="V120" s="33"/>
      <c r="W120" s="33"/>
      <c r="X120" s="33"/>
      <c r="Y120" s="77"/>
      <c r="AA120"/>
      <c r="AB120"/>
      <c r="AC120"/>
    </row>
    <row r="121" spans="1:29" s="9" customFormat="1" ht="16.149999999999999" customHeight="1" x14ac:dyDescent="0.15">
      <c r="A121" s="38"/>
      <c r="B121" s="18"/>
      <c r="C121" s="44"/>
      <c r="D121" s="43"/>
      <c r="E121" s="36"/>
      <c r="F121" s="19"/>
      <c r="G121" s="6"/>
      <c r="H121" s="34"/>
      <c r="I121" s="38"/>
      <c r="J121" s="38"/>
      <c r="K121" s="38"/>
      <c r="L121" s="6"/>
      <c r="M121" s="48"/>
      <c r="N121" s="45"/>
      <c r="O121" s="2"/>
      <c r="P121" s="38"/>
      <c r="Q121" s="36"/>
      <c r="R121" s="34"/>
      <c r="S121" s="34"/>
      <c r="T121" s="34"/>
      <c r="U121" s="33"/>
      <c r="V121" s="33"/>
      <c r="W121" s="33"/>
      <c r="X121" s="33"/>
      <c r="Y121" s="77"/>
      <c r="AA121"/>
      <c r="AB121"/>
      <c r="AC121"/>
    </row>
    <row r="122" spans="1:29" s="9" customFormat="1" ht="16.149999999999999" customHeight="1" x14ac:dyDescent="0.15">
      <c r="A122" s="38"/>
      <c r="B122" s="18"/>
      <c r="C122" s="44"/>
      <c r="D122" s="43"/>
      <c r="E122" s="36"/>
      <c r="F122" s="19"/>
      <c r="G122" s="6"/>
      <c r="H122" s="34"/>
      <c r="I122" s="38"/>
      <c r="J122" s="38"/>
      <c r="K122" s="38"/>
      <c r="L122" s="6"/>
      <c r="M122" s="48"/>
      <c r="N122" s="45"/>
      <c r="O122" s="2"/>
      <c r="P122" s="38"/>
      <c r="Q122" s="36"/>
      <c r="R122" s="34"/>
      <c r="S122" s="34"/>
      <c r="T122" s="34"/>
      <c r="U122" s="33"/>
      <c r="V122" s="33"/>
      <c r="W122" s="33"/>
      <c r="X122" s="33"/>
      <c r="Y122" s="77"/>
      <c r="AA122"/>
      <c r="AB122"/>
      <c r="AC122"/>
    </row>
    <row r="123" spans="1:29" s="9" customFormat="1" ht="16.149999999999999" customHeight="1" x14ac:dyDescent="0.15">
      <c r="A123" s="38"/>
      <c r="B123" s="18"/>
      <c r="C123" s="44"/>
      <c r="D123" s="43"/>
      <c r="E123" s="36"/>
      <c r="F123" s="19"/>
      <c r="G123" s="6"/>
      <c r="H123" s="34"/>
      <c r="I123" s="38"/>
      <c r="J123" s="38"/>
      <c r="K123" s="38"/>
      <c r="L123" s="6"/>
      <c r="M123" s="48"/>
      <c r="N123" s="45"/>
      <c r="O123" s="2"/>
      <c r="P123" s="38"/>
      <c r="Q123" s="36"/>
      <c r="R123" s="34"/>
      <c r="S123" s="34"/>
      <c r="T123" s="34"/>
      <c r="U123" s="33"/>
      <c r="V123" s="33"/>
      <c r="W123" s="33"/>
      <c r="X123" s="33"/>
      <c r="Y123" s="77"/>
      <c r="AA123"/>
      <c r="AB123"/>
      <c r="AC123"/>
    </row>
    <row r="124" spans="1:29" s="9" customFormat="1" ht="16.149999999999999" customHeight="1" x14ac:dyDescent="0.15">
      <c r="A124" s="38"/>
      <c r="B124" s="18"/>
      <c r="C124" s="44"/>
      <c r="D124" s="43"/>
      <c r="E124" s="36"/>
      <c r="F124" s="19"/>
      <c r="G124" s="6"/>
      <c r="H124" s="34"/>
      <c r="I124" s="38"/>
      <c r="J124" s="38"/>
      <c r="K124" s="38"/>
      <c r="L124" s="6"/>
      <c r="M124" s="48"/>
      <c r="N124" s="45"/>
      <c r="O124" s="2"/>
      <c r="P124" s="38"/>
      <c r="Q124" s="36"/>
      <c r="R124" s="34"/>
      <c r="S124" s="34"/>
      <c r="T124" s="34"/>
      <c r="U124" s="33"/>
      <c r="V124" s="33"/>
      <c r="W124" s="33"/>
      <c r="X124" s="33"/>
      <c r="Y124" s="77"/>
      <c r="AA124"/>
      <c r="AB124"/>
      <c r="AC124"/>
    </row>
    <row r="125" spans="1:29" s="9" customFormat="1" ht="16.149999999999999" customHeight="1" x14ac:dyDescent="0.15">
      <c r="A125" s="38"/>
      <c r="B125" s="18"/>
      <c r="C125" s="44"/>
      <c r="D125" s="43"/>
      <c r="E125" s="36"/>
      <c r="F125" s="19"/>
      <c r="G125" s="6"/>
      <c r="H125" s="34"/>
      <c r="I125" s="38"/>
      <c r="J125" s="38"/>
      <c r="K125" s="38"/>
      <c r="L125" s="6"/>
      <c r="M125" s="48"/>
      <c r="N125" s="45"/>
      <c r="O125" s="2"/>
      <c r="P125" s="38"/>
      <c r="Q125" s="36"/>
      <c r="R125" s="34"/>
      <c r="S125" s="34"/>
      <c r="T125" s="34"/>
      <c r="U125" s="33"/>
      <c r="V125" s="33"/>
      <c r="W125" s="33"/>
      <c r="X125" s="33"/>
      <c r="Y125" s="77"/>
      <c r="AA125"/>
      <c r="AB125"/>
      <c r="AC125"/>
    </row>
    <row r="126" spans="1:29" s="9" customFormat="1" ht="16.149999999999999" customHeight="1" x14ac:dyDescent="0.15">
      <c r="A126" s="38"/>
      <c r="B126" s="18"/>
      <c r="C126" s="44"/>
      <c r="D126" s="43"/>
      <c r="E126" s="36"/>
      <c r="F126" s="19"/>
      <c r="G126" s="6"/>
      <c r="H126" s="34"/>
      <c r="I126" s="38"/>
      <c r="J126" s="38"/>
      <c r="K126" s="38"/>
      <c r="L126" s="6"/>
      <c r="M126" s="48"/>
      <c r="N126" s="45"/>
      <c r="O126" s="2"/>
      <c r="P126" s="38"/>
      <c r="Q126" s="36"/>
      <c r="R126" s="34"/>
      <c r="S126" s="34"/>
      <c r="T126" s="34"/>
      <c r="U126" s="33"/>
      <c r="V126" s="33"/>
      <c r="W126" s="33"/>
      <c r="X126" s="33"/>
      <c r="Y126" s="77"/>
      <c r="AA126"/>
      <c r="AB126"/>
      <c r="AC126"/>
    </row>
    <row r="127" spans="1:29" s="9" customFormat="1" ht="16.149999999999999" customHeight="1" x14ac:dyDescent="0.15">
      <c r="A127" s="38"/>
      <c r="B127" s="18"/>
      <c r="C127" s="44"/>
      <c r="D127" s="43"/>
      <c r="E127" s="36"/>
      <c r="F127" s="19"/>
      <c r="G127" s="6"/>
      <c r="H127" s="34"/>
      <c r="I127" s="38"/>
      <c r="J127" s="38"/>
      <c r="K127" s="38"/>
      <c r="L127" s="6"/>
      <c r="M127" s="48"/>
      <c r="N127" s="45"/>
      <c r="O127" s="2"/>
      <c r="P127" s="38"/>
      <c r="Q127" s="36"/>
      <c r="R127" s="34"/>
      <c r="S127" s="34"/>
      <c r="T127" s="34"/>
      <c r="U127" s="33"/>
      <c r="V127" s="33"/>
      <c r="W127" s="33"/>
      <c r="X127" s="33"/>
      <c r="Y127" s="77"/>
      <c r="AA127"/>
      <c r="AB127"/>
      <c r="AC127"/>
    </row>
    <row r="128" spans="1:29" s="9" customFormat="1" ht="16.149999999999999" customHeight="1" x14ac:dyDescent="0.15">
      <c r="A128" s="38"/>
      <c r="B128" s="18"/>
      <c r="C128" s="44"/>
      <c r="D128" s="43"/>
      <c r="E128" s="36"/>
      <c r="F128" s="19"/>
      <c r="G128" s="6"/>
      <c r="H128" s="34"/>
      <c r="I128" s="38"/>
      <c r="J128" s="38"/>
      <c r="K128" s="38"/>
      <c r="L128" s="6"/>
      <c r="M128" s="48"/>
      <c r="N128" s="45"/>
      <c r="O128" s="2"/>
      <c r="P128" s="38"/>
      <c r="Q128" s="36"/>
      <c r="R128" s="34"/>
      <c r="S128" s="34"/>
      <c r="T128" s="34"/>
      <c r="U128" s="33"/>
      <c r="V128" s="33"/>
      <c r="W128" s="33"/>
      <c r="X128" s="33"/>
      <c r="Y128" s="77"/>
      <c r="AA128"/>
      <c r="AB128"/>
      <c r="AC128"/>
    </row>
    <row r="129" spans="1:29" s="9" customFormat="1" ht="16.149999999999999" customHeight="1" x14ac:dyDescent="0.15">
      <c r="A129" s="38"/>
      <c r="B129" s="18"/>
      <c r="C129" s="44"/>
      <c r="D129" s="43"/>
      <c r="E129" s="36"/>
      <c r="F129" s="19"/>
      <c r="G129" s="6"/>
      <c r="H129" s="34"/>
      <c r="I129" s="38"/>
      <c r="J129" s="38"/>
      <c r="K129" s="38"/>
      <c r="L129" s="6"/>
      <c r="M129" s="48"/>
      <c r="N129" s="45"/>
      <c r="O129" s="2"/>
      <c r="P129" s="38"/>
      <c r="Q129" s="36"/>
      <c r="R129" s="34"/>
      <c r="S129" s="34"/>
      <c r="T129" s="34"/>
      <c r="U129" s="33"/>
      <c r="V129" s="33"/>
      <c r="W129" s="33"/>
      <c r="X129" s="33"/>
      <c r="Y129" s="77"/>
      <c r="AA129"/>
      <c r="AB129"/>
      <c r="AC129"/>
    </row>
    <row r="130" spans="1:29" s="9" customFormat="1" ht="16.149999999999999" customHeight="1" x14ac:dyDescent="0.15">
      <c r="A130" s="38"/>
      <c r="B130" s="18"/>
      <c r="C130" s="44"/>
      <c r="D130" s="43"/>
      <c r="E130" s="36"/>
      <c r="F130" s="19"/>
      <c r="G130" s="6"/>
      <c r="H130" s="34"/>
      <c r="I130" s="38"/>
      <c r="J130" s="38"/>
      <c r="K130" s="38"/>
      <c r="L130" s="6"/>
      <c r="M130" s="48"/>
      <c r="N130" s="45"/>
      <c r="O130" s="2"/>
      <c r="P130" s="38"/>
      <c r="Q130" s="36"/>
      <c r="R130" s="34"/>
      <c r="S130" s="34"/>
      <c r="T130" s="34"/>
      <c r="U130" s="33"/>
      <c r="V130" s="33"/>
      <c r="W130" s="33"/>
      <c r="X130" s="33"/>
      <c r="Y130" s="77"/>
      <c r="AA130"/>
      <c r="AB130"/>
      <c r="AC130"/>
    </row>
    <row r="131" spans="1:29" s="9" customFormat="1" ht="16.149999999999999" customHeight="1" x14ac:dyDescent="0.15">
      <c r="A131" s="38"/>
      <c r="B131" s="18"/>
      <c r="C131" s="44"/>
      <c r="D131" s="43"/>
      <c r="E131" s="36"/>
      <c r="F131" s="19"/>
      <c r="G131" s="6"/>
      <c r="H131" s="34"/>
      <c r="I131" s="38"/>
      <c r="J131" s="38"/>
      <c r="K131" s="38"/>
      <c r="L131" s="6"/>
      <c r="M131" s="48"/>
      <c r="N131" s="45"/>
      <c r="O131" s="2"/>
      <c r="P131" s="38"/>
      <c r="Q131" s="36"/>
      <c r="R131" s="34"/>
      <c r="S131" s="34"/>
      <c r="T131" s="34"/>
      <c r="U131" s="33"/>
      <c r="V131" s="33"/>
      <c r="W131" s="33"/>
      <c r="X131" s="33"/>
      <c r="Y131" s="77"/>
      <c r="AA131"/>
      <c r="AB131"/>
      <c r="AC131"/>
    </row>
    <row r="132" spans="1:29" s="9" customFormat="1" ht="16.149999999999999" customHeight="1" x14ac:dyDescent="0.15">
      <c r="A132" s="38"/>
      <c r="B132" s="18"/>
      <c r="C132" s="44"/>
      <c r="D132" s="43"/>
      <c r="E132" s="36"/>
      <c r="F132" s="19"/>
      <c r="G132" s="6"/>
      <c r="H132" s="34"/>
      <c r="I132" s="38"/>
      <c r="J132" s="38"/>
      <c r="K132" s="38"/>
      <c r="L132" s="6"/>
      <c r="M132" s="48"/>
      <c r="N132" s="45"/>
      <c r="O132" s="2"/>
      <c r="P132" s="38"/>
      <c r="Q132" s="36"/>
      <c r="R132" s="34"/>
      <c r="S132" s="34"/>
      <c r="T132" s="34"/>
      <c r="U132" s="33"/>
      <c r="V132" s="33"/>
      <c r="W132" s="33"/>
      <c r="X132" s="33"/>
      <c r="Y132" s="77"/>
      <c r="AA132"/>
      <c r="AB132"/>
      <c r="AC132"/>
    </row>
    <row r="133" spans="1:29" s="9" customFormat="1" ht="16.149999999999999" customHeight="1" x14ac:dyDescent="0.15">
      <c r="A133" s="38"/>
      <c r="B133" s="18"/>
      <c r="C133" s="44"/>
      <c r="D133" s="43"/>
      <c r="E133" s="36"/>
      <c r="F133" s="19"/>
      <c r="G133" s="6"/>
      <c r="H133" s="34"/>
      <c r="I133" s="38"/>
      <c r="J133" s="38"/>
      <c r="K133" s="38"/>
      <c r="L133" s="6"/>
      <c r="M133" s="48"/>
      <c r="N133" s="45"/>
      <c r="O133" s="2"/>
      <c r="P133" s="38"/>
      <c r="Q133" s="36"/>
      <c r="R133" s="34"/>
      <c r="S133" s="34"/>
      <c r="T133" s="34"/>
      <c r="U133" s="33"/>
      <c r="V133" s="33"/>
      <c r="W133" s="33"/>
      <c r="X133" s="33"/>
      <c r="Y133" s="77"/>
      <c r="AA133"/>
      <c r="AB133"/>
      <c r="AC133"/>
    </row>
    <row r="134" spans="1:29" s="9" customFormat="1" ht="16.149999999999999" customHeight="1" x14ac:dyDescent="0.15">
      <c r="A134" s="38"/>
      <c r="B134" s="18"/>
      <c r="C134" s="44"/>
      <c r="D134" s="43"/>
      <c r="E134" s="36"/>
      <c r="F134" s="19"/>
      <c r="G134" s="6"/>
      <c r="H134" s="34"/>
      <c r="I134" s="38"/>
      <c r="J134" s="38"/>
      <c r="K134" s="38"/>
      <c r="L134" s="6"/>
      <c r="M134" s="48"/>
      <c r="N134" s="45"/>
      <c r="O134" s="2"/>
      <c r="P134" s="38"/>
      <c r="Q134" s="36"/>
      <c r="R134" s="34"/>
      <c r="S134" s="34"/>
      <c r="T134" s="34"/>
      <c r="U134" s="33"/>
      <c r="V134" s="33"/>
      <c r="W134" s="33"/>
      <c r="X134" s="33"/>
      <c r="Y134" s="77"/>
      <c r="AA134"/>
      <c r="AB134"/>
      <c r="AC134"/>
    </row>
    <row r="135" spans="1:29" s="9" customFormat="1" ht="16.149999999999999" customHeight="1" x14ac:dyDescent="0.15">
      <c r="A135" s="38"/>
      <c r="B135" s="18"/>
      <c r="C135" s="44"/>
      <c r="D135" s="43"/>
      <c r="E135" s="36"/>
      <c r="F135" s="19"/>
      <c r="G135" s="6"/>
      <c r="H135" s="34"/>
      <c r="I135" s="38"/>
      <c r="J135" s="38"/>
      <c r="K135" s="38"/>
      <c r="L135" s="6"/>
      <c r="M135" s="48"/>
      <c r="N135" s="45"/>
      <c r="O135" s="2"/>
      <c r="P135" s="38"/>
      <c r="Q135" s="36"/>
      <c r="R135" s="34"/>
      <c r="S135" s="34"/>
      <c r="T135" s="34"/>
      <c r="U135" s="33"/>
      <c r="V135" s="33"/>
      <c r="W135" s="33"/>
      <c r="X135" s="33"/>
      <c r="Y135" s="77"/>
      <c r="AA135"/>
      <c r="AB135"/>
      <c r="AC135"/>
    </row>
    <row r="136" spans="1:29" s="9" customFormat="1" ht="16.149999999999999" customHeight="1" x14ac:dyDescent="0.15">
      <c r="A136" s="38"/>
      <c r="B136" s="18"/>
      <c r="C136" s="44"/>
      <c r="D136" s="43"/>
      <c r="E136" s="36"/>
      <c r="F136" s="19"/>
      <c r="G136" s="6"/>
      <c r="H136" s="34"/>
      <c r="I136" s="38"/>
      <c r="J136" s="38"/>
      <c r="K136" s="38"/>
      <c r="L136" s="6"/>
      <c r="M136" s="48"/>
      <c r="N136" s="45"/>
      <c r="O136" s="2"/>
      <c r="P136" s="38"/>
      <c r="Q136" s="36"/>
      <c r="R136" s="34"/>
      <c r="S136" s="34"/>
      <c r="T136" s="34"/>
      <c r="U136" s="33"/>
      <c r="V136" s="33"/>
      <c r="W136" s="33"/>
      <c r="X136" s="33"/>
      <c r="Y136" s="77"/>
      <c r="AA136"/>
      <c r="AB136"/>
      <c r="AC136"/>
    </row>
    <row r="137" spans="1:29" s="9" customFormat="1" ht="16.149999999999999" customHeight="1" x14ac:dyDescent="0.15">
      <c r="A137" s="38"/>
      <c r="B137" s="18"/>
      <c r="C137" s="44"/>
      <c r="D137" s="43"/>
      <c r="E137" s="36"/>
      <c r="F137" s="19"/>
      <c r="G137" s="6"/>
      <c r="H137" s="34"/>
      <c r="I137" s="38"/>
      <c r="J137" s="38"/>
      <c r="K137" s="38"/>
      <c r="L137" s="6"/>
      <c r="M137" s="48"/>
      <c r="N137" s="45"/>
      <c r="O137" s="2"/>
      <c r="P137" s="38"/>
      <c r="Q137" s="36"/>
      <c r="R137" s="34"/>
      <c r="S137" s="34"/>
      <c r="T137" s="34"/>
      <c r="U137" s="33"/>
      <c r="V137" s="33"/>
      <c r="W137" s="33"/>
      <c r="X137" s="33"/>
      <c r="Y137" s="77"/>
      <c r="AA137"/>
      <c r="AB137"/>
      <c r="AC137"/>
    </row>
    <row r="138" spans="1:29" s="9" customFormat="1" ht="16.149999999999999" customHeight="1" x14ac:dyDescent="0.15">
      <c r="A138" s="38"/>
      <c r="B138" s="18"/>
      <c r="C138" s="44"/>
      <c r="D138" s="43"/>
      <c r="E138" s="36"/>
      <c r="F138" s="19"/>
      <c r="G138" s="6"/>
      <c r="H138" s="34"/>
      <c r="I138" s="38"/>
      <c r="J138" s="38"/>
      <c r="K138" s="38"/>
      <c r="L138" s="6"/>
      <c r="M138" s="48"/>
      <c r="N138" s="45"/>
      <c r="O138" s="2"/>
      <c r="P138" s="38"/>
      <c r="Q138" s="36"/>
      <c r="R138" s="34"/>
      <c r="S138" s="34"/>
      <c r="T138" s="34"/>
      <c r="U138" s="33"/>
      <c r="V138" s="33"/>
      <c r="W138" s="33"/>
      <c r="X138" s="33"/>
      <c r="Y138" s="77"/>
      <c r="AA138"/>
      <c r="AB138"/>
      <c r="AC138"/>
    </row>
    <row r="139" spans="1:29" s="9" customFormat="1" ht="16.149999999999999" customHeight="1" x14ac:dyDescent="0.15">
      <c r="A139" s="38"/>
      <c r="B139" s="18"/>
      <c r="C139" s="44"/>
      <c r="D139" s="43"/>
      <c r="E139" s="36"/>
      <c r="F139" s="19"/>
      <c r="G139" s="6"/>
      <c r="H139" s="34"/>
      <c r="I139" s="38"/>
      <c r="J139" s="38"/>
      <c r="K139" s="38"/>
      <c r="L139" s="6"/>
      <c r="M139" s="48"/>
      <c r="N139" s="45"/>
      <c r="O139" s="2"/>
      <c r="P139" s="38"/>
      <c r="Q139" s="36"/>
      <c r="R139" s="34"/>
      <c r="S139" s="34"/>
      <c r="T139" s="34"/>
      <c r="U139" s="33"/>
      <c r="V139" s="33"/>
      <c r="W139" s="33"/>
      <c r="X139" s="33"/>
      <c r="Y139" s="77"/>
      <c r="AA139"/>
      <c r="AB139"/>
      <c r="AC139"/>
    </row>
    <row r="140" spans="1:29" s="9" customFormat="1" ht="16.149999999999999" customHeight="1" x14ac:dyDescent="0.15">
      <c r="A140" s="38"/>
      <c r="B140" s="18"/>
      <c r="C140" s="44"/>
      <c r="D140" s="43"/>
      <c r="E140" s="36"/>
      <c r="F140" s="19"/>
      <c r="G140" s="6"/>
      <c r="H140" s="34"/>
      <c r="I140" s="38"/>
      <c r="J140" s="38"/>
      <c r="K140" s="38"/>
      <c r="L140" s="6"/>
      <c r="M140" s="48"/>
      <c r="N140" s="45"/>
      <c r="O140" s="2"/>
      <c r="P140" s="38"/>
      <c r="Q140" s="36"/>
      <c r="R140" s="34"/>
      <c r="S140" s="34"/>
      <c r="T140" s="34"/>
      <c r="U140" s="33"/>
      <c r="V140" s="33"/>
      <c r="W140" s="33"/>
      <c r="X140" s="33"/>
      <c r="Y140" s="77"/>
      <c r="AA140"/>
      <c r="AB140"/>
      <c r="AC140"/>
    </row>
    <row r="141" spans="1:29" s="9" customFormat="1" ht="16.149999999999999" customHeight="1" x14ac:dyDescent="0.15">
      <c r="A141" s="38"/>
      <c r="B141" s="18"/>
      <c r="C141" s="44"/>
      <c r="D141" s="43"/>
      <c r="E141" s="36"/>
      <c r="F141" s="19"/>
      <c r="G141" s="6"/>
      <c r="H141" s="34"/>
      <c r="I141" s="38"/>
      <c r="J141" s="38"/>
      <c r="K141" s="38"/>
      <c r="L141" s="6"/>
      <c r="M141" s="48"/>
      <c r="N141" s="45"/>
      <c r="O141" s="2"/>
      <c r="P141" s="38"/>
      <c r="Q141" s="36"/>
      <c r="R141" s="34"/>
      <c r="S141" s="34"/>
      <c r="T141" s="34"/>
      <c r="U141" s="33"/>
      <c r="V141" s="33"/>
      <c r="W141" s="33"/>
      <c r="X141" s="33"/>
      <c r="Y141" s="77"/>
      <c r="AA141"/>
      <c r="AB141"/>
      <c r="AC141"/>
    </row>
    <row r="142" spans="1:29" s="9" customFormat="1" ht="16.149999999999999" customHeight="1" x14ac:dyDescent="0.15">
      <c r="A142" s="38"/>
      <c r="B142" s="18"/>
      <c r="C142" s="44"/>
      <c r="D142" s="43"/>
      <c r="E142" s="36"/>
      <c r="F142" s="19"/>
      <c r="G142" s="6"/>
      <c r="H142" s="34"/>
      <c r="I142" s="38"/>
      <c r="J142" s="38"/>
      <c r="K142" s="38"/>
      <c r="L142" s="6"/>
      <c r="M142" s="48"/>
      <c r="N142" s="45"/>
      <c r="O142" s="2"/>
      <c r="P142" s="38"/>
      <c r="Q142" s="36"/>
      <c r="R142" s="34"/>
      <c r="S142" s="34"/>
      <c r="T142" s="34"/>
      <c r="U142" s="33"/>
      <c r="V142" s="33"/>
      <c r="W142" s="33"/>
      <c r="X142" s="33"/>
      <c r="Y142" s="77"/>
      <c r="AA142"/>
      <c r="AB142"/>
      <c r="AC142"/>
    </row>
    <row r="143" spans="1:29" s="9" customFormat="1" ht="16.149999999999999" customHeight="1" x14ac:dyDescent="0.15">
      <c r="A143" s="38"/>
      <c r="B143" s="18"/>
      <c r="C143" s="44"/>
      <c r="D143" s="43"/>
      <c r="E143" s="36"/>
      <c r="F143" s="19"/>
      <c r="G143" s="6"/>
      <c r="H143" s="34"/>
      <c r="I143" s="38"/>
      <c r="J143" s="38"/>
      <c r="K143" s="38"/>
      <c r="L143" s="6"/>
      <c r="M143" s="48"/>
      <c r="N143" s="45"/>
      <c r="O143" s="2"/>
      <c r="P143" s="38"/>
      <c r="Q143" s="36"/>
      <c r="R143" s="34"/>
      <c r="S143" s="34"/>
      <c r="T143" s="34"/>
      <c r="U143" s="33"/>
      <c r="V143" s="33"/>
      <c r="W143" s="33"/>
      <c r="X143" s="33"/>
      <c r="Y143" s="77"/>
      <c r="AA143"/>
      <c r="AB143"/>
      <c r="AC143"/>
    </row>
    <row r="144" spans="1:29" s="9" customFormat="1" ht="16.149999999999999" customHeight="1" x14ac:dyDescent="0.15">
      <c r="A144" s="38"/>
      <c r="B144" s="18"/>
      <c r="C144" s="44"/>
      <c r="D144" s="43"/>
      <c r="E144" s="36"/>
      <c r="F144" s="19"/>
      <c r="G144" s="6"/>
      <c r="H144" s="34"/>
      <c r="I144" s="38"/>
      <c r="J144" s="38"/>
      <c r="K144" s="38"/>
      <c r="L144" s="6"/>
      <c r="M144" s="48"/>
      <c r="N144" s="45"/>
      <c r="O144" s="2"/>
      <c r="P144" s="38"/>
      <c r="Q144" s="36"/>
      <c r="R144" s="34"/>
      <c r="S144" s="34"/>
      <c r="T144" s="34"/>
      <c r="U144" s="33"/>
      <c r="V144" s="33"/>
      <c r="W144" s="33"/>
      <c r="X144" s="33"/>
      <c r="Y144" s="77"/>
      <c r="AA144"/>
      <c r="AB144"/>
      <c r="AC144"/>
    </row>
    <row r="145" spans="1:29" s="9" customFormat="1" ht="16.149999999999999" customHeight="1" x14ac:dyDescent="0.15">
      <c r="A145" s="38"/>
      <c r="B145" s="18"/>
      <c r="C145" s="44"/>
      <c r="D145" s="43"/>
      <c r="E145" s="36"/>
      <c r="F145" s="19"/>
      <c r="G145" s="6"/>
      <c r="H145" s="34"/>
      <c r="I145" s="38"/>
      <c r="J145" s="38"/>
      <c r="K145" s="38"/>
      <c r="L145" s="6"/>
      <c r="M145" s="48"/>
      <c r="N145" s="45"/>
      <c r="O145" s="2"/>
      <c r="P145" s="38"/>
      <c r="Q145" s="36"/>
      <c r="R145" s="34"/>
      <c r="S145" s="34"/>
      <c r="T145" s="34"/>
      <c r="U145" s="33"/>
      <c r="V145" s="33"/>
      <c r="W145" s="33"/>
      <c r="X145" s="33"/>
      <c r="Y145" s="77"/>
      <c r="AA145"/>
      <c r="AB145"/>
      <c r="AC145"/>
    </row>
    <row r="146" spans="1:29" s="9" customFormat="1" ht="16.149999999999999" customHeight="1" x14ac:dyDescent="0.15">
      <c r="A146" s="38"/>
      <c r="B146" s="18"/>
      <c r="C146" s="44"/>
      <c r="D146" s="43"/>
      <c r="E146" s="36"/>
      <c r="F146" s="19"/>
      <c r="G146" s="6"/>
      <c r="H146" s="34"/>
      <c r="I146" s="38"/>
      <c r="J146" s="38"/>
      <c r="K146" s="38"/>
      <c r="L146" s="6"/>
      <c r="M146" s="48"/>
      <c r="N146" s="45"/>
      <c r="O146" s="2"/>
      <c r="P146" s="38"/>
      <c r="Q146" s="36"/>
      <c r="R146" s="34"/>
      <c r="S146" s="34"/>
      <c r="T146" s="34"/>
      <c r="U146" s="33"/>
      <c r="V146" s="33"/>
      <c r="W146" s="33"/>
      <c r="X146" s="33"/>
      <c r="Y146" s="77"/>
      <c r="AA146"/>
      <c r="AB146"/>
      <c r="AC146"/>
    </row>
    <row r="147" spans="1:29" s="9" customFormat="1" ht="16.149999999999999" customHeight="1" x14ac:dyDescent="0.15">
      <c r="A147" s="38"/>
      <c r="B147" s="18"/>
      <c r="C147" s="44"/>
      <c r="D147" s="43"/>
      <c r="E147" s="36"/>
      <c r="F147" s="19"/>
      <c r="G147" s="6"/>
      <c r="H147" s="34"/>
      <c r="I147" s="38"/>
      <c r="J147" s="38"/>
      <c r="K147" s="38"/>
      <c r="L147" s="6"/>
      <c r="M147" s="48"/>
      <c r="N147" s="45"/>
      <c r="O147" s="2"/>
      <c r="P147" s="38"/>
      <c r="Q147" s="36"/>
      <c r="R147" s="34"/>
      <c r="S147" s="34"/>
      <c r="T147" s="34"/>
      <c r="U147" s="33"/>
      <c r="V147" s="33"/>
      <c r="W147" s="33"/>
      <c r="X147" s="33"/>
      <c r="Y147" s="77"/>
      <c r="AA147"/>
      <c r="AB147"/>
      <c r="AC147"/>
    </row>
    <row r="148" spans="1:29" s="9" customFormat="1" ht="16.149999999999999" customHeight="1" x14ac:dyDescent="0.15">
      <c r="A148" s="38"/>
      <c r="B148" s="18"/>
      <c r="C148" s="44"/>
      <c r="D148" s="43"/>
      <c r="E148" s="36"/>
      <c r="F148" s="19"/>
      <c r="G148" s="6"/>
      <c r="H148" s="34"/>
      <c r="I148" s="38"/>
      <c r="J148" s="38"/>
      <c r="K148" s="38"/>
      <c r="L148" s="6"/>
      <c r="M148" s="48"/>
      <c r="N148" s="45"/>
      <c r="O148" s="2"/>
      <c r="P148" s="38"/>
      <c r="Q148" s="36"/>
      <c r="R148" s="34"/>
      <c r="S148" s="34"/>
      <c r="T148" s="34"/>
      <c r="U148" s="33"/>
      <c r="V148" s="33"/>
      <c r="W148" s="33"/>
      <c r="X148" s="33"/>
      <c r="Y148" s="77"/>
      <c r="AA148"/>
      <c r="AB148"/>
      <c r="AC148"/>
    </row>
    <row r="149" spans="1:29" s="9" customFormat="1" ht="16.149999999999999" customHeight="1" x14ac:dyDescent="0.15">
      <c r="A149" s="38"/>
      <c r="B149" s="18"/>
      <c r="C149" s="44"/>
      <c r="D149" s="43"/>
      <c r="E149" s="36"/>
      <c r="F149" s="19"/>
      <c r="G149" s="6"/>
      <c r="H149" s="34"/>
      <c r="I149" s="38"/>
      <c r="J149" s="38"/>
      <c r="K149" s="38"/>
      <c r="L149" s="6"/>
      <c r="M149" s="48"/>
      <c r="N149" s="45"/>
      <c r="O149" s="2"/>
      <c r="P149" s="38"/>
      <c r="Q149" s="36"/>
      <c r="R149" s="34"/>
      <c r="S149" s="34"/>
      <c r="T149" s="34"/>
      <c r="U149" s="33"/>
      <c r="V149" s="33"/>
      <c r="W149" s="33"/>
      <c r="X149" s="33"/>
      <c r="Y149" s="77"/>
      <c r="AA149"/>
      <c r="AB149"/>
      <c r="AC149"/>
    </row>
    <row r="150" spans="1:29" s="9" customFormat="1" ht="16.149999999999999" customHeight="1" x14ac:dyDescent="0.15">
      <c r="A150" s="38"/>
      <c r="B150" s="18"/>
      <c r="C150" s="44"/>
      <c r="D150" s="43"/>
      <c r="E150" s="36"/>
      <c r="F150" s="19"/>
      <c r="G150" s="6"/>
      <c r="H150" s="34"/>
      <c r="I150" s="38"/>
      <c r="J150" s="38"/>
      <c r="K150" s="38"/>
      <c r="L150" s="6"/>
      <c r="M150" s="48"/>
      <c r="N150" s="45"/>
      <c r="O150" s="2"/>
      <c r="P150" s="38"/>
      <c r="Q150" s="36"/>
      <c r="R150" s="34"/>
      <c r="S150" s="34"/>
      <c r="T150" s="34"/>
      <c r="U150" s="33"/>
      <c r="V150" s="33"/>
      <c r="W150" s="33"/>
      <c r="X150" s="33"/>
      <c r="Y150" s="77"/>
      <c r="AA150"/>
      <c r="AB150"/>
      <c r="AC150"/>
    </row>
    <row r="151" spans="1:29" s="9" customFormat="1" ht="16.149999999999999" customHeight="1" x14ac:dyDescent="0.15">
      <c r="A151" s="38"/>
      <c r="B151" s="18"/>
      <c r="C151" s="44"/>
      <c r="D151" s="43"/>
      <c r="E151" s="36"/>
      <c r="F151" s="19"/>
      <c r="G151" s="6"/>
      <c r="H151" s="34"/>
      <c r="I151" s="38"/>
      <c r="J151" s="38"/>
      <c r="K151" s="38"/>
      <c r="L151" s="6"/>
      <c r="M151" s="48"/>
      <c r="N151" s="45"/>
      <c r="O151" s="2"/>
      <c r="P151" s="38"/>
      <c r="Q151" s="36"/>
      <c r="R151" s="34"/>
      <c r="S151" s="34"/>
      <c r="T151" s="34"/>
      <c r="U151" s="33"/>
      <c r="V151" s="33"/>
      <c r="W151" s="33"/>
      <c r="X151" s="33"/>
      <c r="Y151" s="77"/>
      <c r="AA151"/>
      <c r="AB151"/>
      <c r="AC151"/>
    </row>
    <row r="152" spans="1:29" s="9" customFormat="1" ht="16.149999999999999" customHeight="1" x14ac:dyDescent="0.15">
      <c r="A152" s="38"/>
      <c r="B152" s="18"/>
      <c r="C152" s="44"/>
      <c r="D152" s="43"/>
      <c r="E152" s="36"/>
      <c r="F152" s="19"/>
      <c r="G152" s="6"/>
      <c r="H152" s="34"/>
      <c r="I152" s="38"/>
      <c r="J152" s="38"/>
      <c r="K152" s="38"/>
      <c r="L152" s="6"/>
      <c r="M152" s="48"/>
      <c r="N152" s="45"/>
      <c r="O152" s="2"/>
      <c r="P152" s="38"/>
      <c r="Q152" s="36"/>
      <c r="R152" s="34"/>
      <c r="S152" s="34"/>
      <c r="T152" s="34"/>
      <c r="U152" s="33"/>
      <c r="V152" s="33"/>
      <c r="W152" s="33"/>
      <c r="X152" s="33"/>
      <c r="Y152" s="77"/>
      <c r="AA152"/>
      <c r="AB152"/>
      <c r="AC152"/>
    </row>
    <row r="153" spans="1:29" s="9" customFormat="1" ht="16.149999999999999" customHeight="1" x14ac:dyDescent="0.15">
      <c r="A153" s="38"/>
      <c r="B153" s="18"/>
      <c r="C153" s="44"/>
      <c r="D153" s="43"/>
      <c r="E153" s="36"/>
      <c r="F153" s="19"/>
      <c r="G153" s="6"/>
      <c r="H153" s="34"/>
      <c r="I153" s="38"/>
      <c r="J153" s="38"/>
      <c r="K153" s="38"/>
      <c r="L153" s="6"/>
      <c r="M153" s="48"/>
      <c r="N153" s="45"/>
      <c r="O153" s="2"/>
      <c r="P153" s="38"/>
      <c r="Q153" s="36"/>
      <c r="R153" s="34"/>
      <c r="S153" s="34"/>
      <c r="T153" s="34"/>
      <c r="U153" s="33"/>
      <c r="V153" s="33"/>
      <c r="W153" s="33"/>
      <c r="X153" s="33"/>
      <c r="Y153" s="77"/>
      <c r="AA153"/>
      <c r="AB153"/>
      <c r="AC153"/>
    </row>
    <row r="154" spans="1:29" s="9" customFormat="1" ht="16.149999999999999" customHeight="1" x14ac:dyDescent="0.15">
      <c r="A154" s="38"/>
      <c r="B154" s="18"/>
      <c r="C154" s="44"/>
      <c r="D154" s="43"/>
      <c r="E154" s="36"/>
      <c r="F154" s="19"/>
      <c r="G154" s="6"/>
      <c r="H154" s="34"/>
      <c r="I154" s="38"/>
      <c r="J154" s="38"/>
      <c r="K154" s="38"/>
      <c r="L154" s="6"/>
      <c r="M154" s="48"/>
      <c r="N154" s="45"/>
      <c r="O154" s="2"/>
      <c r="P154" s="38"/>
      <c r="Q154" s="36"/>
      <c r="R154" s="34"/>
      <c r="S154" s="34"/>
      <c r="T154" s="34"/>
      <c r="U154" s="33"/>
      <c r="V154" s="33"/>
      <c r="W154" s="33"/>
      <c r="X154" s="33"/>
      <c r="Y154" s="77"/>
      <c r="AA154"/>
      <c r="AB154"/>
      <c r="AC154"/>
    </row>
    <row r="155" spans="1:29" ht="16.149999999999999" customHeight="1" x14ac:dyDescent="0.15">
      <c r="A155" s="38"/>
      <c r="B155" s="18"/>
      <c r="C155" s="44"/>
      <c r="D155" s="43"/>
      <c r="E155" s="36"/>
      <c r="F155" s="19"/>
      <c r="G155" s="6"/>
      <c r="H155" s="34"/>
      <c r="I155" s="38"/>
      <c r="J155" s="38"/>
      <c r="K155" s="38"/>
      <c r="L155" s="6"/>
      <c r="M155" s="48"/>
      <c r="N155" s="45"/>
      <c r="O155" s="2"/>
      <c r="P155" s="38"/>
      <c r="Q155" s="36"/>
      <c r="R155" s="34"/>
      <c r="S155" s="34"/>
      <c r="T155" s="34"/>
      <c r="U155" s="33"/>
      <c r="V155" s="33"/>
      <c r="W155" s="33"/>
      <c r="X155" s="33"/>
      <c r="Y155" s="77"/>
    </row>
    <row r="156" spans="1:29" ht="16.149999999999999" customHeight="1" x14ac:dyDescent="0.15">
      <c r="A156" s="38"/>
      <c r="B156" s="18"/>
      <c r="C156" s="44"/>
      <c r="D156" s="43"/>
      <c r="E156" s="36"/>
      <c r="F156" s="19"/>
      <c r="G156" s="6"/>
      <c r="H156" s="34"/>
      <c r="I156" s="38"/>
      <c r="J156" s="38"/>
      <c r="K156" s="38"/>
      <c r="L156" s="6"/>
      <c r="M156" s="48"/>
      <c r="N156" s="45"/>
      <c r="O156" s="2"/>
      <c r="P156" s="38"/>
      <c r="Q156" s="36"/>
      <c r="R156" s="34"/>
      <c r="S156" s="34"/>
      <c r="T156" s="34"/>
      <c r="U156" s="33"/>
      <c r="V156" s="33"/>
      <c r="W156" s="33"/>
      <c r="X156" s="33"/>
      <c r="Y156" s="77"/>
    </row>
    <row r="157" spans="1:29" ht="16.149999999999999" customHeight="1" x14ac:dyDescent="0.15">
      <c r="A157" s="38"/>
      <c r="B157" s="18"/>
      <c r="C157" s="44"/>
      <c r="D157" s="43"/>
      <c r="E157" s="36"/>
      <c r="F157" s="19"/>
      <c r="G157" s="6"/>
      <c r="H157" s="34"/>
      <c r="I157" s="38"/>
      <c r="J157" s="38"/>
      <c r="K157" s="38"/>
      <c r="L157" s="6"/>
      <c r="M157" s="48"/>
      <c r="N157" s="45"/>
      <c r="O157" s="2"/>
      <c r="P157" s="38"/>
      <c r="Q157" s="36"/>
      <c r="R157" s="34"/>
      <c r="S157" s="34"/>
      <c r="T157" s="34"/>
      <c r="U157" s="33"/>
      <c r="V157" s="33"/>
      <c r="W157" s="33"/>
      <c r="X157" s="33"/>
      <c r="Y157" s="77"/>
    </row>
    <row r="158" spans="1:29" ht="16.149999999999999" customHeight="1" x14ac:dyDescent="0.15">
      <c r="A158" s="38"/>
      <c r="B158" s="18"/>
      <c r="C158" s="44"/>
      <c r="D158" s="43"/>
      <c r="E158" s="36"/>
      <c r="F158" s="19"/>
      <c r="G158" s="6"/>
      <c r="H158" s="34"/>
      <c r="I158" s="38"/>
      <c r="J158" s="38"/>
      <c r="K158" s="38"/>
      <c r="L158" s="6"/>
      <c r="M158" s="48"/>
      <c r="N158" s="45"/>
      <c r="O158" s="2"/>
      <c r="P158" s="38"/>
      <c r="Q158" s="36"/>
      <c r="R158" s="34"/>
      <c r="S158" s="34"/>
      <c r="T158" s="34"/>
      <c r="U158" s="33"/>
      <c r="V158" s="33"/>
      <c r="W158" s="33"/>
      <c r="X158" s="33"/>
      <c r="Y158" s="77"/>
    </row>
    <row r="159" spans="1:29" ht="16.149999999999999" customHeight="1" x14ac:dyDescent="0.15">
      <c r="A159" s="38"/>
      <c r="B159" s="18"/>
      <c r="C159" s="44"/>
      <c r="D159" s="43"/>
      <c r="E159" s="36"/>
      <c r="F159" s="19"/>
      <c r="G159" s="6"/>
      <c r="H159" s="34"/>
      <c r="I159" s="38"/>
      <c r="J159" s="38"/>
      <c r="K159" s="38"/>
      <c r="L159" s="6"/>
      <c r="M159" s="48"/>
      <c r="N159" s="45"/>
      <c r="O159" s="2"/>
      <c r="P159" s="38"/>
      <c r="Q159" s="36"/>
      <c r="R159" s="34"/>
      <c r="S159" s="34"/>
      <c r="T159" s="34"/>
      <c r="U159" s="33"/>
      <c r="V159" s="33"/>
      <c r="W159" s="33"/>
      <c r="X159" s="33"/>
      <c r="Y159" s="77"/>
    </row>
    <row r="160" spans="1:29" ht="16.149999999999999" customHeight="1" x14ac:dyDescent="0.15">
      <c r="A160" s="38"/>
      <c r="B160" s="18"/>
      <c r="C160" s="44"/>
      <c r="D160" s="43"/>
      <c r="E160" s="36"/>
      <c r="F160" s="19"/>
      <c r="G160" s="6"/>
      <c r="H160" s="34"/>
      <c r="I160" s="38"/>
      <c r="J160" s="38"/>
      <c r="K160" s="38"/>
      <c r="L160" s="6"/>
      <c r="M160" s="48"/>
      <c r="N160" s="45"/>
      <c r="O160" s="2"/>
      <c r="P160" s="38"/>
      <c r="Q160" s="36"/>
      <c r="R160" s="34"/>
      <c r="S160" s="34"/>
      <c r="T160" s="34"/>
      <c r="U160" s="33"/>
      <c r="V160" s="33"/>
      <c r="W160" s="33"/>
      <c r="X160" s="33"/>
      <c r="Y160" s="77"/>
    </row>
    <row r="161" spans="1:25" ht="16.149999999999999" customHeight="1" x14ac:dyDescent="0.15">
      <c r="A161" s="38"/>
      <c r="B161" s="18"/>
      <c r="C161" s="44"/>
      <c r="D161" s="43"/>
      <c r="E161" s="36"/>
      <c r="F161" s="19"/>
      <c r="G161" s="6"/>
      <c r="H161" s="34"/>
      <c r="I161" s="38"/>
      <c r="J161" s="38"/>
      <c r="K161" s="38"/>
      <c r="L161" s="6"/>
      <c r="M161" s="48"/>
      <c r="N161" s="45" t="str">
        <f>IFERROR(VLOOKUP(#REF!,Lookups!$D$4:$F$8,2,FALSE),"")</f>
        <v/>
      </c>
      <c r="O161" s="2" t="str">
        <f>IFERROR(VLOOKUP(#REF!,Lookups!$D$4:$F$8,3,FALSE),"")</f>
        <v/>
      </c>
      <c r="P161" s="38" t="str">
        <f>IFERROR(#REF!/#REF!,"")</f>
        <v/>
      </c>
      <c r="Q161" s="36" t="str">
        <f>IFERROR(#REF!/#REF!,"")</f>
        <v/>
      </c>
      <c r="R161" s="34"/>
      <c r="S161" s="34"/>
      <c r="T161" s="34"/>
      <c r="U161" s="33"/>
      <c r="V161" s="33" t="str">
        <f>IFERROR(VLOOKUP(#REF!,Lookups!$A$3:$B$12,2,FALSE) &amp; REPT("0",IF(#REF!&gt;0,$C$3-(ROUNDDOWN(LOG(#REF!),0)+1),$C$3-1))&amp;#REF! &amp; "_" &amp; SUBSTITUTE(SUBSTITUTE(SUBSTITUTE(SUBSTITUTE(#REF!," ","_"),"#",""),"-","_"),"/","_") &amp; IF(OR(#REF!="unitless",ISBLANK(#REF!)),"","_"&amp;SUBSTITUTE(SUBSTITUTE(#REF!,"%","pct"),"/","_per_")),"error")</f>
        <v>error</v>
      </c>
      <c r="W161" s="33"/>
      <c r="X161" s="33"/>
      <c r="Y161" s="77"/>
    </row>
    <row r="162" spans="1:25" ht="16.149999999999999" customHeight="1" x14ac:dyDescent="0.15">
      <c r="A162" s="38"/>
      <c r="B162" s="18"/>
      <c r="C162" s="44"/>
      <c r="D162" s="43"/>
      <c r="E162" s="36"/>
      <c r="F162" s="19"/>
      <c r="G162" s="6"/>
      <c r="H162" s="34"/>
      <c r="I162" s="38"/>
      <c r="J162" s="38"/>
      <c r="K162" s="38"/>
      <c r="L162" s="6"/>
      <c r="M162" s="48"/>
      <c r="N162" s="45" t="str">
        <f>IFERROR(VLOOKUP(#REF!,Lookups!$D$4:$F$8,2,FALSE),"")</f>
        <v/>
      </c>
      <c r="O162" s="2" t="str">
        <f>IFERROR(VLOOKUP(#REF!,Lookups!$D$4:$F$8,3,FALSE),"")</f>
        <v/>
      </c>
      <c r="P162" s="38" t="str">
        <f>IFERROR(#REF!/#REF!,"")</f>
        <v/>
      </c>
      <c r="Q162" s="36" t="str">
        <f>IFERROR(#REF!/#REF!,"")</f>
        <v/>
      </c>
      <c r="R162" s="34"/>
      <c r="S162" s="34"/>
      <c r="T162" s="34"/>
      <c r="U162" s="33"/>
      <c r="V162" s="33" t="str">
        <f>IFERROR(VLOOKUP(#REF!,Lookups!$A$3:$B$12,2,FALSE) &amp; REPT("0",IF(#REF!&gt;0,$C$3-(ROUNDDOWN(LOG(#REF!),0)+1),$C$3-1))&amp;#REF! &amp; "_" &amp; SUBSTITUTE(SUBSTITUTE(SUBSTITUTE(SUBSTITUTE(#REF!," ","_"),"#",""),"-","_"),"/","_") &amp; IF(OR(#REF!="unitless",ISBLANK(#REF!)),"","_"&amp;SUBSTITUTE(SUBSTITUTE(#REF!,"%","pct"),"/","_per_")),"error")</f>
        <v>error</v>
      </c>
      <c r="W162" s="33"/>
      <c r="X162" s="33"/>
      <c r="Y162" s="77"/>
    </row>
    <row r="163" spans="1:25" ht="16.149999999999999" customHeight="1" x14ac:dyDescent="0.15">
      <c r="A163" s="38"/>
      <c r="B163" s="18"/>
      <c r="C163" s="44"/>
      <c r="D163" s="43"/>
      <c r="E163" s="36"/>
      <c r="F163" s="19"/>
      <c r="G163" s="6"/>
      <c r="H163" s="34"/>
      <c r="I163" s="38"/>
      <c r="J163" s="38"/>
      <c r="K163" s="38"/>
      <c r="L163" s="6"/>
      <c r="M163" s="48"/>
      <c r="N163" s="45" t="str">
        <f>IFERROR(VLOOKUP(#REF!,Lookups!$D$4:$F$8,2,FALSE),"")</f>
        <v/>
      </c>
      <c r="O163" s="2" t="str">
        <f>IFERROR(VLOOKUP(#REF!,Lookups!$D$4:$F$8,3,FALSE),"")</f>
        <v/>
      </c>
      <c r="P163" s="38" t="str">
        <f>IFERROR(#REF!/#REF!,"")</f>
        <v/>
      </c>
      <c r="Q163" s="36" t="str">
        <f>IFERROR(#REF!/#REF!,"")</f>
        <v/>
      </c>
      <c r="R163" s="34"/>
      <c r="S163" s="34"/>
      <c r="T163" s="34"/>
      <c r="U163" s="33"/>
      <c r="V163" s="33" t="str">
        <f>IFERROR(VLOOKUP(#REF!,Lookups!$A$3:$B$12,2,FALSE) &amp; REPT("0",IF(#REF!&gt;0,$C$3-(ROUNDDOWN(LOG(#REF!),0)+1),$C$3-1))&amp;#REF! &amp; "_" &amp; SUBSTITUTE(SUBSTITUTE(SUBSTITUTE(SUBSTITUTE(#REF!," ","_"),"#",""),"-","_"),"/","_") &amp; IF(OR(#REF!="unitless",ISBLANK(#REF!)),"","_"&amp;SUBSTITUTE(SUBSTITUTE(#REF!,"%","pct"),"/","_per_")),"error")</f>
        <v>error</v>
      </c>
      <c r="W163" s="33"/>
      <c r="X163" s="33"/>
      <c r="Y163" s="77"/>
    </row>
    <row r="164" spans="1:25" ht="16.149999999999999" customHeight="1" x14ac:dyDescent="0.15">
      <c r="A164" s="38"/>
      <c r="B164" s="18"/>
      <c r="C164" s="44"/>
      <c r="D164" s="43"/>
      <c r="E164" s="36"/>
      <c r="F164" s="19"/>
      <c r="G164" s="6"/>
      <c r="H164" s="34"/>
      <c r="I164" s="38"/>
      <c r="J164" s="38"/>
      <c r="K164" s="38"/>
      <c r="L164" s="6"/>
      <c r="M164" s="48"/>
      <c r="N164" s="45" t="str">
        <f>IFERROR(VLOOKUP(#REF!,Lookups!$D$4:$F$8,2,FALSE),"")</f>
        <v/>
      </c>
      <c r="O164" s="2" t="str">
        <f>IFERROR(VLOOKUP(#REF!,Lookups!$D$4:$F$8,3,FALSE),"")</f>
        <v/>
      </c>
      <c r="P164" s="38" t="str">
        <f>IFERROR(#REF!/#REF!,"")</f>
        <v/>
      </c>
      <c r="Q164" s="36" t="str">
        <f>IFERROR(#REF!/#REF!,"")</f>
        <v/>
      </c>
      <c r="R164" s="34"/>
      <c r="S164" s="34"/>
      <c r="T164" s="34"/>
      <c r="U164" s="33"/>
      <c r="V164" s="33" t="str">
        <f>IFERROR(VLOOKUP(#REF!,Lookups!$A$3:$B$12,2,FALSE) &amp; REPT("0",IF(#REF!&gt;0,$C$3-(ROUNDDOWN(LOG(#REF!),0)+1),$C$3-1))&amp;#REF! &amp; "_" &amp; SUBSTITUTE(SUBSTITUTE(SUBSTITUTE(SUBSTITUTE(#REF!," ","_"),"#",""),"-","_"),"/","_") &amp; IF(OR(#REF!="unitless",ISBLANK(#REF!)),"","_"&amp;SUBSTITUTE(SUBSTITUTE(#REF!,"%","pct"),"/","_per_")),"error")</f>
        <v>error</v>
      </c>
      <c r="W164" s="33"/>
      <c r="X164" s="33"/>
      <c r="Y164" s="77"/>
    </row>
    <row r="165" spans="1:25" ht="16.149999999999999" customHeight="1" x14ac:dyDescent="0.15">
      <c r="A165" s="38"/>
      <c r="B165" s="23"/>
      <c r="C165" s="44"/>
      <c r="D165" s="43"/>
      <c r="E165" s="36"/>
      <c r="F165" s="24"/>
      <c r="G165" s="6"/>
      <c r="H165" s="34"/>
      <c r="I165" s="38"/>
      <c r="J165" s="38"/>
      <c r="K165" s="38"/>
      <c r="L165" s="6"/>
      <c r="M165" s="49"/>
      <c r="N165" s="45" t="str">
        <f>IFERROR(VLOOKUP(#REF!,Lookups!$D$4:$F$8,2,FALSE),"")</f>
        <v/>
      </c>
      <c r="O165" s="2" t="str">
        <f>IFERROR(VLOOKUP(#REF!,Lookups!$D$4:$F$8,3,FALSE),"")</f>
        <v/>
      </c>
      <c r="P165" s="38" t="str">
        <f>IFERROR(#REF!/#REF!,"")</f>
        <v/>
      </c>
      <c r="Q165" s="36" t="str">
        <f>IFERROR(#REF!/#REF!,"")</f>
        <v/>
      </c>
      <c r="R165" s="34"/>
      <c r="S165" s="34"/>
      <c r="T165" s="34"/>
      <c r="U165" s="35"/>
      <c r="V165" s="35" t="str">
        <f>IFERROR(VLOOKUP(#REF!,Lookups!$A$3:$B$12,2,FALSE) &amp; REPT("0",IF(#REF!&gt;0,$C$3-(ROUNDDOWN(LOG(#REF!),0)+1),$C$3-1))&amp;#REF! &amp; "_" &amp; SUBSTITUTE(SUBSTITUTE(SUBSTITUTE(SUBSTITUTE(#REF!," ","_"),"#",""),"-","_"),"/","_") &amp; IF(OR(#REF!="unitless",ISBLANK(#REF!)),"","_"&amp;SUBSTITUTE(SUBSTITUTE(#REF!,"%","pct"),"/","_per_")),"error")</f>
        <v>error</v>
      </c>
      <c r="W165" s="35"/>
      <c r="X165" s="35"/>
      <c r="Y165" s="77"/>
    </row>
  </sheetData>
  <phoneticPr fontId="26" type="noConversion"/>
  <dataValidations count="1">
    <dataValidation type="custom" allowBlank="1" showErrorMessage="1" errorTitle="Invalid IEC 61131-3 Variable Nam" error="Please enter only alphanumeric and underscore characters." sqref="L3:L5" xr:uid="{AF562A46-1DF0-40D8-AC1F-A1FCC97418CE}">
      <formula1>ISNUMBER(SUMPRODUCT(SEARCH(MID(L3,ROW(INDIRECT("1:"&amp;LEN(L3))),1),"0123456789abcdefghijklmnopqrstuvwxyzABCDEFGHIJKLMNOPQRSTUVWXYZ-_")))</formula1>
    </dataValidation>
  </dataValidations>
  <pageMargins left="0.25" right="0.25" top="0.75" bottom="0.75" header="0.3" footer="0.3"/>
  <pageSetup paperSize="3" scale="24" fitToHeight="0" orientation="portrait" r:id="rId1"/>
  <legacy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A055-3A6D-4F51-9D16-B0F4F51A4B49}">
  <sheetPr codeName="Sheet14">
    <tabColor rgb="FF00B0F0"/>
  </sheetPr>
  <dimension ref="A1:AF143"/>
  <sheetViews>
    <sheetView workbookViewId="0">
      <selection activeCell="C136" sqref="C136"/>
    </sheetView>
  </sheetViews>
  <sheetFormatPr defaultRowHeight="10.5" x14ac:dyDescent="0.15"/>
  <cols>
    <col min="1" max="1" width="29.1640625" bestFit="1" customWidth="1"/>
    <col min="2" max="2" width="14.1640625" customWidth="1"/>
    <col min="3" max="3" width="16.6640625" customWidth="1"/>
    <col min="4" max="4" width="34.1640625" bestFit="1" customWidth="1"/>
    <col min="5" max="5" width="19.83203125" bestFit="1" customWidth="1"/>
    <col min="9" max="9" width="15" customWidth="1"/>
    <col min="10" max="10" width="15.1640625" customWidth="1"/>
    <col min="11" max="11" width="15.33203125" customWidth="1"/>
    <col min="12" max="12" width="11.1640625" bestFit="1" customWidth="1"/>
    <col min="13" max="13" width="9.5" customWidth="1"/>
    <col min="14" max="14" width="11.6640625" hidden="1" customWidth="1"/>
    <col min="15" max="15" width="11" hidden="1" customWidth="1"/>
    <col min="16" max="16" width="12.6640625" hidden="1" customWidth="1"/>
    <col min="17" max="17" width="12" hidden="1" customWidth="1"/>
    <col min="19" max="19" width="15.83203125" customWidth="1"/>
    <col min="20" max="20" width="18.6640625" customWidth="1"/>
    <col min="21" max="21" width="16.6640625" customWidth="1"/>
    <col min="22" max="22" width="37.33203125" hidden="1" customWidth="1"/>
    <col min="23" max="23" width="21.33203125" customWidth="1"/>
    <col min="24" max="24" width="13.83203125" customWidth="1"/>
  </cols>
  <sheetData>
    <row r="1" spans="1:32" ht="22.5" x14ac:dyDescent="0.15">
      <c r="A1" s="25" t="s">
        <v>0</v>
      </c>
      <c r="B1" s="25"/>
      <c r="C1" s="25"/>
      <c r="D1" s="2"/>
      <c r="E1" s="2"/>
      <c r="F1" s="2"/>
      <c r="G1" s="143" t="s">
        <v>19</v>
      </c>
      <c r="H1" s="143"/>
      <c r="I1" s="79"/>
      <c r="J1" s="25" t="s">
        <v>7043</v>
      </c>
      <c r="K1" s="25"/>
      <c r="L1" s="25"/>
      <c r="M1" s="79"/>
      <c r="N1" s="79"/>
      <c r="O1" s="79"/>
      <c r="P1" s="79"/>
      <c r="Q1" s="79"/>
      <c r="R1" s="79"/>
      <c r="S1" s="79"/>
      <c r="T1" s="79"/>
      <c r="U1" s="79"/>
      <c r="V1" s="4"/>
      <c r="W1" s="79"/>
      <c r="X1" s="79"/>
      <c r="Y1" s="79"/>
      <c r="Z1" s="79"/>
      <c r="AA1" s="79"/>
      <c r="AB1" s="79"/>
      <c r="AC1" s="79"/>
      <c r="AD1" s="79"/>
      <c r="AE1" s="79"/>
      <c r="AF1" s="79"/>
    </row>
    <row r="2" spans="1:32" x14ac:dyDescent="0.15">
      <c r="A2" s="10" t="s">
        <v>21</v>
      </c>
      <c r="B2" s="10"/>
      <c r="C2" s="11">
        <v>45075</v>
      </c>
      <c r="D2" s="10" t="s">
        <v>22</v>
      </c>
      <c r="E2" s="79" t="s">
        <v>7044</v>
      </c>
      <c r="F2" s="79"/>
      <c r="G2" s="79"/>
      <c r="H2" s="79"/>
      <c r="I2" s="79"/>
      <c r="J2" s="79" t="s">
        <v>24</v>
      </c>
      <c r="K2" s="79"/>
      <c r="L2" s="79"/>
      <c r="M2" s="79"/>
      <c r="N2" s="79"/>
      <c r="O2" s="79"/>
      <c r="P2" s="79"/>
      <c r="Q2" s="79"/>
      <c r="R2" s="79"/>
      <c r="S2" s="79"/>
      <c r="T2" s="79"/>
      <c r="U2" s="79"/>
      <c r="V2" s="4"/>
      <c r="W2" s="79"/>
      <c r="X2" s="79"/>
      <c r="Y2" s="79"/>
      <c r="Z2" s="79"/>
      <c r="AA2" s="79"/>
      <c r="AB2" s="79"/>
      <c r="AC2" s="79"/>
      <c r="AD2" s="79"/>
      <c r="AE2" s="79"/>
      <c r="AF2" s="79"/>
    </row>
    <row r="3" spans="1:32" x14ac:dyDescent="0.15">
      <c r="A3" s="80" t="s">
        <v>25</v>
      </c>
      <c r="B3" s="80"/>
      <c r="C3" s="79">
        <v>5</v>
      </c>
      <c r="D3" s="80" t="s">
        <v>26</v>
      </c>
      <c r="E3" s="79" t="s">
        <v>7045</v>
      </c>
      <c r="F3" s="79"/>
      <c r="G3" s="79"/>
      <c r="H3" s="79"/>
      <c r="I3" s="79"/>
      <c r="J3" s="80" t="s">
        <v>9001</v>
      </c>
      <c r="K3" s="79"/>
      <c r="L3" s="81"/>
      <c r="M3" s="82"/>
      <c r="N3" s="79"/>
      <c r="O3" s="79"/>
      <c r="P3" s="79"/>
      <c r="Q3" s="79"/>
      <c r="R3" s="79"/>
      <c r="S3" s="79"/>
      <c r="T3" s="79"/>
      <c r="U3" s="79"/>
      <c r="V3" s="4"/>
      <c r="W3" s="79"/>
      <c r="X3" s="83"/>
      <c r="Y3" s="79"/>
      <c r="Z3" s="79"/>
      <c r="AA3" s="79"/>
      <c r="AB3" s="79"/>
      <c r="AC3" s="79"/>
      <c r="AD3" s="79"/>
      <c r="AE3" s="79"/>
      <c r="AF3" s="79"/>
    </row>
    <row r="4" spans="1:32" x14ac:dyDescent="0.15">
      <c r="A4" s="80" t="s">
        <v>28</v>
      </c>
      <c r="B4" s="80"/>
      <c r="C4" s="79">
        <v>1</v>
      </c>
      <c r="D4" s="10" t="s">
        <v>8914</v>
      </c>
      <c r="E4">
        <v>50</v>
      </c>
      <c r="F4" s="79"/>
      <c r="G4" s="79"/>
      <c r="H4" s="79"/>
      <c r="I4" s="79"/>
      <c r="J4" s="47" t="s">
        <v>9000</v>
      </c>
      <c r="K4" s="80"/>
      <c r="L4" s="80"/>
      <c r="M4" s="80"/>
      <c r="N4" s="80"/>
      <c r="O4" s="80"/>
      <c r="P4" s="80"/>
      <c r="Q4" s="80"/>
      <c r="R4" s="79"/>
      <c r="S4" s="79"/>
      <c r="T4" s="79"/>
      <c r="U4" s="79"/>
      <c r="V4" s="4"/>
      <c r="W4" s="79"/>
      <c r="X4" s="79"/>
      <c r="Y4" s="79"/>
      <c r="Z4" s="79"/>
      <c r="AA4" s="79"/>
      <c r="AB4" s="79"/>
      <c r="AC4" s="79"/>
      <c r="AD4" s="79"/>
      <c r="AE4" s="79"/>
      <c r="AF4" s="79"/>
    </row>
    <row r="5" spans="1:32" x14ac:dyDescent="0.15">
      <c r="A5" s="80" t="s">
        <v>30</v>
      </c>
      <c r="B5" s="80"/>
      <c r="C5" s="79">
        <v>6</v>
      </c>
      <c r="D5" s="80"/>
      <c r="E5" s="79"/>
      <c r="F5" s="79"/>
      <c r="G5" s="79"/>
      <c r="H5" s="79"/>
      <c r="I5" s="79"/>
      <c r="J5" s="80" t="s">
        <v>7046</v>
      </c>
      <c r="K5" s="80"/>
      <c r="L5" s="80"/>
      <c r="M5" s="80"/>
      <c r="N5" s="80"/>
      <c r="O5" s="80"/>
      <c r="P5" s="80"/>
      <c r="Q5" s="80"/>
      <c r="R5" s="80"/>
      <c r="S5" s="79"/>
      <c r="T5" s="79"/>
      <c r="U5" s="79"/>
      <c r="V5" s="4"/>
      <c r="W5" s="79"/>
      <c r="X5" s="79"/>
      <c r="Y5" s="79"/>
      <c r="Z5" s="79"/>
      <c r="AA5" s="79"/>
      <c r="AB5" s="79"/>
      <c r="AC5" s="79"/>
      <c r="AD5" s="79"/>
      <c r="AE5" s="79"/>
      <c r="AF5" s="79"/>
    </row>
    <row r="6" spans="1:32" x14ac:dyDescent="0.15">
      <c r="A6" s="80"/>
      <c r="B6" s="79"/>
      <c r="C6" s="79"/>
      <c r="D6" s="80"/>
      <c r="E6" s="79"/>
      <c r="F6" s="79"/>
      <c r="G6" s="79"/>
      <c r="H6" s="79"/>
      <c r="I6" s="79"/>
      <c r="J6" s="80" t="s">
        <v>7047</v>
      </c>
      <c r="K6" s="79"/>
      <c r="L6" s="79"/>
      <c r="M6" s="2"/>
      <c r="N6" s="79"/>
      <c r="O6" s="79"/>
      <c r="P6" s="79"/>
      <c r="Q6" s="79"/>
      <c r="R6" s="79"/>
      <c r="S6" s="79"/>
      <c r="T6" s="79"/>
      <c r="U6" s="79"/>
      <c r="V6" s="4"/>
      <c r="W6" s="79"/>
      <c r="X6" s="79"/>
      <c r="Y6" s="79"/>
      <c r="Z6" s="79"/>
      <c r="AA6" s="79"/>
      <c r="AB6" s="79"/>
      <c r="AC6" s="79"/>
      <c r="AD6" s="79"/>
      <c r="AE6" s="79"/>
      <c r="AF6" s="79"/>
    </row>
    <row r="7" spans="1:32" ht="55.5" x14ac:dyDescent="0.15">
      <c r="A7" s="138" t="s">
        <v>31</v>
      </c>
      <c r="B7" s="139" t="s">
        <v>32</v>
      </c>
      <c r="C7" s="139" t="s">
        <v>33</v>
      </c>
      <c r="D7" s="139" t="s">
        <v>34</v>
      </c>
      <c r="E7" s="139" t="s">
        <v>35</v>
      </c>
      <c r="F7" s="140" t="s">
        <v>36</v>
      </c>
      <c r="G7" s="140" t="s">
        <v>37</v>
      </c>
      <c r="H7" s="141" t="s">
        <v>38</v>
      </c>
      <c r="I7" s="139" t="s">
        <v>40</v>
      </c>
      <c r="J7" s="139" t="s">
        <v>41</v>
      </c>
      <c r="K7" s="139" t="s">
        <v>42</v>
      </c>
      <c r="L7" s="139" t="s">
        <v>43</v>
      </c>
      <c r="M7" s="139" t="s">
        <v>44</v>
      </c>
      <c r="N7" s="139" t="s">
        <v>45</v>
      </c>
      <c r="O7" s="139" t="s">
        <v>46</v>
      </c>
      <c r="P7" s="139" t="s">
        <v>47</v>
      </c>
      <c r="Q7" s="139" t="s">
        <v>48</v>
      </c>
      <c r="R7" s="141" t="s">
        <v>49</v>
      </c>
      <c r="S7" s="139" t="s">
        <v>50</v>
      </c>
      <c r="T7" s="139" t="s">
        <v>51</v>
      </c>
      <c r="U7" s="139" t="s">
        <v>52</v>
      </c>
      <c r="V7" s="141" t="s">
        <v>53</v>
      </c>
      <c r="W7" s="139" t="s">
        <v>54</v>
      </c>
      <c r="X7" s="139" t="s">
        <v>55</v>
      </c>
      <c r="Y7" s="79"/>
      <c r="Z7" s="79"/>
      <c r="AA7" s="79"/>
      <c r="AB7" s="79"/>
      <c r="AC7" s="79"/>
      <c r="AD7" s="79"/>
      <c r="AE7" s="79"/>
      <c r="AF7" s="79"/>
    </row>
    <row r="8" spans="1:32" ht="15.75" customHeight="1" x14ac:dyDescent="0.15">
      <c r="A8" s="88">
        <v>1</v>
      </c>
      <c r="B8" s="88" t="s">
        <v>75</v>
      </c>
      <c r="C8" s="88" t="s">
        <v>2634</v>
      </c>
      <c r="D8" s="89" t="s">
        <v>8999</v>
      </c>
      <c r="E8" s="88" t="s">
        <v>107</v>
      </c>
      <c r="F8" s="88">
        <v>49999</v>
      </c>
      <c r="G8" s="88"/>
      <c r="H8" s="88">
        <v>450000</v>
      </c>
      <c r="I8" s="88"/>
      <c r="J8" s="88"/>
      <c r="K8" s="88"/>
      <c r="L8" s="88" t="s">
        <v>61</v>
      </c>
      <c r="M8" s="88">
        <v>1</v>
      </c>
      <c r="N8" s="88">
        <v>-2147483648</v>
      </c>
      <c r="O8" s="88">
        <v>2147483647</v>
      </c>
      <c r="P8" s="88">
        <v>-2147483648</v>
      </c>
      <c r="Q8" s="88">
        <v>2147483647</v>
      </c>
      <c r="R8" s="88"/>
      <c r="S8" s="88"/>
      <c r="T8" s="88" t="s">
        <v>3852</v>
      </c>
      <c r="U8" s="88" t="s">
        <v>3853</v>
      </c>
      <c r="V8" s="96"/>
      <c r="W8" s="88"/>
      <c r="X8" s="88"/>
      <c r="Y8" s="79"/>
      <c r="Z8" s="79"/>
      <c r="AA8" s="79"/>
      <c r="AB8" s="79"/>
      <c r="AC8" s="79"/>
      <c r="AD8" s="79"/>
      <c r="AE8" s="79"/>
      <c r="AF8" s="79"/>
    </row>
    <row r="9" spans="1:32" ht="15.75" customHeight="1" x14ac:dyDescent="0.15">
      <c r="A9" s="8">
        <v>2</v>
      </c>
      <c r="B9" s="8" t="s">
        <v>75</v>
      </c>
      <c r="C9" s="8" t="s">
        <v>2634</v>
      </c>
      <c r="D9" s="81" t="s">
        <v>8998</v>
      </c>
      <c r="E9" s="8" t="s">
        <v>69</v>
      </c>
      <c r="F9" s="8">
        <v>50001</v>
      </c>
      <c r="G9" s="8"/>
      <c r="H9" s="8">
        <v>450002</v>
      </c>
      <c r="I9" s="8"/>
      <c r="J9" s="8"/>
      <c r="K9" s="8"/>
      <c r="L9" s="8" t="s">
        <v>7048</v>
      </c>
      <c r="M9" s="8">
        <v>16</v>
      </c>
      <c r="N9" s="8"/>
      <c r="O9" s="8"/>
      <c r="P9" s="8"/>
      <c r="Q9" s="8"/>
      <c r="R9" s="8"/>
      <c r="S9" s="8"/>
      <c r="T9" s="8" t="s">
        <v>3852</v>
      </c>
      <c r="U9" s="8" t="s">
        <v>3853</v>
      </c>
      <c r="V9" s="97"/>
      <c r="W9" s="8"/>
      <c r="X9" s="8"/>
      <c r="Y9" s="79"/>
      <c r="Z9" s="79"/>
      <c r="AA9" s="79"/>
      <c r="AB9" s="79"/>
      <c r="AC9" s="79"/>
      <c r="AD9" s="79"/>
      <c r="AE9" s="79"/>
      <c r="AF9" s="79"/>
    </row>
    <row r="10" spans="1:32" ht="15.75" customHeight="1" x14ac:dyDescent="0.15">
      <c r="A10" s="88">
        <v>3</v>
      </c>
      <c r="B10" s="88" t="s">
        <v>75</v>
      </c>
      <c r="C10" s="88" t="s">
        <v>2634</v>
      </c>
      <c r="D10" s="89" t="s">
        <v>8997</v>
      </c>
      <c r="E10" s="88" t="s">
        <v>143</v>
      </c>
      <c r="F10" s="88">
        <v>50009</v>
      </c>
      <c r="G10" s="88"/>
      <c r="H10" s="88">
        <v>450010</v>
      </c>
      <c r="I10" s="88"/>
      <c r="J10" s="88"/>
      <c r="K10" s="88"/>
      <c r="L10" s="88" t="s">
        <v>104</v>
      </c>
      <c r="M10" s="88">
        <v>1</v>
      </c>
      <c r="N10" s="88">
        <v>-32768</v>
      </c>
      <c r="O10" s="88">
        <v>32767</v>
      </c>
      <c r="P10" s="88">
        <v>-32768</v>
      </c>
      <c r="Q10" s="88">
        <v>32767</v>
      </c>
      <c r="R10" s="88"/>
      <c r="S10" s="88"/>
      <c r="T10" s="88" t="s">
        <v>3852</v>
      </c>
      <c r="U10" s="88" t="s">
        <v>3853</v>
      </c>
      <c r="V10" s="96"/>
      <c r="W10" s="88"/>
      <c r="X10" s="88"/>
      <c r="Y10" s="79"/>
      <c r="Z10" s="79"/>
      <c r="AA10" s="79"/>
      <c r="AB10" s="79"/>
      <c r="AC10" s="79"/>
      <c r="AD10" s="79"/>
      <c r="AE10" s="79"/>
      <c r="AF10" s="79"/>
    </row>
    <row r="11" spans="1:32" ht="15.75" customHeight="1" x14ac:dyDescent="0.15">
      <c r="A11" s="8">
        <v>4</v>
      </c>
      <c r="B11" s="8" t="s">
        <v>75</v>
      </c>
      <c r="C11" s="8" t="s">
        <v>2634</v>
      </c>
      <c r="D11" s="81" t="s">
        <v>8996</v>
      </c>
      <c r="E11" s="8" t="s">
        <v>7049</v>
      </c>
      <c r="F11" s="8">
        <v>50010</v>
      </c>
      <c r="G11" s="8"/>
      <c r="H11" s="8">
        <v>450011</v>
      </c>
      <c r="I11" s="8"/>
      <c r="J11" s="8"/>
      <c r="K11" s="8"/>
      <c r="L11" s="8" t="s">
        <v>6111</v>
      </c>
      <c r="M11" s="8">
        <v>1000000</v>
      </c>
      <c r="N11" s="8"/>
      <c r="O11" s="8"/>
      <c r="P11" s="8"/>
      <c r="Q11" s="8"/>
      <c r="R11" s="8"/>
      <c r="S11" s="8"/>
      <c r="T11" s="8" t="s">
        <v>3852</v>
      </c>
      <c r="U11" s="8" t="s">
        <v>3853</v>
      </c>
      <c r="V11" s="97"/>
      <c r="W11" s="8"/>
      <c r="X11" s="8"/>
      <c r="Y11" s="79"/>
      <c r="Z11" s="79"/>
      <c r="AA11" s="79"/>
      <c r="AB11" s="79"/>
      <c r="AC11" s="79"/>
      <c r="AD11" s="79"/>
      <c r="AE11" s="79"/>
      <c r="AF11" s="79"/>
    </row>
    <row r="12" spans="1:32" ht="15.75" customHeight="1" x14ac:dyDescent="0.15">
      <c r="A12" s="88">
        <v>5</v>
      </c>
      <c r="B12" s="88" t="s">
        <v>75</v>
      </c>
      <c r="C12" s="88" t="s">
        <v>2634</v>
      </c>
      <c r="D12" s="89" t="s">
        <v>8995</v>
      </c>
      <c r="E12" s="88" t="s">
        <v>7049</v>
      </c>
      <c r="F12" s="88">
        <v>50014</v>
      </c>
      <c r="G12" s="88"/>
      <c r="H12" s="88">
        <v>450015</v>
      </c>
      <c r="I12" s="88"/>
      <c r="J12" s="88"/>
      <c r="K12" s="88"/>
      <c r="L12" s="88" t="s">
        <v>6111</v>
      </c>
      <c r="M12" s="88">
        <v>1000000</v>
      </c>
      <c r="N12" s="88"/>
      <c r="O12" s="88"/>
      <c r="P12" s="88"/>
      <c r="Q12" s="88"/>
      <c r="R12" s="88"/>
      <c r="S12" s="88"/>
      <c r="T12" s="88" t="s">
        <v>3852</v>
      </c>
      <c r="U12" s="88" t="s">
        <v>3853</v>
      </c>
      <c r="V12" s="96"/>
      <c r="W12" s="88"/>
      <c r="X12" s="88"/>
      <c r="Y12" s="79"/>
      <c r="Z12" s="79"/>
      <c r="AA12" s="79"/>
      <c r="AB12" s="79"/>
      <c r="AC12" s="79"/>
      <c r="AD12" s="79"/>
      <c r="AE12" s="79"/>
      <c r="AF12" s="79"/>
    </row>
    <row r="13" spans="1:32" ht="15.75" customHeight="1" x14ac:dyDescent="0.15">
      <c r="A13" s="8">
        <v>6</v>
      </c>
      <c r="B13" s="8" t="s">
        <v>75</v>
      </c>
      <c r="C13" s="8" t="s">
        <v>2634</v>
      </c>
      <c r="D13" s="81" t="s">
        <v>8994</v>
      </c>
      <c r="E13" s="8" t="s">
        <v>107</v>
      </c>
      <c r="F13" s="8">
        <v>50018</v>
      </c>
      <c r="G13" s="8"/>
      <c r="H13" s="8">
        <v>450019</v>
      </c>
      <c r="I13" s="8"/>
      <c r="J13" s="8"/>
      <c r="K13" s="8"/>
      <c r="L13" s="8" t="s">
        <v>7050</v>
      </c>
      <c r="M13" s="8">
        <v>1</v>
      </c>
      <c r="N13" s="8">
        <v>-2147483648</v>
      </c>
      <c r="O13" s="8">
        <v>2147483647</v>
      </c>
      <c r="P13" s="8">
        <v>-2147483648</v>
      </c>
      <c r="Q13" s="8">
        <v>2147483647</v>
      </c>
      <c r="R13" s="8"/>
      <c r="S13" s="8"/>
      <c r="T13" s="8" t="s">
        <v>3852</v>
      </c>
      <c r="U13" s="8" t="s">
        <v>3853</v>
      </c>
      <c r="V13" s="97"/>
      <c r="W13" s="8"/>
      <c r="X13" s="8"/>
      <c r="Y13" s="79"/>
      <c r="Z13" s="79"/>
      <c r="AA13" s="79"/>
      <c r="AB13" s="79"/>
      <c r="AC13" s="79"/>
      <c r="AD13" s="79"/>
      <c r="AE13" s="79"/>
      <c r="AF13" s="79"/>
    </row>
    <row r="14" spans="1:32" ht="15.75" customHeight="1" x14ac:dyDescent="0.15">
      <c r="A14" s="88">
        <v>7</v>
      </c>
      <c r="B14" s="88" t="s">
        <v>75</v>
      </c>
      <c r="C14" s="88" t="s">
        <v>2634</v>
      </c>
      <c r="D14" s="89" t="s">
        <v>8993</v>
      </c>
      <c r="E14" s="88" t="s">
        <v>107</v>
      </c>
      <c r="F14" s="88">
        <v>50019</v>
      </c>
      <c r="G14" s="88"/>
      <c r="H14" s="88">
        <v>450020</v>
      </c>
      <c r="I14" s="88"/>
      <c r="J14" s="88"/>
      <c r="K14" s="88"/>
      <c r="L14" s="88" t="s">
        <v>61</v>
      </c>
      <c r="M14" s="88">
        <v>1</v>
      </c>
      <c r="N14" s="88">
        <v>-2147483648</v>
      </c>
      <c r="O14" s="88">
        <v>2147483647</v>
      </c>
      <c r="P14" s="88">
        <v>-2147483648</v>
      </c>
      <c r="Q14" s="88">
        <v>2147483647</v>
      </c>
      <c r="R14" s="88"/>
      <c r="S14" s="88"/>
      <c r="T14" s="88" t="s">
        <v>3852</v>
      </c>
      <c r="U14" s="88" t="s">
        <v>3853</v>
      </c>
      <c r="V14" s="96"/>
      <c r="W14" s="88"/>
      <c r="X14" s="88"/>
      <c r="Y14" s="79"/>
      <c r="Z14" s="79"/>
      <c r="AA14" s="79"/>
      <c r="AB14" s="79"/>
      <c r="AC14" s="79"/>
      <c r="AD14" s="79"/>
      <c r="AE14" s="79"/>
      <c r="AF14" s="79"/>
    </row>
    <row r="15" spans="1:32" ht="15.75" customHeight="1" x14ac:dyDescent="0.15">
      <c r="A15" s="8">
        <v>8</v>
      </c>
      <c r="B15" s="8" t="s">
        <v>75</v>
      </c>
      <c r="C15" s="8" t="s">
        <v>2634</v>
      </c>
      <c r="D15" s="81" t="s">
        <v>8992</v>
      </c>
      <c r="E15" s="8" t="s">
        <v>59</v>
      </c>
      <c r="F15" s="8">
        <v>50020</v>
      </c>
      <c r="G15" s="8"/>
      <c r="H15" s="8">
        <v>450021</v>
      </c>
      <c r="I15" s="8"/>
      <c r="J15" s="8"/>
      <c r="K15" s="8"/>
      <c r="L15" s="8" t="s">
        <v>61</v>
      </c>
      <c r="M15" s="8">
        <v>1</v>
      </c>
      <c r="N15" s="8">
        <v>0</v>
      </c>
      <c r="O15" s="8">
        <v>4294967295</v>
      </c>
      <c r="P15" s="8">
        <v>0</v>
      </c>
      <c r="Q15" s="8">
        <v>4294967295</v>
      </c>
      <c r="R15" s="8"/>
      <c r="S15" s="8"/>
      <c r="T15" s="8" t="s">
        <v>3852</v>
      </c>
      <c r="U15" s="8" t="s">
        <v>3853</v>
      </c>
      <c r="V15" s="97"/>
      <c r="W15" s="8"/>
      <c r="X15" s="8"/>
      <c r="Y15" s="79"/>
      <c r="Z15" s="79"/>
      <c r="AA15" s="79"/>
      <c r="AB15" s="79"/>
      <c r="AC15" s="79"/>
      <c r="AD15" s="79"/>
      <c r="AE15" s="79"/>
      <c r="AF15" s="79"/>
    </row>
    <row r="16" spans="1:32" ht="15.75" customHeight="1" x14ac:dyDescent="0.15">
      <c r="A16" s="88">
        <v>9</v>
      </c>
      <c r="B16" s="88" t="s">
        <v>75</v>
      </c>
      <c r="C16" s="88" t="s">
        <v>2634</v>
      </c>
      <c r="D16" s="89" t="s">
        <v>8991</v>
      </c>
      <c r="E16" s="88" t="s">
        <v>107</v>
      </c>
      <c r="F16" s="88">
        <v>50022</v>
      </c>
      <c r="G16" s="88"/>
      <c r="H16" s="88">
        <v>450023</v>
      </c>
      <c r="I16" s="88"/>
      <c r="J16" s="88"/>
      <c r="K16" s="88"/>
      <c r="L16" s="88" t="s">
        <v>582</v>
      </c>
      <c r="M16" s="88">
        <v>1</v>
      </c>
      <c r="N16" s="88">
        <v>-2147483648</v>
      </c>
      <c r="O16" s="88">
        <v>2147483647</v>
      </c>
      <c r="P16" s="88">
        <v>-2147483648</v>
      </c>
      <c r="Q16" s="88">
        <v>2147483647</v>
      </c>
      <c r="R16" s="88"/>
      <c r="S16" s="88"/>
      <c r="T16" s="88" t="s">
        <v>3852</v>
      </c>
      <c r="U16" s="88" t="s">
        <v>3853</v>
      </c>
      <c r="V16" s="96"/>
      <c r="W16" s="88"/>
      <c r="X16" s="88"/>
      <c r="Y16" s="79"/>
      <c r="Z16" s="79"/>
      <c r="AA16" s="79"/>
      <c r="AB16" s="79"/>
      <c r="AC16" s="79"/>
      <c r="AD16" s="79"/>
      <c r="AE16" s="79"/>
      <c r="AF16" s="79"/>
    </row>
    <row r="17" spans="1:32" ht="15.75" customHeight="1" x14ac:dyDescent="0.15">
      <c r="A17" s="8">
        <v>10</v>
      </c>
      <c r="B17" s="8" t="s">
        <v>75</v>
      </c>
      <c r="C17" s="8" t="s">
        <v>2634</v>
      </c>
      <c r="D17" s="81" t="s">
        <v>8990</v>
      </c>
      <c r="E17" s="8" t="s">
        <v>107</v>
      </c>
      <c r="F17" s="8">
        <v>50023</v>
      </c>
      <c r="G17" s="8"/>
      <c r="H17" s="8">
        <v>450024</v>
      </c>
      <c r="I17" s="8"/>
      <c r="J17" s="8"/>
      <c r="K17" s="8"/>
      <c r="L17" s="8" t="s">
        <v>100</v>
      </c>
      <c r="M17" s="8">
        <v>1</v>
      </c>
      <c r="N17" s="8">
        <v>-2147483648</v>
      </c>
      <c r="O17" s="8">
        <v>2147483647</v>
      </c>
      <c r="P17" s="8">
        <v>-2147483648</v>
      </c>
      <c r="Q17" s="8">
        <v>2147483647</v>
      </c>
      <c r="R17" s="8"/>
      <c r="S17" s="8"/>
      <c r="T17" s="8" t="s">
        <v>3852</v>
      </c>
      <c r="U17" s="8" t="s">
        <v>3853</v>
      </c>
      <c r="V17" s="97"/>
      <c r="W17" s="8"/>
      <c r="X17" s="8"/>
      <c r="Y17" s="79"/>
      <c r="Z17" s="79"/>
      <c r="AA17" s="79"/>
      <c r="AB17" s="79"/>
      <c r="AC17" s="79"/>
      <c r="AD17" s="79"/>
      <c r="AE17" s="79"/>
      <c r="AF17" s="79"/>
    </row>
    <row r="18" spans="1:32" ht="15.75" customHeight="1" x14ac:dyDescent="0.15">
      <c r="A18" s="88">
        <v>11</v>
      </c>
      <c r="B18" s="88" t="s">
        <v>75</v>
      </c>
      <c r="C18" s="88" t="s">
        <v>2634</v>
      </c>
      <c r="D18" s="89" t="s">
        <v>8989</v>
      </c>
      <c r="E18" s="88" t="s">
        <v>107</v>
      </c>
      <c r="F18" s="88">
        <v>50024</v>
      </c>
      <c r="G18" s="88"/>
      <c r="H18" s="88">
        <v>450025</v>
      </c>
      <c r="I18" s="88"/>
      <c r="J18" s="88"/>
      <c r="K18" s="88"/>
      <c r="L18" s="88" t="s">
        <v>104</v>
      </c>
      <c r="M18" s="88">
        <v>1</v>
      </c>
      <c r="N18" s="88">
        <v>-2147483648</v>
      </c>
      <c r="O18" s="88">
        <v>2147483647</v>
      </c>
      <c r="P18" s="88">
        <v>-2147483648</v>
      </c>
      <c r="Q18" s="88">
        <v>2147483647</v>
      </c>
      <c r="R18" s="88"/>
      <c r="S18" s="88"/>
      <c r="T18" s="88" t="s">
        <v>3852</v>
      </c>
      <c r="U18" s="88" t="s">
        <v>3853</v>
      </c>
      <c r="V18" s="96"/>
      <c r="W18" s="88"/>
      <c r="X18" s="88"/>
      <c r="Y18" s="79"/>
      <c r="Z18" s="79"/>
      <c r="AA18" s="79"/>
      <c r="AB18" s="79"/>
      <c r="AC18" s="79"/>
      <c r="AD18" s="79"/>
      <c r="AE18" s="79"/>
      <c r="AF18" s="79"/>
    </row>
    <row r="19" spans="1:32" ht="15.75" customHeight="1" x14ac:dyDescent="0.15">
      <c r="A19" s="8">
        <v>12</v>
      </c>
      <c r="B19" s="8" t="s">
        <v>75</v>
      </c>
      <c r="C19" s="8" t="s">
        <v>2634</v>
      </c>
      <c r="D19" s="81" t="s">
        <v>8988</v>
      </c>
      <c r="E19" s="8" t="s">
        <v>107</v>
      </c>
      <c r="F19" s="8">
        <v>50025</v>
      </c>
      <c r="G19" s="8"/>
      <c r="H19" s="8">
        <v>450026</v>
      </c>
      <c r="I19" s="8"/>
      <c r="J19" s="8"/>
      <c r="K19" s="8"/>
      <c r="L19" s="8" t="s">
        <v>572</v>
      </c>
      <c r="M19" s="8">
        <v>1</v>
      </c>
      <c r="N19" s="8">
        <v>-2147483648</v>
      </c>
      <c r="O19" s="8">
        <v>2147483647</v>
      </c>
      <c r="P19" s="8">
        <v>-2147483648</v>
      </c>
      <c r="Q19" s="8">
        <v>2147483647</v>
      </c>
      <c r="R19" s="8"/>
      <c r="S19" s="8"/>
      <c r="T19" s="8" t="s">
        <v>3852</v>
      </c>
      <c r="U19" s="8" t="s">
        <v>3853</v>
      </c>
      <c r="V19" s="97"/>
      <c r="W19" s="8"/>
      <c r="X19" s="8"/>
      <c r="Y19" s="79"/>
      <c r="Z19" s="79"/>
      <c r="AA19" s="79"/>
      <c r="AB19" s="79"/>
      <c r="AC19" s="79"/>
      <c r="AD19" s="79"/>
      <c r="AE19" s="79"/>
      <c r="AF19" s="79"/>
    </row>
    <row r="20" spans="1:32" ht="15.75" customHeight="1" x14ac:dyDescent="0.15">
      <c r="A20" s="88">
        <v>13</v>
      </c>
      <c r="B20" s="88" t="s">
        <v>75</v>
      </c>
      <c r="C20" s="88" t="s">
        <v>2634</v>
      </c>
      <c r="D20" s="89" t="s">
        <v>8987</v>
      </c>
      <c r="E20" s="88" t="s">
        <v>107</v>
      </c>
      <c r="F20" s="88">
        <v>50026</v>
      </c>
      <c r="G20" s="88"/>
      <c r="H20" s="88">
        <v>450027</v>
      </c>
      <c r="I20" s="88"/>
      <c r="J20" s="88"/>
      <c r="K20" s="88"/>
      <c r="L20" s="88" t="s">
        <v>568</v>
      </c>
      <c r="M20" s="88">
        <v>1</v>
      </c>
      <c r="N20" s="88">
        <v>-2147483648</v>
      </c>
      <c r="O20" s="88">
        <v>2147483647</v>
      </c>
      <c r="P20" s="88">
        <v>-2147483648</v>
      </c>
      <c r="Q20" s="88">
        <v>2147483647</v>
      </c>
      <c r="R20" s="88"/>
      <c r="S20" s="88"/>
      <c r="T20" s="88" t="s">
        <v>3852</v>
      </c>
      <c r="U20" s="88" t="s">
        <v>3853</v>
      </c>
      <c r="V20" s="96"/>
      <c r="W20" s="88"/>
      <c r="X20" s="88"/>
      <c r="Y20" s="79"/>
      <c r="Z20" s="79"/>
      <c r="AA20" s="79"/>
      <c r="AB20" s="79"/>
      <c r="AC20" s="79"/>
      <c r="AD20" s="79"/>
      <c r="AE20" s="79"/>
      <c r="AF20" s="79"/>
    </row>
    <row r="21" spans="1:32" ht="15.75" customHeight="1" x14ac:dyDescent="0.15">
      <c r="A21" s="8">
        <v>14</v>
      </c>
      <c r="B21" s="8" t="s">
        <v>75</v>
      </c>
      <c r="C21" s="8" t="s">
        <v>2634</v>
      </c>
      <c r="D21" s="81" t="s">
        <v>8986</v>
      </c>
      <c r="E21" s="8" t="s">
        <v>107</v>
      </c>
      <c r="F21" s="8">
        <v>50027</v>
      </c>
      <c r="G21" s="8"/>
      <c r="H21" s="8">
        <v>450028</v>
      </c>
      <c r="I21" s="8"/>
      <c r="J21" s="8"/>
      <c r="K21" s="8"/>
      <c r="L21" s="8" t="s">
        <v>564</v>
      </c>
      <c r="M21" s="8">
        <v>1</v>
      </c>
      <c r="N21" s="8">
        <v>-2147483648</v>
      </c>
      <c r="O21" s="8">
        <v>2147483647</v>
      </c>
      <c r="P21" s="8">
        <v>-2147483648</v>
      </c>
      <c r="Q21" s="8">
        <v>2147483647</v>
      </c>
      <c r="R21" s="8"/>
      <c r="S21" s="8"/>
      <c r="T21" s="8" t="s">
        <v>3852</v>
      </c>
      <c r="U21" s="8" t="s">
        <v>3853</v>
      </c>
      <c r="V21" s="97"/>
      <c r="W21" s="8"/>
      <c r="X21" s="8"/>
      <c r="Y21" s="79"/>
      <c r="Z21" s="79"/>
      <c r="AA21" s="79"/>
      <c r="AB21" s="79"/>
      <c r="AC21" s="79"/>
      <c r="AD21" s="79"/>
      <c r="AE21" s="79"/>
      <c r="AF21" s="79"/>
    </row>
    <row r="22" spans="1:32" ht="15.75" customHeight="1" x14ac:dyDescent="0.15">
      <c r="A22" s="88">
        <v>15</v>
      </c>
      <c r="B22" s="88" t="s">
        <v>75</v>
      </c>
      <c r="C22" s="88" t="s">
        <v>2634</v>
      </c>
      <c r="D22" s="89" t="s">
        <v>9507</v>
      </c>
      <c r="E22" s="88" t="s">
        <v>107</v>
      </c>
      <c r="F22" s="88">
        <v>50028</v>
      </c>
      <c r="G22" s="88"/>
      <c r="H22" s="88">
        <v>450029</v>
      </c>
      <c r="I22" s="88"/>
      <c r="J22" s="88"/>
      <c r="K22" s="88"/>
      <c r="L22" s="88" t="s">
        <v>3722</v>
      </c>
      <c r="M22" s="88">
        <v>1</v>
      </c>
      <c r="N22" s="88"/>
      <c r="O22" s="88"/>
      <c r="P22" s="88"/>
      <c r="Q22" s="88"/>
      <c r="R22" s="88"/>
      <c r="S22" s="88"/>
      <c r="T22" s="88" t="s">
        <v>6375</v>
      </c>
      <c r="U22" s="88" t="s">
        <v>3950</v>
      </c>
      <c r="V22" s="96"/>
      <c r="W22" s="88"/>
      <c r="X22" s="88" t="s">
        <v>9508</v>
      </c>
      <c r="Y22" s="79"/>
      <c r="Z22" s="79"/>
      <c r="AA22" s="79"/>
      <c r="AB22" s="79"/>
      <c r="AC22" s="79"/>
      <c r="AD22" s="79"/>
      <c r="AE22" s="79"/>
      <c r="AF22" s="79"/>
    </row>
    <row r="23" spans="1:32" ht="15.75" customHeight="1" x14ac:dyDescent="0.15">
      <c r="A23" s="8">
        <v>16</v>
      </c>
      <c r="B23" s="8" t="s">
        <v>75</v>
      </c>
      <c r="C23" s="8" t="s">
        <v>2634</v>
      </c>
      <c r="D23" s="81" t="s">
        <v>8985</v>
      </c>
      <c r="E23" s="8" t="s">
        <v>107</v>
      </c>
      <c r="F23" s="8">
        <v>50030</v>
      </c>
      <c r="G23" s="8"/>
      <c r="H23" s="8">
        <v>450031</v>
      </c>
      <c r="I23" s="8"/>
      <c r="J23" s="8"/>
      <c r="K23" s="8"/>
      <c r="L23" s="8" t="s">
        <v>3722</v>
      </c>
      <c r="M23" s="8">
        <v>1</v>
      </c>
      <c r="N23" s="8">
        <v>-2147483648</v>
      </c>
      <c r="O23" s="8">
        <v>2147483647</v>
      </c>
      <c r="P23" s="8">
        <v>-2147483648</v>
      </c>
      <c r="Q23" s="8">
        <v>2147483647</v>
      </c>
      <c r="R23" s="8"/>
      <c r="S23" s="8"/>
      <c r="T23" s="8" t="s">
        <v>6375</v>
      </c>
      <c r="U23" s="8" t="s">
        <v>3708</v>
      </c>
      <c r="V23" s="97"/>
      <c r="W23" s="8" t="s">
        <v>9509</v>
      </c>
      <c r="X23" s="8"/>
      <c r="Y23" s="79"/>
      <c r="Z23" s="79"/>
      <c r="AA23" s="79"/>
      <c r="AB23" s="79"/>
      <c r="AC23" s="79"/>
      <c r="AD23" s="79"/>
      <c r="AE23" s="79"/>
      <c r="AF23" s="79"/>
    </row>
    <row r="24" spans="1:32" ht="15.75" customHeight="1" x14ac:dyDescent="0.15">
      <c r="A24" s="88">
        <v>17</v>
      </c>
      <c r="B24" s="88" t="s">
        <v>75</v>
      </c>
      <c r="C24" s="88" t="s">
        <v>2634</v>
      </c>
      <c r="D24" s="89" t="s">
        <v>8984</v>
      </c>
      <c r="E24" s="88" t="s">
        <v>107</v>
      </c>
      <c r="F24" s="88">
        <v>50031</v>
      </c>
      <c r="G24" s="88"/>
      <c r="H24" s="88">
        <v>450032</v>
      </c>
      <c r="I24" s="88"/>
      <c r="J24" s="88"/>
      <c r="K24" s="88"/>
      <c r="L24" s="88" t="s">
        <v>2311</v>
      </c>
      <c r="M24" s="88">
        <v>1</v>
      </c>
      <c r="N24" s="88">
        <v>-2147483648</v>
      </c>
      <c r="O24" s="88">
        <v>2147483647</v>
      </c>
      <c r="P24" s="88">
        <v>-2147483648</v>
      </c>
      <c r="Q24" s="88">
        <v>2147483647</v>
      </c>
      <c r="R24" s="88"/>
      <c r="S24" s="88"/>
      <c r="T24" s="88" t="s">
        <v>6375</v>
      </c>
      <c r="U24" s="88" t="s">
        <v>3950</v>
      </c>
      <c r="V24" s="96"/>
      <c r="W24" s="88"/>
      <c r="X24" s="88"/>
      <c r="Y24" s="79"/>
      <c r="Z24" s="79"/>
      <c r="AA24" s="79"/>
      <c r="AB24" s="79"/>
      <c r="AC24" s="79"/>
      <c r="AD24" s="79"/>
      <c r="AE24" s="79"/>
      <c r="AF24" s="79"/>
    </row>
    <row r="25" spans="1:32" ht="15.75" customHeight="1" x14ac:dyDescent="0.15">
      <c r="A25" s="8">
        <v>18</v>
      </c>
      <c r="B25" s="8" t="s">
        <v>75</v>
      </c>
      <c r="C25" s="8" t="s">
        <v>2634</v>
      </c>
      <c r="D25" s="81" t="s">
        <v>8983</v>
      </c>
      <c r="E25" s="8" t="s">
        <v>107</v>
      </c>
      <c r="F25" s="8">
        <v>50032</v>
      </c>
      <c r="G25" s="8"/>
      <c r="H25" s="8">
        <v>450033</v>
      </c>
      <c r="I25" s="8"/>
      <c r="J25" s="8"/>
      <c r="K25" s="8"/>
      <c r="L25" s="8" t="s">
        <v>7051</v>
      </c>
      <c r="M25" s="8">
        <v>1</v>
      </c>
      <c r="N25" s="8">
        <v>-2147483648</v>
      </c>
      <c r="O25" s="8">
        <v>2147483647</v>
      </c>
      <c r="P25" s="8">
        <v>-2147483648</v>
      </c>
      <c r="Q25" s="8">
        <v>2147483647</v>
      </c>
      <c r="R25" s="8"/>
      <c r="S25" s="8"/>
      <c r="T25" s="8" t="s">
        <v>3807</v>
      </c>
      <c r="U25" s="8" t="s">
        <v>3950</v>
      </c>
      <c r="V25" s="97"/>
      <c r="W25" s="8"/>
      <c r="X25" s="8"/>
      <c r="Y25" s="79"/>
      <c r="Z25" s="79"/>
      <c r="AA25" s="79"/>
      <c r="AB25" s="79"/>
      <c r="AC25" s="79"/>
      <c r="AD25" s="79"/>
      <c r="AE25" s="79"/>
      <c r="AF25" s="79"/>
    </row>
    <row r="26" spans="1:32" ht="15.75" customHeight="1" x14ac:dyDescent="0.15">
      <c r="A26" s="88">
        <v>19</v>
      </c>
      <c r="B26" s="88" t="s">
        <v>75</v>
      </c>
      <c r="C26" s="88" t="s">
        <v>2634</v>
      </c>
      <c r="D26" s="89" t="s">
        <v>8982</v>
      </c>
      <c r="E26" s="88" t="s">
        <v>107</v>
      </c>
      <c r="F26" s="88">
        <v>50033</v>
      </c>
      <c r="G26" s="88"/>
      <c r="H26" s="88">
        <v>450034</v>
      </c>
      <c r="I26" s="88"/>
      <c r="J26" s="88"/>
      <c r="K26" s="88"/>
      <c r="L26" s="88" t="s">
        <v>7052</v>
      </c>
      <c r="M26" s="88">
        <v>100</v>
      </c>
      <c r="N26" s="88">
        <v>-2147483648</v>
      </c>
      <c r="O26" s="88">
        <v>2147483647</v>
      </c>
      <c r="P26" s="88">
        <v>-21474836.48</v>
      </c>
      <c r="Q26" s="88">
        <v>21474836.469999999</v>
      </c>
      <c r="R26" s="88"/>
      <c r="S26" s="88"/>
      <c r="T26" s="88" t="s">
        <v>3807</v>
      </c>
      <c r="U26" s="88" t="s">
        <v>3950</v>
      </c>
      <c r="V26" s="96"/>
      <c r="W26" s="88"/>
      <c r="X26" s="88"/>
      <c r="Y26" s="79"/>
      <c r="Z26" s="79"/>
      <c r="AA26" s="79"/>
      <c r="AB26" s="79"/>
      <c r="AC26" s="79"/>
      <c r="AD26" s="79"/>
      <c r="AE26" s="79"/>
      <c r="AF26" s="79"/>
    </row>
    <row r="27" spans="1:32" ht="15.75" customHeight="1" x14ac:dyDescent="0.15">
      <c r="A27" s="8">
        <v>20</v>
      </c>
      <c r="B27" s="8" t="s">
        <v>75</v>
      </c>
      <c r="C27" s="8" t="s">
        <v>2634</v>
      </c>
      <c r="D27" s="81" t="s">
        <v>8981</v>
      </c>
      <c r="E27" s="8" t="s">
        <v>107</v>
      </c>
      <c r="F27" s="8">
        <v>50034</v>
      </c>
      <c r="G27" s="8"/>
      <c r="H27" s="8">
        <v>450035</v>
      </c>
      <c r="I27" s="8"/>
      <c r="J27" s="8"/>
      <c r="K27" s="8"/>
      <c r="L27" s="8" t="s">
        <v>2311</v>
      </c>
      <c r="M27" s="8">
        <v>1</v>
      </c>
      <c r="N27" s="8">
        <v>-2147483648</v>
      </c>
      <c r="O27" s="8">
        <v>2147483647</v>
      </c>
      <c r="P27" s="8">
        <v>-2147483648</v>
      </c>
      <c r="Q27" s="8">
        <v>2147483647</v>
      </c>
      <c r="R27" s="8"/>
      <c r="S27" s="8"/>
      <c r="T27" s="8" t="s">
        <v>3807</v>
      </c>
      <c r="U27" s="8" t="s">
        <v>3950</v>
      </c>
      <c r="V27" s="97"/>
      <c r="W27" s="8"/>
      <c r="X27" s="8"/>
      <c r="Y27" s="79"/>
      <c r="Z27" s="79"/>
      <c r="AA27" s="79"/>
      <c r="AB27" s="79"/>
      <c r="AC27" s="79"/>
      <c r="AD27" s="79"/>
      <c r="AE27" s="79"/>
      <c r="AF27" s="79"/>
    </row>
    <row r="28" spans="1:32" ht="15.75" customHeight="1" x14ac:dyDescent="0.15">
      <c r="A28" s="88">
        <v>21</v>
      </c>
      <c r="B28" s="88" t="s">
        <v>75</v>
      </c>
      <c r="C28" s="88" t="s">
        <v>2634</v>
      </c>
      <c r="D28" s="89" t="s">
        <v>8980</v>
      </c>
      <c r="E28" s="88" t="s">
        <v>107</v>
      </c>
      <c r="F28" s="88">
        <v>50035</v>
      </c>
      <c r="G28" s="88"/>
      <c r="H28" s="88">
        <v>450036</v>
      </c>
      <c r="I28" s="88"/>
      <c r="J28" s="88"/>
      <c r="K28" s="88"/>
      <c r="L28" s="88" t="s">
        <v>6121</v>
      </c>
      <c r="M28" s="88">
        <v>1</v>
      </c>
      <c r="N28" s="88">
        <v>-2147483648</v>
      </c>
      <c r="O28" s="88">
        <v>2147483647</v>
      </c>
      <c r="P28" s="88">
        <v>-2147483648</v>
      </c>
      <c r="Q28" s="88">
        <v>2147483647</v>
      </c>
      <c r="R28" s="88"/>
      <c r="S28" s="88"/>
      <c r="T28" s="88" t="s">
        <v>3807</v>
      </c>
      <c r="U28" s="88" t="s">
        <v>3950</v>
      </c>
      <c r="V28" s="96"/>
      <c r="W28" s="88"/>
      <c r="X28" s="88"/>
      <c r="Y28" s="79"/>
      <c r="Z28" s="79"/>
      <c r="AA28" s="79"/>
      <c r="AB28" s="79"/>
      <c r="AC28" s="79"/>
      <c r="AD28" s="79"/>
      <c r="AE28" s="79"/>
      <c r="AF28" s="79"/>
    </row>
    <row r="29" spans="1:32" ht="15.75" customHeight="1" x14ac:dyDescent="0.15">
      <c r="A29" s="8">
        <v>22</v>
      </c>
      <c r="B29" s="8" t="s">
        <v>75</v>
      </c>
      <c r="C29" s="8" t="s">
        <v>2634</v>
      </c>
      <c r="D29" s="81" t="s">
        <v>9510</v>
      </c>
      <c r="E29" s="8" t="s">
        <v>107</v>
      </c>
      <c r="F29" s="8">
        <v>50037</v>
      </c>
      <c r="G29" s="8"/>
      <c r="H29" s="8">
        <v>450038</v>
      </c>
      <c r="I29" s="8"/>
      <c r="J29" s="8"/>
      <c r="K29" s="8"/>
      <c r="L29" s="8"/>
      <c r="M29" s="8"/>
      <c r="N29" s="8"/>
      <c r="O29" s="8"/>
      <c r="P29" s="8"/>
      <c r="Q29" s="8"/>
      <c r="R29" s="8"/>
      <c r="S29" s="8"/>
      <c r="T29" s="8"/>
      <c r="U29" s="8"/>
      <c r="V29" s="97"/>
      <c r="W29" s="8"/>
      <c r="X29" s="8"/>
      <c r="Y29" s="79"/>
      <c r="Z29" s="79"/>
      <c r="AA29" s="79"/>
      <c r="AB29" s="79"/>
      <c r="AC29" s="79"/>
      <c r="AD29" s="79"/>
      <c r="AE29" s="79"/>
      <c r="AF29" s="79"/>
    </row>
    <row r="30" spans="1:32" ht="15.75" customHeight="1" x14ac:dyDescent="0.15">
      <c r="A30" s="88">
        <v>23</v>
      </c>
      <c r="B30" s="88" t="s">
        <v>75</v>
      </c>
      <c r="C30" s="88" t="s">
        <v>57</v>
      </c>
      <c r="D30" s="89" t="s">
        <v>8979</v>
      </c>
      <c r="E30" s="88" t="s">
        <v>107</v>
      </c>
      <c r="F30" s="88" t="s">
        <v>7053</v>
      </c>
      <c r="G30" s="88"/>
      <c r="H30" s="88" t="s">
        <v>7054</v>
      </c>
      <c r="I30" s="88"/>
      <c r="J30" s="88"/>
      <c r="K30" s="88"/>
      <c r="L30" s="88" t="s">
        <v>61</v>
      </c>
      <c r="M30" s="88">
        <v>1</v>
      </c>
      <c r="N30" s="88">
        <v>-2147483648</v>
      </c>
      <c r="O30" s="88">
        <v>2147483647</v>
      </c>
      <c r="P30" s="88">
        <v>-2147483648</v>
      </c>
      <c r="Q30" s="88">
        <v>2147483647</v>
      </c>
      <c r="R30" s="88"/>
      <c r="S30" s="88"/>
      <c r="T30" s="88" t="s">
        <v>3852</v>
      </c>
      <c r="U30" s="88" t="s">
        <v>3853</v>
      </c>
      <c r="V30" s="96"/>
      <c r="W30" s="88"/>
      <c r="X30" s="88"/>
      <c r="Y30" s="79"/>
      <c r="Z30" s="79"/>
      <c r="AA30" s="79"/>
      <c r="AB30" s="79"/>
      <c r="AC30" s="79"/>
      <c r="AD30" s="79"/>
      <c r="AE30" s="79"/>
      <c r="AF30" s="79"/>
    </row>
    <row r="31" spans="1:32" ht="15.75" customHeight="1" x14ac:dyDescent="0.15">
      <c r="A31" s="8">
        <v>24</v>
      </c>
      <c r="B31" s="8" t="s">
        <v>75</v>
      </c>
      <c r="C31" s="8" t="s">
        <v>57</v>
      </c>
      <c r="D31" s="81" t="s">
        <v>8978</v>
      </c>
      <c r="E31" s="8" t="s">
        <v>69</v>
      </c>
      <c r="F31" s="8" t="s">
        <v>7055</v>
      </c>
      <c r="G31" s="8"/>
      <c r="H31" s="8" t="s">
        <v>7056</v>
      </c>
      <c r="I31" s="8"/>
      <c r="J31" s="8"/>
      <c r="K31" s="8"/>
      <c r="L31" s="8" t="s">
        <v>7048</v>
      </c>
      <c r="M31" s="8">
        <v>16</v>
      </c>
      <c r="N31" s="8"/>
      <c r="O31" s="8"/>
      <c r="P31" s="8"/>
      <c r="Q31" s="8"/>
      <c r="R31" s="8"/>
      <c r="S31" s="8"/>
      <c r="T31" s="8" t="s">
        <v>3852</v>
      </c>
      <c r="U31" s="8" t="s">
        <v>3853</v>
      </c>
      <c r="V31" s="97"/>
      <c r="W31" s="8"/>
      <c r="X31" s="8"/>
      <c r="Y31" s="79"/>
      <c r="Z31" s="79"/>
      <c r="AA31" s="79"/>
      <c r="AB31" s="79"/>
      <c r="AC31" s="79"/>
      <c r="AD31" s="79"/>
      <c r="AE31" s="79"/>
      <c r="AF31" s="79"/>
    </row>
    <row r="32" spans="1:32" ht="15.75" customHeight="1" x14ac:dyDescent="0.15">
      <c r="A32" s="88">
        <v>25</v>
      </c>
      <c r="B32" s="88" t="s">
        <v>75</v>
      </c>
      <c r="C32" s="88" t="s">
        <v>2634</v>
      </c>
      <c r="D32" s="89" t="s">
        <v>9511</v>
      </c>
      <c r="E32" s="88" t="s">
        <v>219</v>
      </c>
      <c r="F32" s="88" t="s">
        <v>7057</v>
      </c>
      <c r="G32" s="88"/>
      <c r="H32" s="88" t="s">
        <v>7058</v>
      </c>
      <c r="I32" s="88"/>
      <c r="J32" s="88"/>
      <c r="K32" s="88"/>
      <c r="L32" s="88" t="s">
        <v>61</v>
      </c>
      <c r="M32" s="88">
        <v>1</v>
      </c>
      <c r="N32" s="88"/>
      <c r="O32" s="88"/>
      <c r="P32" s="88"/>
      <c r="Q32" s="88"/>
      <c r="R32" s="88"/>
      <c r="S32" s="88"/>
      <c r="T32" s="88" t="s">
        <v>6375</v>
      </c>
      <c r="U32" s="88" t="s">
        <v>3825</v>
      </c>
      <c r="V32" s="96"/>
      <c r="W32" s="88"/>
      <c r="X32" s="88"/>
      <c r="Y32" s="79"/>
      <c r="Z32" s="79"/>
      <c r="AA32" s="79"/>
      <c r="AB32" s="79"/>
      <c r="AC32" s="79"/>
      <c r="AD32" s="79"/>
      <c r="AE32" s="79"/>
      <c r="AF32" s="79"/>
    </row>
    <row r="33" spans="1:32" ht="15.75" customHeight="1" x14ac:dyDescent="0.15">
      <c r="A33" s="8">
        <v>26</v>
      </c>
      <c r="B33" s="8" t="s">
        <v>75</v>
      </c>
      <c r="C33" s="8" t="s">
        <v>2634</v>
      </c>
      <c r="D33" s="81" t="s">
        <v>9512</v>
      </c>
      <c r="E33" s="8" t="s">
        <v>169</v>
      </c>
      <c r="F33" s="8" t="s">
        <v>7057</v>
      </c>
      <c r="G33" s="8">
        <v>0</v>
      </c>
      <c r="H33" s="8" t="s">
        <v>7058</v>
      </c>
      <c r="I33" s="8" t="s">
        <v>171</v>
      </c>
      <c r="J33" s="8" t="s">
        <v>177</v>
      </c>
      <c r="K33" s="8" t="s">
        <v>173</v>
      </c>
      <c r="L33" s="8" t="s">
        <v>61</v>
      </c>
      <c r="M33" s="8"/>
      <c r="N33" s="8"/>
      <c r="O33" s="8"/>
      <c r="P33" s="8"/>
      <c r="Q33" s="8"/>
      <c r="R33" s="8"/>
      <c r="S33" s="8"/>
      <c r="T33" s="8" t="s">
        <v>3852</v>
      </c>
      <c r="U33" s="8" t="s">
        <v>3853</v>
      </c>
      <c r="V33" s="97"/>
      <c r="W33" s="8"/>
      <c r="X33" s="8"/>
      <c r="Y33" s="79"/>
      <c r="Z33" s="79"/>
      <c r="AA33" s="79"/>
      <c r="AB33" s="79"/>
      <c r="AC33" s="79"/>
      <c r="AD33" s="79"/>
      <c r="AE33" s="79"/>
      <c r="AF33" s="79"/>
    </row>
    <row r="34" spans="1:32" ht="15.75" customHeight="1" x14ac:dyDescent="0.15">
      <c r="A34" s="88">
        <v>27</v>
      </c>
      <c r="B34" s="88" t="s">
        <v>75</v>
      </c>
      <c r="C34" s="88" t="s">
        <v>2634</v>
      </c>
      <c r="D34" s="89" t="s">
        <v>9513</v>
      </c>
      <c r="E34" s="88" t="s">
        <v>169</v>
      </c>
      <c r="F34" s="88" t="s">
        <v>7057</v>
      </c>
      <c r="G34" s="88">
        <v>1</v>
      </c>
      <c r="H34" s="88" t="s">
        <v>7058</v>
      </c>
      <c r="I34" s="88" t="s">
        <v>171</v>
      </c>
      <c r="J34" s="88" t="s">
        <v>177</v>
      </c>
      <c r="K34" s="88" t="s">
        <v>173</v>
      </c>
      <c r="L34" s="88" t="s">
        <v>61</v>
      </c>
      <c r="M34" s="88"/>
      <c r="N34" s="88"/>
      <c r="O34" s="88"/>
      <c r="P34" s="88"/>
      <c r="Q34" s="88"/>
      <c r="R34" s="88"/>
      <c r="S34" s="88"/>
      <c r="T34" s="88" t="s">
        <v>3852</v>
      </c>
      <c r="U34" s="88" t="s">
        <v>3853</v>
      </c>
      <c r="V34" s="96"/>
      <c r="W34" s="88"/>
      <c r="X34" s="88"/>
      <c r="Y34" s="79"/>
      <c r="Z34" s="79"/>
      <c r="AA34" s="79"/>
      <c r="AB34" s="79"/>
      <c r="AC34" s="79"/>
      <c r="AD34" s="79"/>
      <c r="AE34" s="79"/>
      <c r="AF34" s="79"/>
    </row>
    <row r="35" spans="1:32" ht="15.75" customHeight="1" x14ac:dyDescent="0.15">
      <c r="A35" s="8">
        <v>28</v>
      </c>
      <c r="B35" s="8" t="s">
        <v>75</v>
      </c>
      <c r="C35" s="8" t="s">
        <v>2634</v>
      </c>
      <c r="D35" s="81" t="s">
        <v>9514</v>
      </c>
      <c r="E35" s="8" t="s">
        <v>169</v>
      </c>
      <c r="F35" s="8" t="s">
        <v>7057</v>
      </c>
      <c r="G35" s="8">
        <v>2</v>
      </c>
      <c r="H35" s="8" t="s">
        <v>7058</v>
      </c>
      <c r="I35" s="8" t="s">
        <v>171</v>
      </c>
      <c r="J35" s="8" t="s">
        <v>177</v>
      </c>
      <c r="K35" s="8" t="s">
        <v>173</v>
      </c>
      <c r="L35" s="8" t="s">
        <v>61</v>
      </c>
      <c r="M35" s="8"/>
      <c r="N35" s="8"/>
      <c r="O35" s="8"/>
      <c r="P35" s="8"/>
      <c r="Q35" s="8"/>
      <c r="R35" s="8"/>
      <c r="S35" s="8"/>
      <c r="T35" s="8" t="s">
        <v>3852</v>
      </c>
      <c r="U35" s="8" t="s">
        <v>3853</v>
      </c>
      <c r="V35" s="97"/>
      <c r="W35" s="8"/>
      <c r="X35" s="8"/>
      <c r="Y35" s="79"/>
      <c r="Z35" s="79"/>
      <c r="AA35" s="79"/>
      <c r="AB35" s="79"/>
      <c r="AC35" s="79"/>
      <c r="AD35" s="79"/>
      <c r="AE35" s="79"/>
      <c r="AF35" s="79"/>
    </row>
    <row r="36" spans="1:32" ht="15.75" customHeight="1" x14ac:dyDescent="0.15">
      <c r="A36" s="88">
        <v>29</v>
      </c>
      <c r="B36" s="88" t="s">
        <v>75</v>
      </c>
      <c r="C36" s="88" t="s">
        <v>2634</v>
      </c>
      <c r="D36" s="89" t="s">
        <v>9515</v>
      </c>
      <c r="E36" s="88" t="s">
        <v>169</v>
      </c>
      <c r="F36" s="88" t="s">
        <v>7057</v>
      </c>
      <c r="G36" s="88">
        <v>3</v>
      </c>
      <c r="H36" s="88" t="s">
        <v>7058</v>
      </c>
      <c r="I36" s="88" t="s">
        <v>171</v>
      </c>
      <c r="J36" s="88" t="s">
        <v>177</v>
      </c>
      <c r="K36" s="88" t="s">
        <v>173</v>
      </c>
      <c r="L36" s="88" t="s">
        <v>61</v>
      </c>
      <c r="M36" s="88"/>
      <c r="N36" s="88"/>
      <c r="O36" s="88"/>
      <c r="P36" s="88"/>
      <c r="Q36" s="88"/>
      <c r="R36" s="88"/>
      <c r="S36" s="88"/>
      <c r="T36" s="88" t="s">
        <v>3852</v>
      </c>
      <c r="U36" s="88" t="s">
        <v>3853</v>
      </c>
      <c r="V36" s="96"/>
      <c r="W36" s="88"/>
      <c r="X36" s="88"/>
      <c r="Y36" s="79"/>
      <c r="Z36" s="79"/>
      <c r="AA36" s="79"/>
      <c r="AB36" s="79"/>
      <c r="AC36" s="79"/>
      <c r="AD36" s="79"/>
      <c r="AE36" s="79"/>
      <c r="AF36" s="79"/>
    </row>
    <row r="37" spans="1:32" ht="15.75" customHeight="1" x14ac:dyDescent="0.15">
      <c r="A37" s="8">
        <v>30</v>
      </c>
      <c r="B37" s="8" t="s">
        <v>75</v>
      </c>
      <c r="C37" s="8" t="s">
        <v>2634</v>
      </c>
      <c r="D37" s="81" t="s">
        <v>9516</v>
      </c>
      <c r="E37" s="8" t="s">
        <v>169</v>
      </c>
      <c r="F37" s="8" t="s">
        <v>7057</v>
      </c>
      <c r="G37" s="8">
        <v>4</v>
      </c>
      <c r="H37" s="8" t="s">
        <v>7058</v>
      </c>
      <c r="I37" s="8" t="s">
        <v>171</v>
      </c>
      <c r="J37" s="8" t="s">
        <v>177</v>
      </c>
      <c r="K37" s="8" t="s">
        <v>173</v>
      </c>
      <c r="L37" s="8" t="s">
        <v>61</v>
      </c>
      <c r="M37" s="8"/>
      <c r="N37" s="8"/>
      <c r="O37" s="8"/>
      <c r="P37" s="8"/>
      <c r="Q37" s="8"/>
      <c r="R37" s="8"/>
      <c r="S37" s="8"/>
      <c r="T37" s="8" t="s">
        <v>3852</v>
      </c>
      <c r="U37" s="8" t="s">
        <v>3853</v>
      </c>
      <c r="V37" s="97"/>
      <c r="W37" s="8"/>
      <c r="X37" s="8"/>
      <c r="Y37" s="79"/>
      <c r="Z37" s="79"/>
      <c r="AA37" s="79"/>
      <c r="AB37" s="79"/>
      <c r="AC37" s="79"/>
      <c r="AD37" s="79"/>
      <c r="AE37" s="79"/>
      <c r="AF37" s="79"/>
    </row>
    <row r="38" spans="1:32" ht="15.75" customHeight="1" x14ac:dyDescent="0.15">
      <c r="A38" s="88">
        <v>31</v>
      </c>
      <c r="B38" s="88" t="s">
        <v>75</v>
      </c>
      <c r="C38" s="88" t="s">
        <v>2634</v>
      </c>
      <c r="D38" s="89" t="s">
        <v>9517</v>
      </c>
      <c r="E38" s="88" t="s">
        <v>169</v>
      </c>
      <c r="F38" s="88" t="s">
        <v>7057</v>
      </c>
      <c r="G38" s="88">
        <v>5</v>
      </c>
      <c r="H38" s="88" t="s">
        <v>7058</v>
      </c>
      <c r="I38" s="88" t="s">
        <v>171</v>
      </c>
      <c r="J38" s="88" t="s">
        <v>177</v>
      </c>
      <c r="K38" s="88" t="s">
        <v>173</v>
      </c>
      <c r="L38" s="88" t="s">
        <v>61</v>
      </c>
      <c r="M38" s="88"/>
      <c r="N38" s="88"/>
      <c r="O38" s="88"/>
      <c r="P38" s="88"/>
      <c r="Q38" s="88"/>
      <c r="R38" s="88"/>
      <c r="S38" s="88"/>
      <c r="T38" s="88" t="s">
        <v>3852</v>
      </c>
      <c r="U38" s="88" t="s">
        <v>3853</v>
      </c>
      <c r="V38" s="96"/>
      <c r="W38" s="88"/>
      <c r="X38" s="88"/>
      <c r="Y38" s="79"/>
      <c r="Z38" s="79"/>
      <c r="AA38" s="79"/>
      <c r="AB38" s="79"/>
      <c r="AC38" s="79"/>
      <c r="AD38" s="79"/>
      <c r="AE38" s="79"/>
      <c r="AF38" s="79"/>
    </row>
    <row r="39" spans="1:32" ht="15.75" customHeight="1" x14ac:dyDescent="0.15">
      <c r="A39" s="8">
        <v>32</v>
      </c>
      <c r="B39" s="8" t="s">
        <v>75</v>
      </c>
      <c r="C39" s="8" t="s">
        <v>2634</v>
      </c>
      <c r="D39" s="81" t="s">
        <v>9518</v>
      </c>
      <c r="E39" s="8" t="s">
        <v>169</v>
      </c>
      <c r="F39" s="8" t="s">
        <v>7057</v>
      </c>
      <c r="G39" s="8">
        <v>6</v>
      </c>
      <c r="H39" s="8" t="s">
        <v>7058</v>
      </c>
      <c r="I39" s="8" t="s">
        <v>171</v>
      </c>
      <c r="J39" s="8" t="s">
        <v>177</v>
      </c>
      <c r="K39" s="8" t="s">
        <v>173</v>
      </c>
      <c r="L39" s="8" t="s">
        <v>61</v>
      </c>
      <c r="M39" s="8"/>
      <c r="N39" s="8"/>
      <c r="O39" s="8"/>
      <c r="P39" s="8"/>
      <c r="Q39" s="8"/>
      <c r="R39" s="8"/>
      <c r="S39" s="8"/>
      <c r="T39" s="8" t="s">
        <v>3852</v>
      </c>
      <c r="U39" s="8" t="s">
        <v>3853</v>
      </c>
      <c r="V39" s="97"/>
      <c r="W39" s="8"/>
      <c r="X39" s="8"/>
      <c r="Y39" s="79"/>
      <c r="Z39" s="79"/>
      <c r="AA39" s="79"/>
      <c r="AB39" s="79"/>
      <c r="AC39" s="79"/>
      <c r="AD39" s="79"/>
      <c r="AE39" s="79"/>
      <c r="AF39" s="79"/>
    </row>
    <row r="40" spans="1:32" ht="15.75" customHeight="1" x14ac:dyDescent="0.15">
      <c r="A40" s="88">
        <v>33</v>
      </c>
      <c r="B40" s="88" t="s">
        <v>75</v>
      </c>
      <c r="C40" s="88" t="s">
        <v>2634</v>
      </c>
      <c r="D40" s="89" t="s">
        <v>8964</v>
      </c>
      <c r="E40" s="88" t="s">
        <v>169</v>
      </c>
      <c r="F40" s="88" t="s">
        <v>7057</v>
      </c>
      <c r="G40" s="88">
        <v>7</v>
      </c>
      <c r="H40" s="88" t="s">
        <v>7058</v>
      </c>
      <c r="I40" s="88"/>
      <c r="J40" s="88"/>
      <c r="K40" s="88"/>
      <c r="L40" s="88" t="s">
        <v>61</v>
      </c>
      <c r="M40" s="88"/>
      <c r="N40" s="88"/>
      <c r="O40" s="88"/>
      <c r="P40" s="88"/>
      <c r="Q40" s="88"/>
      <c r="R40" s="88"/>
      <c r="S40" s="88"/>
      <c r="T40" s="88" t="s">
        <v>3852</v>
      </c>
      <c r="U40" s="88" t="s">
        <v>3853</v>
      </c>
      <c r="V40" s="96"/>
      <c r="W40" s="88"/>
      <c r="X40" s="88"/>
      <c r="Y40" s="79"/>
      <c r="Z40" s="79"/>
      <c r="AA40" s="79"/>
      <c r="AB40" s="79"/>
      <c r="AC40" s="79"/>
      <c r="AD40" s="79"/>
      <c r="AE40" s="79"/>
      <c r="AF40" s="79"/>
    </row>
    <row r="41" spans="1:32" ht="15.75" customHeight="1" x14ac:dyDescent="0.15">
      <c r="A41" s="8">
        <v>34</v>
      </c>
      <c r="B41" s="8" t="s">
        <v>75</v>
      </c>
      <c r="C41" s="8" t="s">
        <v>2634</v>
      </c>
      <c r="D41" s="81" t="s">
        <v>9519</v>
      </c>
      <c r="E41" s="8" t="s">
        <v>169</v>
      </c>
      <c r="F41" s="8" t="s">
        <v>7057</v>
      </c>
      <c r="G41" s="8">
        <v>8</v>
      </c>
      <c r="H41" s="8" t="s">
        <v>7058</v>
      </c>
      <c r="I41" s="8" t="s">
        <v>171</v>
      </c>
      <c r="J41" s="8" t="s">
        <v>177</v>
      </c>
      <c r="K41" s="8" t="s">
        <v>173</v>
      </c>
      <c r="L41" s="8" t="s">
        <v>61</v>
      </c>
      <c r="M41" s="8"/>
      <c r="N41" s="8"/>
      <c r="O41" s="8"/>
      <c r="P41" s="8"/>
      <c r="Q41" s="8"/>
      <c r="R41" s="8"/>
      <c r="S41" s="8"/>
      <c r="T41" s="8" t="s">
        <v>3852</v>
      </c>
      <c r="U41" s="8" t="s">
        <v>3853</v>
      </c>
      <c r="V41" s="97"/>
      <c r="W41" s="8"/>
      <c r="X41" s="8"/>
      <c r="Y41" s="79"/>
      <c r="Z41" s="79"/>
      <c r="AA41" s="79"/>
      <c r="AB41" s="79"/>
      <c r="AC41" s="79"/>
      <c r="AD41" s="79"/>
      <c r="AE41" s="79"/>
      <c r="AF41" s="79"/>
    </row>
    <row r="42" spans="1:32" ht="15.75" customHeight="1" x14ac:dyDescent="0.15">
      <c r="A42" s="88">
        <v>35</v>
      </c>
      <c r="B42" s="88" t="s">
        <v>75</v>
      </c>
      <c r="C42" s="88" t="s">
        <v>2634</v>
      </c>
      <c r="D42" s="89" t="s">
        <v>8964</v>
      </c>
      <c r="E42" s="88" t="s">
        <v>169</v>
      </c>
      <c r="F42" s="88" t="s">
        <v>7057</v>
      </c>
      <c r="G42" s="88">
        <v>9</v>
      </c>
      <c r="H42" s="88" t="s">
        <v>7058</v>
      </c>
      <c r="I42" s="88"/>
      <c r="J42" s="88"/>
      <c r="K42" s="88"/>
      <c r="L42" s="88" t="s">
        <v>61</v>
      </c>
      <c r="M42" s="88"/>
      <c r="N42" s="88"/>
      <c r="O42" s="88"/>
      <c r="P42" s="88"/>
      <c r="Q42" s="88"/>
      <c r="R42" s="88"/>
      <c r="S42" s="88"/>
      <c r="T42" s="88" t="s">
        <v>3852</v>
      </c>
      <c r="U42" s="88" t="s">
        <v>3853</v>
      </c>
      <c r="V42" s="96"/>
      <c r="W42" s="88"/>
      <c r="X42" s="88"/>
      <c r="Y42" s="79"/>
      <c r="Z42" s="79"/>
      <c r="AA42" s="79"/>
      <c r="AB42" s="79"/>
      <c r="AC42" s="79"/>
      <c r="AD42" s="79"/>
      <c r="AE42" s="79"/>
      <c r="AF42" s="79"/>
    </row>
    <row r="43" spans="1:32" ht="15.75" customHeight="1" x14ac:dyDescent="0.15">
      <c r="A43" s="8">
        <v>36</v>
      </c>
      <c r="B43" s="8" t="s">
        <v>75</v>
      </c>
      <c r="C43" s="8" t="s">
        <v>2634</v>
      </c>
      <c r="D43" s="81" t="s">
        <v>8964</v>
      </c>
      <c r="E43" s="8" t="s">
        <v>169</v>
      </c>
      <c r="F43" s="8" t="s">
        <v>7057</v>
      </c>
      <c r="G43" s="8">
        <v>10</v>
      </c>
      <c r="H43" s="8" t="s">
        <v>7058</v>
      </c>
      <c r="I43" s="8"/>
      <c r="J43" s="8"/>
      <c r="K43" s="8"/>
      <c r="L43" s="8" t="s">
        <v>61</v>
      </c>
      <c r="M43" s="8"/>
      <c r="N43" s="8"/>
      <c r="O43" s="8"/>
      <c r="P43" s="8"/>
      <c r="Q43" s="8"/>
      <c r="R43" s="8"/>
      <c r="S43" s="8"/>
      <c r="T43" s="8" t="s">
        <v>3852</v>
      </c>
      <c r="U43" s="8" t="s">
        <v>3853</v>
      </c>
      <c r="V43" s="97"/>
      <c r="W43" s="8"/>
      <c r="X43" s="8"/>
      <c r="Y43" s="79"/>
      <c r="Z43" s="79"/>
      <c r="AA43" s="79"/>
      <c r="AB43" s="79"/>
      <c r="AC43" s="79"/>
      <c r="AD43" s="79"/>
      <c r="AE43" s="79"/>
      <c r="AF43" s="79"/>
    </row>
    <row r="44" spans="1:32" ht="15.75" customHeight="1" x14ac:dyDescent="0.15">
      <c r="A44" s="88">
        <v>37</v>
      </c>
      <c r="B44" s="88" t="s">
        <v>75</v>
      </c>
      <c r="C44" s="88" t="s">
        <v>2634</v>
      </c>
      <c r="D44" s="89" t="s">
        <v>8964</v>
      </c>
      <c r="E44" s="88" t="s">
        <v>169</v>
      </c>
      <c r="F44" s="88" t="s">
        <v>7057</v>
      </c>
      <c r="G44" s="88">
        <v>11</v>
      </c>
      <c r="H44" s="88" t="s">
        <v>7058</v>
      </c>
      <c r="I44" s="88"/>
      <c r="J44" s="88"/>
      <c r="K44" s="88"/>
      <c r="L44" s="88" t="s">
        <v>61</v>
      </c>
      <c r="M44" s="88"/>
      <c r="N44" s="88"/>
      <c r="O44" s="88"/>
      <c r="P44" s="88"/>
      <c r="Q44" s="88"/>
      <c r="R44" s="88"/>
      <c r="S44" s="88"/>
      <c r="T44" s="88" t="s">
        <v>3852</v>
      </c>
      <c r="U44" s="88" t="s">
        <v>3853</v>
      </c>
      <c r="V44" s="96"/>
      <c r="W44" s="88"/>
      <c r="X44" s="88"/>
      <c r="Y44" s="79"/>
      <c r="Z44" s="79"/>
      <c r="AA44" s="79"/>
      <c r="AB44" s="79"/>
      <c r="AC44" s="79"/>
      <c r="AD44" s="79"/>
      <c r="AE44" s="79"/>
      <c r="AF44" s="79"/>
    </row>
    <row r="45" spans="1:32" ht="15.75" customHeight="1" x14ac:dyDescent="0.15">
      <c r="A45" s="8">
        <v>38</v>
      </c>
      <c r="B45" s="8" t="s">
        <v>75</v>
      </c>
      <c r="C45" s="8" t="s">
        <v>2634</v>
      </c>
      <c r="D45" s="81" t="s">
        <v>8964</v>
      </c>
      <c r="E45" s="8" t="s">
        <v>169</v>
      </c>
      <c r="F45" s="8" t="s">
        <v>7057</v>
      </c>
      <c r="G45" s="8">
        <v>12</v>
      </c>
      <c r="H45" s="8" t="s">
        <v>7058</v>
      </c>
      <c r="I45" s="8"/>
      <c r="J45" s="8"/>
      <c r="K45" s="8"/>
      <c r="L45" s="8" t="s">
        <v>61</v>
      </c>
      <c r="M45" s="8"/>
      <c r="N45" s="8"/>
      <c r="O45" s="8"/>
      <c r="P45" s="8"/>
      <c r="Q45" s="8"/>
      <c r="R45" s="8"/>
      <c r="S45" s="8"/>
      <c r="T45" s="8" t="s">
        <v>3852</v>
      </c>
      <c r="U45" s="8" t="s">
        <v>3853</v>
      </c>
      <c r="V45" s="97"/>
      <c r="W45" s="8"/>
      <c r="X45" s="8"/>
      <c r="Y45" s="79"/>
      <c r="Z45" s="79"/>
      <c r="AA45" s="79"/>
      <c r="AB45" s="79"/>
      <c r="AC45" s="79"/>
      <c r="AD45" s="79"/>
      <c r="AE45" s="79"/>
      <c r="AF45" s="79"/>
    </row>
    <row r="46" spans="1:32" ht="15.75" customHeight="1" x14ac:dyDescent="0.15">
      <c r="A46" s="88">
        <v>39</v>
      </c>
      <c r="B46" s="88" t="s">
        <v>75</v>
      </c>
      <c r="C46" s="88" t="s">
        <v>2634</v>
      </c>
      <c r="D46" s="89" t="s">
        <v>8964</v>
      </c>
      <c r="E46" s="88" t="s">
        <v>169</v>
      </c>
      <c r="F46" s="88" t="s">
        <v>7057</v>
      </c>
      <c r="G46" s="88">
        <v>13</v>
      </c>
      <c r="H46" s="88" t="s">
        <v>7058</v>
      </c>
      <c r="I46" s="88"/>
      <c r="J46" s="88"/>
      <c r="K46" s="88"/>
      <c r="L46" s="88" t="s">
        <v>61</v>
      </c>
      <c r="M46" s="88"/>
      <c r="N46" s="88"/>
      <c r="O46" s="88"/>
      <c r="P46" s="88"/>
      <c r="Q46" s="88"/>
      <c r="R46" s="88"/>
      <c r="S46" s="88"/>
      <c r="T46" s="88" t="s">
        <v>3852</v>
      </c>
      <c r="U46" s="88" t="s">
        <v>3853</v>
      </c>
      <c r="V46" s="96"/>
      <c r="W46" s="88"/>
      <c r="X46" s="88"/>
      <c r="Y46" s="79"/>
      <c r="Z46" s="79"/>
      <c r="AA46" s="79"/>
      <c r="AB46" s="79"/>
      <c r="AC46" s="79"/>
      <c r="AD46" s="79"/>
      <c r="AE46" s="79"/>
      <c r="AF46" s="79"/>
    </row>
    <row r="47" spans="1:32" ht="15.75" customHeight="1" x14ac:dyDescent="0.15">
      <c r="A47" s="8">
        <v>40</v>
      </c>
      <c r="B47" s="8" t="s">
        <v>75</v>
      </c>
      <c r="C47" s="8" t="s">
        <v>2634</v>
      </c>
      <c r="D47" s="81" t="s">
        <v>8964</v>
      </c>
      <c r="E47" s="8" t="s">
        <v>169</v>
      </c>
      <c r="F47" s="8" t="s">
        <v>7057</v>
      </c>
      <c r="G47" s="8">
        <v>14</v>
      </c>
      <c r="H47" s="8" t="s">
        <v>7058</v>
      </c>
      <c r="I47" s="8"/>
      <c r="J47" s="8"/>
      <c r="K47" s="8"/>
      <c r="L47" s="8" t="s">
        <v>61</v>
      </c>
      <c r="M47" s="8"/>
      <c r="N47" s="8"/>
      <c r="O47" s="8"/>
      <c r="P47" s="8"/>
      <c r="Q47" s="8"/>
      <c r="R47" s="8"/>
      <c r="S47" s="8"/>
      <c r="T47" s="8" t="s">
        <v>3852</v>
      </c>
      <c r="U47" s="8" t="s">
        <v>3853</v>
      </c>
      <c r="V47" s="97"/>
      <c r="W47" s="8"/>
      <c r="X47" s="8"/>
      <c r="Y47" s="79"/>
      <c r="Z47" s="79"/>
      <c r="AA47" s="79"/>
      <c r="AB47" s="79"/>
      <c r="AC47" s="79"/>
      <c r="AD47" s="79"/>
      <c r="AE47" s="79"/>
      <c r="AF47" s="79"/>
    </row>
    <row r="48" spans="1:32" ht="15.75" customHeight="1" x14ac:dyDescent="0.15">
      <c r="A48" s="88">
        <v>41</v>
      </c>
      <c r="B48" s="88" t="s">
        <v>75</v>
      </c>
      <c r="C48" s="88" t="s">
        <v>2634</v>
      </c>
      <c r="D48" s="89" t="s">
        <v>8964</v>
      </c>
      <c r="E48" s="88" t="s">
        <v>169</v>
      </c>
      <c r="F48" s="88" t="s">
        <v>7057</v>
      </c>
      <c r="G48" s="88">
        <v>15</v>
      </c>
      <c r="H48" s="88" t="s">
        <v>7058</v>
      </c>
      <c r="I48" s="88"/>
      <c r="J48" s="88"/>
      <c r="K48" s="88"/>
      <c r="L48" s="88" t="s">
        <v>61</v>
      </c>
      <c r="M48" s="88"/>
      <c r="N48" s="88"/>
      <c r="O48" s="88"/>
      <c r="P48" s="88"/>
      <c r="Q48" s="88"/>
      <c r="R48" s="88"/>
      <c r="S48" s="88"/>
      <c r="T48" s="88" t="s">
        <v>3852</v>
      </c>
      <c r="U48" s="88" t="s">
        <v>3853</v>
      </c>
      <c r="V48" s="96"/>
      <c r="W48" s="88"/>
      <c r="X48" s="88"/>
      <c r="Y48" s="79"/>
      <c r="Z48" s="79"/>
      <c r="AA48" s="79"/>
      <c r="AB48" s="79"/>
      <c r="AC48" s="79"/>
      <c r="AD48" s="79"/>
      <c r="AE48" s="79"/>
      <c r="AF48" s="79"/>
    </row>
    <row r="49" spans="1:32" ht="15.75" customHeight="1" x14ac:dyDescent="0.15">
      <c r="A49" s="8">
        <v>42</v>
      </c>
      <c r="B49" s="8" t="s">
        <v>75</v>
      </c>
      <c r="C49" s="8" t="s">
        <v>2634</v>
      </c>
      <c r="D49" s="81" t="s">
        <v>9520</v>
      </c>
      <c r="E49" s="8" t="s">
        <v>169</v>
      </c>
      <c r="F49" s="8" t="s">
        <v>7057</v>
      </c>
      <c r="G49" s="8">
        <v>16</v>
      </c>
      <c r="H49" s="8" t="s">
        <v>7058</v>
      </c>
      <c r="I49" s="8" t="s">
        <v>171</v>
      </c>
      <c r="J49" s="8" t="s">
        <v>177</v>
      </c>
      <c r="K49" s="8" t="s">
        <v>173</v>
      </c>
      <c r="L49" s="8" t="s">
        <v>61</v>
      </c>
      <c r="M49" s="8"/>
      <c r="N49" s="8"/>
      <c r="O49" s="8"/>
      <c r="P49" s="8"/>
      <c r="Q49" s="8"/>
      <c r="R49" s="8"/>
      <c r="S49" s="8"/>
      <c r="T49" s="8" t="s">
        <v>3852</v>
      </c>
      <c r="U49" s="8" t="s">
        <v>3853</v>
      </c>
      <c r="V49" s="97"/>
      <c r="W49" s="8"/>
      <c r="X49" s="8"/>
      <c r="Y49" s="79"/>
      <c r="Z49" s="79"/>
      <c r="AA49" s="79"/>
      <c r="AB49" s="79"/>
      <c r="AC49" s="79"/>
      <c r="AD49" s="79"/>
      <c r="AE49" s="79"/>
      <c r="AF49" s="79"/>
    </row>
    <row r="50" spans="1:32" ht="15.75" customHeight="1" x14ac:dyDescent="0.15">
      <c r="A50" s="88">
        <v>43</v>
      </c>
      <c r="B50" s="88" t="s">
        <v>75</v>
      </c>
      <c r="C50" s="88" t="s">
        <v>2634</v>
      </c>
      <c r="D50" s="89" t="s">
        <v>9521</v>
      </c>
      <c r="E50" s="88" t="s">
        <v>169</v>
      </c>
      <c r="F50" s="88" t="s">
        <v>7057</v>
      </c>
      <c r="G50" s="88">
        <v>17</v>
      </c>
      <c r="H50" s="88" t="s">
        <v>7058</v>
      </c>
      <c r="I50" s="88" t="s">
        <v>171</v>
      </c>
      <c r="J50" s="88" t="s">
        <v>177</v>
      </c>
      <c r="K50" s="88" t="s">
        <v>173</v>
      </c>
      <c r="L50" s="88" t="s">
        <v>61</v>
      </c>
      <c r="M50" s="88"/>
      <c r="N50" s="88"/>
      <c r="O50" s="88"/>
      <c r="P50" s="88"/>
      <c r="Q50" s="88"/>
      <c r="R50" s="88"/>
      <c r="S50" s="88"/>
      <c r="T50" s="88" t="s">
        <v>3852</v>
      </c>
      <c r="U50" s="88" t="s">
        <v>3853</v>
      </c>
      <c r="V50" s="96"/>
      <c r="W50" s="88"/>
      <c r="X50" s="88"/>
      <c r="Y50" s="79"/>
      <c r="Z50" s="79"/>
      <c r="AA50" s="79"/>
      <c r="AB50" s="79"/>
      <c r="AC50" s="79"/>
      <c r="AD50" s="79"/>
      <c r="AE50" s="79"/>
      <c r="AF50" s="79"/>
    </row>
    <row r="51" spans="1:32" ht="15.75" customHeight="1" x14ac:dyDescent="0.15">
      <c r="A51" s="8">
        <v>44</v>
      </c>
      <c r="B51" s="8" t="s">
        <v>75</v>
      </c>
      <c r="C51" s="8" t="s">
        <v>2634</v>
      </c>
      <c r="D51" s="81" t="s">
        <v>8964</v>
      </c>
      <c r="E51" s="8" t="s">
        <v>169</v>
      </c>
      <c r="F51" s="8" t="s">
        <v>7057</v>
      </c>
      <c r="G51" s="8">
        <v>18</v>
      </c>
      <c r="H51" s="8" t="s">
        <v>7058</v>
      </c>
      <c r="I51" s="8"/>
      <c r="J51" s="8"/>
      <c r="K51" s="8"/>
      <c r="L51" s="8" t="s">
        <v>61</v>
      </c>
      <c r="M51" s="8"/>
      <c r="N51" s="8"/>
      <c r="O51" s="8"/>
      <c r="P51" s="8"/>
      <c r="Q51" s="8"/>
      <c r="R51" s="8"/>
      <c r="S51" s="8"/>
      <c r="T51" s="8" t="s">
        <v>3852</v>
      </c>
      <c r="U51" s="8" t="s">
        <v>3853</v>
      </c>
      <c r="V51" s="97"/>
      <c r="W51" s="8"/>
      <c r="X51" s="8"/>
      <c r="Y51" s="79"/>
      <c r="Z51" s="79"/>
      <c r="AA51" s="79"/>
      <c r="AB51" s="79"/>
      <c r="AC51" s="79"/>
      <c r="AD51" s="79"/>
      <c r="AE51" s="79"/>
      <c r="AF51" s="79"/>
    </row>
    <row r="52" spans="1:32" ht="15.75" customHeight="1" x14ac:dyDescent="0.15">
      <c r="A52" s="88">
        <v>45</v>
      </c>
      <c r="B52" s="88" t="s">
        <v>75</v>
      </c>
      <c r="C52" s="88" t="s">
        <v>2634</v>
      </c>
      <c r="D52" s="89" t="s">
        <v>8964</v>
      </c>
      <c r="E52" s="88" t="s">
        <v>169</v>
      </c>
      <c r="F52" s="88" t="s">
        <v>7057</v>
      </c>
      <c r="G52" s="88">
        <v>19</v>
      </c>
      <c r="H52" s="88" t="s">
        <v>7058</v>
      </c>
      <c r="I52" s="88"/>
      <c r="J52" s="88"/>
      <c r="K52" s="88"/>
      <c r="L52" s="88" t="s">
        <v>61</v>
      </c>
      <c r="M52" s="88"/>
      <c r="N52" s="88"/>
      <c r="O52" s="88"/>
      <c r="P52" s="88"/>
      <c r="Q52" s="88"/>
      <c r="R52" s="88"/>
      <c r="S52" s="88"/>
      <c r="T52" s="88" t="s">
        <v>3852</v>
      </c>
      <c r="U52" s="88" t="s">
        <v>3853</v>
      </c>
      <c r="V52" s="96"/>
      <c r="W52" s="88"/>
      <c r="X52" s="88"/>
      <c r="Y52" s="79"/>
      <c r="Z52" s="79"/>
      <c r="AA52" s="79"/>
      <c r="AB52" s="79"/>
      <c r="AC52" s="79"/>
      <c r="AD52" s="79"/>
      <c r="AE52" s="79"/>
      <c r="AF52" s="79"/>
    </row>
    <row r="53" spans="1:32" ht="15.75" customHeight="1" x14ac:dyDescent="0.15">
      <c r="A53" s="8">
        <v>46</v>
      </c>
      <c r="B53" s="8" t="s">
        <v>75</v>
      </c>
      <c r="C53" s="8" t="s">
        <v>2634</v>
      </c>
      <c r="D53" s="81" t="s">
        <v>8964</v>
      </c>
      <c r="E53" s="8" t="s">
        <v>169</v>
      </c>
      <c r="F53" s="8" t="s">
        <v>7057</v>
      </c>
      <c r="G53" s="8">
        <v>20</v>
      </c>
      <c r="H53" s="8" t="s">
        <v>7058</v>
      </c>
      <c r="I53" s="8"/>
      <c r="J53" s="8"/>
      <c r="K53" s="8"/>
      <c r="L53" s="8" t="s">
        <v>61</v>
      </c>
      <c r="M53" s="8"/>
      <c r="N53" s="8"/>
      <c r="O53" s="8"/>
      <c r="P53" s="8"/>
      <c r="Q53" s="8"/>
      <c r="R53" s="8"/>
      <c r="S53" s="8"/>
      <c r="T53" s="8" t="s">
        <v>3852</v>
      </c>
      <c r="U53" s="8" t="s">
        <v>3853</v>
      </c>
      <c r="V53" s="97"/>
      <c r="W53" s="8"/>
      <c r="X53" s="8"/>
      <c r="Y53" s="79"/>
      <c r="Z53" s="79"/>
      <c r="AA53" s="79"/>
      <c r="AB53" s="79"/>
      <c r="AC53" s="79"/>
      <c r="AD53" s="79"/>
      <c r="AE53" s="79"/>
      <c r="AF53" s="79"/>
    </row>
    <row r="54" spans="1:32" ht="15.75" customHeight="1" x14ac:dyDescent="0.15">
      <c r="A54" s="88">
        <v>47</v>
      </c>
      <c r="B54" s="88" t="s">
        <v>75</v>
      </c>
      <c r="C54" s="88" t="s">
        <v>2634</v>
      </c>
      <c r="D54" s="89" t="s">
        <v>9522</v>
      </c>
      <c r="E54" s="88" t="s">
        <v>169</v>
      </c>
      <c r="F54" s="88" t="s">
        <v>7057</v>
      </c>
      <c r="G54" s="88">
        <v>21</v>
      </c>
      <c r="H54" s="88" t="s">
        <v>7058</v>
      </c>
      <c r="I54" s="88" t="s">
        <v>171</v>
      </c>
      <c r="J54" s="88" t="s">
        <v>177</v>
      </c>
      <c r="K54" s="88" t="s">
        <v>173</v>
      </c>
      <c r="L54" s="88" t="s">
        <v>61</v>
      </c>
      <c r="M54" s="88"/>
      <c r="N54" s="88"/>
      <c r="O54" s="88"/>
      <c r="P54" s="88"/>
      <c r="Q54" s="88"/>
      <c r="R54" s="88"/>
      <c r="S54" s="88"/>
      <c r="T54" s="88" t="s">
        <v>3852</v>
      </c>
      <c r="U54" s="88" t="s">
        <v>3853</v>
      </c>
      <c r="V54" s="96"/>
      <c r="W54" s="88"/>
      <c r="X54" s="88"/>
      <c r="Y54" s="79"/>
      <c r="Z54" s="79"/>
      <c r="AA54" s="79"/>
      <c r="AB54" s="79"/>
      <c r="AC54" s="79"/>
      <c r="AD54" s="79"/>
      <c r="AE54" s="79"/>
      <c r="AF54" s="79"/>
    </row>
    <row r="55" spans="1:32" ht="15.75" customHeight="1" x14ac:dyDescent="0.15">
      <c r="A55" s="8">
        <v>48</v>
      </c>
      <c r="B55" s="8" t="s">
        <v>75</v>
      </c>
      <c r="C55" s="8" t="s">
        <v>2634</v>
      </c>
      <c r="D55" s="81" t="s">
        <v>9523</v>
      </c>
      <c r="E55" s="8" t="s">
        <v>169</v>
      </c>
      <c r="F55" s="8" t="s">
        <v>7057</v>
      </c>
      <c r="G55" s="8">
        <v>22</v>
      </c>
      <c r="H55" s="8" t="s">
        <v>7058</v>
      </c>
      <c r="I55" s="8" t="s">
        <v>171</v>
      </c>
      <c r="J55" s="8" t="s">
        <v>177</v>
      </c>
      <c r="K55" s="8" t="s">
        <v>173</v>
      </c>
      <c r="L55" s="8" t="s">
        <v>61</v>
      </c>
      <c r="M55" s="8"/>
      <c r="N55" s="8"/>
      <c r="O55" s="8"/>
      <c r="P55" s="8"/>
      <c r="Q55" s="8"/>
      <c r="R55" s="8"/>
      <c r="S55" s="8"/>
      <c r="T55" s="8" t="s">
        <v>3852</v>
      </c>
      <c r="U55" s="8" t="s">
        <v>3853</v>
      </c>
      <c r="V55" s="97"/>
      <c r="W55" s="8"/>
      <c r="X55" s="8"/>
      <c r="Y55" s="79"/>
      <c r="Z55" s="79"/>
      <c r="AA55" s="79"/>
      <c r="AB55" s="79"/>
      <c r="AC55" s="79"/>
      <c r="AD55" s="79"/>
      <c r="AE55" s="79"/>
      <c r="AF55" s="79"/>
    </row>
    <row r="56" spans="1:32" ht="15.75" customHeight="1" x14ac:dyDescent="0.15">
      <c r="A56" s="88">
        <v>49</v>
      </c>
      <c r="B56" s="88" t="s">
        <v>75</v>
      </c>
      <c r="C56" s="88" t="s">
        <v>2634</v>
      </c>
      <c r="D56" s="89" t="s">
        <v>8964</v>
      </c>
      <c r="E56" s="88" t="s">
        <v>169</v>
      </c>
      <c r="F56" s="88" t="s">
        <v>7057</v>
      </c>
      <c r="G56" s="88">
        <v>23</v>
      </c>
      <c r="H56" s="88" t="s">
        <v>7058</v>
      </c>
      <c r="I56" s="88"/>
      <c r="J56" s="88"/>
      <c r="K56" s="88"/>
      <c r="L56" s="88" t="s">
        <v>61</v>
      </c>
      <c r="M56" s="88"/>
      <c r="N56" s="88"/>
      <c r="O56" s="88"/>
      <c r="P56" s="88"/>
      <c r="Q56" s="88"/>
      <c r="R56" s="88"/>
      <c r="S56" s="88"/>
      <c r="T56" s="88" t="s">
        <v>3852</v>
      </c>
      <c r="U56" s="88" t="s">
        <v>3853</v>
      </c>
      <c r="V56" s="96"/>
      <c r="W56" s="88"/>
      <c r="X56" s="88"/>
      <c r="Y56" s="79"/>
      <c r="Z56" s="79"/>
      <c r="AA56" s="79"/>
      <c r="AB56" s="79"/>
      <c r="AC56" s="79"/>
      <c r="AD56" s="79"/>
      <c r="AE56" s="79"/>
      <c r="AF56" s="79"/>
    </row>
    <row r="57" spans="1:32" ht="15.75" customHeight="1" x14ac:dyDescent="0.15">
      <c r="A57" s="8">
        <v>50</v>
      </c>
      <c r="B57" s="8" t="s">
        <v>75</v>
      </c>
      <c r="C57" s="8" t="s">
        <v>2634</v>
      </c>
      <c r="D57" s="81" t="s">
        <v>9524</v>
      </c>
      <c r="E57" s="8" t="s">
        <v>169</v>
      </c>
      <c r="F57" s="8" t="s">
        <v>7057</v>
      </c>
      <c r="G57" s="8">
        <v>24</v>
      </c>
      <c r="H57" s="8" t="s">
        <v>7058</v>
      </c>
      <c r="I57" s="8" t="s">
        <v>171</v>
      </c>
      <c r="J57" s="8" t="s">
        <v>177</v>
      </c>
      <c r="K57" s="8" t="s">
        <v>173</v>
      </c>
      <c r="L57" s="8" t="s">
        <v>61</v>
      </c>
      <c r="M57" s="8"/>
      <c r="N57" s="8"/>
      <c r="O57" s="8"/>
      <c r="P57" s="8"/>
      <c r="Q57" s="8"/>
      <c r="R57" s="8"/>
      <c r="S57" s="8"/>
      <c r="T57" s="8" t="s">
        <v>3852</v>
      </c>
      <c r="U57" s="8" t="s">
        <v>3853</v>
      </c>
      <c r="V57" s="97"/>
      <c r="W57" s="8"/>
      <c r="X57" s="8"/>
      <c r="Y57" s="79"/>
      <c r="Z57" s="79"/>
      <c r="AA57" s="79"/>
      <c r="AB57" s="79"/>
      <c r="AC57" s="79"/>
      <c r="AD57" s="79"/>
      <c r="AE57" s="79"/>
      <c r="AF57" s="79"/>
    </row>
    <row r="58" spans="1:32" ht="15.75" customHeight="1" x14ac:dyDescent="0.15">
      <c r="A58" s="88">
        <v>51</v>
      </c>
      <c r="B58" s="88" t="s">
        <v>75</v>
      </c>
      <c r="C58" s="88" t="s">
        <v>2634</v>
      </c>
      <c r="D58" s="89" t="s">
        <v>9525</v>
      </c>
      <c r="E58" s="88" t="s">
        <v>169</v>
      </c>
      <c r="F58" s="88" t="s">
        <v>7057</v>
      </c>
      <c r="G58" s="88">
        <v>25</v>
      </c>
      <c r="H58" s="88" t="s">
        <v>7058</v>
      </c>
      <c r="I58" s="88" t="s">
        <v>171</v>
      </c>
      <c r="J58" s="88" t="s">
        <v>177</v>
      </c>
      <c r="K58" s="88" t="s">
        <v>173</v>
      </c>
      <c r="L58" s="88" t="s">
        <v>61</v>
      </c>
      <c r="M58" s="88"/>
      <c r="N58" s="88"/>
      <c r="O58" s="88"/>
      <c r="P58" s="88"/>
      <c r="Q58" s="88"/>
      <c r="R58" s="88"/>
      <c r="S58" s="88"/>
      <c r="T58" s="88" t="s">
        <v>3852</v>
      </c>
      <c r="U58" s="88" t="s">
        <v>3853</v>
      </c>
      <c r="V58" s="96"/>
      <c r="W58" s="88"/>
      <c r="X58" s="88"/>
      <c r="Y58" s="79"/>
      <c r="Z58" s="79"/>
      <c r="AA58" s="79"/>
      <c r="AB58" s="79"/>
      <c r="AC58" s="79"/>
      <c r="AD58" s="79"/>
      <c r="AE58" s="79"/>
      <c r="AF58" s="79"/>
    </row>
    <row r="59" spans="1:32" ht="15.75" customHeight="1" x14ac:dyDescent="0.15">
      <c r="A59" s="8">
        <v>52</v>
      </c>
      <c r="B59" s="8" t="s">
        <v>75</v>
      </c>
      <c r="C59" s="8" t="s">
        <v>2634</v>
      </c>
      <c r="D59" s="81" t="s">
        <v>9526</v>
      </c>
      <c r="E59" s="8" t="s">
        <v>169</v>
      </c>
      <c r="F59" s="8" t="s">
        <v>7057</v>
      </c>
      <c r="G59" s="8">
        <v>26</v>
      </c>
      <c r="H59" s="8" t="s">
        <v>7058</v>
      </c>
      <c r="I59" s="8" t="s">
        <v>171</v>
      </c>
      <c r="J59" s="8" t="s">
        <v>177</v>
      </c>
      <c r="K59" s="8" t="s">
        <v>173</v>
      </c>
      <c r="L59" s="8" t="s">
        <v>61</v>
      </c>
      <c r="M59" s="8"/>
      <c r="N59" s="8"/>
      <c r="O59" s="8"/>
      <c r="P59" s="8"/>
      <c r="Q59" s="8"/>
      <c r="R59" s="8"/>
      <c r="S59" s="8"/>
      <c r="T59" s="8" t="s">
        <v>3852</v>
      </c>
      <c r="U59" s="8" t="s">
        <v>3853</v>
      </c>
      <c r="V59" s="97"/>
      <c r="W59" s="8"/>
      <c r="X59" s="8"/>
      <c r="Y59" s="79"/>
      <c r="Z59" s="79"/>
      <c r="AA59" s="79"/>
      <c r="AB59" s="79"/>
      <c r="AC59" s="79"/>
      <c r="AD59" s="79"/>
      <c r="AE59" s="79"/>
      <c r="AF59" s="79"/>
    </row>
    <row r="60" spans="1:32" ht="15.75" customHeight="1" x14ac:dyDescent="0.15">
      <c r="A60" s="88">
        <v>53</v>
      </c>
      <c r="B60" s="88" t="s">
        <v>75</v>
      </c>
      <c r="C60" s="88" t="s">
        <v>2634</v>
      </c>
      <c r="D60" s="89" t="s">
        <v>9527</v>
      </c>
      <c r="E60" s="88" t="s">
        <v>169</v>
      </c>
      <c r="F60" s="88" t="s">
        <v>7057</v>
      </c>
      <c r="G60" s="88">
        <v>27</v>
      </c>
      <c r="H60" s="88" t="s">
        <v>7058</v>
      </c>
      <c r="I60" s="88" t="s">
        <v>171</v>
      </c>
      <c r="J60" s="88" t="s">
        <v>177</v>
      </c>
      <c r="K60" s="88" t="s">
        <v>173</v>
      </c>
      <c r="L60" s="88" t="s">
        <v>61</v>
      </c>
      <c r="M60" s="88"/>
      <c r="N60" s="88"/>
      <c r="O60" s="88"/>
      <c r="P60" s="88"/>
      <c r="Q60" s="88"/>
      <c r="R60" s="88"/>
      <c r="S60" s="88"/>
      <c r="T60" s="88" t="s">
        <v>3852</v>
      </c>
      <c r="U60" s="88" t="s">
        <v>3853</v>
      </c>
      <c r="V60" s="96"/>
      <c r="W60" s="88"/>
      <c r="X60" s="88"/>
      <c r="Y60" s="79"/>
      <c r="Z60" s="79"/>
      <c r="AA60" s="79"/>
      <c r="AB60" s="79"/>
      <c r="AC60" s="79"/>
      <c r="AD60" s="79"/>
      <c r="AE60" s="79"/>
      <c r="AF60" s="79"/>
    </row>
    <row r="61" spans="1:32" ht="15.75" customHeight="1" x14ac:dyDescent="0.15">
      <c r="A61" s="8">
        <v>54</v>
      </c>
      <c r="B61" s="8" t="s">
        <v>75</v>
      </c>
      <c r="C61" s="8" t="s">
        <v>2634</v>
      </c>
      <c r="D61" s="81" t="s">
        <v>9528</v>
      </c>
      <c r="E61" s="8" t="s">
        <v>169</v>
      </c>
      <c r="F61" s="8" t="s">
        <v>7057</v>
      </c>
      <c r="G61" s="8">
        <v>28</v>
      </c>
      <c r="H61" s="8" t="s">
        <v>7058</v>
      </c>
      <c r="I61" s="8" t="s">
        <v>171</v>
      </c>
      <c r="J61" s="8" t="s">
        <v>177</v>
      </c>
      <c r="K61" s="8" t="s">
        <v>173</v>
      </c>
      <c r="L61" s="8" t="s">
        <v>61</v>
      </c>
      <c r="M61" s="8"/>
      <c r="N61" s="8"/>
      <c r="O61" s="8"/>
      <c r="P61" s="8"/>
      <c r="Q61" s="8"/>
      <c r="R61" s="8"/>
      <c r="S61" s="8"/>
      <c r="T61" s="8" t="s">
        <v>3852</v>
      </c>
      <c r="U61" s="8" t="s">
        <v>3853</v>
      </c>
      <c r="V61" s="97"/>
      <c r="W61" s="8"/>
      <c r="X61" s="8"/>
      <c r="Y61" s="79"/>
      <c r="Z61" s="79"/>
      <c r="AA61" s="79"/>
      <c r="AB61" s="79"/>
      <c r="AC61" s="79"/>
      <c r="AD61" s="79"/>
      <c r="AE61" s="79"/>
      <c r="AF61" s="79"/>
    </row>
    <row r="62" spans="1:32" ht="15.75" customHeight="1" x14ac:dyDescent="0.15">
      <c r="A62" s="88">
        <v>55</v>
      </c>
      <c r="B62" s="88" t="s">
        <v>75</v>
      </c>
      <c r="C62" s="88" t="s">
        <v>2634</v>
      </c>
      <c r="D62" s="89" t="s">
        <v>9529</v>
      </c>
      <c r="E62" s="88" t="s">
        <v>169</v>
      </c>
      <c r="F62" s="88" t="s">
        <v>7057</v>
      </c>
      <c r="G62" s="88">
        <v>29</v>
      </c>
      <c r="H62" s="88" t="s">
        <v>7058</v>
      </c>
      <c r="I62" s="88" t="s">
        <v>171</v>
      </c>
      <c r="J62" s="88" t="s">
        <v>177</v>
      </c>
      <c r="K62" s="88" t="s">
        <v>173</v>
      </c>
      <c r="L62" s="88" t="s">
        <v>61</v>
      </c>
      <c r="M62" s="88"/>
      <c r="N62" s="88"/>
      <c r="O62" s="88"/>
      <c r="P62" s="88"/>
      <c r="Q62" s="88"/>
      <c r="R62" s="88"/>
      <c r="S62" s="88"/>
      <c r="T62" s="88" t="s">
        <v>3852</v>
      </c>
      <c r="U62" s="88" t="s">
        <v>3853</v>
      </c>
      <c r="V62" s="96"/>
      <c r="W62" s="88"/>
      <c r="X62" s="88"/>
      <c r="Y62" s="79"/>
      <c r="Z62" s="79"/>
      <c r="AA62" s="79"/>
      <c r="AB62" s="79"/>
      <c r="AC62" s="79"/>
      <c r="AD62" s="79"/>
      <c r="AE62" s="79"/>
      <c r="AF62" s="79"/>
    </row>
    <row r="63" spans="1:32" ht="15.75" customHeight="1" x14ac:dyDescent="0.15">
      <c r="A63" s="8">
        <v>56</v>
      </c>
      <c r="B63" s="8" t="s">
        <v>75</v>
      </c>
      <c r="C63" s="8" t="s">
        <v>2634</v>
      </c>
      <c r="D63" s="8" t="s">
        <v>8964</v>
      </c>
      <c r="E63" s="8" t="s">
        <v>169</v>
      </c>
      <c r="F63" s="8" t="s">
        <v>7057</v>
      </c>
      <c r="G63" s="8">
        <v>30</v>
      </c>
      <c r="H63" s="8" t="s">
        <v>7058</v>
      </c>
      <c r="I63" s="8"/>
      <c r="J63" s="8"/>
      <c r="K63" s="8"/>
      <c r="L63" s="8" t="s">
        <v>61</v>
      </c>
      <c r="M63" s="8"/>
      <c r="N63" s="8"/>
      <c r="O63" s="8"/>
      <c r="P63" s="8"/>
      <c r="Q63" s="8"/>
      <c r="R63" s="8"/>
      <c r="S63" s="8"/>
      <c r="T63" s="8" t="s">
        <v>3852</v>
      </c>
      <c r="U63" s="8" t="s">
        <v>3853</v>
      </c>
      <c r="V63" s="97"/>
      <c r="W63" s="8"/>
      <c r="X63" s="8"/>
      <c r="Y63" s="79"/>
      <c r="Z63" s="79"/>
      <c r="AA63" s="79"/>
      <c r="AB63" s="79"/>
      <c r="AC63" s="79"/>
      <c r="AD63" s="79"/>
      <c r="AE63" s="79"/>
      <c r="AF63" s="79"/>
    </row>
    <row r="64" spans="1:32" ht="15.75" customHeight="1" x14ac:dyDescent="0.15">
      <c r="A64" s="2">
        <v>57</v>
      </c>
      <c r="B64" s="90" t="s">
        <v>75</v>
      </c>
      <c r="C64" s="79" t="s">
        <v>2634</v>
      </c>
      <c r="D64" s="2" t="s">
        <v>8964</v>
      </c>
      <c r="E64" s="79" t="s">
        <v>169</v>
      </c>
      <c r="F64" s="79" t="s">
        <v>7057</v>
      </c>
      <c r="G64" s="79">
        <v>31</v>
      </c>
      <c r="H64" s="79" t="s">
        <v>7058</v>
      </c>
      <c r="I64" s="79"/>
      <c r="J64" s="79"/>
      <c r="K64" s="79"/>
      <c r="L64" s="79" t="s">
        <v>61</v>
      </c>
      <c r="M64" s="79"/>
      <c r="N64" s="79"/>
      <c r="O64" s="79"/>
      <c r="P64" s="8"/>
      <c r="Q64" s="79"/>
      <c r="R64" s="79"/>
      <c r="S64" s="79"/>
      <c r="T64" s="79" t="s">
        <v>3852</v>
      </c>
      <c r="U64" s="79" t="s">
        <v>3853</v>
      </c>
      <c r="V64" s="98"/>
      <c r="W64" s="79"/>
      <c r="X64" s="8"/>
      <c r="Y64" s="82"/>
      <c r="Z64" s="79"/>
      <c r="AA64" s="79"/>
      <c r="AB64" s="79"/>
      <c r="AC64" s="81"/>
      <c r="AD64" s="79"/>
      <c r="AE64" s="79"/>
      <c r="AF64" s="79"/>
    </row>
    <row r="65" spans="1:32" ht="15.75" customHeight="1" x14ac:dyDescent="0.15">
      <c r="A65" s="2">
        <v>58</v>
      </c>
      <c r="B65" s="90" t="s">
        <v>75</v>
      </c>
      <c r="C65" s="79" t="s">
        <v>57</v>
      </c>
      <c r="D65" s="2" t="s">
        <v>8977</v>
      </c>
      <c r="E65" s="79" t="s">
        <v>165</v>
      </c>
      <c r="F65" s="79" t="s">
        <v>7059</v>
      </c>
      <c r="G65" s="79"/>
      <c r="H65" s="79" t="s">
        <v>7060</v>
      </c>
      <c r="I65" s="79"/>
      <c r="J65" s="79"/>
      <c r="K65" s="79"/>
      <c r="L65" s="79" t="s">
        <v>61</v>
      </c>
      <c r="M65" s="79">
        <v>1</v>
      </c>
      <c r="N65" s="79">
        <v>-32768</v>
      </c>
      <c r="O65" s="79">
        <v>32767</v>
      </c>
      <c r="P65" s="90">
        <v>-32768</v>
      </c>
      <c r="Q65" s="79">
        <v>32767</v>
      </c>
      <c r="R65" s="79"/>
      <c r="S65" s="79"/>
      <c r="T65" s="79" t="s">
        <v>6375</v>
      </c>
      <c r="U65" s="79" t="s">
        <v>3825</v>
      </c>
      <c r="V65" s="99"/>
      <c r="W65" s="79"/>
      <c r="X65" s="90"/>
      <c r="Y65" s="92"/>
      <c r="Z65" s="79"/>
      <c r="AA65" s="79"/>
      <c r="AB65" s="79"/>
      <c r="AC65" s="91"/>
      <c r="AD65" s="79"/>
      <c r="AE65" s="79"/>
      <c r="AF65" s="79"/>
    </row>
    <row r="66" spans="1:32" ht="15.75" customHeight="1" x14ac:dyDescent="0.15">
      <c r="A66" s="2">
        <v>59</v>
      </c>
      <c r="B66" s="90" t="s">
        <v>75</v>
      </c>
      <c r="C66" s="79" t="s">
        <v>57</v>
      </c>
      <c r="D66" s="2" t="s">
        <v>8964</v>
      </c>
      <c r="E66" s="79" t="s">
        <v>169</v>
      </c>
      <c r="F66" s="79" t="s">
        <v>7059</v>
      </c>
      <c r="G66" s="79">
        <v>0</v>
      </c>
      <c r="H66" s="79" t="s">
        <v>7060</v>
      </c>
      <c r="I66" s="79" t="s">
        <v>171</v>
      </c>
      <c r="J66" s="79" t="s">
        <v>177</v>
      </c>
      <c r="K66" s="79" t="s">
        <v>173</v>
      </c>
      <c r="L66" s="79" t="s">
        <v>2276</v>
      </c>
      <c r="M66" s="79"/>
      <c r="N66" s="79"/>
      <c r="O66" s="79"/>
      <c r="P66" s="90"/>
      <c r="Q66" s="79"/>
      <c r="R66" s="79"/>
      <c r="S66" s="79"/>
      <c r="T66" s="79" t="s">
        <v>3852</v>
      </c>
      <c r="U66" s="79" t="s">
        <v>3853</v>
      </c>
      <c r="V66" s="99"/>
      <c r="W66" s="79"/>
      <c r="X66" s="90"/>
      <c r="Y66" s="92"/>
      <c r="Z66" s="79"/>
      <c r="AA66" s="79"/>
      <c r="AB66" s="79"/>
      <c r="AC66" s="91"/>
      <c r="AD66" s="79"/>
      <c r="AE66" s="79"/>
      <c r="AF66" s="79"/>
    </row>
    <row r="67" spans="1:32" ht="15.75" customHeight="1" x14ac:dyDescent="0.15">
      <c r="A67" s="2">
        <v>60</v>
      </c>
      <c r="B67" s="90" t="s">
        <v>75</v>
      </c>
      <c r="C67" s="79" t="s">
        <v>57</v>
      </c>
      <c r="D67" s="2" t="s">
        <v>8964</v>
      </c>
      <c r="E67" s="79" t="s">
        <v>169</v>
      </c>
      <c r="F67" s="79" t="s">
        <v>7059</v>
      </c>
      <c r="G67" s="79">
        <v>1</v>
      </c>
      <c r="H67" s="79" t="s">
        <v>7060</v>
      </c>
      <c r="I67" s="79" t="s">
        <v>171</v>
      </c>
      <c r="J67" s="79" t="s">
        <v>177</v>
      </c>
      <c r="K67" s="79" t="s">
        <v>173</v>
      </c>
      <c r="L67" s="79" t="s">
        <v>2276</v>
      </c>
      <c r="M67" s="79"/>
      <c r="N67" s="79"/>
      <c r="O67" s="79"/>
      <c r="P67" s="90"/>
      <c r="Q67" s="79"/>
      <c r="R67" s="79"/>
      <c r="S67" s="79"/>
      <c r="T67" s="79" t="s">
        <v>3852</v>
      </c>
      <c r="U67" s="79" t="s">
        <v>3853</v>
      </c>
      <c r="V67" s="99"/>
      <c r="W67" s="79"/>
      <c r="X67" s="90"/>
      <c r="Y67" s="92"/>
      <c r="Z67" s="79"/>
      <c r="AA67" s="79"/>
      <c r="AB67" s="79"/>
      <c r="AC67" s="91"/>
      <c r="AD67" s="79"/>
      <c r="AE67" s="79"/>
      <c r="AF67" s="79"/>
    </row>
    <row r="68" spans="1:32" ht="15.75" customHeight="1" x14ac:dyDescent="0.15">
      <c r="A68" s="2">
        <v>61</v>
      </c>
      <c r="B68" s="90" t="s">
        <v>75</v>
      </c>
      <c r="C68" s="79" t="s">
        <v>57</v>
      </c>
      <c r="D68" s="2" t="s">
        <v>9530</v>
      </c>
      <c r="E68" s="79" t="s">
        <v>169</v>
      </c>
      <c r="F68" s="79" t="s">
        <v>7059</v>
      </c>
      <c r="G68" s="79">
        <v>2</v>
      </c>
      <c r="H68" s="79" t="s">
        <v>7060</v>
      </c>
      <c r="I68" s="79" t="s">
        <v>171</v>
      </c>
      <c r="J68" s="79" t="s">
        <v>177</v>
      </c>
      <c r="K68" s="79" t="s">
        <v>173</v>
      </c>
      <c r="L68" s="79" t="s">
        <v>2276</v>
      </c>
      <c r="M68" s="79"/>
      <c r="N68" s="79"/>
      <c r="O68" s="79"/>
      <c r="P68" s="90"/>
      <c r="Q68" s="79"/>
      <c r="R68" s="79"/>
      <c r="S68" s="79"/>
      <c r="T68" s="79" t="s">
        <v>3852</v>
      </c>
      <c r="U68" s="79" t="s">
        <v>3853</v>
      </c>
      <c r="V68" s="99"/>
      <c r="W68" s="79"/>
      <c r="X68" s="90"/>
      <c r="Y68" s="92"/>
      <c r="Z68" s="79"/>
      <c r="AA68" s="79"/>
      <c r="AB68" s="79"/>
      <c r="AC68" s="91"/>
      <c r="AD68" s="79"/>
      <c r="AE68" s="79"/>
      <c r="AF68" s="79"/>
    </row>
    <row r="69" spans="1:32" ht="15.75" customHeight="1" x14ac:dyDescent="0.15">
      <c r="A69" s="2">
        <v>62</v>
      </c>
      <c r="B69" s="90" t="s">
        <v>75</v>
      </c>
      <c r="C69" s="79" t="s">
        <v>57</v>
      </c>
      <c r="D69" s="2" t="s">
        <v>9531</v>
      </c>
      <c r="E69" s="79" t="s">
        <v>169</v>
      </c>
      <c r="F69" s="79" t="s">
        <v>7059</v>
      </c>
      <c r="G69" s="79">
        <v>3</v>
      </c>
      <c r="H69" s="79" t="s">
        <v>7060</v>
      </c>
      <c r="I69" s="79" t="s">
        <v>171</v>
      </c>
      <c r="J69" s="79" t="s">
        <v>177</v>
      </c>
      <c r="K69" s="79" t="s">
        <v>173</v>
      </c>
      <c r="L69" s="79" t="s">
        <v>2276</v>
      </c>
      <c r="M69" s="79"/>
      <c r="N69" s="79"/>
      <c r="O69" s="79"/>
      <c r="P69" s="90"/>
      <c r="Q69" s="79"/>
      <c r="R69" s="79"/>
      <c r="S69" s="79"/>
      <c r="T69" s="79" t="s">
        <v>3852</v>
      </c>
      <c r="U69" s="79" t="s">
        <v>3853</v>
      </c>
      <c r="V69" s="99"/>
      <c r="W69" s="79"/>
      <c r="X69" s="90"/>
      <c r="Y69" s="92"/>
      <c r="Z69" s="79"/>
      <c r="AA69" s="79"/>
      <c r="AB69" s="79"/>
      <c r="AC69" s="91"/>
      <c r="AD69" s="79"/>
      <c r="AE69" s="79"/>
      <c r="AF69" s="79"/>
    </row>
    <row r="70" spans="1:32" ht="15.75" customHeight="1" x14ac:dyDescent="0.15">
      <c r="A70" s="2">
        <v>63</v>
      </c>
      <c r="B70" s="90" t="s">
        <v>75</v>
      </c>
      <c r="C70" s="79" t="s">
        <v>57</v>
      </c>
      <c r="D70" s="2" t="s">
        <v>9532</v>
      </c>
      <c r="E70" s="79" t="s">
        <v>169</v>
      </c>
      <c r="F70" s="79" t="s">
        <v>7059</v>
      </c>
      <c r="G70" s="79">
        <v>4</v>
      </c>
      <c r="H70" s="79" t="s">
        <v>7060</v>
      </c>
      <c r="I70" s="79" t="s">
        <v>171</v>
      </c>
      <c r="J70" s="79" t="s">
        <v>177</v>
      </c>
      <c r="K70" s="79" t="s">
        <v>173</v>
      </c>
      <c r="L70" s="79" t="s">
        <v>2276</v>
      </c>
      <c r="M70" s="79"/>
      <c r="N70" s="79"/>
      <c r="O70" s="79"/>
      <c r="P70" s="90"/>
      <c r="Q70" s="79"/>
      <c r="R70" s="79"/>
      <c r="S70" s="79"/>
      <c r="T70" s="79" t="s">
        <v>3852</v>
      </c>
      <c r="U70" s="79" t="s">
        <v>3853</v>
      </c>
      <c r="V70" s="99"/>
      <c r="W70" s="79"/>
      <c r="X70" s="90"/>
      <c r="Y70" s="92"/>
      <c r="Z70" s="79"/>
      <c r="AA70" s="79"/>
      <c r="AB70" s="79"/>
      <c r="AC70" s="91"/>
      <c r="AD70" s="79"/>
      <c r="AE70" s="79"/>
      <c r="AF70" s="79"/>
    </row>
    <row r="71" spans="1:32" ht="15.75" customHeight="1" x14ac:dyDescent="0.15">
      <c r="A71" s="2">
        <v>64</v>
      </c>
      <c r="B71" s="90" t="s">
        <v>75</v>
      </c>
      <c r="C71" s="79" t="s">
        <v>57</v>
      </c>
      <c r="D71" s="2" t="s">
        <v>8964</v>
      </c>
      <c r="E71" s="79" t="s">
        <v>169</v>
      </c>
      <c r="F71" s="79" t="s">
        <v>7059</v>
      </c>
      <c r="G71" s="79">
        <v>5</v>
      </c>
      <c r="H71" s="79" t="s">
        <v>7060</v>
      </c>
      <c r="I71" s="79" t="s">
        <v>171</v>
      </c>
      <c r="J71" s="79" t="s">
        <v>177</v>
      </c>
      <c r="K71" s="79" t="s">
        <v>173</v>
      </c>
      <c r="L71" s="79" t="s">
        <v>2276</v>
      </c>
      <c r="M71" s="79"/>
      <c r="N71" s="79"/>
      <c r="O71" s="79"/>
      <c r="P71" s="90"/>
      <c r="Q71" s="79"/>
      <c r="R71" s="79"/>
      <c r="S71" s="79"/>
      <c r="T71" s="79" t="s">
        <v>3852</v>
      </c>
      <c r="U71" s="79" t="s">
        <v>3853</v>
      </c>
      <c r="V71" s="99"/>
      <c r="W71" s="79"/>
      <c r="X71" s="90"/>
      <c r="Y71" s="92"/>
      <c r="Z71" s="79"/>
      <c r="AA71" s="79"/>
      <c r="AB71" s="79"/>
      <c r="AC71" s="91"/>
      <c r="AD71" s="79"/>
      <c r="AE71" s="79"/>
      <c r="AF71" s="79"/>
    </row>
    <row r="72" spans="1:32" ht="15.75" customHeight="1" x14ac:dyDescent="0.15">
      <c r="A72" s="2">
        <v>65</v>
      </c>
      <c r="B72" s="90" t="s">
        <v>75</v>
      </c>
      <c r="C72" s="79" t="s">
        <v>57</v>
      </c>
      <c r="D72" s="2" t="s">
        <v>8964</v>
      </c>
      <c r="E72" s="79" t="s">
        <v>169</v>
      </c>
      <c r="F72" s="79" t="s">
        <v>7059</v>
      </c>
      <c r="G72" s="79">
        <v>6</v>
      </c>
      <c r="H72" s="79" t="s">
        <v>7060</v>
      </c>
      <c r="I72" s="79" t="s">
        <v>171</v>
      </c>
      <c r="J72" s="79" t="s">
        <v>177</v>
      </c>
      <c r="K72" s="79" t="s">
        <v>173</v>
      </c>
      <c r="L72" s="79" t="s">
        <v>2276</v>
      </c>
      <c r="M72" s="79"/>
      <c r="N72" s="79"/>
      <c r="O72" s="79"/>
      <c r="P72" s="90"/>
      <c r="Q72" s="79"/>
      <c r="R72" s="79"/>
      <c r="S72" s="79"/>
      <c r="T72" s="79" t="s">
        <v>3852</v>
      </c>
      <c r="U72" s="79" t="s">
        <v>3853</v>
      </c>
      <c r="V72" s="99"/>
      <c r="W72" s="79"/>
      <c r="X72" s="90"/>
      <c r="Y72" s="92"/>
      <c r="Z72" s="79"/>
      <c r="AA72" s="79"/>
      <c r="AB72" s="79"/>
      <c r="AC72" s="91"/>
      <c r="AD72" s="79"/>
      <c r="AE72" s="79"/>
      <c r="AF72" s="79"/>
    </row>
    <row r="73" spans="1:32" ht="15.75" customHeight="1" x14ac:dyDescent="0.15">
      <c r="A73" s="2">
        <v>66</v>
      </c>
      <c r="B73" s="90" t="s">
        <v>75</v>
      </c>
      <c r="C73" s="79" t="s">
        <v>57</v>
      </c>
      <c r="D73" s="2" t="s">
        <v>9533</v>
      </c>
      <c r="E73" s="79" t="s">
        <v>169</v>
      </c>
      <c r="F73" s="79" t="s">
        <v>7059</v>
      </c>
      <c r="G73" s="79">
        <v>7</v>
      </c>
      <c r="H73" s="79" t="s">
        <v>7060</v>
      </c>
      <c r="I73" s="79" t="s">
        <v>171</v>
      </c>
      <c r="J73" s="79" t="s">
        <v>177</v>
      </c>
      <c r="K73" s="79" t="s">
        <v>173</v>
      </c>
      <c r="L73" s="79" t="s">
        <v>2276</v>
      </c>
      <c r="M73" s="79"/>
      <c r="N73" s="79"/>
      <c r="O73" s="79"/>
      <c r="P73" s="90"/>
      <c r="Q73" s="79"/>
      <c r="R73" s="79"/>
      <c r="S73" s="79"/>
      <c r="T73" s="79" t="s">
        <v>3852</v>
      </c>
      <c r="U73" s="79" t="s">
        <v>3853</v>
      </c>
      <c r="V73" s="99"/>
      <c r="W73" s="79"/>
      <c r="X73" s="90"/>
      <c r="Y73" s="92"/>
      <c r="Z73" s="79"/>
      <c r="AA73" s="79"/>
      <c r="AB73" s="79"/>
      <c r="AC73" s="91"/>
      <c r="AD73" s="79"/>
      <c r="AE73" s="79"/>
      <c r="AF73" s="79"/>
    </row>
    <row r="74" spans="1:32" ht="15.75" customHeight="1" x14ac:dyDescent="0.15">
      <c r="A74" s="2">
        <v>67</v>
      </c>
      <c r="B74" s="90" t="s">
        <v>75</v>
      </c>
      <c r="C74" s="79" t="s">
        <v>57</v>
      </c>
      <c r="D74" s="2" t="s">
        <v>9534</v>
      </c>
      <c r="E74" s="79" t="s">
        <v>169</v>
      </c>
      <c r="F74" s="79" t="s">
        <v>7059</v>
      </c>
      <c r="G74" s="79">
        <v>8</v>
      </c>
      <c r="H74" s="79" t="s">
        <v>7060</v>
      </c>
      <c r="I74" s="79" t="s">
        <v>171</v>
      </c>
      <c r="J74" s="79" t="s">
        <v>177</v>
      </c>
      <c r="K74" s="79" t="s">
        <v>173</v>
      </c>
      <c r="L74" s="79" t="s">
        <v>2276</v>
      </c>
      <c r="M74" s="79"/>
      <c r="N74" s="79"/>
      <c r="O74" s="79"/>
      <c r="P74" s="90"/>
      <c r="Q74" s="79"/>
      <c r="R74" s="79"/>
      <c r="S74" s="79"/>
      <c r="T74" s="79" t="s">
        <v>3852</v>
      </c>
      <c r="U74" s="79" t="s">
        <v>3853</v>
      </c>
      <c r="V74" s="99"/>
      <c r="W74" s="79"/>
      <c r="X74" s="90"/>
      <c r="Y74" s="92"/>
      <c r="Z74" s="79"/>
      <c r="AA74" s="79"/>
      <c r="AB74" s="79"/>
      <c r="AC74" s="91"/>
      <c r="AD74" s="79"/>
      <c r="AE74" s="79"/>
      <c r="AF74" s="79"/>
    </row>
    <row r="75" spans="1:32" ht="15.75" customHeight="1" x14ac:dyDescent="0.15">
      <c r="A75" s="2">
        <v>68</v>
      </c>
      <c r="B75" s="90" t="s">
        <v>75</v>
      </c>
      <c r="C75" s="79" t="s">
        <v>57</v>
      </c>
      <c r="D75" s="2" t="s">
        <v>9535</v>
      </c>
      <c r="E75" s="79" t="s">
        <v>169</v>
      </c>
      <c r="F75" s="79" t="s">
        <v>7059</v>
      </c>
      <c r="G75" s="79">
        <v>9</v>
      </c>
      <c r="H75" s="79" t="s">
        <v>7060</v>
      </c>
      <c r="I75" s="79" t="s">
        <v>171</v>
      </c>
      <c r="J75" s="79" t="s">
        <v>177</v>
      </c>
      <c r="K75" s="79" t="s">
        <v>173</v>
      </c>
      <c r="L75" s="79" t="s">
        <v>2276</v>
      </c>
      <c r="M75" s="79"/>
      <c r="N75" s="79"/>
      <c r="O75" s="79"/>
      <c r="P75" s="90"/>
      <c r="Q75" s="79"/>
      <c r="R75" s="79"/>
      <c r="S75" s="79"/>
      <c r="T75" s="79" t="s">
        <v>3852</v>
      </c>
      <c r="U75" s="79" t="s">
        <v>3853</v>
      </c>
      <c r="V75" s="99"/>
      <c r="W75" s="79"/>
      <c r="X75" s="90"/>
      <c r="Y75" s="92"/>
      <c r="Z75" s="79"/>
      <c r="AA75" s="79"/>
      <c r="AB75" s="79"/>
      <c r="AC75" s="91"/>
      <c r="AD75" s="79"/>
      <c r="AE75" s="79"/>
      <c r="AF75" s="79"/>
    </row>
    <row r="76" spans="1:32" ht="15.75" customHeight="1" x14ac:dyDescent="0.15">
      <c r="A76" s="2">
        <v>69</v>
      </c>
      <c r="B76" s="90" t="s">
        <v>75</v>
      </c>
      <c r="C76" s="79" t="s">
        <v>57</v>
      </c>
      <c r="D76" s="2" t="s">
        <v>9536</v>
      </c>
      <c r="E76" s="79" t="s">
        <v>169</v>
      </c>
      <c r="F76" s="79" t="s">
        <v>7059</v>
      </c>
      <c r="G76" s="79">
        <v>10</v>
      </c>
      <c r="H76" s="79" t="s">
        <v>7060</v>
      </c>
      <c r="I76" s="79" t="s">
        <v>171</v>
      </c>
      <c r="J76" s="79" t="s">
        <v>177</v>
      </c>
      <c r="K76" s="79" t="s">
        <v>173</v>
      </c>
      <c r="L76" s="79" t="s">
        <v>2276</v>
      </c>
      <c r="M76" s="79"/>
      <c r="N76" s="79"/>
      <c r="O76" s="79"/>
      <c r="P76" s="90"/>
      <c r="Q76" s="79"/>
      <c r="R76" s="79"/>
      <c r="S76" s="79"/>
      <c r="T76" s="79" t="s">
        <v>3852</v>
      </c>
      <c r="U76" s="79" t="s">
        <v>3853</v>
      </c>
      <c r="V76" s="99"/>
      <c r="W76" s="79"/>
      <c r="X76" s="90"/>
      <c r="Y76" s="92"/>
      <c r="Z76" s="79"/>
      <c r="AA76" s="79"/>
      <c r="AB76" s="79"/>
      <c r="AC76" s="91"/>
      <c r="AD76" s="79"/>
      <c r="AE76" s="79"/>
      <c r="AF76" s="79"/>
    </row>
    <row r="77" spans="1:32" ht="15.75" customHeight="1" x14ac:dyDescent="0.15">
      <c r="A77" s="2">
        <v>70</v>
      </c>
      <c r="B77" s="90" t="s">
        <v>75</v>
      </c>
      <c r="C77" s="79" t="s">
        <v>57</v>
      </c>
      <c r="D77" s="2" t="s">
        <v>9537</v>
      </c>
      <c r="E77" s="79" t="s">
        <v>169</v>
      </c>
      <c r="F77" s="79" t="s">
        <v>7059</v>
      </c>
      <c r="G77" s="79">
        <v>11</v>
      </c>
      <c r="H77" s="79" t="s">
        <v>7060</v>
      </c>
      <c r="I77" s="79" t="s">
        <v>171</v>
      </c>
      <c r="J77" s="79" t="s">
        <v>177</v>
      </c>
      <c r="K77" s="79" t="s">
        <v>173</v>
      </c>
      <c r="L77" s="79" t="s">
        <v>2276</v>
      </c>
      <c r="M77" s="79"/>
      <c r="N77" s="79"/>
      <c r="O77" s="79"/>
      <c r="P77" s="90"/>
      <c r="Q77" s="79"/>
      <c r="R77" s="79"/>
      <c r="S77" s="79"/>
      <c r="T77" s="79" t="s">
        <v>3852</v>
      </c>
      <c r="U77" s="79" t="s">
        <v>3853</v>
      </c>
      <c r="V77" s="99"/>
      <c r="W77" s="79"/>
      <c r="X77" s="90"/>
      <c r="Y77" s="92"/>
      <c r="Z77" s="79"/>
      <c r="AA77" s="79"/>
      <c r="AB77" s="79"/>
      <c r="AC77" s="91"/>
      <c r="AD77" s="79"/>
      <c r="AE77" s="79"/>
      <c r="AF77" s="79"/>
    </row>
    <row r="78" spans="1:32" ht="15.75" customHeight="1" x14ac:dyDescent="0.15">
      <c r="A78" s="2">
        <v>71</v>
      </c>
      <c r="B78" s="90" t="s">
        <v>75</v>
      </c>
      <c r="C78" s="79" t="s">
        <v>57</v>
      </c>
      <c r="D78" s="2" t="s">
        <v>8964</v>
      </c>
      <c r="E78" s="79" t="s">
        <v>169</v>
      </c>
      <c r="F78" s="79" t="s">
        <v>7059</v>
      </c>
      <c r="G78" s="79">
        <v>12</v>
      </c>
      <c r="H78" s="79" t="s">
        <v>7060</v>
      </c>
      <c r="I78" s="79" t="s">
        <v>171</v>
      </c>
      <c r="J78" s="79" t="s">
        <v>177</v>
      </c>
      <c r="K78" s="79" t="s">
        <v>173</v>
      </c>
      <c r="L78" s="79" t="s">
        <v>2276</v>
      </c>
      <c r="M78" s="79"/>
      <c r="N78" s="79"/>
      <c r="O78" s="79"/>
      <c r="P78" s="90"/>
      <c r="Q78" s="79"/>
      <c r="R78" s="79"/>
      <c r="S78" s="79"/>
      <c r="T78" s="79" t="s">
        <v>3852</v>
      </c>
      <c r="U78" s="79" t="s">
        <v>3853</v>
      </c>
      <c r="V78" s="99"/>
      <c r="W78" s="79"/>
      <c r="X78" s="90"/>
      <c r="Y78" s="92"/>
      <c r="Z78" s="79"/>
      <c r="AA78" s="79"/>
      <c r="AB78" s="79"/>
      <c r="AC78" s="91"/>
      <c r="AD78" s="79"/>
      <c r="AE78" s="79"/>
      <c r="AF78" s="79"/>
    </row>
    <row r="79" spans="1:32" ht="15.75" customHeight="1" x14ac:dyDescent="0.15">
      <c r="A79" s="2">
        <v>72</v>
      </c>
      <c r="B79" s="90" t="s">
        <v>75</v>
      </c>
      <c r="C79" s="79" t="s">
        <v>57</v>
      </c>
      <c r="D79" s="2" t="s">
        <v>9538</v>
      </c>
      <c r="E79" s="79" t="s">
        <v>169</v>
      </c>
      <c r="F79" s="79" t="s">
        <v>7059</v>
      </c>
      <c r="G79" s="79">
        <v>13</v>
      </c>
      <c r="H79" s="79" t="s">
        <v>7060</v>
      </c>
      <c r="I79" s="79" t="s">
        <v>171</v>
      </c>
      <c r="J79" s="79" t="s">
        <v>177</v>
      </c>
      <c r="K79" s="79" t="s">
        <v>173</v>
      </c>
      <c r="L79" s="79" t="s">
        <v>2276</v>
      </c>
      <c r="M79" s="79"/>
      <c r="N79" s="79"/>
      <c r="O79" s="79"/>
      <c r="P79" s="90"/>
      <c r="Q79" s="79"/>
      <c r="R79" s="79"/>
      <c r="S79" s="79"/>
      <c r="T79" s="79" t="s">
        <v>3852</v>
      </c>
      <c r="U79" s="79" t="s">
        <v>3853</v>
      </c>
      <c r="V79" s="99"/>
      <c r="W79" s="79"/>
      <c r="X79" s="90"/>
      <c r="Y79" s="92"/>
      <c r="Z79" s="79"/>
      <c r="AA79" s="79"/>
      <c r="AB79" s="79"/>
      <c r="AC79" s="91"/>
      <c r="AD79" s="79"/>
      <c r="AE79" s="79"/>
      <c r="AF79" s="79"/>
    </row>
    <row r="80" spans="1:32" ht="15.75" customHeight="1" x14ac:dyDescent="0.15">
      <c r="A80" s="2">
        <v>73</v>
      </c>
      <c r="B80" s="90" t="s">
        <v>75</v>
      </c>
      <c r="C80" s="79" t="s">
        <v>57</v>
      </c>
      <c r="D80" s="2" t="s">
        <v>9539</v>
      </c>
      <c r="E80" s="79" t="s">
        <v>169</v>
      </c>
      <c r="F80" s="79" t="s">
        <v>7059</v>
      </c>
      <c r="G80" s="79">
        <v>14</v>
      </c>
      <c r="H80" s="79" t="s">
        <v>7060</v>
      </c>
      <c r="I80" s="79" t="s">
        <v>171</v>
      </c>
      <c r="J80" s="79" t="s">
        <v>177</v>
      </c>
      <c r="K80" s="79" t="s">
        <v>173</v>
      </c>
      <c r="L80" s="79" t="s">
        <v>2276</v>
      </c>
      <c r="M80" s="79"/>
      <c r="N80" s="79"/>
      <c r="O80" s="79"/>
      <c r="P80" s="90"/>
      <c r="Q80" s="79"/>
      <c r="R80" s="79"/>
      <c r="S80" s="79"/>
      <c r="T80" s="79" t="s">
        <v>3852</v>
      </c>
      <c r="U80" s="79" t="s">
        <v>3853</v>
      </c>
      <c r="V80" s="99"/>
      <c r="W80" s="79"/>
      <c r="X80" s="90"/>
      <c r="Y80" s="92"/>
      <c r="Z80" s="79"/>
      <c r="AA80" s="79"/>
      <c r="AB80" s="79"/>
      <c r="AC80" s="91"/>
      <c r="AD80" s="79"/>
      <c r="AE80" s="79"/>
      <c r="AF80" s="79"/>
    </row>
    <row r="81" spans="1:32" ht="15.75" customHeight="1" x14ac:dyDescent="0.15">
      <c r="A81" s="2">
        <v>74</v>
      </c>
      <c r="B81" s="93" t="s">
        <v>75</v>
      </c>
      <c r="C81" s="79" t="s">
        <v>57</v>
      </c>
      <c r="D81" s="2" t="s">
        <v>8964</v>
      </c>
      <c r="E81" s="79" t="s">
        <v>169</v>
      </c>
      <c r="F81" s="79" t="s">
        <v>7059</v>
      </c>
      <c r="G81" s="79">
        <v>15</v>
      </c>
      <c r="H81" s="79" t="s">
        <v>7060</v>
      </c>
      <c r="I81" s="79" t="s">
        <v>171</v>
      </c>
      <c r="J81" s="79" t="s">
        <v>177</v>
      </c>
      <c r="K81" s="79" t="s">
        <v>173</v>
      </c>
      <c r="L81" s="79" t="s">
        <v>2276</v>
      </c>
      <c r="M81" s="79"/>
      <c r="N81" s="79"/>
      <c r="O81" s="79"/>
      <c r="P81" s="93"/>
      <c r="Q81" s="79"/>
      <c r="R81" s="79"/>
      <c r="S81" s="79"/>
      <c r="T81" s="79" t="s">
        <v>3852</v>
      </c>
      <c r="U81" s="79" t="s">
        <v>3853</v>
      </c>
      <c r="V81" s="100"/>
      <c r="W81" s="79"/>
      <c r="X81" s="93"/>
      <c r="Y81" s="95"/>
      <c r="Z81" s="79"/>
      <c r="AA81" s="79"/>
      <c r="AB81" s="79"/>
      <c r="AC81" s="94"/>
      <c r="AD81" s="79"/>
      <c r="AE81" s="79"/>
      <c r="AF81" s="79"/>
    </row>
    <row r="82" spans="1:32" ht="15.75" customHeight="1" x14ac:dyDescent="0.15">
      <c r="A82">
        <v>75</v>
      </c>
      <c r="B82" t="s">
        <v>75</v>
      </c>
      <c r="C82" t="s">
        <v>57</v>
      </c>
      <c r="D82" t="s">
        <v>8976</v>
      </c>
      <c r="E82" t="s">
        <v>165</v>
      </c>
      <c r="F82" t="s">
        <v>7061</v>
      </c>
      <c r="H82" t="s">
        <v>7062</v>
      </c>
      <c r="L82" t="s">
        <v>61</v>
      </c>
      <c r="M82">
        <v>1</v>
      </c>
      <c r="T82" t="s">
        <v>6886</v>
      </c>
      <c r="U82" t="s">
        <v>3825</v>
      </c>
    </row>
    <row r="83" spans="1:32" ht="15.75" customHeight="1" x14ac:dyDescent="0.15">
      <c r="A83">
        <v>76</v>
      </c>
      <c r="B83" t="s">
        <v>75</v>
      </c>
      <c r="C83" t="s">
        <v>57</v>
      </c>
      <c r="D83" t="s">
        <v>9540</v>
      </c>
      <c r="E83" t="s">
        <v>9541</v>
      </c>
      <c r="F83" t="s">
        <v>7061</v>
      </c>
      <c r="G83" t="s">
        <v>9542</v>
      </c>
      <c r="H83" t="s">
        <v>7062</v>
      </c>
      <c r="L83" t="s">
        <v>3722</v>
      </c>
      <c r="W83" t="s">
        <v>9543</v>
      </c>
      <c r="X83" t="s">
        <v>9544</v>
      </c>
    </row>
    <row r="84" spans="1:32" ht="15.75" customHeight="1" x14ac:dyDescent="0.15">
      <c r="A84">
        <v>77</v>
      </c>
      <c r="B84" t="s">
        <v>75</v>
      </c>
      <c r="C84" t="s">
        <v>57</v>
      </c>
      <c r="D84" t="s">
        <v>9545</v>
      </c>
      <c r="E84" t="s">
        <v>9541</v>
      </c>
      <c r="F84" t="s">
        <v>7061</v>
      </c>
      <c r="G84" t="s">
        <v>9546</v>
      </c>
      <c r="H84" t="s">
        <v>7062</v>
      </c>
      <c r="L84" t="s">
        <v>3722</v>
      </c>
      <c r="W84" t="s">
        <v>9547</v>
      </c>
      <c r="X84" t="s">
        <v>9548</v>
      </c>
    </row>
    <row r="85" spans="1:32" ht="15.75" customHeight="1" x14ac:dyDescent="0.15">
      <c r="A85">
        <v>78</v>
      </c>
      <c r="B85" t="s">
        <v>75</v>
      </c>
      <c r="C85" t="s">
        <v>57</v>
      </c>
      <c r="D85" t="s">
        <v>8975</v>
      </c>
      <c r="E85" t="s">
        <v>143</v>
      </c>
      <c r="F85" t="s">
        <v>7063</v>
      </c>
      <c r="H85" t="s">
        <v>7064</v>
      </c>
      <c r="L85" t="s">
        <v>6111</v>
      </c>
      <c r="M85">
        <v>100</v>
      </c>
      <c r="N85">
        <v>-32768</v>
      </c>
      <c r="O85">
        <v>32767</v>
      </c>
      <c r="P85">
        <v>-327.68</v>
      </c>
      <c r="Q85">
        <v>327.67</v>
      </c>
      <c r="T85" t="s">
        <v>3807</v>
      </c>
      <c r="U85" t="s">
        <v>3825</v>
      </c>
    </row>
    <row r="86" spans="1:32" ht="15.75" customHeight="1" x14ac:dyDescent="0.15">
      <c r="A86">
        <v>79</v>
      </c>
      <c r="B86" t="s">
        <v>75</v>
      </c>
      <c r="C86" t="s">
        <v>57</v>
      </c>
      <c r="D86" t="s">
        <v>8974</v>
      </c>
      <c r="E86" t="s">
        <v>143</v>
      </c>
      <c r="F86" t="s">
        <v>7065</v>
      </c>
      <c r="H86" t="s">
        <v>7066</v>
      </c>
      <c r="L86" t="s">
        <v>6111</v>
      </c>
      <c r="M86">
        <v>100</v>
      </c>
      <c r="N86">
        <v>-32768</v>
      </c>
      <c r="O86">
        <v>32767</v>
      </c>
      <c r="P86">
        <v>-327.68</v>
      </c>
      <c r="Q86">
        <v>327.67</v>
      </c>
      <c r="T86" t="s">
        <v>3807</v>
      </c>
      <c r="U86" t="s">
        <v>3825</v>
      </c>
    </row>
    <row r="87" spans="1:32" ht="15.75" customHeight="1" x14ac:dyDescent="0.15">
      <c r="A87">
        <v>80</v>
      </c>
      <c r="B87" t="s">
        <v>75</v>
      </c>
      <c r="C87" t="s">
        <v>2634</v>
      </c>
      <c r="D87" t="s">
        <v>8973</v>
      </c>
      <c r="E87" t="s">
        <v>143</v>
      </c>
      <c r="F87" t="s">
        <v>7067</v>
      </c>
      <c r="H87" t="s">
        <v>7068</v>
      </c>
      <c r="I87" t="s">
        <v>196</v>
      </c>
      <c r="J87" t="s">
        <v>3027</v>
      </c>
      <c r="K87" t="s">
        <v>3028</v>
      </c>
      <c r="L87" t="s">
        <v>2276</v>
      </c>
      <c r="M87">
        <v>1</v>
      </c>
      <c r="N87">
        <v>-32768</v>
      </c>
      <c r="O87">
        <v>32767</v>
      </c>
      <c r="P87">
        <v>-32768</v>
      </c>
      <c r="Q87">
        <v>32767</v>
      </c>
      <c r="T87" t="s">
        <v>3807</v>
      </c>
      <c r="U87" t="s">
        <v>3825</v>
      </c>
    </row>
    <row r="88" spans="1:32" ht="15.75" customHeight="1" x14ac:dyDescent="0.15">
      <c r="A88">
        <v>81</v>
      </c>
      <c r="B88" t="s">
        <v>75</v>
      </c>
      <c r="C88" t="s">
        <v>57</v>
      </c>
      <c r="D88" t="s">
        <v>8972</v>
      </c>
      <c r="E88" t="s">
        <v>143</v>
      </c>
      <c r="F88" t="s">
        <v>7069</v>
      </c>
      <c r="H88" t="s">
        <v>7070</v>
      </c>
      <c r="L88" t="s">
        <v>582</v>
      </c>
      <c r="M88">
        <v>1</v>
      </c>
      <c r="N88">
        <v>-32768</v>
      </c>
      <c r="O88">
        <v>32767</v>
      </c>
      <c r="P88">
        <v>-32768</v>
      </c>
      <c r="Q88">
        <v>32767</v>
      </c>
      <c r="T88" t="s">
        <v>3852</v>
      </c>
      <c r="U88" t="s">
        <v>3853</v>
      </c>
    </row>
    <row r="89" spans="1:32" ht="15.75" customHeight="1" x14ac:dyDescent="0.15">
      <c r="A89">
        <v>82</v>
      </c>
      <c r="B89" t="s">
        <v>75</v>
      </c>
      <c r="C89" t="s">
        <v>57</v>
      </c>
      <c r="D89" t="s">
        <v>8971</v>
      </c>
      <c r="E89" t="s">
        <v>143</v>
      </c>
      <c r="F89" t="s">
        <v>7071</v>
      </c>
      <c r="H89" t="s">
        <v>7072</v>
      </c>
      <c r="L89" t="s">
        <v>100</v>
      </c>
      <c r="M89">
        <v>1</v>
      </c>
      <c r="N89">
        <v>-32768</v>
      </c>
      <c r="O89">
        <v>32767</v>
      </c>
      <c r="P89">
        <v>-32768</v>
      </c>
      <c r="Q89">
        <v>32767</v>
      </c>
      <c r="T89" t="s">
        <v>3852</v>
      </c>
      <c r="U89" t="s">
        <v>3853</v>
      </c>
    </row>
    <row r="90" spans="1:32" ht="15.75" customHeight="1" x14ac:dyDescent="0.15">
      <c r="A90">
        <v>83</v>
      </c>
      <c r="B90" t="s">
        <v>75</v>
      </c>
      <c r="C90" t="s">
        <v>57</v>
      </c>
      <c r="D90" t="s">
        <v>8970</v>
      </c>
      <c r="E90" t="s">
        <v>143</v>
      </c>
      <c r="F90" t="s">
        <v>7073</v>
      </c>
      <c r="H90" t="s">
        <v>7074</v>
      </c>
      <c r="L90" t="s">
        <v>104</v>
      </c>
      <c r="M90">
        <v>1</v>
      </c>
      <c r="N90">
        <v>-32768</v>
      </c>
      <c r="O90">
        <v>32767</v>
      </c>
      <c r="P90">
        <v>-32768</v>
      </c>
      <c r="Q90">
        <v>32767</v>
      </c>
      <c r="T90" t="s">
        <v>3852</v>
      </c>
      <c r="U90" t="s">
        <v>3853</v>
      </c>
    </row>
    <row r="91" spans="1:32" ht="15.75" customHeight="1" x14ac:dyDescent="0.15">
      <c r="A91">
        <v>84</v>
      </c>
      <c r="B91" t="s">
        <v>75</v>
      </c>
      <c r="C91" t="s">
        <v>57</v>
      </c>
      <c r="D91" t="s">
        <v>8969</v>
      </c>
      <c r="E91" t="s">
        <v>143</v>
      </c>
      <c r="F91" t="s">
        <v>7075</v>
      </c>
      <c r="H91" t="s">
        <v>7076</v>
      </c>
      <c r="L91" t="s">
        <v>572</v>
      </c>
      <c r="M91">
        <v>1</v>
      </c>
      <c r="N91">
        <v>-32768</v>
      </c>
      <c r="O91">
        <v>32767</v>
      </c>
      <c r="P91">
        <v>-32768</v>
      </c>
      <c r="Q91">
        <v>32767</v>
      </c>
      <c r="T91" t="s">
        <v>3852</v>
      </c>
      <c r="U91" t="s">
        <v>3853</v>
      </c>
    </row>
    <row r="92" spans="1:32" ht="15.75" customHeight="1" x14ac:dyDescent="0.15">
      <c r="A92">
        <v>85</v>
      </c>
      <c r="B92" t="s">
        <v>75</v>
      </c>
      <c r="C92" t="s">
        <v>57</v>
      </c>
      <c r="D92" t="s">
        <v>8968</v>
      </c>
      <c r="E92" t="s">
        <v>143</v>
      </c>
      <c r="F92" t="s">
        <v>7077</v>
      </c>
      <c r="H92" t="s">
        <v>7078</v>
      </c>
      <c r="L92" t="s">
        <v>568</v>
      </c>
      <c r="M92">
        <v>1</v>
      </c>
      <c r="N92">
        <v>-32768</v>
      </c>
      <c r="O92">
        <v>32767</v>
      </c>
      <c r="P92">
        <v>-32768</v>
      </c>
      <c r="Q92">
        <v>32767</v>
      </c>
      <c r="T92" t="s">
        <v>3852</v>
      </c>
      <c r="U92" t="s">
        <v>3853</v>
      </c>
    </row>
    <row r="93" spans="1:32" ht="15.75" customHeight="1" x14ac:dyDescent="0.15">
      <c r="A93">
        <v>86</v>
      </c>
      <c r="B93" t="s">
        <v>75</v>
      </c>
      <c r="C93" t="s">
        <v>57</v>
      </c>
      <c r="D93" t="s">
        <v>8967</v>
      </c>
      <c r="E93" t="s">
        <v>143</v>
      </c>
      <c r="F93" t="s">
        <v>7079</v>
      </c>
      <c r="H93" t="s">
        <v>7080</v>
      </c>
      <c r="L93" t="s">
        <v>564</v>
      </c>
      <c r="M93">
        <v>1</v>
      </c>
      <c r="N93">
        <v>-32768</v>
      </c>
      <c r="O93">
        <v>32767</v>
      </c>
      <c r="P93">
        <v>-32768</v>
      </c>
      <c r="Q93">
        <v>32767</v>
      </c>
      <c r="T93" t="s">
        <v>3852</v>
      </c>
      <c r="U93" t="s">
        <v>3853</v>
      </c>
    </row>
    <row r="94" spans="1:32" ht="15.75" customHeight="1" x14ac:dyDescent="0.15">
      <c r="A94">
        <v>87</v>
      </c>
      <c r="B94" t="s">
        <v>75</v>
      </c>
      <c r="C94" t="s">
        <v>57</v>
      </c>
      <c r="D94" t="s">
        <v>8966</v>
      </c>
      <c r="E94" t="s">
        <v>143</v>
      </c>
      <c r="F94" t="s">
        <v>7081</v>
      </c>
      <c r="H94" t="s">
        <v>7082</v>
      </c>
      <c r="L94" t="s">
        <v>3722</v>
      </c>
      <c r="M94">
        <v>1</v>
      </c>
      <c r="N94">
        <v>-32768</v>
      </c>
      <c r="O94">
        <v>32767</v>
      </c>
      <c r="P94">
        <v>-32768</v>
      </c>
      <c r="Q94">
        <v>32767</v>
      </c>
      <c r="T94" t="s">
        <v>6375</v>
      </c>
      <c r="U94" t="s">
        <v>3825</v>
      </c>
    </row>
    <row r="95" spans="1:32" ht="15.75" customHeight="1" x14ac:dyDescent="0.15">
      <c r="A95">
        <v>88</v>
      </c>
      <c r="B95" t="s">
        <v>75</v>
      </c>
      <c r="C95" t="s">
        <v>57</v>
      </c>
      <c r="D95" t="s">
        <v>8965</v>
      </c>
      <c r="E95" t="s">
        <v>143</v>
      </c>
      <c r="F95" t="s">
        <v>7083</v>
      </c>
      <c r="H95" t="s">
        <v>7084</v>
      </c>
      <c r="L95" t="s">
        <v>61</v>
      </c>
      <c r="M95">
        <v>1</v>
      </c>
      <c r="N95">
        <v>-32768</v>
      </c>
      <c r="O95">
        <v>32767</v>
      </c>
      <c r="P95">
        <v>-32768</v>
      </c>
      <c r="Q95">
        <v>32767</v>
      </c>
      <c r="T95" t="s">
        <v>3852</v>
      </c>
      <c r="U95" t="s">
        <v>3853</v>
      </c>
    </row>
    <row r="96" spans="1:32" ht="15.75" customHeight="1" x14ac:dyDescent="0.15">
      <c r="A96">
        <v>89</v>
      </c>
      <c r="B96" t="s">
        <v>75</v>
      </c>
      <c r="C96" t="s">
        <v>2634</v>
      </c>
      <c r="D96" t="s">
        <v>8963</v>
      </c>
      <c r="E96" t="s">
        <v>107</v>
      </c>
      <c r="F96" t="s">
        <v>7085</v>
      </c>
      <c r="H96" t="s">
        <v>7086</v>
      </c>
      <c r="L96" t="s">
        <v>61</v>
      </c>
      <c r="M96">
        <v>1</v>
      </c>
      <c r="N96">
        <v>-2147483648</v>
      </c>
      <c r="O96">
        <v>2147483647</v>
      </c>
      <c r="P96">
        <v>-2147483648</v>
      </c>
      <c r="Q96">
        <v>2147483647</v>
      </c>
      <c r="T96" t="s">
        <v>3852</v>
      </c>
      <c r="U96" t="s">
        <v>3853</v>
      </c>
    </row>
    <row r="97" spans="1:24" ht="15.75" customHeight="1" x14ac:dyDescent="0.15">
      <c r="A97">
        <v>90</v>
      </c>
      <c r="B97" t="s">
        <v>75</v>
      </c>
      <c r="C97" t="s">
        <v>2634</v>
      </c>
      <c r="D97" t="s">
        <v>8962</v>
      </c>
      <c r="E97" t="s">
        <v>69</v>
      </c>
      <c r="F97" t="s">
        <v>7087</v>
      </c>
      <c r="H97" t="s">
        <v>7088</v>
      </c>
      <c r="L97" t="s">
        <v>7048</v>
      </c>
      <c r="M97">
        <v>16</v>
      </c>
      <c r="T97" t="s">
        <v>3852</v>
      </c>
      <c r="U97" t="s">
        <v>3853</v>
      </c>
    </row>
    <row r="98" spans="1:24" ht="15.75" customHeight="1" x14ac:dyDescent="0.15">
      <c r="A98">
        <v>91</v>
      </c>
      <c r="B98" t="s">
        <v>75</v>
      </c>
      <c r="C98" t="s">
        <v>2634</v>
      </c>
      <c r="D98" t="s">
        <v>8961</v>
      </c>
      <c r="E98" t="s">
        <v>219</v>
      </c>
      <c r="F98" t="s">
        <v>7089</v>
      </c>
      <c r="H98" t="s">
        <v>7090</v>
      </c>
      <c r="L98" t="s">
        <v>61</v>
      </c>
      <c r="M98">
        <v>1</v>
      </c>
      <c r="T98" t="s">
        <v>6375</v>
      </c>
      <c r="U98" t="s">
        <v>3825</v>
      </c>
      <c r="X98" t="s">
        <v>9508</v>
      </c>
    </row>
    <row r="99" spans="1:24" ht="15.75" customHeight="1" x14ac:dyDescent="0.15">
      <c r="A99">
        <v>92</v>
      </c>
      <c r="B99" t="s">
        <v>75</v>
      </c>
      <c r="C99" t="s">
        <v>2634</v>
      </c>
      <c r="D99" t="s">
        <v>9549</v>
      </c>
      <c r="E99" t="s">
        <v>169</v>
      </c>
      <c r="F99" t="s">
        <v>7089</v>
      </c>
      <c r="G99">
        <v>0</v>
      </c>
      <c r="H99" t="s">
        <v>7090</v>
      </c>
      <c r="I99" t="s">
        <v>171</v>
      </c>
      <c r="J99" t="s">
        <v>177</v>
      </c>
      <c r="K99" t="s">
        <v>173</v>
      </c>
      <c r="L99" t="s">
        <v>61</v>
      </c>
      <c r="T99" t="s">
        <v>3852</v>
      </c>
      <c r="U99" t="s">
        <v>3853</v>
      </c>
    </row>
    <row r="100" spans="1:24" ht="15.75" customHeight="1" x14ac:dyDescent="0.15">
      <c r="A100">
        <v>93</v>
      </c>
      <c r="B100" t="s">
        <v>75</v>
      </c>
      <c r="C100" t="s">
        <v>2634</v>
      </c>
      <c r="D100" t="s">
        <v>9550</v>
      </c>
      <c r="E100" t="s">
        <v>169</v>
      </c>
      <c r="F100" t="s">
        <v>7089</v>
      </c>
      <c r="G100">
        <v>1</v>
      </c>
      <c r="H100" t="s">
        <v>7090</v>
      </c>
      <c r="I100" t="s">
        <v>171</v>
      </c>
      <c r="J100" t="s">
        <v>177</v>
      </c>
      <c r="K100" t="s">
        <v>173</v>
      </c>
      <c r="L100" t="s">
        <v>61</v>
      </c>
      <c r="T100" t="s">
        <v>3852</v>
      </c>
      <c r="U100" t="s">
        <v>3853</v>
      </c>
    </row>
    <row r="101" spans="1:24" ht="15.75" customHeight="1" x14ac:dyDescent="0.15">
      <c r="A101">
        <v>94</v>
      </c>
      <c r="B101" t="s">
        <v>75</v>
      </c>
      <c r="C101" t="s">
        <v>2634</v>
      </c>
      <c r="D101" t="s">
        <v>9551</v>
      </c>
      <c r="E101" t="s">
        <v>169</v>
      </c>
      <c r="F101" t="s">
        <v>7089</v>
      </c>
      <c r="G101">
        <v>2</v>
      </c>
      <c r="H101" t="s">
        <v>7090</v>
      </c>
      <c r="I101" t="s">
        <v>171</v>
      </c>
      <c r="J101" t="s">
        <v>177</v>
      </c>
      <c r="K101" t="s">
        <v>173</v>
      </c>
      <c r="L101" t="s">
        <v>61</v>
      </c>
      <c r="T101" t="s">
        <v>3852</v>
      </c>
      <c r="U101" t="s">
        <v>3853</v>
      </c>
    </row>
    <row r="102" spans="1:24" ht="15.75" customHeight="1" x14ac:dyDescent="0.15">
      <c r="A102">
        <v>95</v>
      </c>
      <c r="B102" t="s">
        <v>75</v>
      </c>
      <c r="C102" t="s">
        <v>2634</v>
      </c>
      <c r="D102" t="s">
        <v>9552</v>
      </c>
      <c r="E102" t="s">
        <v>169</v>
      </c>
      <c r="F102" t="s">
        <v>7089</v>
      </c>
      <c r="G102">
        <v>3</v>
      </c>
      <c r="H102" t="s">
        <v>7090</v>
      </c>
      <c r="I102" t="s">
        <v>171</v>
      </c>
      <c r="J102" t="s">
        <v>177</v>
      </c>
      <c r="K102" t="s">
        <v>173</v>
      </c>
      <c r="L102" t="s">
        <v>61</v>
      </c>
      <c r="T102" t="s">
        <v>3852</v>
      </c>
      <c r="U102" t="s">
        <v>3853</v>
      </c>
    </row>
    <row r="103" spans="1:24" ht="15.75" customHeight="1" x14ac:dyDescent="0.15">
      <c r="A103">
        <v>96</v>
      </c>
      <c r="B103" t="s">
        <v>75</v>
      </c>
      <c r="C103" t="s">
        <v>2634</v>
      </c>
      <c r="D103" t="s">
        <v>9553</v>
      </c>
      <c r="E103" t="s">
        <v>169</v>
      </c>
      <c r="F103" t="s">
        <v>7089</v>
      </c>
      <c r="G103">
        <v>4</v>
      </c>
      <c r="H103" t="s">
        <v>7090</v>
      </c>
      <c r="I103" t="s">
        <v>171</v>
      </c>
      <c r="J103" t="s">
        <v>177</v>
      </c>
      <c r="K103" t="s">
        <v>173</v>
      </c>
      <c r="L103" t="s">
        <v>61</v>
      </c>
      <c r="T103" t="s">
        <v>3852</v>
      </c>
      <c r="U103" t="s">
        <v>3853</v>
      </c>
    </row>
    <row r="104" spans="1:24" ht="15.75" customHeight="1" x14ac:dyDescent="0.15">
      <c r="A104">
        <v>97</v>
      </c>
      <c r="B104" t="s">
        <v>75</v>
      </c>
      <c r="C104" t="s">
        <v>2634</v>
      </c>
      <c r="D104" t="s">
        <v>9554</v>
      </c>
      <c r="E104" t="s">
        <v>169</v>
      </c>
      <c r="F104" t="s">
        <v>7089</v>
      </c>
      <c r="G104">
        <v>5</v>
      </c>
      <c r="H104" t="s">
        <v>7090</v>
      </c>
      <c r="I104" t="s">
        <v>171</v>
      </c>
      <c r="J104" t="s">
        <v>177</v>
      </c>
      <c r="K104" t="s">
        <v>173</v>
      </c>
      <c r="L104" t="s">
        <v>61</v>
      </c>
      <c r="T104" t="s">
        <v>3852</v>
      </c>
      <c r="U104" t="s">
        <v>3853</v>
      </c>
    </row>
    <row r="105" spans="1:24" ht="15.75" customHeight="1" x14ac:dyDescent="0.15">
      <c r="A105">
        <v>98</v>
      </c>
      <c r="B105" t="s">
        <v>75</v>
      </c>
      <c r="C105" t="s">
        <v>2634</v>
      </c>
      <c r="D105" t="s">
        <v>9555</v>
      </c>
      <c r="E105" t="s">
        <v>169</v>
      </c>
      <c r="F105" t="s">
        <v>7089</v>
      </c>
      <c r="G105">
        <v>6</v>
      </c>
      <c r="H105" t="s">
        <v>7090</v>
      </c>
      <c r="I105" t="s">
        <v>171</v>
      </c>
      <c r="J105" t="s">
        <v>177</v>
      </c>
      <c r="K105" t="s">
        <v>173</v>
      </c>
      <c r="L105" t="s">
        <v>61</v>
      </c>
      <c r="T105" t="s">
        <v>3852</v>
      </c>
      <c r="U105" t="s">
        <v>3853</v>
      </c>
    </row>
    <row r="106" spans="1:24" ht="15.75" customHeight="1" x14ac:dyDescent="0.15">
      <c r="A106">
        <v>99</v>
      </c>
      <c r="B106" t="s">
        <v>75</v>
      </c>
      <c r="C106" t="s">
        <v>2634</v>
      </c>
      <c r="D106" t="s">
        <v>9556</v>
      </c>
      <c r="E106" t="s">
        <v>169</v>
      </c>
      <c r="F106" t="s">
        <v>7089</v>
      </c>
      <c r="G106">
        <v>7</v>
      </c>
      <c r="H106" t="s">
        <v>7090</v>
      </c>
      <c r="L106" t="s">
        <v>61</v>
      </c>
      <c r="T106" t="s">
        <v>3852</v>
      </c>
      <c r="U106" t="s">
        <v>3853</v>
      </c>
    </row>
    <row r="107" spans="1:24" ht="15.75" customHeight="1" x14ac:dyDescent="0.15">
      <c r="A107">
        <v>100</v>
      </c>
      <c r="B107" t="s">
        <v>75</v>
      </c>
      <c r="C107" t="s">
        <v>2634</v>
      </c>
      <c r="D107" t="s">
        <v>9557</v>
      </c>
      <c r="E107" t="s">
        <v>169</v>
      </c>
      <c r="F107" t="s">
        <v>7089</v>
      </c>
      <c r="G107">
        <v>8</v>
      </c>
      <c r="H107" t="s">
        <v>7090</v>
      </c>
      <c r="I107" t="s">
        <v>171</v>
      </c>
      <c r="J107" t="s">
        <v>177</v>
      </c>
      <c r="K107" t="s">
        <v>173</v>
      </c>
      <c r="L107" t="s">
        <v>61</v>
      </c>
      <c r="T107" t="s">
        <v>3852</v>
      </c>
      <c r="U107" t="s">
        <v>3853</v>
      </c>
    </row>
    <row r="108" spans="1:24" ht="15.75" customHeight="1" x14ac:dyDescent="0.15">
      <c r="A108">
        <v>101</v>
      </c>
      <c r="B108" t="s">
        <v>75</v>
      </c>
      <c r="C108" t="s">
        <v>2634</v>
      </c>
      <c r="D108" t="s">
        <v>9556</v>
      </c>
      <c r="E108" t="s">
        <v>169</v>
      </c>
      <c r="F108" t="s">
        <v>7089</v>
      </c>
      <c r="G108">
        <v>9</v>
      </c>
      <c r="H108" t="s">
        <v>7090</v>
      </c>
      <c r="L108" t="s">
        <v>61</v>
      </c>
      <c r="T108" t="s">
        <v>3852</v>
      </c>
      <c r="U108" t="s">
        <v>3853</v>
      </c>
    </row>
    <row r="109" spans="1:24" ht="15.75" customHeight="1" x14ac:dyDescent="0.15">
      <c r="A109">
        <v>102</v>
      </c>
      <c r="B109" t="s">
        <v>75</v>
      </c>
      <c r="C109" t="s">
        <v>2634</v>
      </c>
      <c r="D109" t="s">
        <v>9556</v>
      </c>
      <c r="E109" t="s">
        <v>169</v>
      </c>
      <c r="F109" t="s">
        <v>7089</v>
      </c>
      <c r="G109">
        <v>10</v>
      </c>
      <c r="H109" t="s">
        <v>7090</v>
      </c>
      <c r="L109" t="s">
        <v>61</v>
      </c>
      <c r="T109" t="s">
        <v>3852</v>
      </c>
      <c r="U109" t="s">
        <v>3853</v>
      </c>
    </row>
    <row r="110" spans="1:24" ht="15.75" customHeight="1" x14ac:dyDescent="0.15">
      <c r="A110">
        <v>103</v>
      </c>
      <c r="B110" t="s">
        <v>75</v>
      </c>
      <c r="C110" t="s">
        <v>2634</v>
      </c>
      <c r="D110" t="s">
        <v>9556</v>
      </c>
      <c r="E110" t="s">
        <v>169</v>
      </c>
      <c r="F110" t="s">
        <v>7089</v>
      </c>
      <c r="G110">
        <v>11</v>
      </c>
      <c r="H110" t="s">
        <v>7090</v>
      </c>
      <c r="L110" t="s">
        <v>61</v>
      </c>
      <c r="T110" t="s">
        <v>3852</v>
      </c>
      <c r="U110" t="s">
        <v>3853</v>
      </c>
    </row>
    <row r="111" spans="1:24" ht="15.75" customHeight="1" x14ac:dyDescent="0.15">
      <c r="A111">
        <v>104</v>
      </c>
      <c r="B111" t="s">
        <v>75</v>
      </c>
      <c r="C111" t="s">
        <v>2634</v>
      </c>
      <c r="D111" t="s">
        <v>9556</v>
      </c>
      <c r="E111" t="s">
        <v>169</v>
      </c>
      <c r="F111" t="s">
        <v>7089</v>
      </c>
      <c r="G111">
        <v>12</v>
      </c>
      <c r="H111" t="s">
        <v>7090</v>
      </c>
      <c r="L111" t="s">
        <v>61</v>
      </c>
      <c r="T111" t="s">
        <v>3852</v>
      </c>
      <c r="U111" t="s">
        <v>3853</v>
      </c>
    </row>
    <row r="112" spans="1:24" ht="15.75" customHeight="1" x14ac:dyDescent="0.15">
      <c r="A112">
        <v>105</v>
      </c>
      <c r="B112" t="s">
        <v>75</v>
      </c>
      <c r="C112" t="s">
        <v>2634</v>
      </c>
      <c r="D112" t="s">
        <v>9556</v>
      </c>
      <c r="E112" t="s">
        <v>169</v>
      </c>
      <c r="F112" t="s">
        <v>7089</v>
      </c>
      <c r="G112">
        <v>13</v>
      </c>
      <c r="H112" t="s">
        <v>7090</v>
      </c>
      <c r="L112" t="s">
        <v>61</v>
      </c>
      <c r="T112" t="s">
        <v>3852</v>
      </c>
      <c r="U112" t="s">
        <v>3853</v>
      </c>
    </row>
    <row r="113" spans="1:21" ht="15.75" customHeight="1" x14ac:dyDescent="0.15">
      <c r="A113">
        <v>106</v>
      </c>
      <c r="B113" t="s">
        <v>75</v>
      </c>
      <c r="C113" t="s">
        <v>2634</v>
      </c>
      <c r="D113" t="s">
        <v>9556</v>
      </c>
      <c r="E113" t="s">
        <v>169</v>
      </c>
      <c r="F113" t="s">
        <v>7089</v>
      </c>
      <c r="G113">
        <v>14</v>
      </c>
      <c r="H113" t="s">
        <v>7090</v>
      </c>
      <c r="L113" t="s">
        <v>61</v>
      </c>
      <c r="T113" t="s">
        <v>3852</v>
      </c>
      <c r="U113" t="s">
        <v>3853</v>
      </c>
    </row>
    <row r="114" spans="1:21" ht="15.75" customHeight="1" x14ac:dyDescent="0.15">
      <c r="A114">
        <v>107</v>
      </c>
      <c r="B114" t="s">
        <v>75</v>
      </c>
      <c r="C114" t="s">
        <v>2634</v>
      </c>
      <c r="D114" t="s">
        <v>9556</v>
      </c>
      <c r="E114" t="s">
        <v>169</v>
      </c>
      <c r="F114" t="s">
        <v>7089</v>
      </c>
      <c r="G114">
        <v>15</v>
      </c>
      <c r="H114" t="s">
        <v>7090</v>
      </c>
      <c r="L114" t="s">
        <v>61</v>
      </c>
      <c r="T114" t="s">
        <v>3852</v>
      </c>
      <c r="U114" t="s">
        <v>3853</v>
      </c>
    </row>
    <row r="115" spans="1:21" ht="15.75" customHeight="1" x14ac:dyDescent="0.15">
      <c r="A115">
        <v>108</v>
      </c>
      <c r="B115" t="s">
        <v>75</v>
      </c>
      <c r="C115" t="s">
        <v>2634</v>
      </c>
      <c r="D115" t="s">
        <v>9558</v>
      </c>
      <c r="E115" t="s">
        <v>169</v>
      </c>
      <c r="F115" t="s">
        <v>7089</v>
      </c>
      <c r="G115">
        <v>16</v>
      </c>
      <c r="H115" t="s">
        <v>7090</v>
      </c>
      <c r="I115" t="s">
        <v>171</v>
      </c>
      <c r="J115" t="s">
        <v>177</v>
      </c>
      <c r="K115" t="s">
        <v>173</v>
      </c>
      <c r="L115" t="s">
        <v>61</v>
      </c>
      <c r="T115" t="s">
        <v>3852</v>
      </c>
      <c r="U115" t="s">
        <v>3853</v>
      </c>
    </row>
    <row r="116" spans="1:21" ht="15.75" customHeight="1" x14ac:dyDescent="0.15">
      <c r="A116">
        <v>109</v>
      </c>
      <c r="B116" t="s">
        <v>75</v>
      </c>
      <c r="C116" t="s">
        <v>2634</v>
      </c>
      <c r="D116" t="s">
        <v>9559</v>
      </c>
      <c r="E116" t="s">
        <v>169</v>
      </c>
      <c r="F116" t="s">
        <v>7089</v>
      </c>
      <c r="G116">
        <v>17</v>
      </c>
      <c r="H116" t="s">
        <v>7090</v>
      </c>
      <c r="I116" t="s">
        <v>171</v>
      </c>
      <c r="J116" t="s">
        <v>177</v>
      </c>
      <c r="K116" t="s">
        <v>173</v>
      </c>
      <c r="L116" t="s">
        <v>61</v>
      </c>
      <c r="T116" t="s">
        <v>3852</v>
      </c>
      <c r="U116" t="s">
        <v>3853</v>
      </c>
    </row>
    <row r="117" spans="1:21" ht="15.75" customHeight="1" x14ac:dyDescent="0.15">
      <c r="A117">
        <v>110</v>
      </c>
      <c r="B117" t="s">
        <v>75</v>
      </c>
      <c r="C117" t="s">
        <v>2634</v>
      </c>
      <c r="D117" t="s">
        <v>9556</v>
      </c>
      <c r="E117" t="s">
        <v>169</v>
      </c>
      <c r="F117" t="s">
        <v>7089</v>
      </c>
      <c r="G117">
        <v>18</v>
      </c>
      <c r="H117" t="s">
        <v>7090</v>
      </c>
      <c r="L117" t="s">
        <v>61</v>
      </c>
      <c r="T117" t="s">
        <v>3852</v>
      </c>
      <c r="U117" t="s">
        <v>3853</v>
      </c>
    </row>
    <row r="118" spans="1:21" ht="15.75" customHeight="1" x14ac:dyDescent="0.15">
      <c r="A118">
        <v>111</v>
      </c>
      <c r="B118" t="s">
        <v>75</v>
      </c>
      <c r="C118" t="s">
        <v>2634</v>
      </c>
      <c r="D118" t="s">
        <v>9556</v>
      </c>
      <c r="E118" t="s">
        <v>169</v>
      </c>
      <c r="F118" t="s">
        <v>7089</v>
      </c>
      <c r="G118">
        <v>19</v>
      </c>
      <c r="H118" t="s">
        <v>7090</v>
      </c>
      <c r="L118" t="s">
        <v>61</v>
      </c>
      <c r="T118" t="s">
        <v>3852</v>
      </c>
      <c r="U118" t="s">
        <v>3853</v>
      </c>
    </row>
    <row r="119" spans="1:21" ht="15.75" customHeight="1" x14ac:dyDescent="0.15">
      <c r="A119">
        <v>112</v>
      </c>
      <c r="B119" t="s">
        <v>75</v>
      </c>
      <c r="C119" t="s">
        <v>2634</v>
      </c>
      <c r="D119" t="s">
        <v>9556</v>
      </c>
      <c r="E119" t="s">
        <v>169</v>
      </c>
      <c r="F119" t="s">
        <v>7089</v>
      </c>
      <c r="G119">
        <v>20</v>
      </c>
      <c r="H119" t="s">
        <v>7090</v>
      </c>
      <c r="L119" t="s">
        <v>61</v>
      </c>
      <c r="T119" t="s">
        <v>3852</v>
      </c>
      <c r="U119" t="s">
        <v>3853</v>
      </c>
    </row>
    <row r="120" spans="1:21" ht="15.75" customHeight="1" x14ac:dyDescent="0.15">
      <c r="A120">
        <v>113</v>
      </c>
      <c r="B120" t="s">
        <v>75</v>
      </c>
      <c r="C120" t="s">
        <v>2634</v>
      </c>
      <c r="D120" t="s">
        <v>9560</v>
      </c>
      <c r="E120" t="s">
        <v>169</v>
      </c>
      <c r="F120" t="s">
        <v>7089</v>
      </c>
      <c r="G120">
        <v>21</v>
      </c>
      <c r="H120" t="s">
        <v>7090</v>
      </c>
      <c r="I120" t="s">
        <v>171</v>
      </c>
      <c r="J120" t="s">
        <v>177</v>
      </c>
      <c r="K120" t="s">
        <v>173</v>
      </c>
      <c r="L120" t="s">
        <v>61</v>
      </c>
      <c r="T120" t="s">
        <v>3852</v>
      </c>
      <c r="U120" t="s">
        <v>3853</v>
      </c>
    </row>
    <row r="121" spans="1:21" ht="15.75" customHeight="1" x14ac:dyDescent="0.15">
      <c r="A121">
        <v>114</v>
      </c>
      <c r="B121" t="s">
        <v>75</v>
      </c>
      <c r="C121" t="s">
        <v>2634</v>
      </c>
      <c r="D121" t="s">
        <v>9561</v>
      </c>
      <c r="E121" t="s">
        <v>169</v>
      </c>
      <c r="F121" t="s">
        <v>7089</v>
      </c>
      <c r="G121">
        <v>22</v>
      </c>
      <c r="H121" t="s">
        <v>7090</v>
      </c>
      <c r="I121" t="s">
        <v>171</v>
      </c>
      <c r="J121" t="s">
        <v>177</v>
      </c>
      <c r="K121" t="s">
        <v>173</v>
      </c>
      <c r="L121" t="s">
        <v>61</v>
      </c>
      <c r="T121" t="s">
        <v>3852</v>
      </c>
      <c r="U121" t="s">
        <v>3853</v>
      </c>
    </row>
    <row r="122" spans="1:21" ht="15.75" customHeight="1" x14ac:dyDescent="0.15">
      <c r="A122">
        <v>115</v>
      </c>
      <c r="B122" t="s">
        <v>75</v>
      </c>
      <c r="C122" t="s">
        <v>2634</v>
      </c>
      <c r="D122" t="s">
        <v>9556</v>
      </c>
      <c r="E122" t="s">
        <v>169</v>
      </c>
      <c r="F122" t="s">
        <v>7089</v>
      </c>
      <c r="G122">
        <v>23</v>
      </c>
      <c r="H122" t="s">
        <v>7090</v>
      </c>
      <c r="L122" t="s">
        <v>61</v>
      </c>
      <c r="T122" t="s">
        <v>3852</v>
      </c>
      <c r="U122" t="s">
        <v>3853</v>
      </c>
    </row>
    <row r="123" spans="1:21" ht="15.75" customHeight="1" x14ac:dyDescent="0.15">
      <c r="A123">
        <v>116</v>
      </c>
      <c r="B123" t="s">
        <v>75</v>
      </c>
      <c r="C123" t="s">
        <v>2634</v>
      </c>
      <c r="D123" t="s">
        <v>9562</v>
      </c>
      <c r="E123" t="s">
        <v>169</v>
      </c>
      <c r="F123" t="s">
        <v>7089</v>
      </c>
      <c r="G123">
        <v>24</v>
      </c>
      <c r="H123" t="s">
        <v>7090</v>
      </c>
      <c r="I123" t="s">
        <v>171</v>
      </c>
      <c r="J123" t="s">
        <v>177</v>
      </c>
      <c r="K123" t="s">
        <v>173</v>
      </c>
      <c r="L123" t="s">
        <v>61</v>
      </c>
      <c r="T123" t="s">
        <v>3852</v>
      </c>
      <c r="U123" t="s">
        <v>3853</v>
      </c>
    </row>
    <row r="124" spans="1:21" ht="15.75" customHeight="1" x14ac:dyDescent="0.15">
      <c r="A124">
        <v>117</v>
      </c>
      <c r="B124" t="s">
        <v>75</v>
      </c>
      <c r="C124" t="s">
        <v>2634</v>
      </c>
      <c r="D124" t="s">
        <v>9563</v>
      </c>
      <c r="E124" t="s">
        <v>169</v>
      </c>
      <c r="F124" t="s">
        <v>7089</v>
      </c>
      <c r="G124">
        <v>25</v>
      </c>
      <c r="H124" t="s">
        <v>7090</v>
      </c>
      <c r="I124" t="s">
        <v>171</v>
      </c>
      <c r="J124" t="s">
        <v>177</v>
      </c>
      <c r="K124" t="s">
        <v>173</v>
      </c>
      <c r="L124" t="s">
        <v>61</v>
      </c>
      <c r="T124" t="s">
        <v>3852</v>
      </c>
      <c r="U124" t="s">
        <v>3853</v>
      </c>
    </row>
    <row r="125" spans="1:21" ht="15.75" customHeight="1" x14ac:dyDescent="0.15">
      <c r="A125">
        <v>118</v>
      </c>
      <c r="B125" t="s">
        <v>75</v>
      </c>
      <c r="C125" t="s">
        <v>2634</v>
      </c>
      <c r="D125" t="s">
        <v>9564</v>
      </c>
      <c r="E125" t="s">
        <v>169</v>
      </c>
      <c r="F125" t="s">
        <v>7089</v>
      </c>
      <c r="G125">
        <v>26</v>
      </c>
      <c r="H125" t="s">
        <v>7090</v>
      </c>
      <c r="I125" t="s">
        <v>171</v>
      </c>
      <c r="J125" t="s">
        <v>177</v>
      </c>
      <c r="K125" t="s">
        <v>173</v>
      </c>
      <c r="L125" t="s">
        <v>61</v>
      </c>
      <c r="T125" t="s">
        <v>3852</v>
      </c>
      <c r="U125" t="s">
        <v>3853</v>
      </c>
    </row>
    <row r="126" spans="1:21" ht="15.75" customHeight="1" x14ac:dyDescent="0.15">
      <c r="A126">
        <v>119</v>
      </c>
      <c r="B126" t="s">
        <v>75</v>
      </c>
      <c r="C126" t="s">
        <v>2634</v>
      </c>
      <c r="D126" t="s">
        <v>9565</v>
      </c>
      <c r="E126" t="s">
        <v>169</v>
      </c>
      <c r="F126" t="s">
        <v>7089</v>
      </c>
      <c r="G126">
        <v>27</v>
      </c>
      <c r="H126" t="s">
        <v>7090</v>
      </c>
      <c r="I126" t="s">
        <v>171</v>
      </c>
      <c r="J126" t="s">
        <v>177</v>
      </c>
      <c r="K126" t="s">
        <v>173</v>
      </c>
      <c r="L126" t="s">
        <v>61</v>
      </c>
      <c r="T126" t="s">
        <v>3852</v>
      </c>
      <c r="U126" t="s">
        <v>3853</v>
      </c>
    </row>
    <row r="127" spans="1:21" ht="15.75" customHeight="1" x14ac:dyDescent="0.15">
      <c r="A127">
        <v>120</v>
      </c>
      <c r="B127" t="s">
        <v>75</v>
      </c>
      <c r="C127" t="s">
        <v>2634</v>
      </c>
      <c r="D127" t="s">
        <v>9566</v>
      </c>
      <c r="E127" t="s">
        <v>169</v>
      </c>
      <c r="F127" t="s">
        <v>7089</v>
      </c>
      <c r="G127">
        <v>28</v>
      </c>
      <c r="H127" t="s">
        <v>7090</v>
      </c>
      <c r="I127" t="s">
        <v>171</v>
      </c>
      <c r="J127" t="s">
        <v>177</v>
      </c>
      <c r="K127" t="s">
        <v>173</v>
      </c>
      <c r="L127" t="s">
        <v>61</v>
      </c>
      <c r="T127" t="s">
        <v>3852</v>
      </c>
      <c r="U127" t="s">
        <v>3853</v>
      </c>
    </row>
    <row r="128" spans="1:21" ht="15.75" customHeight="1" x14ac:dyDescent="0.15">
      <c r="A128">
        <v>121</v>
      </c>
      <c r="B128" t="s">
        <v>75</v>
      </c>
      <c r="C128" t="s">
        <v>2634</v>
      </c>
      <c r="D128" t="s">
        <v>9567</v>
      </c>
      <c r="E128" t="s">
        <v>169</v>
      </c>
      <c r="F128" t="s">
        <v>7089</v>
      </c>
      <c r="G128">
        <v>29</v>
      </c>
      <c r="H128" t="s">
        <v>7090</v>
      </c>
      <c r="I128" t="s">
        <v>171</v>
      </c>
      <c r="J128" t="s">
        <v>177</v>
      </c>
      <c r="K128" t="s">
        <v>173</v>
      </c>
      <c r="L128" t="s">
        <v>61</v>
      </c>
      <c r="T128" t="s">
        <v>3852</v>
      </c>
      <c r="U128" t="s">
        <v>3853</v>
      </c>
    </row>
    <row r="129" spans="1:21" ht="15.75" customHeight="1" x14ac:dyDescent="0.15">
      <c r="A129">
        <v>122</v>
      </c>
      <c r="B129" t="s">
        <v>75</v>
      </c>
      <c r="C129" t="s">
        <v>2634</v>
      </c>
      <c r="D129" t="s">
        <v>9556</v>
      </c>
      <c r="E129" t="s">
        <v>169</v>
      </c>
      <c r="F129" t="s">
        <v>7089</v>
      </c>
      <c r="G129">
        <v>30</v>
      </c>
      <c r="H129" t="s">
        <v>7090</v>
      </c>
      <c r="L129" t="s">
        <v>61</v>
      </c>
      <c r="T129" t="s">
        <v>3852</v>
      </c>
      <c r="U129" t="s">
        <v>3853</v>
      </c>
    </row>
    <row r="130" spans="1:21" ht="15.75" customHeight="1" x14ac:dyDescent="0.15">
      <c r="A130">
        <v>123</v>
      </c>
      <c r="B130" t="s">
        <v>75</v>
      </c>
      <c r="C130" t="s">
        <v>2634</v>
      </c>
      <c r="D130" t="s">
        <v>9556</v>
      </c>
      <c r="E130" t="s">
        <v>169</v>
      </c>
      <c r="F130" t="s">
        <v>7089</v>
      </c>
      <c r="G130">
        <v>31</v>
      </c>
      <c r="H130" t="s">
        <v>7090</v>
      </c>
      <c r="L130" t="s">
        <v>61</v>
      </c>
      <c r="T130" t="s">
        <v>3852</v>
      </c>
      <c r="U130" t="s">
        <v>3853</v>
      </c>
    </row>
    <row r="131" spans="1:21" ht="15.75" customHeight="1" x14ac:dyDescent="0.15">
      <c r="A131">
        <v>124</v>
      </c>
      <c r="B131" t="s">
        <v>75</v>
      </c>
      <c r="C131" t="s">
        <v>2634</v>
      </c>
      <c r="D131" t="s">
        <v>8960</v>
      </c>
      <c r="E131" t="s">
        <v>143</v>
      </c>
      <c r="F131" t="s">
        <v>7091</v>
      </c>
      <c r="H131" t="s">
        <v>7092</v>
      </c>
      <c r="I131" t="s">
        <v>171</v>
      </c>
      <c r="J131" t="s">
        <v>177</v>
      </c>
      <c r="K131" t="s">
        <v>173</v>
      </c>
      <c r="L131" t="s">
        <v>2276</v>
      </c>
      <c r="M131">
        <v>1</v>
      </c>
      <c r="N131">
        <v>-32768</v>
      </c>
      <c r="O131">
        <v>32767</v>
      </c>
      <c r="P131">
        <v>-32768</v>
      </c>
      <c r="Q131">
        <v>32767</v>
      </c>
      <c r="T131" t="s">
        <v>6375</v>
      </c>
      <c r="U131" t="s">
        <v>3825</v>
      </c>
    </row>
    <row r="132" spans="1:21" ht="15.75" customHeight="1" x14ac:dyDescent="0.15">
      <c r="A132">
        <v>125</v>
      </c>
      <c r="B132" t="s">
        <v>75</v>
      </c>
      <c r="C132" t="s">
        <v>2634</v>
      </c>
      <c r="D132" t="s">
        <v>8959</v>
      </c>
      <c r="E132" t="s">
        <v>165</v>
      </c>
      <c r="F132" t="s">
        <v>7093</v>
      </c>
      <c r="H132" t="s">
        <v>7094</v>
      </c>
      <c r="L132" t="s">
        <v>61</v>
      </c>
      <c r="M132">
        <v>1</v>
      </c>
      <c r="T132" t="s">
        <v>6375</v>
      </c>
      <c r="U132" t="s">
        <v>3825</v>
      </c>
    </row>
    <row r="133" spans="1:21" ht="15.75" customHeight="1" x14ac:dyDescent="0.15">
      <c r="A133">
        <v>126</v>
      </c>
      <c r="B133" t="s">
        <v>75</v>
      </c>
      <c r="C133" t="s">
        <v>57</v>
      </c>
      <c r="D133" t="s">
        <v>8958</v>
      </c>
      <c r="E133" t="s">
        <v>143</v>
      </c>
      <c r="F133" t="s">
        <v>7095</v>
      </c>
      <c r="H133" t="s">
        <v>7096</v>
      </c>
      <c r="L133" t="s">
        <v>582</v>
      </c>
      <c r="M133">
        <v>1</v>
      </c>
      <c r="N133">
        <v>-32768</v>
      </c>
      <c r="O133">
        <v>32767</v>
      </c>
      <c r="P133">
        <v>-32768</v>
      </c>
      <c r="Q133">
        <v>32767</v>
      </c>
      <c r="T133" t="s">
        <v>3852</v>
      </c>
      <c r="U133" t="s">
        <v>3853</v>
      </c>
    </row>
    <row r="134" spans="1:21" ht="15.75" customHeight="1" x14ac:dyDescent="0.15">
      <c r="A134">
        <v>127</v>
      </c>
      <c r="B134" t="s">
        <v>75</v>
      </c>
      <c r="C134" t="s">
        <v>57</v>
      </c>
      <c r="D134" t="s">
        <v>8957</v>
      </c>
      <c r="E134" t="s">
        <v>143</v>
      </c>
      <c r="F134" t="s">
        <v>7097</v>
      </c>
      <c r="H134" t="s">
        <v>7098</v>
      </c>
      <c r="L134" t="s">
        <v>100</v>
      </c>
      <c r="M134">
        <v>1</v>
      </c>
      <c r="N134">
        <v>-32768</v>
      </c>
      <c r="O134">
        <v>32767</v>
      </c>
      <c r="P134">
        <v>-32768</v>
      </c>
      <c r="Q134">
        <v>32767</v>
      </c>
      <c r="T134" t="s">
        <v>3852</v>
      </c>
      <c r="U134" t="s">
        <v>3853</v>
      </c>
    </row>
    <row r="135" spans="1:21" ht="15.75" customHeight="1" x14ac:dyDescent="0.15">
      <c r="A135">
        <v>128</v>
      </c>
      <c r="B135" t="s">
        <v>75</v>
      </c>
      <c r="C135" t="s">
        <v>57</v>
      </c>
      <c r="D135" t="s">
        <v>8956</v>
      </c>
      <c r="E135" t="s">
        <v>143</v>
      </c>
      <c r="F135" t="s">
        <v>7099</v>
      </c>
      <c r="H135" t="s">
        <v>7100</v>
      </c>
      <c r="L135" t="s">
        <v>104</v>
      </c>
      <c r="M135">
        <v>1</v>
      </c>
      <c r="N135">
        <v>-32768</v>
      </c>
      <c r="O135">
        <v>32767</v>
      </c>
      <c r="P135">
        <v>-32768</v>
      </c>
      <c r="Q135">
        <v>32767</v>
      </c>
      <c r="T135" t="s">
        <v>3852</v>
      </c>
      <c r="U135" t="s">
        <v>3853</v>
      </c>
    </row>
    <row r="136" spans="1:21" ht="15.75" customHeight="1" x14ac:dyDescent="0.15">
      <c r="A136">
        <v>129</v>
      </c>
      <c r="B136" t="s">
        <v>75</v>
      </c>
      <c r="C136" t="s">
        <v>57</v>
      </c>
      <c r="D136" t="s">
        <v>8955</v>
      </c>
      <c r="E136" t="s">
        <v>143</v>
      </c>
      <c r="F136" t="s">
        <v>7101</v>
      </c>
      <c r="H136" t="s">
        <v>7102</v>
      </c>
      <c r="L136" t="s">
        <v>572</v>
      </c>
      <c r="M136">
        <v>1</v>
      </c>
      <c r="N136">
        <v>-32768</v>
      </c>
      <c r="O136">
        <v>32767</v>
      </c>
      <c r="P136">
        <v>-32768</v>
      </c>
      <c r="Q136">
        <v>32767</v>
      </c>
      <c r="T136" t="s">
        <v>3852</v>
      </c>
      <c r="U136" t="s">
        <v>3853</v>
      </c>
    </row>
    <row r="137" spans="1:21" ht="15.75" customHeight="1" x14ac:dyDescent="0.15">
      <c r="A137">
        <v>130</v>
      </c>
      <c r="B137" t="s">
        <v>75</v>
      </c>
      <c r="C137" t="s">
        <v>57</v>
      </c>
      <c r="D137" t="s">
        <v>8954</v>
      </c>
      <c r="E137" t="s">
        <v>143</v>
      </c>
      <c r="F137" t="s">
        <v>7103</v>
      </c>
      <c r="H137" t="s">
        <v>7104</v>
      </c>
      <c r="L137" t="s">
        <v>568</v>
      </c>
      <c r="M137">
        <v>1</v>
      </c>
      <c r="N137">
        <v>-32768</v>
      </c>
      <c r="O137">
        <v>32767</v>
      </c>
      <c r="P137">
        <v>-32768</v>
      </c>
      <c r="Q137">
        <v>32767</v>
      </c>
      <c r="T137" t="s">
        <v>3852</v>
      </c>
      <c r="U137" t="s">
        <v>3853</v>
      </c>
    </row>
    <row r="138" spans="1:21" ht="15.75" customHeight="1" x14ac:dyDescent="0.15">
      <c r="A138">
        <v>131</v>
      </c>
      <c r="B138" t="s">
        <v>75</v>
      </c>
      <c r="C138" t="s">
        <v>57</v>
      </c>
      <c r="D138" t="s">
        <v>8953</v>
      </c>
      <c r="E138" t="s">
        <v>143</v>
      </c>
      <c r="F138" t="s">
        <v>7105</v>
      </c>
      <c r="H138" t="s">
        <v>7106</v>
      </c>
      <c r="L138" t="s">
        <v>564</v>
      </c>
      <c r="M138">
        <v>1</v>
      </c>
      <c r="N138">
        <v>-32768</v>
      </c>
      <c r="O138">
        <v>32767</v>
      </c>
      <c r="P138">
        <v>-32768</v>
      </c>
      <c r="Q138">
        <v>32767</v>
      </c>
      <c r="T138" t="s">
        <v>3852</v>
      </c>
      <c r="U138" t="s">
        <v>3853</v>
      </c>
    </row>
    <row r="139" spans="1:21" ht="15.75" customHeight="1" x14ac:dyDescent="0.15">
      <c r="A139">
        <v>132</v>
      </c>
      <c r="B139" t="s">
        <v>75</v>
      </c>
      <c r="C139" t="s">
        <v>57</v>
      </c>
      <c r="D139" t="s">
        <v>8952</v>
      </c>
      <c r="E139" t="s">
        <v>143</v>
      </c>
      <c r="F139" t="s">
        <v>7107</v>
      </c>
      <c r="H139" t="s">
        <v>7108</v>
      </c>
      <c r="L139" t="s">
        <v>3722</v>
      </c>
      <c r="M139">
        <v>1</v>
      </c>
      <c r="N139">
        <v>-32768</v>
      </c>
      <c r="O139">
        <v>32767</v>
      </c>
      <c r="P139">
        <v>-32768</v>
      </c>
      <c r="Q139">
        <v>32767</v>
      </c>
      <c r="T139" t="s">
        <v>6375</v>
      </c>
      <c r="U139" t="s">
        <v>3825</v>
      </c>
    </row>
    <row r="140" spans="1:21" ht="15.75" customHeight="1" x14ac:dyDescent="0.15">
      <c r="A140">
        <v>133</v>
      </c>
      <c r="B140" t="s">
        <v>75</v>
      </c>
      <c r="C140" t="s">
        <v>57</v>
      </c>
      <c r="D140" t="s">
        <v>8951</v>
      </c>
      <c r="E140" t="s">
        <v>143</v>
      </c>
      <c r="F140" t="s">
        <v>7109</v>
      </c>
      <c r="H140" t="s">
        <v>7110</v>
      </c>
      <c r="L140" t="s">
        <v>61</v>
      </c>
      <c r="M140">
        <v>1</v>
      </c>
      <c r="N140">
        <v>-32768</v>
      </c>
      <c r="O140">
        <v>32767</v>
      </c>
      <c r="P140">
        <v>-32768</v>
      </c>
      <c r="Q140">
        <v>32767</v>
      </c>
      <c r="T140" t="s">
        <v>3852</v>
      </c>
      <c r="U140" t="s">
        <v>3853</v>
      </c>
    </row>
    <row r="141" spans="1:21" ht="15.75" customHeight="1" x14ac:dyDescent="0.15">
      <c r="A141">
        <v>134</v>
      </c>
      <c r="B141" t="s">
        <v>75</v>
      </c>
      <c r="C141" t="s">
        <v>57</v>
      </c>
      <c r="D141" t="s">
        <v>8950</v>
      </c>
      <c r="E141" t="s">
        <v>143</v>
      </c>
      <c r="F141" t="s">
        <v>7111</v>
      </c>
      <c r="H141" t="s">
        <v>7112</v>
      </c>
      <c r="L141" t="s">
        <v>7052</v>
      </c>
      <c r="M141">
        <v>0.01</v>
      </c>
      <c r="N141">
        <v>-32768</v>
      </c>
      <c r="O141">
        <v>32767</v>
      </c>
      <c r="P141">
        <v>-32768</v>
      </c>
      <c r="Q141">
        <v>32767</v>
      </c>
      <c r="T141" t="s">
        <v>3852</v>
      </c>
      <c r="U141" t="s">
        <v>3853</v>
      </c>
    </row>
    <row r="142" spans="1:21" ht="15.75" customHeight="1" x14ac:dyDescent="0.15">
      <c r="A142">
        <v>135</v>
      </c>
      <c r="B142" t="s">
        <v>75</v>
      </c>
      <c r="C142" t="s">
        <v>57</v>
      </c>
      <c r="D142" t="s">
        <v>9568</v>
      </c>
      <c r="E142" t="s">
        <v>143</v>
      </c>
      <c r="F142" t="s">
        <v>9569</v>
      </c>
      <c r="H142" t="s">
        <v>9570</v>
      </c>
      <c r="L142" t="s">
        <v>7052</v>
      </c>
      <c r="M142">
        <v>0.01</v>
      </c>
      <c r="T142" t="s">
        <v>3852</v>
      </c>
      <c r="U142" t="s">
        <v>3853</v>
      </c>
    </row>
    <row r="143" spans="1:21" ht="15.75" customHeight="1" x14ac:dyDescent="0.15">
      <c r="A143">
        <v>136</v>
      </c>
      <c r="B143" t="s">
        <v>75</v>
      </c>
      <c r="C143" t="s">
        <v>57</v>
      </c>
      <c r="D143" t="s">
        <v>9571</v>
      </c>
      <c r="E143" t="s">
        <v>143</v>
      </c>
      <c r="F143" t="s">
        <v>9572</v>
      </c>
      <c r="H143" t="s">
        <v>9573</v>
      </c>
      <c r="L143" t="s">
        <v>7051</v>
      </c>
      <c r="M143">
        <v>0.01</v>
      </c>
      <c r="T143" t="s">
        <v>3852</v>
      </c>
      <c r="U143" t="s">
        <v>3853</v>
      </c>
    </row>
  </sheetData>
  <mergeCells count="1">
    <mergeCell ref="G1:H1"/>
  </mergeCells>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971F-166D-453F-8E4F-30429089587B}">
  <sheetPr>
    <tabColor rgb="FF00B0F0"/>
  </sheetPr>
  <dimension ref="A1:AF81"/>
  <sheetViews>
    <sheetView workbookViewId="0">
      <selection activeCell="J3" sqref="J3"/>
    </sheetView>
  </sheetViews>
  <sheetFormatPr defaultRowHeight="10.5" x14ac:dyDescent="0.15"/>
  <cols>
    <col min="1" max="1" width="29.1640625" bestFit="1" customWidth="1"/>
    <col min="2" max="2" width="9.5" bestFit="1" customWidth="1"/>
    <col min="3" max="3" width="14.33203125" bestFit="1" customWidth="1"/>
    <col min="4" max="4" width="34.1640625" bestFit="1" customWidth="1"/>
    <col min="5" max="5" width="19.83203125" bestFit="1" customWidth="1"/>
    <col min="9" max="9" width="10.5" bestFit="1" customWidth="1"/>
    <col min="10" max="10" width="14.6640625" customWidth="1"/>
    <col min="11" max="12" width="11.1640625" bestFit="1" customWidth="1"/>
    <col min="14" max="14" width="11.6640625" hidden="1" customWidth="1"/>
    <col min="15" max="15" width="11" hidden="1" customWidth="1"/>
    <col min="16" max="16" width="12.6640625" hidden="1" customWidth="1"/>
    <col min="17" max="17" width="12" hidden="1" customWidth="1"/>
    <col min="19" max="19" width="11.33203125" bestFit="1" customWidth="1"/>
    <col min="20" max="20" width="13.83203125" bestFit="1" customWidth="1"/>
    <col min="21" max="21" width="14.6640625" bestFit="1" customWidth="1"/>
    <col min="22" max="22" width="37.33203125" hidden="1" customWidth="1"/>
    <col min="23" max="23" width="16.33203125" bestFit="1" customWidth="1"/>
    <col min="24" max="24" width="9.6640625" bestFit="1" customWidth="1"/>
  </cols>
  <sheetData>
    <row r="1" spans="1:32" ht="22.5" x14ac:dyDescent="0.15">
      <c r="A1" s="25" t="s">
        <v>0</v>
      </c>
      <c r="B1" s="25"/>
      <c r="C1" s="25"/>
      <c r="D1" s="2"/>
      <c r="E1" s="2"/>
      <c r="F1" s="2"/>
      <c r="G1" s="143" t="s">
        <v>19</v>
      </c>
      <c r="H1" s="143"/>
      <c r="I1" s="79"/>
      <c r="J1" s="25" t="s">
        <v>7043</v>
      </c>
      <c r="K1" s="25"/>
      <c r="L1" s="25"/>
      <c r="M1" s="79"/>
      <c r="N1" s="79"/>
      <c r="O1" s="79"/>
      <c r="P1" s="79"/>
      <c r="Q1" s="79"/>
      <c r="R1" s="79"/>
      <c r="S1" s="79"/>
      <c r="T1" s="79"/>
      <c r="U1" s="79"/>
      <c r="V1" s="4"/>
      <c r="W1" s="79"/>
      <c r="X1" s="79"/>
      <c r="Y1" s="79"/>
      <c r="Z1" s="79"/>
      <c r="AA1" s="79"/>
      <c r="AB1" s="79"/>
      <c r="AC1" s="79"/>
      <c r="AD1" s="79"/>
      <c r="AE1" s="79"/>
      <c r="AF1" s="79"/>
    </row>
    <row r="2" spans="1:32" x14ac:dyDescent="0.15">
      <c r="A2" s="10" t="s">
        <v>21</v>
      </c>
      <c r="B2" s="10"/>
      <c r="C2" s="11">
        <v>45075</v>
      </c>
      <c r="D2" s="10" t="s">
        <v>22</v>
      </c>
      <c r="E2" s="79" t="s">
        <v>9063</v>
      </c>
      <c r="F2" s="79"/>
      <c r="G2" s="79"/>
      <c r="H2" s="79"/>
      <c r="I2" s="79"/>
      <c r="J2" s="79" t="s">
        <v>24</v>
      </c>
      <c r="K2" s="79"/>
      <c r="L2" s="79"/>
      <c r="M2" s="79"/>
      <c r="N2" s="79"/>
      <c r="O2" s="79"/>
      <c r="P2" s="79"/>
      <c r="Q2" s="79"/>
      <c r="R2" s="79"/>
      <c r="S2" s="79"/>
      <c r="T2" s="79"/>
      <c r="U2" s="79"/>
      <c r="V2" s="4"/>
      <c r="W2" s="79"/>
      <c r="X2" s="79"/>
      <c r="Y2" s="79"/>
      <c r="Z2" s="79"/>
      <c r="AA2" s="79"/>
      <c r="AB2" s="79"/>
      <c r="AC2" s="79"/>
      <c r="AD2" s="79"/>
      <c r="AE2" s="79"/>
      <c r="AF2" s="79"/>
    </row>
    <row r="3" spans="1:32" x14ac:dyDescent="0.15">
      <c r="A3" s="80" t="s">
        <v>25</v>
      </c>
      <c r="B3" s="80"/>
      <c r="C3" s="79">
        <v>5</v>
      </c>
      <c r="D3" s="80" t="s">
        <v>26</v>
      </c>
      <c r="E3" s="79" t="s">
        <v>7045</v>
      </c>
      <c r="F3" s="79"/>
      <c r="G3" s="79"/>
      <c r="H3" s="79"/>
      <c r="I3" s="79"/>
      <c r="J3" s="80" t="s">
        <v>9001</v>
      </c>
      <c r="K3" s="79"/>
      <c r="L3" s="81"/>
      <c r="M3" s="82"/>
      <c r="N3" s="79"/>
      <c r="O3" s="79"/>
      <c r="P3" s="79"/>
      <c r="Q3" s="79"/>
      <c r="R3" s="79"/>
      <c r="S3" s="79"/>
      <c r="T3" s="79"/>
      <c r="U3" s="79"/>
      <c r="V3" s="4"/>
      <c r="W3" s="79"/>
      <c r="X3" s="83"/>
      <c r="Y3" s="79"/>
      <c r="Z3" s="79"/>
      <c r="AA3" s="79"/>
      <c r="AB3" s="79"/>
      <c r="AC3" s="79"/>
      <c r="AD3" s="79"/>
      <c r="AE3" s="79"/>
      <c r="AF3" s="79"/>
    </row>
    <row r="4" spans="1:32" x14ac:dyDescent="0.15">
      <c r="A4" s="80" t="s">
        <v>28</v>
      </c>
      <c r="B4" s="80"/>
      <c r="C4" s="79">
        <v>0</v>
      </c>
      <c r="D4" s="10" t="s">
        <v>9064</v>
      </c>
      <c r="E4">
        <v>31</v>
      </c>
      <c r="F4" s="79"/>
      <c r="G4" s="79"/>
      <c r="H4" s="79"/>
      <c r="I4" s="79"/>
      <c r="J4" s="47" t="s">
        <v>9000</v>
      </c>
      <c r="K4" s="80"/>
      <c r="L4" s="80"/>
      <c r="M4" s="80"/>
      <c r="N4" s="80"/>
      <c r="O4" s="80"/>
      <c r="P4" s="80"/>
      <c r="Q4" s="80"/>
      <c r="R4" s="79"/>
      <c r="S4" s="79"/>
      <c r="T4" s="79"/>
      <c r="U4" s="79"/>
      <c r="V4" s="4"/>
      <c r="W4" s="79"/>
      <c r="X4" s="79"/>
      <c r="Y4" s="79"/>
      <c r="Z4" s="79"/>
      <c r="AA4" s="79"/>
      <c r="AB4" s="79"/>
      <c r="AC4" s="79"/>
      <c r="AD4" s="79"/>
      <c r="AE4" s="79"/>
      <c r="AF4" s="79"/>
    </row>
    <row r="5" spans="1:32" x14ac:dyDescent="0.15">
      <c r="A5" s="80" t="s">
        <v>30</v>
      </c>
      <c r="B5" s="80"/>
      <c r="C5" s="79">
        <v>5</v>
      </c>
      <c r="D5" s="80"/>
      <c r="E5" s="79"/>
      <c r="F5" s="79"/>
      <c r="G5" s="79"/>
      <c r="H5" s="79"/>
      <c r="I5" s="79"/>
      <c r="J5" s="80" t="s">
        <v>7046</v>
      </c>
      <c r="K5" s="80"/>
      <c r="L5" s="80"/>
      <c r="M5" s="80"/>
      <c r="N5" s="80"/>
      <c r="O5" s="80"/>
      <c r="P5" s="80"/>
      <c r="Q5" s="80"/>
      <c r="R5" s="80"/>
      <c r="S5" s="79"/>
      <c r="T5" s="79"/>
      <c r="U5" s="79"/>
      <c r="V5" s="4"/>
      <c r="W5" s="79"/>
      <c r="X5" s="79"/>
      <c r="Y5" s="79"/>
      <c r="Z5" s="79"/>
      <c r="AA5" s="79"/>
      <c r="AB5" s="79"/>
      <c r="AC5" s="79"/>
      <c r="AD5" s="79"/>
      <c r="AE5" s="79"/>
      <c r="AF5" s="79"/>
    </row>
    <row r="6" spans="1:32" x14ac:dyDescent="0.15">
      <c r="A6" s="80"/>
      <c r="B6" s="79"/>
      <c r="C6" s="79"/>
      <c r="D6" s="80"/>
      <c r="E6" s="79"/>
      <c r="F6" s="79"/>
      <c r="G6" s="79"/>
      <c r="H6" s="79"/>
      <c r="I6" s="79"/>
      <c r="J6" s="80" t="s">
        <v>7047</v>
      </c>
      <c r="K6" s="79"/>
      <c r="L6" s="79"/>
      <c r="M6" s="2"/>
      <c r="N6" s="79"/>
      <c r="O6" s="79"/>
      <c r="P6" s="79"/>
      <c r="Q6" s="79"/>
      <c r="R6" s="79"/>
      <c r="S6" s="79"/>
      <c r="T6" s="79"/>
      <c r="U6" s="79"/>
      <c r="V6" s="4"/>
      <c r="W6" s="79"/>
      <c r="X6" s="79"/>
      <c r="Y6" s="79"/>
      <c r="Z6" s="79"/>
      <c r="AA6" s="79"/>
      <c r="AB6" s="79"/>
      <c r="AC6" s="79"/>
      <c r="AD6" s="79"/>
      <c r="AE6" s="79"/>
      <c r="AF6" s="79"/>
    </row>
    <row r="7" spans="1:32" ht="55.5" x14ac:dyDescent="0.15">
      <c r="A7" s="84" t="s">
        <v>31</v>
      </c>
      <c r="B7" s="85" t="s">
        <v>32</v>
      </c>
      <c r="C7" s="85" t="s">
        <v>33</v>
      </c>
      <c r="D7" s="85" t="s">
        <v>34</v>
      </c>
      <c r="E7" s="85" t="s">
        <v>35</v>
      </c>
      <c r="F7" s="86" t="s">
        <v>36</v>
      </c>
      <c r="G7" s="86" t="s">
        <v>37</v>
      </c>
      <c r="H7" s="87" t="s">
        <v>38</v>
      </c>
      <c r="I7" s="85" t="s">
        <v>40</v>
      </c>
      <c r="J7" s="85" t="s">
        <v>41</v>
      </c>
      <c r="K7" s="85" t="s">
        <v>42</v>
      </c>
      <c r="L7" s="85" t="s">
        <v>43</v>
      </c>
      <c r="M7" s="85" t="s">
        <v>44</v>
      </c>
      <c r="N7" s="85" t="s">
        <v>45</v>
      </c>
      <c r="O7" s="85" t="s">
        <v>46</v>
      </c>
      <c r="P7" s="85" t="s">
        <v>47</v>
      </c>
      <c r="Q7" s="85" t="s">
        <v>48</v>
      </c>
      <c r="R7" s="87" t="s">
        <v>49</v>
      </c>
      <c r="S7" s="85" t="s">
        <v>50</v>
      </c>
      <c r="T7" s="85" t="s">
        <v>51</v>
      </c>
      <c r="U7" s="85" t="s">
        <v>52</v>
      </c>
      <c r="V7" s="87" t="s">
        <v>53</v>
      </c>
      <c r="W7" s="85" t="s">
        <v>54</v>
      </c>
      <c r="X7" s="85" t="s">
        <v>55</v>
      </c>
      <c r="Y7" s="79"/>
      <c r="Z7" s="79"/>
      <c r="AA7" s="79"/>
      <c r="AB7" s="79"/>
      <c r="AC7" s="79"/>
      <c r="AD7" s="79"/>
      <c r="AE7" s="79"/>
      <c r="AF7" s="79"/>
    </row>
    <row r="8" spans="1:32" ht="15.75" customHeight="1" x14ac:dyDescent="0.15">
      <c r="A8" s="88">
        <v>1</v>
      </c>
      <c r="B8" s="88" t="s">
        <v>75</v>
      </c>
      <c r="C8" s="88" t="s">
        <v>7127</v>
      </c>
      <c r="D8" s="89" t="s">
        <v>9065</v>
      </c>
      <c r="E8" s="88" t="s">
        <v>169</v>
      </c>
      <c r="F8" s="88">
        <v>0</v>
      </c>
      <c r="G8" s="88"/>
      <c r="H8" s="88">
        <v>0</v>
      </c>
      <c r="I8" s="88"/>
      <c r="J8" s="88" t="s">
        <v>9065</v>
      </c>
      <c r="K8" s="88" t="s">
        <v>173</v>
      </c>
      <c r="L8" s="88" t="s">
        <v>61</v>
      </c>
      <c r="M8" s="88"/>
      <c r="N8" s="88">
        <v>-2147483648</v>
      </c>
      <c r="O8" s="88">
        <v>2147483647</v>
      </c>
      <c r="P8" s="88">
        <v>-2147483648</v>
      </c>
      <c r="Q8" s="88">
        <v>2147483647</v>
      </c>
      <c r="R8" s="88"/>
      <c r="S8" s="88"/>
      <c r="T8" s="88" t="s">
        <v>3852</v>
      </c>
      <c r="U8" s="88" t="s">
        <v>3853</v>
      </c>
      <c r="V8" s="96"/>
      <c r="W8" s="88"/>
      <c r="X8" s="88"/>
      <c r="Y8" s="79"/>
      <c r="Z8" s="79"/>
      <c r="AA8" s="79"/>
      <c r="AB8" s="79"/>
      <c r="AC8" s="79"/>
      <c r="AD8" s="79"/>
      <c r="AE8" s="79"/>
      <c r="AF8" s="79"/>
    </row>
    <row r="9" spans="1:32" ht="15.75" customHeight="1" x14ac:dyDescent="0.15">
      <c r="A9" s="8">
        <v>2</v>
      </c>
      <c r="B9" s="8" t="s">
        <v>75</v>
      </c>
      <c r="C9" s="8" t="s">
        <v>9066</v>
      </c>
      <c r="D9" s="81" t="s">
        <v>9067</v>
      </c>
      <c r="E9" s="8" t="s">
        <v>169</v>
      </c>
      <c r="F9" s="8">
        <v>0</v>
      </c>
      <c r="G9" s="8"/>
      <c r="H9" s="8">
        <v>10000</v>
      </c>
      <c r="I9" s="8"/>
      <c r="J9" s="8" t="s">
        <v>9068</v>
      </c>
      <c r="K9" s="8" t="s">
        <v>173</v>
      </c>
      <c r="L9" s="88" t="s">
        <v>61</v>
      </c>
      <c r="M9" s="8"/>
      <c r="N9" s="8"/>
      <c r="O9" s="8"/>
      <c r="P9" s="8"/>
      <c r="Q9" s="8"/>
      <c r="R9" s="8"/>
      <c r="S9" s="8"/>
      <c r="T9" s="8" t="s">
        <v>3852</v>
      </c>
      <c r="U9" s="8" t="s">
        <v>3853</v>
      </c>
      <c r="V9" s="97"/>
      <c r="W9" s="8"/>
      <c r="X9" s="8"/>
      <c r="Y9" s="79"/>
      <c r="Z9" s="79"/>
      <c r="AA9" s="79"/>
      <c r="AB9" s="79"/>
      <c r="AC9" s="79"/>
      <c r="AD9" s="79"/>
      <c r="AE9" s="79"/>
      <c r="AF9" s="79"/>
    </row>
    <row r="10" spans="1:32" ht="15.75" customHeight="1" x14ac:dyDescent="0.15">
      <c r="A10" s="88">
        <v>3</v>
      </c>
      <c r="B10" s="88" t="s">
        <v>75</v>
      </c>
      <c r="C10" s="88" t="s">
        <v>57</v>
      </c>
      <c r="D10" s="89" t="s">
        <v>9069</v>
      </c>
      <c r="E10" s="88" t="s">
        <v>219</v>
      </c>
      <c r="F10" s="88" t="s">
        <v>9070</v>
      </c>
      <c r="G10" s="88"/>
      <c r="H10" s="88" t="s">
        <v>9071</v>
      </c>
      <c r="I10" s="88"/>
      <c r="J10" s="88"/>
      <c r="K10" s="88"/>
      <c r="L10" s="88" t="s">
        <v>61</v>
      </c>
      <c r="M10" s="88">
        <v>1</v>
      </c>
      <c r="N10" s="88">
        <v>-32768</v>
      </c>
      <c r="O10" s="88">
        <v>32767</v>
      </c>
      <c r="P10" s="88">
        <v>-32768</v>
      </c>
      <c r="Q10" s="88">
        <v>32767</v>
      </c>
      <c r="R10" s="88"/>
      <c r="S10" s="88"/>
      <c r="T10" s="88" t="s">
        <v>3852</v>
      </c>
      <c r="U10" s="88" t="s">
        <v>3853</v>
      </c>
      <c r="V10" s="96"/>
      <c r="W10" s="88"/>
      <c r="X10" s="88"/>
      <c r="Y10" s="79"/>
      <c r="Z10" s="79"/>
      <c r="AA10" s="79"/>
      <c r="AB10" s="79"/>
      <c r="AC10" s="79"/>
      <c r="AD10" s="79"/>
      <c r="AE10" s="79"/>
      <c r="AF10" s="79"/>
    </row>
    <row r="11" spans="1:32" ht="15.75" customHeight="1" x14ac:dyDescent="0.15">
      <c r="A11" s="8">
        <v>4</v>
      </c>
      <c r="B11" s="8" t="s">
        <v>75</v>
      </c>
      <c r="C11" s="88" t="s">
        <v>57</v>
      </c>
      <c r="D11" s="81" t="s">
        <v>9072</v>
      </c>
      <c r="E11" s="8" t="s">
        <v>169</v>
      </c>
      <c r="F11" s="88" t="s">
        <v>9070</v>
      </c>
      <c r="G11" s="8">
        <v>0</v>
      </c>
      <c r="H11" s="88" t="s">
        <v>9071</v>
      </c>
      <c r="I11" s="88" t="s">
        <v>171</v>
      </c>
      <c r="J11" s="8" t="s">
        <v>177</v>
      </c>
      <c r="K11" s="8" t="s">
        <v>173</v>
      </c>
      <c r="L11" s="8"/>
      <c r="M11" s="8"/>
      <c r="N11" s="8"/>
      <c r="O11" s="8"/>
      <c r="P11" s="8"/>
      <c r="Q11" s="8"/>
      <c r="R11" s="8"/>
      <c r="S11" s="8"/>
      <c r="T11" s="8" t="s">
        <v>3852</v>
      </c>
      <c r="U11" s="8" t="s">
        <v>3853</v>
      </c>
      <c r="V11" s="97"/>
      <c r="W11" s="8"/>
      <c r="X11" s="8"/>
      <c r="Y11" s="79"/>
      <c r="Z11" s="79"/>
      <c r="AA11" s="79"/>
      <c r="AB11" s="79"/>
      <c r="AC11" s="79"/>
      <c r="AD11" s="79"/>
      <c r="AE11" s="79"/>
      <c r="AF11" s="79"/>
    </row>
    <row r="12" spans="1:32" ht="15.75" customHeight="1" x14ac:dyDescent="0.15">
      <c r="A12" s="88">
        <v>5</v>
      </c>
      <c r="B12" s="88" t="s">
        <v>75</v>
      </c>
      <c r="C12" s="88" t="s">
        <v>57</v>
      </c>
      <c r="D12" s="81" t="s">
        <v>9073</v>
      </c>
      <c r="E12" s="8" t="s">
        <v>169</v>
      </c>
      <c r="F12" s="88" t="s">
        <v>9070</v>
      </c>
      <c r="G12" s="88">
        <v>1</v>
      </c>
      <c r="H12" s="88" t="s">
        <v>9071</v>
      </c>
      <c r="I12" s="88" t="s">
        <v>171</v>
      </c>
      <c r="J12" s="8" t="s">
        <v>177</v>
      </c>
      <c r="K12" s="8" t="s">
        <v>173</v>
      </c>
      <c r="L12" s="88"/>
      <c r="M12" s="88"/>
      <c r="N12" s="88"/>
      <c r="O12" s="88"/>
      <c r="P12" s="88"/>
      <c r="Q12" s="88"/>
      <c r="R12" s="88"/>
      <c r="S12" s="88"/>
      <c r="T12" s="88" t="s">
        <v>3852</v>
      </c>
      <c r="U12" s="88" t="s">
        <v>3853</v>
      </c>
      <c r="V12" s="96"/>
      <c r="W12" s="88"/>
      <c r="X12" s="88"/>
      <c r="Y12" s="79"/>
      <c r="Z12" s="79"/>
      <c r="AA12" s="79"/>
      <c r="AB12" s="79"/>
      <c r="AC12" s="79"/>
      <c r="AD12" s="79"/>
      <c r="AE12" s="79"/>
      <c r="AF12" s="79"/>
    </row>
    <row r="13" spans="1:32" ht="15.75" customHeight="1" x14ac:dyDescent="0.15">
      <c r="A13" s="8">
        <v>6</v>
      </c>
      <c r="B13" s="8" t="s">
        <v>75</v>
      </c>
      <c r="C13" s="88" t="s">
        <v>57</v>
      </c>
      <c r="D13" s="81" t="s">
        <v>9074</v>
      </c>
      <c r="E13" s="8" t="s">
        <v>169</v>
      </c>
      <c r="F13" s="88" t="s">
        <v>9070</v>
      </c>
      <c r="G13" s="8">
        <v>2</v>
      </c>
      <c r="H13" s="88" t="s">
        <v>9071</v>
      </c>
      <c r="I13" s="88" t="s">
        <v>171</v>
      </c>
      <c r="J13" s="8" t="s">
        <v>177</v>
      </c>
      <c r="K13" s="8" t="s">
        <v>173</v>
      </c>
      <c r="L13" s="8"/>
      <c r="M13" s="8"/>
      <c r="N13" s="8">
        <v>-2147483648</v>
      </c>
      <c r="O13" s="8">
        <v>2147483647</v>
      </c>
      <c r="P13" s="8">
        <v>-2147483648</v>
      </c>
      <c r="Q13" s="8">
        <v>2147483647</v>
      </c>
      <c r="R13" s="8"/>
      <c r="S13" s="8"/>
      <c r="T13" s="8" t="s">
        <v>3852</v>
      </c>
      <c r="U13" s="8" t="s">
        <v>3853</v>
      </c>
      <c r="V13" s="97"/>
      <c r="W13" s="8"/>
      <c r="X13" s="8"/>
      <c r="Y13" s="79"/>
      <c r="Z13" s="79"/>
      <c r="AA13" s="79"/>
      <c r="AB13" s="79"/>
      <c r="AC13" s="79"/>
      <c r="AD13" s="79"/>
      <c r="AE13" s="79"/>
      <c r="AF13" s="79"/>
    </row>
    <row r="14" spans="1:32" ht="15.75" customHeight="1" x14ac:dyDescent="0.15">
      <c r="A14" s="88">
        <v>7</v>
      </c>
      <c r="B14" s="88" t="s">
        <v>75</v>
      </c>
      <c r="C14" s="88" t="s">
        <v>57</v>
      </c>
      <c r="D14" s="81" t="s">
        <v>9075</v>
      </c>
      <c r="E14" s="8" t="s">
        <v>169</v>
      </c>
      <c r="F14" s="88" t="s">
        <v>9070</v>
      </c>
      <c r="G14" s="88">
        <v>3</v>
      </c>
      <c r="H14" s="88" t="s">
        <v>9071</v>
      </c>
      <c r="I14" s="88" t="s">
        <v>171</v>
      </c>
      <c r="J14" s="8" t="s">
        <v>177</v>
      </c>
      <c r="K14" s="8" t="s">
        <v>173</v>
      </c>
      <c r="L14" s="88"/>
      <c r="M14" s="88"/>
      <c r="N14" s="88">
        <v>-2147483648</v>
      </c>
      <c r="O14" s="88">
        <v>2147483647</v>
      </c>
      <c r="P14" s="88">
        <v>-2147483648</v>
      </c>
      <c r="Q14" s="88">
        <v>2147483647</v>
      </c>
      <c r="R14" s="88"/>
      <c r="S14" s="88"/>
      <c r="T14" s="88" t="s">
        <v>3852</v>
      </c>
      <c r="U14" s="88" t="s">
        <v>3853</v>
      </c>
      <c r="V14" s="96"/>
      <c r="W14" s="88"/>
      <c r="X14" s="88"/>
      <c r="Y14" s="79"/>
      <c r="Z14" s="79"/>
      <c r="AA14" s="79"/>
      <c r="AB14" s="79"/>
      <c r="AC14" s="79"/>
      <c r="AD14" s="79"/>
      <c r="AE14" s="79"/>
      <c r="AF14" s="79"/>
    </row>
    <row r="15" spans="1:32" ht="15.75" customHeight="1" x14ac:dyDescent="0.15">
      <c r="A15" s="8">
        <v>8</v>
      </c>
      <c r="B15" s="8" t="s">
        <v>75</v>
      </c>
      <c r="C15" s="88" t="s">
        <v>57</v>
      </c>
      <c r="D15" s="81" t="s">
        <v>9076</v>
      </c>
      <c r="E15" s="8" t="s">
        <v>169</v>
      </c>
      <c r="F15" s="88" t="s">
        <v>9070</v>
      </c>
      <c r="G15" s="8">
        <v>4</v>
      </c>
      <c r="H15" s="88" t="s">
        <v>9071</v>
      </c>
      <c r="I15" s="88" t="s">
        <v>171</v>
      </c>
      <c r="J15" s="8" t="s">
        <v>177</v>
      </c>
      <c r="K15" s="8" t="s">
        <v>173</v>
      </c>
      <c r="L15" s="8"/>
      <c r="M15" s="8"/>
      <c r="N15" s="8">
        <v>0</v>
      </c>
      <c r="O15" s="8">
        <v>4294967295</v>
      </c>
      <c r="P15" s="8">
        <v>0</v>
      </c>
      <c r="Q15" s="8">
        <v>4294967295</v>
      </c>
      <c r="R15" s="8"/>
      <c r="S15" s="8"/>
      <c r="T15" s="8" t="s">
        <v>3852</v>
      </c>
      <c r="U15" s="8" t="s">
        <v>3853</v>
      </c>
      <c r="V15" s="97"/>
      <c r="W15" s="8"/>
      <c r="X15" s="8"/>
      <c r="Y15" s="79"/>
      <c r="Z15" s="79"/>
      <c r="AA15" s="79"/>
      <c r="AB15" s="79"/>
      <c r="AC15" s="79"/>
      <c r="AD15" s="79"/>
      <c r="AE15" s="79"/>
      <c r="AF15" s="79"/>
    </row>
    <row r="16" spans="1:32" ht="15.75" customHeight="1" x14ac:dyDescent="0.15">
      <c r="A16" s="88">
        <v>9</v>
      </c>
      <c r="B16" s="88" t="s">
        <v>75</v>
      </c>
      <c r="C16" s="88" t="s">
        <v>57</v>
      </c>
      <c r="D16" s="81" t="s">
        <v>9077</v>
      </c>
      <c r="E16" s="8" t="s">
        <v>169</v>
      </c>
      <c r="F16" s="88" t="s">
        <v>9070</v>
      </c>
      <c r="G16" s="88">
        <v>15</v>
      </c>
      <c r="H16" s="88" t="s">
        <v>9071</v>
      </c>
      <c r="I16" s="88" t="s">
        <v>171</v>
      </c>
      <c r="J16" s="8" t="s">
        <v>177</v>
      </c>
      <c r="K16" s="8" t="s">
        <v>173</v>
      </c>
      <c r="L16" s="88"/>
      <c r="M16" s="88"/>
      <c r="N16" s="88">
        <v>-2147483648</v>
      </c>
      <c r="O16" s="88">
        <v>2147483647</v>
      </c>
      <c r="P16" s="88">
        <v>-2147483648</v>
      </c>
      <c r="Q16" s="88">
        <v>2147483647</v>
      </c>
      <c r="R16" s="88"/>
      <c r="S16" s="88"/>
      <c r="T16" s="88" t="s">
        <v>3852</v>
      </c>
      <c r="U16" s="88" t="s">
        <v>3853</v>
      </c>
      <c r="V16" s="96"/>
      <c r="W16" s="88"/>
      <c r="X16" s="88"/>
      <c r="Y16" s="79"/>
      <c r="Z16" s="79"/>
      <c r="AA16" s="79"/>
      <c r="AB16" s="79"/>
      <c r="AC16" s="79"/>
      <c r="AD16" s="79"/>
      <c r="AE16" s="79"/>
      <c r="AF16" s="79"/>
    </row>
    <row r="17" spans="1:32" ht="15.75" customHeight="1" x14ac:dyDescent="0.15">
      <c r="A17" s="8">
        <v>10</v>
      </c>
      <c r="B17" s="88" t="s">
        <v>75</v>
      </c>
      <c r="C17" s="8" t="s">
        <v>57</v>
      </c>
      <c r="D17" s="81" t="s">
        <v>9078</v>
      </c>
      <c r="E17" s="8" t="s">
        <v>77</v>
      </c>
      <c r="F17" s="88" t="s">
        <v>9079</v>
      </c>
      <c r="G17" s="8"/>
      <c r="H17" s="8" t="s">
        <v>9080</v>
      </c>
      <c r="I17" s="8"/>
      <c r="J17" s="8"/>
      <c r="K17" s="8"/>
      <c r="L17" s="8" t="s">
        <v>61</v>
      </c>
      <c r="M17" s="8">
        <v>1</v>
      </c>
      <c r="N17" s="8"/>
      <c r="O17" s="8"/>
      <c r="P17" s="8"/>
      <c r="Q17" s="8"/>
      <c r="R17" s="8"/>
      <c r="S17" s="8"/>
      <c r="T17" s="8" t="s">
        <v>6375</v>
      </c>
      <c r="U17" s="8"/>
      <c r="V17" s="97"/>
      <c r="W17" s="8"/>
      <c r="X17" s="8"/>
      <c r="Y17" s="79"/>
      <c r="Z17" s="79"/>
      <c r="AA17" s="79"/>
      <c r="AB17" s="79"/>
      <c r="AC17" s="79"/>
      <c r="AD17" s="79"/>
      <c r="AE17" s="79"/>
      <c r="AF17" s="79"/>
    </row>
    <row r="18" spans="1:32" ht="15.75" customHeight="1" x14ac:dyDescent="0.15">
      <c r="A18" s="88">
        <v>11</v>
      </c>
      <c r="B18" s="88" t="s">
        <v>75</v>
      </c>
      <c r="C18" s="8" t="s">
        <v>57</v>
      </c>
      <c r="D18" s="81" t="s">
        <v>9081</v>
      </c>
      <c r="E18" s="8" t="s">
        <v>77</v>
      </c>
      <c r="F18" s="88" t="s">
        <v>9082</v>
      </c>
      <c r="G18" s="88"/>
      <c r="H18" s="88" t="s">
        <v>9083</v>
      </c>
      <c r="I18" s="88"/>
      <c r="J18" s="88"/>
      <c r="K18" s="88"/>
      <c r="L18" s="88" t="s">
        <v>9084</v>
      </c>
      <c r="M18" s="88">
        <v>0.01</v>
      </c>
      <c r="N18" s="88"/>
      <c r="O18" s="88"/>
      <c r="P18" s="88"/>
      <c r="Q18" s="88"/>
      <c r="R18" s="88"/>
      <c r="S18" s="88"/>
      <c r="T18" s="88" t="s">
        <v>3807</v>
      </c>
      <c r="U18" s="88"/>
      <c r="V18" s="96"/>
      <c r="W18" s="88"/>
      <c r="X18" s="88"/>
      <c r="Y18" s="79"/>
      <c r="Z18" s="79"/>
      <c r="AA18" s="79"/>
      <c r="AB18" s="79"/>
      <c r="AC18" s="79"/>
      <c r="AD18" s="79"/>
      <c r="AE18" s="79"/>
      <c r="AF18" s="79"/>
    </row>
    <row r="19" spans="1:32" ht="15.75" customHeight="1" x14ac:dyDescent="0.15">
      <c r="A19" s="8">
        <v>12</v>
      </c>
      <c r="B19" s="88" t="s">
        <v>75</v>
      </c>
      <c r="C19" s="8" t="s">
        <v>2634</v>
      </c>
      <c r="D19" s="81" t="s">
        <v>9085</v>
      </c>
      <c r="E19" s="8" t="s">
        <v>77</v>
      </c>
      <c r="F19" s="88" t="s">
        <v>9086</v>
      </c>
      <c r="G19" s="88"/>
      <c r="H19" s="88" t="s">
        <v>9087</v>
      </c>
      <c r="I19" s="88"/>
      <c r="J19" s="88"/>
      <c r="K19" s="88"/>
      <c r="L19" s="88" t="s">
        <v>61</v>
      </c>
      <c r="M19" s="88">
        <v>1</v>
      </c>
      <c r="N19" s="88"/>
      <c r="O19" s="88"/>
      <c r="P19" s="88"/>
      <c r="Q19" s="88"/>
      <c r="R19" s="88"/>
      <c r="S19" s="88"/>
      <c r="T19" s="88" t="s">
        <v>3807</v>
      </c>
      <c r="U19" s="88"/>
      <c r="V19" s="96"/>
      <c r="W19" s="88"/>
      <c r="X19" s="8"/>
      <c r="Y19" s="79"/>
      <c r="Z19" s="79"/>
      <c r="AA19" s="79"/>
      <c r="AB19" s="79"/>
      <c r="AC19" s="79"/>
      <c r="AD19" s="79"/>
      <c r="AE19" s="79"/>
      <c r="AF19" s="79"/>
    </row>
    <row r="20" spans="1:32" ht="15.75" customHeight="1" x14ac:dyDescent="0.15">
      <c r="A20" s="88">
        <v>13</v>
      </c>
      <c r="B20" s="88" t="s">
        <v>75</v>
      </c>
      <c r="C20" s="8" t="s">
        <v>2634</v>
      </c>
      <c r="D20" s="81" t="s">
        <v>9088</v>
      </c>
      <c r="E20" s="8" t="s">
        <v>77</v>
      </c>
      <c r="F20" s="88" t="s">
        <v>9082</v>
      </c>
      <c r="G20" s="88"/>
      <c r="H20" s="88" t="s">
        <v>9083</v>
      </c>
      <c r="I20" s="88"/>
      <c r="J20" s="88"/>
      <c r="K20" s="88"/>
      <c r="L20" s="88" t="s">
        <v>9084</v>
      </c>
      <c r="M20" s="88">
        <v>0.01</v>
      </c>
      <c r="N20" s="88"/>
      <c r="O20" s="88"/>
      <c r="P20" s="88"/>
      <c r="Q20" s="88"/>
      <c r="R20" s="88"/>
      <c r="S20" s="88"/>
      <c r="T20" s="88" t="s">
        <v>3807</v>
      </c>
      <c r="U20" s="88"/>
      <c r="V20" s="96"/>
      <c r="W20" s="88"/>
      <c r="X20" s="88"/>
      <c r="Y20" s="79"/>
      <c r="Z20" s="79"/>
      <c r="AA20" s="79"/>
      <c r="AB20" s="79"/>
      <c r="AC20" s="79"/>
      <c r="AD20" s="79"/>
      <c r="AE20" s="79"/>
      <c r="AF20" s="79"/>
    </row>
    <row r="21" spans="1:32" ht="15.75" customHeight="1" x14ac:dyDescent="0.15">
      <c r="A21" s="8"/>
      <c r="B21" s="88"/>
      <c r="C21" s="8"/>
      <c r="D21" s="81"/>
      <c r="E21" s="8"/>
      <c r="F21" s="88"/>
      <c r="G21" s="88"/>
      <c r="H21" s="88"/>
      <c r="I21" s="88"/>
      <c r="J21" s="88"/>
      <c r="K21" s="88"/>
      <c r="L21" s="88"/>
      <c r="M21" s="88"/>
      <c r="N21" s="88"/>
      <c r="O21" s="88"/>
      <c r="P21" s="88"/>
      <c r="Q21" s="88"/>
      <c r="R21" s="88"/>
      <c r="S21" s="88"/>
      <c r="T21" s="88"/>
      <c r="U21" s="8"/>
      <c r="V21" s="97"/>
      <c r="W21" s="8"/>
      <c r="X21" s="8"/>
      <c r="Y21" s="79"/>
      <c r="Z21" s="79"/>
      <c r="AA21" s="79"/>
      <c r="AB21" s="79"/>
      <c r="AC21" s="79"/>
      <c r="AD21" s="79"/>
      <c r="AE21" s="79"/>
      <c r="AF21" s="79"/>
    </row>
    <row r="22" spans="1:32" ht="15.75" customHeight="1" x14ac:dyDescent="0.15">
      <c r="A22" s="88"/>
      <c r="B22" s="88"/>
      <c r="C22" s="8"/>
      <c r="D22" s="81"/>
      <c r="E22" s="8"/>
      <c r="F22" s="88"/>
      <c r="G22" s="88"/>
      <c r="H22" s="88"/>
      <c r="I22" s="88"/>
      <c r="J22" s="88"/>
      <c r="K22" s="88"/>
      <c r="L22" s="88"/>
      <c r="M22" s="88"/>
      <c r="N22" s="88"/>
      <c r="O22" s="88"/>
      <c r="P22" s="88"/>
      <c r="Q22" s="88"/>
      <c r="R22" s="88"/>
      <c r="S22" s="88"/>
      <c r="T22" s="88"/>
      <c r="U22" s="88"/>
      <c r="V22" s="96"/>
      <c r="W22" s="88"/>
      <c r="X22" s="88"/>
      <c r="Y22" s="79"/>
      <c r="Z22" s="79"/>
      <c r="AA22" s="79"/>
      <c r="AB22" s="79"/>
      <c r="AC22" s="79"/>
      <c r="AD22" s="79"/>
      <c r="AE22" s="79"/>
      <c r="AF22" s="79"/>
    </row>
    <row r="23" spans="1:32" ht="15.75" customHeight="1" x14ac:dyDescent="0.15">
      <c r="A23" s="8"/>
      <c r="B23" s="88"/>
      <c r="C23" s="8"/>
      <c r="D23" s="81"/>
      <c r="E23" s="8"/>
      <c r="F23" s="88"/>
      <c r="G23" s="88"/>
      <c r="H23" s="88"/>
      <c r="I23" s="88"/>
      <c r="J23" s="88"/>
      <c r="K23" s="88"/>
      <c r="L23" s="88"/>
      <c r="M23" s="88"/>
      <c r="N23" s="88"/>
      <c r="O23" s="88"/>
      <c r="P23" s="88"/>
      <c r="Q23" s="88"/>
      <c r="R23" s="88"/>
      <c r="S23" s="88"/>
      <c r="T23" s="88"/>
      <c r="U23" s="8"/>
      <c r="V23" s="97"/>
      <c r="W23" s="8"/>
      <c r="X23" s="8"/>
      <c r="Y23" s="79"/>
      <c r="Z23" s="79"/>
      <c r="AA23" s="79"/>
      <c r="AB23" s="79"/>
      <c r="AC23" s="79"/>
      <c r="AD23" s="79"/>
      <c r="AE23" s="79"/>
      <c r="AF23" s="79"/>
    </row>
    <row r="24" spans="1:32" ht="15.75" customHeight="1" x14ac:dyDescent="0.15">
      <c r="A24" s="88"/>
      <c r="B24" s="88"/>
      <c r="C24" s="8"/>
      <c r="D24" s="81"/>
      <c r="E24" s="8"/>
      <c r="F24" s="88"/>
      <c r="G24" s="88"/>
      <c r="H24" s="88"/>
      <c r="I24" s="88"/>
      <c r="J24" s="88"/>
      <c r="K24" s="88"/>
      <c r="L24" s="88"/>
      <c r="M24" s="88"/>
      <c r="N24" s="88"/>
      <c r="O24" s="88"/>
      <c r="P24" s="88"/>
      <c r="Q24" s="88"/>
      <c r="R24" s="88"/>
      <c r="S24" s="88"/>
      <c r="T24" s="88"/>
      <c r="U24" s="88"/>
      <c r="V24" s="96"/>
      <c r="W24" s="88"/>
      <c r="X24" s="88"/>
      <c r="Y24" s="79"/>
      <c r="Z24" s="79"/>
      <c r="AA24" s="79"/>
      <c r="AB24" s="79"/>
      <c r="AC24" s="79"/>
      <c r="AD24" s="79"/>
      <c r="AE24" s="79"/>
      <c r="AF24" s="79"/>
    </row>
    <row r="25" spans="1:32" ht="15.75" customHeight="1" x14ac:dyDescent="0.15">
      <c r="A25" s="8"/>
      <c r="B25" s="8"/>
      <c r="C25" s="8"/>
      <c r="D25" s="81"/>
      <c r="E25" s="8"/>
      <c r="F25" s="88"/>
      <c r="G25" s="8"/>
      <c r="H25" s="8"/>
      <c r="I25" s="8"/>
      <c r="J25" s="8"/>
      <c r="K25" s="8"/>
      <c r="L25" s="8"/>
      <c r="M25" s="8"/>
      <c r="N25" s="8"/>
      <c r="O25" s="8"/>
      <c r="P25" s="8"/>
      <c r="Q25" s="8"/>
      <c r="R25" s="8"/>
      <c r="S25" s="8"/>
      <c r="T25" s="8"/>
      <c r="U25" s="8"/>
      <c r="V25" s="97"/>
      <c r="W25" s="8"/>
      <c r="X25" s="8"/>
      <c r="Y25" s="79"/>
      <c r="Z25" s="79"/>
      <c r="AA25" s="79"/>
      <c r="AB25" s="79"/>
      <c r="AC25" s="79"/>
      <c r="AD25" s="79"/>
      <c r="AE25" s="79"/>
      <c r="AF25" s="79"/>
    </row>
    <row r="26" spans="1:32" ht="15.75" customHeight="1" x14ac:dyDescent="0.15">
      <c r="A26" s="88"/>
      <c r="B26" s="88"/>
      <c r="C26" s="88"/>
      <c r="D26" s="89"/>
      <c r="E26" s="88"/>
      <c r="F26" s="88"/>
      <c r="G26" s="88"/>
      <c r="H26" s="88"/>
      <c r="I26" s="88"/>
      <c r="J26" s="88"/>
      <c r="K26" s="88"/>
      <c r="L26" s="88"/>
      <c r="M26" s="88"/>
      <c r="N26" s="88"/>
      <c r="O26" s="88"/>
      <c r="P26" s="88"/>
      <c r="Q26" s="88"/>
      <c r="R26" s="88"/>
      <c r="S26" s="88"/>
      <c r="T26" s="88"/>
      <c r="U26" s="88"/>
      <c r="V26" s="96"/>
      <c r="W26" s="88"/>
      <c r="X26" s="88"/>
      <c r="Y26" s="79"/>
      <c r="Z26" s="79"/>
      <c r="AA26" s="79"/>
      <c r="AB26" s="79"/>
      <c r="AC26" s="79"/>
      <c r="AD26" s="79"/>
      <c r="AE26" s="79"/>
      <c r="AF26" s="79"/>
    </row>
    <row r="27" spans="1:32" ht="15.75" customHeight="1" x14ac:dyDescent="0.15">
      <c r="A27" s="8"/>
      <c r="B27" s="8"/>
      <c r="C27" s="8"/>
      <c r="D27" s="81"/>
      <c r="E27" s="8"/>
      <c r="F27" s="88"/>
      <c r="G27" s="8"/>
      <c r="H27" s="8"/>
      <c r="I27" s="8"/>
      <c r="J27" s="8"/>
      <c r="K27" s="8"/>
      <c r="L27" s="8"/>
      <c r="M27" s="8"/>
      <c r="N27" s="8"/>
      <c r="O27" s="8"/>
      <c r="P27" s="8"/>
      <c r="Q27" s="8"/>
      <c r="R27" s="8"/>
      <c r="S27" s="8"/>
      <c r="T27" s="8"/>
      <c r="U27" s="8"/>
      <c r="V27" s="97"/>
      <c r="W27" s="8"/>
      <c r="X27" s="8"/>
      <c r="Y27" s="79"/>
      <c r="Z27" s="79"/>
      <c r="AA27" s="79"/>
      <c r="AB27" s="79"/>
      <c r="AC27" s="79"/>
      <c r="AD27" s="79"/>
      <c r="AE27" s="79"/>
      <c r="AF27" s="79"/>
    </row>
    <row r="28" spans="1:32" ht="15.75" customHeight="1" x14ac:dyDescent="0.15">
      <c r="A28" s="88"/>
      <c r="B28" s="88"/>
      <c r="C28" s="88"/>
      <c r="D28" s="89"/>
      <c r="E28" s="88"/>
      <c r="F28" s="88"/>
      <c r="G28" s="88"/>
      <c r="H28" s="88"/>
      <c r="I28" s="88"/>
      <c r="J28" s="88"/>
      <c r="K28" s="88"/>
      <c r="L28" s="88"/>
      <c r="M28" s="88"/>
      <c r="N28" s="88"/>
      <c r="O28" s="88"/>
      <c r="P28" s="88"/>
      <c r="Q28" s="88"/>
      <c r="R28" s="88"/>
      <c r="S28" s="88"/>
      <c r="T28" s="88"/>
      <c r="U28" s="88"/>
      <c r="V28" s="96"/>
      <c r="W28" s="88"/>
      <c r="X28" s="88"/>
      <c r="Y28" s="79"/>
      <c r="Z28" s="79"/>
      <c r="AA28" s="79"/>
      <c r="AB28" s="79"/>
      <c r="AC28" s="79"/>
      <c r="AD28" s="79"/>
      <c r="AE28" s="79"/>
      <c r="AF28" s="79"/>
    </row>
    <row r="29" spans="1:32" ht="15.75" customHeight="1" x14ac:dyDescent="0.15">
      <c r="A29" s="8"/>
      <c r="B29" s="8"/>
      <c r="C29" s="8"/>
      <c r="D29" s="81"/>
      <c r="E29" s="8"/>
      <c r="F29" s="8"/>
      <c r="G29" s="8"/>
      <c r="H29" s="8"/>
      <c r="I29" s="8"/>
      <c r="J29" s="8"/>
      <c r="K29" s="8"/>
      <c r="L29" s="8"/>
      <c r="M29" s="8"/>
      <c r="N29" s="8"/>
      <c r="O29" s="8"/>
      <c r="P29" s="8"/>
      <c r="Q29" s="8"/>
      <c r="R29" s="8"/>
      <c r="S29" s="8"/>
      <c r="T29" s="8"/>
      <c r="U29" s="8"/>
      <c r="V29" s="97"/>
      <c r="W29" s="8"/>
      <c r="X29" s="8"/>
      <c r="Y29" s="79"/>
      <c r="Z29" s="79"/>
      <c r="AA29" s="79"/>
      <c r="AB29" s="79"/>
      <c r="AC29" s="79"/>
      <c r="AD29" s="79"/>
      <c r="AE29" s="79"/>
      <c r="AF29" s="79"/>
    </row>
    <row r="30" spans="1:32" ht="15.75" customHeight="1" x14ac:dyDescent="0.15">
      <c r="A30" s="88"/>
      <c r="B30" s="88"/>
      <c r="C30" s="88"/>
      <c r="D30" s="89"/>
      <c r="E30" s="88"/>
      <c r="F30" s="88"/>
      <c r="G30" s="88"/>
      <c r="H30" s="88"/>
      <c r="I30" s="88"/>
      <c r="J30" s="88"/>
      <c r="K30" s="88"/>
      <c r="L30" s="88"/>
      <c r="M30" s="88"/>
      <c r="N30" s="88"/>
      <c r="O30" s="88"/>
      <c r="P30" s="88"/>
      <c r="Q30" s="88"/>
      <c r="R30" s="88"/>
      <c r="S30" s="88"/>
      <c r="T30" s="88"/>
      <c r="U30" s="88"/>
      <c r="V30" s="96"/>
      <c r="W30" s="88"/>
      <c r="X30" s="88"/>
      <c r="Y30" s="79"/>
      <c r="Z30" s="79"/>
      <c r="AA30" s="79"/>
      <c r="AB30" s="79"/>
      <c r="AC30" s="79"/>
      <c r="AD30" s="79"/>
      <c r="AE30" s="79"/>
      <c r="AF30" s="79"/>
    </row>
    <row r="31" spans="1:32" ht="15.75" customHeight="1" x14ac:dyDescent="0.15">
      <c r="A31" s="8"/>
      <c r="B31" s="8"/>
      <c r="C31" s="8"/>
      <c r="D31" s="81"/>
      <c r="E31" s="8"/>
      <c r="F31" s="8"/>
      <c r="G31" s="8"/>
      <c r="H31" s="8"/>
      <c r="I31" s="8"/>
      <c r="J31" s="8"/>
      <c r="K31" s="8"/>
      <c r="L31" s="8"/>
      <c r="M31" s="8"/>
      <c r="N31" s="8"/>
      <c r="O31" s="8"/>
      <c r="P31" s="8"/>
      <c r="Q31" s="8"/>
      <c r="R31" s="8"/>
      <c r="S31" s="8"/>
      <c r="T31" s="8"/>
      <c r="U31" s="8"/>
      <c r="V31" s="97"/>
      <c r="W31" s="8"/>
      <c r="X31" s="8"/>
      <c r="Y31" s="79"/>
      <c r="Z31" s="79"/>
      <c r="AA31" s="79"/>
      <c r="AB31" s="79"/>
      <c r="AC31" s="79"/>
      <c r="AD31" s="79"/>
      <c r="AE31" s="79"/>
      <c r="AF31" s="79"/>
    </row>
    <row r="32" spans="1:32" ht="15.75" customHeight="1" x14ac:dyDescent="0.15">
      <c r="A32" s="88"/>
      <c r="B32" s="88"/>
      <c r="C32" s="88"/>
      <c r="D32" s="89"/>
      <c r="E32" s="88"/>
      <c r="F32" s="88"/>
      <c r="G32" s="88"/>
      <c r="H32" s="88"/>
      <c r="I32" s="88"/>
      <c r="J32" s="88"/>
      <c r="K32" s="88"/>
      <c r="L32" s="88"/>
      <c r="M32" s="88"/>
      <c r="N32" s="88"/>
      <c r="O32" s="88"/>
      <c r="P32" s="88"/>
      <c r="Q32" s="88"/>
      <c r="R32" s="88"/>
      <c r="S32" s="88"/>
      <c r="T32" s="88"/>
      <c r="U32" s="88"/>
      <c r="V32" s="96"/>
      <c r="W32" s="88"/>
      <c r="X32" s="88"/>
      <c r="Y32" s="79"/>
      <c r="Z32" s="79"/>
      <c r="AA32" s="79"/>
      <c r="AB32" s="79"/>
      <c r="AC32" s="79"/>
      <c r="AD32" s="79"/>
      <c r="AE32" s="79"/>
      <c r="AF32" s="79"/>
    </row>
    <row r="33" spans="1:32" ht="15.75" customHeight="1" x14ac:dyDescent="0.15">
      <c r="A33" s="8"/>
      <c r="B33" s="8"/>
      <c r="C33" s="8"/>
      <c r="D33" s="81"/>
      <c r="E33" s="8"/>
      <c r="F33" s="8"/>
      <c r="G33" s="8"/>
      <c r="H33" s="8"/>
      <c r="I33" s="8"/>
      <c r="J33" s="8"/>
      <c r="K33" s="8"/>
      <c r="L33" s="8"/>
      <c r="M33" s="8"/>
      <c r="N33" s="8"/>
      <c r="O33" s="8"/>
      <c r="P33" s="8"/>
      <c r="Q33" s="8"/>
      <c r="R33" s="8"/>
      <c r="S33" s="8"/>
      <c r="T33" s="8"/>
      <c r="U33" s="8"/>
      <c r="V33" s="97"/>
      <c r="W33" s="8"/>
      <c r="X33" s="8"/>
      <c r="Y33" s="79"/>
      <c r="Z33" s="79"/>
      <c r="AA33" s="79"/>
      <c r="AB33" s="79"/>
      <c r="AC33" s="79"/>
      <c r="AD33" s="79"/>
      <c r="AE33" s="79"/>
      <c r="AF33" s="79"/>
    </row>
    <row r="34" spans="1:32" ht="15.75" customHeight="1" x14ac:dyDescent="0.15">
      <c r="A34" s="88"/>
      <c r="B34" s="88"/>
      <c r="C34" s="88"/>
      <c r="D34" s="89"/>
      <c r="E34" s="88"/>
      <c r="F34" s="88"/>
      <c r="G34" s="88"/>
      <c r="H34" s="88"/>
      <c r="I34" s="88"/>
      <c r="J34" s="88"/>
      <c r="K34" s="88"/>
      <c r="L34" s="88"/>
      <c r="M34" s="88"/>
      <c r="N34" s="88"/>
      <c r="O34" s="88"/>
      <c r="P34" s="88"/>
      <c r="Q34" s="88"/>
      <c r="R34" s="88"/>
      <c r="S34" s="88"/>
      <c r="T34" s="88"/>
      <c r="U34" s="88"/>
      <c r="V34" s="96"/>
      <c r="W34" s="88"/>
      <c r="X34" s="88"/>
      <c r="Y34" s="79"/>
      <c r="Z34" s="79"/>
      <c r="AA34" s="79"/>
      <c r="AB34" s="79"/>
      <c r="AC34" s="79"/>
      <c r="AD34" s="79"/>
      <c r="AE34" s="79"/>
      <c r="AF34" s="79"/>
    </row>
    <row r="35" spans="1:32" ht="15.75" customHeight="1" x14ac:dyDescent="0.15">
      <c r="A35" s="8"/>
      <c r="B35" s="8"/>
      <c r="C35" s="8"/>
      <c r="D35" s="81"/>
      <c r="E35" s="8"/>
      <c r="F35" s="8"/>
      <c r="G35" s="8"/>
      <c r="H35" s="8"/>
      <c r="I35" s="8"/>
      <c r="J35" s="8"/>
      <c r="K35" s="8"/>
      <c r="L35" s="8"/>
      <c r="M35" s="8"/>
      <c r="N35" s="8"/>
      <c r="O35" s="8"/>
      <c r="P35" s="8"/>
      <c r="Q35" s="8"/>
      <c r="R35" s="8"/>
      <c r="S35" s="8"/>
      <c r="T35" s="8"/>
      <c r="U35" s="8"/>
      <c r="V35" s="97"/>
      <c r="W35" s="8"/>
      <c r="X35" s="8"/>
      <c r="Y35" s="79"/>
      <c r="Z35" s="79"/>
      <c r="AA35" s="79"/>
      <c r="AB35" s="79"/>
      <c r="AC35" s="79"/>
      <c r="AD35" s="79"/>
      <c r="AE35" s="79"/>
      <c r="AF35" s="79"/>
    </row>
    <row r="36" spans="1:32" ht="15.75" customHeight="1" x14ac:dyDescent="0.15">
      <c r="A36" s="88"/>
      <c r="B36" s="88"/>
      <c r="C36" s="88"/>
      <c r="D36" s="89"/>
      <c r="E36" s="88"/>
      <c r="F36" s="88"/>
      <c r="G36" s="88"/>
      <c r="H36" s="88"/>
      <c r="I36" s="88"/>
      <c r="J36" s="88"/>
      <c r="K36" s="88"/>
      <c r="L36" s="88"/>
      <c r="M36" s="88"/>
      <c r="N36" s="88"/>
      <c r="O36" s="88"/>
      <c r="P36" s="88"/>
      <c r="Q36" s="88"/>
      <c r="R36" s="88"/>
      <c r="S36" s="88"/>
      <c r="T36" s="88"/>
      <c r="U36" s="88"/>
      <c r="V36" s="96"/>
      <c r="W36" s="88"/>
      <c r="X36" s="88"/>
      <c r="Y36" s="79"/>
      <c r="Z36" s="79"/>
      <c r="AA36" s="79"/>
      <c r="AB36" s="79"/>
      <c r="AC36" s="79"/>
      <c r="AD36" s="79"/>
      <c r="AE36" s="79"/>
      <c r="AF36" s="79"/>
    </row>
    <row r="37" spans="1:32" ht="15.75" customHeight="1" x14ac:dyDescent="0.15">
      <c r="A37" s="8"/>
      <c r="B37" s="8"/>
      <c r="C37" s="8"/>
      <c r="D37" s="81"/>
      <c r="E37" s="8"/>
      <c r="F37" s="8"/>
      <c r="G37" s="8"/>
      <c r="H37" s="8"/>
      <c r="I37" s="8"/>
      <c r="J37" s="8"/>
      <c r="K37" s="8"/>
      <c r="L37" s="8"/>
      <c r="M37" s="8"/>
      <c r="N37" s="8"/>
      <c r="O37" s="8"/>
      <c r="P37" s="8"/>
      <c r="Q37" s="8"/>
      <c r="R37" s="8"/>
      <c r="S37" s="8"/>
      <c r="T37" s="8"/>
      <c r="U37" s="8"/>
      <c r="V37" s="97"/>
      <c r="W37" s="8"/>
      <c r="X37" s="8"/>
      <c r="Y37" s="79"/>
      <c r="Z37" s="79"/>
      <c r="AA37" s="79"/>
      <c r="AB37" s="79"/>
      <c r="AC37" s="79"/>
      <c r="AD37" s="79"/>
      <c r="AE37" s="79"/>
      <c r="AF37" s="79"/>
    </row>
    <row r="38" spans="1:32" ht="15.75" customHeight="1" x14ac:dyDescent="0.15">
      <c r="A38" s="88"/>
      <c r="B38" s="88"/>
      <c r="C38" s="88"/>
      <c r="D38" s="89"/>
      <c r="E38" s="88"/>
      <c r="F38" s="88"/>
      <c r="G38" s="88"/>
      <c r="H38" s="88"/>
      <c r="I38" s="88"/>
      <c r="J38" s="88"/>
      <c r="K38" s="88"/>
      <c r="L38" s="88"/>
      <c r="M38" s="88"/>
      <c r="N38" s="88"/>
      <c r="O38" s="88"/>
      <c r="P38" s="88"/>
      <c r="Q38" s="88"/>
      <c r="R38" s="88"/>
      <c r="S38" s="88"/>
      <c r="T38" s="88"/>
      <c r="U38" s="88"/>
      <c r="V38" s="96"/>
      <c r="W38" s="88"/>
      <c r="X38" s="88"/>
      <c r="Y38" s="79"/>
      <c r="Z38" s="79"/>
      <c r="AA38" s="79"/>
      <c r="AB38" s="79"/>
      <c r="AC38" s="79"/>
      <c r="AD38" s="79"/>
      <c r="AE38" s="79"/>
      <c r="AF38" s="79"/>
    </row>
    <row r="39" spans="1:32" ht="15.75" customHeight="1" x14ac:dyDescent="0.15">
      <c r="A39" s="8"/>
      <c r="B39" s="8"/>
      <c r="C39" s="8"/>
      <c r="D39" s="81"/>
      <c r="E39" s="8"/>
      <c r="F39" s="8"/>
      <c r="G39" s="8"/>
      <c r="H39" s="8"/>
      <c r="I39" s="8"/>
      <c r="J39" s="8"/>
      <c r="K39" s="8"/>
      <c r="L39" s="8"/>
      <c r="M39" s="8"/>
      <c r="N39" s="8"/>
      <c r="O39" s="8"/>
      <c r="P39" s="8"/>
      <c r="Q39" s="8"/>
      <c r="R39" s="8"/>
      <c r="S39" s="8"/>
      <c r="T39" s="8"/>
      <c r="U39" s="8"/>
      <c r="V39" s="97"/>
      <c r="W39" s="8"/>
      <c r="X39" s="8"/>
      <c r="Y39" s="79"/>
      <c r="Z39" s="79"/>
      <c r="AA39" s="79"/>
      <c r="AB39" s="79"/>
      <c r="AC39" s="79"/>
      <c r="AD39" s="79"/>
      <c r="AE39" s="79"/>
      <c r="AF39" s="79"/>
    </row>
    <row r="40" spans="1:32" ht="15.75" customHeight="1" x14ac:dyDescent="0.15">
      <c r="A40" s="88"/>
      <c r="B40" s="88"/>
      <c r="C40" s="88"/>
      <c r="D40" s="89"/>
      <c r="E40" s="88"/>
      <c r="F40" s="88"/>
      <c r="G40" s="88"/>
      <c r="H40" s="88"/>
      <c r="I40" s="88"/>
      <c r="J40" s="88"/>
      <c r="K40" s="88"/>
      <c r="L40" s="88"/>
      <c r="M40" s="88"/>
      <c r="N40" s="88"/>
      <c r="O40" s="88"/>
      <c r="P40" s="88"/>
      <c r="Q40" s="88"/>
      <c r="R40" s="88"/>
      <c r="S40" s="88"/>
      <c r="T40" s="88"/>
      <c r="U40" s="88"/>
      <c r="V40" s="96"/>
      <c r="W40" s="88"/>
      <c r="X40" s="88"/>
      <c r="Y40" s="79"/>
      <c r="Z40" s="79"/>
      <c r="AA40" s="79"/>
      <c r="AB40" s="79"/>
      <c r="AC40" s="79"/>
      <c r="AD40" s="79"/>
      <c r="AE40" s="79"/>
      <c r="AF40" s="79"/>
    </row>
    <row r="41" spans="1:32" ht="15.75" customHeight="1" x14ac:dyDescent="0.15">
      <c r="A41" s="8"/>
      <c r="B41" s="8"/>
      <c r="C41" s="8"/>
      <c r="D41" s="81"/>
      <c r="E41" s="8"/>
      <c r="F41" s="8"/>
      <c r="G41" s="8"/>
      <c r="H41" s="8"/>
      <c r="I41" s="8"/>
      <c r="J41" s="8"/>
      <c r="K41" s="8"/>
      <c r="L41" s="8"/>
      <c r="M41" s="8"/>
      <c r="N41" s="8"/>
      <c r="O41" s="8"/>
      <c r="P41" s="8"/>
      <c r="Q41" s="8"/>
      <c r="R41" s="8"/>
      <c r="S41" s="8"/>
      <c r="T41" s="8"/>
      <c r="U41" s="8"/>
      <c r="V41" s="97"/>
      <c r="W41" s="8"/>
      <c r="X41" s="8"/>
      <c r="Y41" s="79"/>
      <c r="Z41" s="79"/>
      <c r="AA41" s="79"/>
      <c r="AB41" s="79"/>
      <c r="AC41" s="79"/>
      <c r="AD41" s="79"/>
      <c r="AE41" s="79"/>
      <c r="AF41" s="79"/>
    </row>
    <row r="42" spans="1:32" ht="15.75" customHeight="1" x14ac:dyDescent="0.15">
      <c r="A42" s="88"/>
      <c r="B42" s="88"/>
      <c r="C42" s="88"/>
      <c r="D42" s="89"/>
      <c r="E42" s="88"/>
      <c r="F42" s="88"/>
      <c r="G42" s="88"/>
      <c r="H42" s="88"/>
      <c r="I42" s="88"/>
      <c r="J42" s="88"/>
      <c r="K42" s="88"/>
      <c r="L42" s="88"/>
      <c r="M42" s="88"/>
      <c r="N42" s="88"/>
      <c r="O42" s="88"/>
      <c r="P42" s="88"/>
      <c r="Q42" s="88"/>
      <c r="R42" s="88"/>
      <c r="S42" s="88"/>
      <c r="T42" s="88"/>
      <c r="U42" s="88"/>
      <c r="V42" s="96"/>
      <c r="W42" s="88"/>
      <c r="X42" s="88"/>
      <c r="Y42" s="79"/>
      <c r="Z42" s="79"/>
      <c r="AA42" s="79"/>
      <c r="AB42" s="79"/>
      <c r="AC42" s="79"/>
      <c r="AD42" s="79"/>
      <c r="AE42" s="79"/>
      <c r="AF42" s="79"/>
    </row>
    <row r="43" spans="1:32" ht="15.75" customHeight="1" x14ac:dyDescent="0.15">
      <c r="A43" s="8"/>
      <c r="B43" s="8"/>
      <c r="C43" s="8"/>
      <c r="D43" s="81"/>
      <c r="E43" s="8"/>
      <c r="F43" s="8"/>
      <c r="G43" s="8"/>
      <c r="H43" s="8"/>
      <c r="I43" s="8"/>
      <c r="J43" s="8"/>
      <c r="K43" s="8"/>
      <c r="L43" s="8"/>
      <c r="M43" s="8"/>
      <c r="N43" s="8"/>
      <c r="O43" s="8"/>
      <c r="P43" s="8"/>
      <c r="Q43" s="8"/>
      <c r="R43" s="8"/>
      <c r="S43" s="8"/>
      <c r="T43" s="8"/>
      <c r="U43" s="8"/>
      <c r="V43" s="97"/>
      <c r="W43" s="8"/>
      <c r="X43" s="8"/>
      <c r="Y43" s="79"/>
      <c r="Z43" s="79"/>
      <c r="AA43" s="79"/>
      <c r="AB43" s="79"/>
      <c r="AC43" s="79"/>
      <c r="AD43" s="79"/>
      <c r="AE43" s="79"/>
      <c r="AF43" s="79"/>
    </row>
    <row r="44" spans="1:32" ht="15.75" customHeight="1" x14ac:dyDescent="0.15">
      <c r="A44" s="88"/>
      <c r="B44" s="88"/>
      <c r="C44" s="88"/>
      <c r="D44" s="89"/>
      <c r="E44" s="88"/>
      <c r="F44" s="88"/>
      <c r="G44" s="88"/>
      <c r="H44" s="88"/>
      <c r="I44" s="88"/>
      <c r="J44" s="88"/>
      <c r="K44" s="88"/>
      <c r="L44" s="88"/>
      <c r="M44" s="88"/>
      <c r="N44" s="88"/>
      <c r="O44" s="88"/>
      <c r="P44" s="88"/>
      <c r="Q44" s="88"/>
      <c r="R44" s="88"/>
      <c r="S44" s="88"/>
      <c r="T44" s="88"/>
      <c r="U44" s="88"/>
      <c r="V44" s="96"/>
      <c r="W44" s="88"/>
      <c r="X44" s="88"/>
      <c r="Y44" s="79"/>
      <c r="Z44" s="79"/>
      <c r="AA44" s="79"/>
      <c r="AB44" s="79"/>
      <c r="AC44" s="79"/>
      <c r="AD44" s="79"/>
      <c r="AE44" s="79"/>
      <c r="AF44" s="79"/>
    </row>
    <row r="45" spans="1:32" ht="15.75" customHeight="1" x14ac:dyDescent="0.15">
      <c r="A45" s="8"/>
      <c r="B45" s="8"/>
      <c r="C45" s="8"/>
      <c r="D45" s="81"/>
      <c r="E45" s="8"/>
      <c r="F45" s="8"/>
      <c r="G45" s="8"/>
      <c r="H45" s="8"/>
      <c r="I45" s="8"/>
      <c r="J45" s="8"/>
      <c r="K45" s="8"/>
      <c r="L45" s="8"/>
      <c r="M45" s="8"/>
      <c r="N45" s="8"/>
      <c r="O45" s="8"/>
      <c r="P45" s="8"/>
      <c r="Q45" s="8"/>
      <c r="R45" s="8"/>
      <c r="S45" s="8"/>
      <c r="T45" s="8"/>
      <c r="U45" s="8"/>
      <c r="V45" s="97"/>
      <c r="W45" s="8"/>
      <c r="X45" s="8"/>
      <c r="Y45" s="79"/>
      <c r="Z45" s="79"/>
      <c r="AA45" s="79"/>
      <c r="AB45" s="79"/>
      <c r="AC45" s="79"/>
      <c r="AD45" s="79"/>
      <c r="AE45" s="79"/>
      <c r="AF45" s="79"/>
    </row>
    <row r="46" spans="1:32" ht="15.75" customHeight="1" x14ac:dyDescent="0.15">
      <c r="A46" s="88"/>
      <c r="B46" s="88"/>
      <c r="C46" s="88"/>
      <c r="D46" s="89"/>
      <c r="E46" s="88"/>
      <c r="F46" s="88"/>
      <c r="G46" s="88"/>
      <c r="H46" s="88"/>
      <c r="I46" s="88"/>
      <c r="J46" s="88"/>
      <c r="K46" s="88"/>
      <c r="L46" s="88"/>
      <c r="M46" s="88"/>
      <c r="N46" s="88"/>
      <c r="O46" s="88"/>
      <c r="P46" s="88"/>
      <c r="Q46" s="88"/>
      <c r="R46" s="88"/>
      <c r="S46" s="88"/>
      <c r="T46" s="88"/>
      <c r="U46" s="88"/>
      <c r="V46" s="96"/>
      <c r="W46" s="88"/>
      <c r="X46" s="88"/>
      <c r="Y46" s="79"/>
      <c r="Z46" s="79"/>
      <c r="AA46" s="79"/>
      <c r="AB46" s="79"/>
      <c r="AC46" s="79"/>
      <c r="AD46" s="79"/>
      <c r="AE46" s="79"/>
      <c r="AF46" s="79"/>
    </row>
    <row r="47" spans="1:32" ht="15.75" customHeight="1" x14ac:dyDescent="0.15">
      <c r="A47" s="8"/>
      <c r="B47" s="8"/>
      <c r="C47" s="8"/>
      <c r="D47" s="81"/>
      <c r="E47" s="8"/>
      <c r="F47" s="8"/>
      <c r="G47" s="8"/>
      <c r="H47" s="8"/>
      <c r="I47" s="8"/>
      <c r="J47" s="8"/>
      <c r="K47" s="8"/>
      <c r="L47" s="8"/>
      <c r="M47" s="8"/>
      <c r="N47" s="8"/>
      <c r="O47" s="8"/>
      <c r="P47" s="8"/>
      <c r="Q47" s="8"/>
      <c r="R47" s="8"/>
      <c r="S47" s="8"/>
      <c r="T47" s="8"/>
      <c r="U47" s="8"/>
      <c r="V47" s="97"/>
      <c r="W47" s="8"/>
      <c r="X47" s="8"/>
      <c r="Y47" s="79"/>
      <c r="Z47" s="79"/>
      <c r="AA47" s="79"/>
      <c r="AB47" s="79"/>
      <c r="AC47" s="79"/>
      <c r="AD47" s="79"/>
      <c r="AE47" s="79"/>
      <c r="AF47" s="79"/>
    </row>
    <row r="48" spans="1:32" ht="15.75" customHeight="1" x14ac:dyDescent="0.15">
      <c r="A48" s="88"/>
      <c r="B48" s="88"/>
      <c r="C48" s="88"/>
      <c r="D48" s="89"/>
      <c r="E48" s="88"/>
      <c r="F48" s="88"/>
      <c r="G48" s="88"/>
      <c r="H48" s="88"/>
      <c r="I48" s="88"/>
      <c r="J48" s="88"/>
      <c r="K48" s="88"/>
      <c r="L48" s="88"/>
      <c r="M48" s="88"/>
      <c r="N48" s="88"/>
      <c r="O48" s="88"/>
      <c r="P48" s="88"/>
      <c r="Q48" s="88"/>
      <c r="R48" s="88"/>
      <c r="S48" s="88"/>
      <c r="T48" s="88"/>
      <c r="U48" s="88"/>
      <c r="V48" s="96"/>
      <c r="W48" s="88"/>
      <c r="X48" s="88"/>
      <c r="Y48" s="79"/>
      <c r="Z48" s="79"/>
      <c r="AA48" s="79"/>
      <c r="AB48" s="79"/>
      <c r="AC48" s="79"/>
      <c r="AD48" s="79"/>
      <c r="AE48" s="79"/>
      <c r="AF48" s="79"/>
    </row>
    <row r="49" spans="1:32" ht="15.75" customHeight="1" x14ac:dyDescent="0.15">
      <c r="A49" s="8"/>
      <c r="B49" s="8"/>
      <c r="C49" s="8"/>
      <c r="D49" s="81"/>
      <c r="E49" s="8"/>
      <c r="F49" s="8"/>
      <c r="G49" s="8"/>
      <c r="H49" s="8"/>
      <c r="I49" s="8"/>
      <c r="J49" s="8"/>
      <c r="K49" s="8"/>
      <c r="L49" s="8"/>
      <c r="M49" s="8"/>
      <c r="N49" s="8"/>
      <c r="O49" s="8"/>
      <c r="P49" s="8"/>
      <c r="Q49" s="8"/>
      <c r="R49" s="8"/>
      <c r="S49" s="8"/>
      <c r="T49" s="8"/>
      <c r="U49" s="8"/>
      <c r="V49" s="97"/>
      <c r="W49" s="8"/>
      <c r="X49" s="8"/>
      <c r="Y49" s="79"/>
      <c r="Z49" s="79"/>
      <c r="AA49" s="79"/>
      <c r="AB49" s="79"/>
      <c r="AC49" s="79"/>
      <c r="AD49" s="79"/>
      <c r="AE49" s="79"/>
      <c r="AF49" s="79"/>
    </row>
    <row r="50" spans="1:32" ht="15.75" customHeight="1" x14ac:dyDescent="0.15">
      <c r="A50" s="88"/>
      <c r="B50" s="88"/>
      <c r="C50" s="88"/>
      <c r="D50" s="89"/>
      <c r="E50" s="88"/>
      <c r="F50" s="88"/>
      <c r="G50" s="88"/>
      <c r="H50" s="88"/>
      <c r="I50" s="88"/>
      <c r="J50" s="88"/>
      <c r="K50" s="88"/>
      <c r="L50" s="88"/>
      <c r="M50" s="88"/>
      <c r="N50" s="88"/>
      <c r="O50" s="88"/>
      <c r="P50" s="88"/>
      <c r="Q50" s="88"/>
      <c r="R50" s="88"/>
      <c r="S50" s="88"/>
      <c r="T50" s="88"/>
      <c r="U50" s="88"/>
      <c r="V50" s="96"/>
      <c r="W50" s="88"/>
      <c r="X50" s="88"/>
      <c r="Y50" s="79"/>
      <c r="Z50" s="79"/>
      <c r="AA50" s="79"/>
      <c r="AB50" s="79"/>
      <c r="AC50" s="79"/>
      <c r="AD50" s="79"/>
      <c r="AE50" s="79"/>
      <c r="AF50" s="79"/>
    </row>
    <row r="51" spans="1:32" ht="15.75" customHeight="1" x14ac:dyDescent="0.15">
      <c r="A51" s="8"/>
      <c r="B51" s="8"/>
      <c r="C51" s="8"/>
      <c r="D51" s="81"/>
      <c r="E51" s="8"/>
      <c r="F51" s="8"/>
      <c r="G51" s="8"/>
      <c r="H51" s="8"/>
      <c r="I51" s="8"/>
      <c r="J51" s="8"/>
      <c r="K51" s="8"/>
      <c r="L51" s="8"/>
      <c r="M51" s="8"/>
      <c r="N51" s="8"/>
      <c r="O51" s="8"/>
      <c r="P51" s="8"/>
      <c r="Q51" s="8"/>
      <c r="R51" s="8"/>
      <c r="S51" s="8"/>
      <c r="T51" s="8"/>
      <c r="U51" s="8"/>
      <c r="V51" s="97"/>
      <c r="W51" s="8"/>
      <c r="X51" s="8"/>
      <c r="Y51" s="79"/>
      <c r="Z51" s="79"/>
      <c r="AA51" s="79"/>
      <c r="AB51" s="79"/>
      <c r="AC51" s="79"/>
      <c r="AD51" s="79"/>
      <c r="AE51" s="79"/>
      <c r="AF51" s="79"/>
    </row>
    <row r="52" spans="1:32" ht="15.75" customHeight="1" x14ac:dyDescent="0.15">
      <c r="A52" s="88"/>
      <c r="B52" s="88"/>
      <c r="C52" s="88"/>
      <c r="D52" s="89"/>
      <c r="E52" s="88"/>
      <c r="F52" s="88"/>
      <c r="G52" s="88"/>
      <c r="H52" s="88"/>
      <c r="I52" s="88"/>
      <c r="J52" s="88"/>
      <c r="K52" s="88"/>
      <c r="L52" s="88"/>
      <c r="M52" s="88"/>
      <c r="N52" s="88"/>
      <c r="O52" s="88"/>
      <c r="P52" s="88"/>
      <c r="Q52" s="88"/>
      <c r="R52" s="88"/>
      <c r="S52" s="88"/>
      <c r="T52" s="88"/>
      <c r="U52" s="88"/>
      <c r="V52" s="96"/>
      <c r="W52" s="88"/>
      <c r="X52" s="88"/>
      <c r="Y52" s="79"/>
      <c r="Z52" s="79"/>
      <c r="AA52" s="79"/>
      <c r="AB52" s="79"/>
      <c r="AC52" s="79"/>
      <c r="AD52" s="79"/>
      <c r="AE52" s="79"/>
      <c r="AF52" s="79"/>
    </row>
    <row r="53" spans="1:32" ht="15.75" customHeight="1" x14ac:dyDescent="0.15">
      <c r="A53" s="8"/>
      <c r="B53" s="8"/>
      <c r="C53" s="8"/>
      <c r="D53" s="81"/>
      <c r="E53" s="8"/>
      <c r="F53" s="8"/>
      <c r="G53" s="8"/>
      <c r="H53" s="8"/>
      <c r="I53" s="8"/>
      <c r="J53" s="8"/>
      <c r="K53" s="8"/>
      <c r="L53" s="8"/>
      <c r="M53" s="8"/>
      <c r="N53" s="8"/>
      <c r="O53" s="8"/>
      <c r="P53" s="8"/>
      <c r="Q53" s="8"/>
      <c r="R53" s="8"/>
      <c r="S53" s="8"/>
      <c r="T53" s="8"/>
      <c r="U53" s="8"/>
      <c r="V53" s="97"/>
      <c r="W53" s="8"/>
      <c r="X53" s="8"/>
      <c r="Y53" s="79"/>
      <c r="Z53" s="79"/>
      <c r="AA53" s="79"/>
      <c r="AB53" s="79"/>
      <c r="AC53" s="79"/>
      <c r="AD53" s="79"/>
      <c r="AE53" s="79"/>
      <c r="AF53" s="79"/>
    </row>
    <row r="54" spans="1:32" ht="15.75" customHeight="1" x14ac:dyDescent="0.15">
      <c r="A54" s="88"/>
      <c r="B54" s="88"/>
      <c r="C54" s="88"/>
      <c r="D54" s="89"/>
      <c r="E54" s="88"/>
      <c r="F54" s="88"/>
      <c r="G54" s="88"/>
      <c r="H54" s="88"/>
      <c r="I54" s="88"/>
      <c r="J54" s="88"/>
      <c r="K54" s="88"/>
      <c r="L54" s="88"/>
      <c r="M54" s="88"/>
      <c r="N54" s="88"/>
      <c r="O54" s="88"/>
      <c r="P54" s="88"/>
      <c r="Q54" s="88"/>
      <c r="R54" s="88"/>
      <c r="S54" s="88"/>
      <c r="T54" s="88"/>
      <c r="U54" s="88"/>
      <c r="V54" s="96"/>
      <c r="W54" s="88"/>
      <c r="X54" s="88"/>
      <c r="Y54" s="79"/>
      <c r="Z54" s="79"/>
      <c r="AA54" s="79"/>
      <c r="AB54" s="79"/>
      <c r="AC54" s="79"/>
      <c r="AD54" s="79"/>
      <c r="AE54" s="79"/>
      <c r="AF54" s="79"/>
    </row>
    <row r="55" spans="1:32" ht="15.75" customHeight="1" x14ac:dyDescent="0.15">
      <c r="A55" s="8"/>
      <c r="B55" s="8"/>
      <c r="C55" s="8"/>
      <c r="D55" s="81"/>
      <c r="E55" s="8"/>
      <c r="F55" s="8"/>
      <c r="G55" s="8"/>
      <c r="H55" s="8"/>
      <c r="I55" s="8"/>
      <c r="J55" s="8"/>
      <c r="K55" s="8"/>
      <c r="L55" s="8"/>
      <c r="M55" s="8"/>
      <c r="N55" s="8"/>
      <c r="O55" s="8"/>
      <c r="P55" s="8"/>
      <c r="Q55" s="8"/>
      <c r="R55" s="8"/>
      <c r="S55" s="8"/>
      <c r="T55" s="8"/>
      <c r="U55" s="8"/>
      <c r="V55" s="97"/>
      <c r="W55" s="8"/>
      <c r="X55" s="8"/>
      <c r="Y55" s="79"/>
      <c r="Z55" s="79"/>
      <c r="AA55" s="79"/>
      <c r="AB55" s="79"/>
      <c r="AC55" s="79"/>
      <c r="AD55" s="79"/>
      <c r="AE55" s="79"/>
      <c r="AF55" s="79"/>
    </row>
    <row r="56" spans="1:32" ht="15.75" customHeight="1" x14ac:dyDescent="0.15">
      <c r="A56" s="88"/>
      <c r="B56" s="88"/>
      <c r="C56" s="88"/>
      <c r="D56" s="89"/>
      <c r="E56" s="88"/>
      <c r="F56" s="88"/>
      <c r="G56" s="88"/>
      <c r="H56" s="88"/>
      <c r="I56" s="88"/>
      <c r="J56" s="88"/>
      <c r="K56" s="88"/>
      <c r="L56" s="88"/>
      <c r="M56" s="88"/>
      <c r="N56" s="88"/>
      <c r="O56" s="88"/>
      <c r="P56" s="88"/>
      <c r="Q56" s="88"/>
      <c r="R56" s="88"/>
      <c r="S56" s="88"/>
      <c r="T56" s="88"/>
      <c r="U56" s="88"/>
      <c r="V56" s="96"/>
      <c r="W56" s="88"/>
      <c r="X56" s="88"/>
      <c r="Y56" s="79"/>
      <c r="Z56" s="79"/>
      <c r="AA56" s="79"/>
      <c r="AB56" s="79"/>
      <c r="AC56" s="79"/>
      <c r="AD56" s="79"/>
      <c r="AE56" s="79"/>
      <c r="AF56" s="79"/>
    </row>
    <row r="57" spans="1:32" ht="15.75" customHeight="1" x14ac:dyDescent="0.15">
      <c r="A57" s="8"/>
      <c r="B57" s="8"/>
      <c r="C57" s="8"/>
      <c r="D57" s="81"/>
      <c r="E57" s="8"/>
      <c r="F57" s="8"/>
      <c r="G57" s="8"/>
      <c r="H57" s="8"/>
      <c r="I57" s="8"/>
      <c r="J57" s="8"/>
      <c r="K57" s="8"/>
      <c r="L57" s="8"/>
      <c r="M57" s="8"/>
      <c r="N57" s="8"/>
      <c r="O57" s="8"/>
      <c r="P57" s="8"/>
      <c r="Q57" s="8"/>
      <c r="R57" s="8"/>
      <c r="S57" s="8"/>
      <c r="T57" s="8"/>
      <c r="U57" s="8"/>
      <c r="V57" s="97"/>
      <c r="W57" s="8"/>
      <c r="X57" s="8"/>
      <c r="Y57" s="79"/>
      <c r="Z57" s="79"/>
      <c r="AA57" s="79"/>
      <c r="AB57" s="79"/>
      <c r="AC57" s="79"/>
      <c r="AD57" s="79"/>
      <c r="AE57" s="79"/>
      <c r="AF57" s="79"/>
    </row>
    <row r="58" spans="1:32" ht="15.75" customHeight="1" x14ac:dyDescent="0.15">
      <c r="A58" s="88"/>
      <c r="B58" s="88"/>
      <c r="C58" s="88"/>
      <c r="D58" s="89"/>
      <c r="E58" s="88"/>
      <c r="F58" s="88"/>
      <c r="G58" s="88"/>
      <c r="H58" s="88"/>
      <c r="I58" s="88"/>
      <c r="J58" s="88"/>
      <c r="K58" s="88"/>
      <c r="L58" s="88"/>
      <c r="M58" s="88"/>
      <c r="N58" s="88"/>
      <c r="O58" s="88"/>
      <c r="P58" s="88"/>
      <c r="Q58" s="88"/>
      <c r="R58" s="88"/>
      <c r="S58" s="88"/>
      <c r="T58" s="88"/>
      <c r="U58" s="88"/>
      <c r="V58" s="96"/>
      <c r="W58" s="88"/>
      <c r="X58" s="88"/>
      <c r="Y58" s="79"/>
      <c r="Z58" s="79"/>
      <c r="AA58" s="79"/>
      <c r="AB58" s="79"/>
      <c r="AC58" s="79"/>
      <c r="AD58" s="79"/>
      <c r="AE58" s="79"/>
      <c r="AF58" s="79"/>
    </row>
    <row r="59" spans="1:32" ht="15.75" customHeight="1" x14ac:dyDescent="0.15">
      <c r="A59" s="8"/>
      <c r="B59" s="8"/>
      <c r="C59" s="8"/>
      <c r="D59" s="81"/>
      <c r="E59" s="8"/>
      <c r="F59" s="8"/>
      <c r="G59" s="8"/>
      <c r="H59" s="8"/>
      <c r="I59" s="8"/>
      <c r="J59" s="8"/>
      <c r="K59" s="8"/>
      <c r="L59" s="8"/>
      <c r="M59" s="8"/>
      <c r="N59" s="8"/>
      <c r="O59" s="8"/>
      <c r="P59" s="8"/>
      <c r="Q59" s="8"/>
      <c r="R59" s="8"/>
      <c r="S59" s="8"/>
      <c r="T59" s="8"/>
      <c r="U59" s="8"/>
      <c r="V59" s="97"/>
      <c r="W59" s="8"/>
      <c r="X59" s="8"/>
      <c r="Y59" s="79"/>
      <c r="Z59" s="79"/>
      <c r="AA59" s="79"/>
      <c r="AB59" s="79"/>
      <c r="AC59" s="79"/>
      <c r="AD59" s="79"/>
      <c r="AE59" s="79"/>
      <c r="AF59" s="79"/>
    </row>
    <row r="60" spans="1:32" ht="15.75" customHeight="1" x14ac:dyDescent="0.15">
      <c r="A60" s="88"/>
      <c r="B60" s="88"/>
      <c r="C60" s="88"/>
      <c r="D60" s="89"/>
      <c r="E60" s="88"/>
      <c r="F60" s="88"/>
      <c r="G60" s="88"/>
      <c r="H60" s="88"/>
      <c r="I60" s="88"/>
      <c r="J60" s="88"/>
      <c r="K60" s="88"/>
      <c r="L60" s="88"/>
      <c r="M60" s="88"/>
      <c r="N60" s="88"/>
      <c r="O60" s="88"/>
      <c r="P60" s="88"/>
      <c r="Q60" s="88"/>
      <c r="R60" s="88"/>
      <c r="S60" s="88"/>
      <c r="T60" s="88"/>
      <c r="U60" s="88"/>
      <c r="V60" s="96"/>
      <c r="W60" s="88"/>
      <c r="X60" s="88"/>
      <c r="Y60" s="79"/>
      <c r="Z60" s="79"/>
      <c r="AA60" s="79"/>
      <c r="AB60" s="79"/>
      <c r="AC60" s="79"/>
      <c r="AD60" s="79"/>
      <c r="AE60" s="79"/>
      <c r="AF60" s="79"/>
    </row>
    <row r="61" spans="1:32" ht="15.75" customHeight="1" x14ac:dyDescent="0.15">
      <c r="A61" s="8"/>
      <c r="B61" s="8"/>
      <c r="C61" s="8"/>
      <c r="D61" s="81"/>
      <c r="E61" s="8"/>
      <c r="F61" s="8"/>
      <c r="G61" s="8"/>
      <c r="H61" s="8"/>
      <c r="I61" s="8"/>
      <c r="J61" s="8"/>
      <c r="K61" s="8"/>
      <c r="L61" s="8"/>
      <c r="M61" s="8"/>
      <c r="N61" s="8"/>
      <c r="O61" s="8"/>
      <c r="P61" s="8"/>
      <c r="Q61" s="8"/>
      <c r="R61" s="8"/>
      <c r="S61" s="8"/>
      <c r="T61" s="8"/>
      <c r="U61" s="8"/>
      <c r="V61" s="97"/>
      <c r="W61" s="8"/>
      <c r="X61" s="8"/>
      <c r="Y61" s="79"/>
      <c r="Z61" s="79"/>
      <c r="AA61" s="79"/>
      <c r="AB61" s="79"/>
      <c r="AC61" s="79"/>
      <c r="AD61" s="79"/>
      <c r="AE61" s="79"/>
      <c r="AF61" s="79"/>
    </row>
    <row r="62" spans="1:32" ht="15.75" customHeight="1" x14ac:dyDescent="0.15">
      <c r="A62" s="88"/>
      <c r="B62" s="88"/>
      <c r="C62" s="88"/>
      <c r="D62" s="89"/>
      <c r="E62" s="88"/>
      <c r="F62" s="88"/>
      <c r="G62" s="88"/>
      <c r="H62" s="88"/>
      <c r="I62" s="88"/>
      <c r="J62" s="88"/>
      <c r="K62" s="88"/>
      <c r="L62" s="88"/>
      <c r="M62" s="88"/>
      <c r="N62" s="88"/>
      <c r="O62" s="88"/>
      <c r="P62" s="88"/>
      <c r="Q62" s="88"/>
      <c r="R62" s="88"/>
      <c r="S62" s="88"/>
      <c r="T62" s="88"/>
      <c r="U62" s="88"/>
      <c r="V62" s="96"/>
      <c r="W62" s="88"/>
      <c r="X62" s="88"/>
      <c r="Y62" s="79"/>
      <c r="Z62" s="79"/>
      <c r="AA62" s="79"/>
      <c r="AB62" s="79"/>
      <c r="AC62" s="79"/>
      <c r="AD62" s="79"/>
      <c r="AE62" s="79"/>
      <c r="AF62" s="79"/>
    </row>
    <row r="63" spans="1:32" x14ac:dyDescent="0.15">
      <c r="A63" s="8"/>
      <c r="B63" s="8"/>
      <c r="C63" s="8"/>
      <c r="D63" s="8"/>
      <c r="E63" s="8"/>
      <c r="F63" s="8"/>
      <c r="G63" s="8"/>
      <c r="H63" s="8"/>
      <c r="I63" s="8"/>
      <c r="J63" s="8"/>
      <c r="K63" s="8"/>
      <c r="L63" s="8"/>
      <c r="M63" s="8"/>
      <c r="N63" s="8"/>
      <c r="O63" s="8"/>
      <c r="P63" s="8"/>
      <c r="Q63" s="8"/>
      <c r="R63" s="8"/>
      <c r="S63" s="8"/>
      <c r="T63" s="8"/>
      <c r="U63" s="8"/>
      <c r="V63" s="97"/>
      <c r="W63" s="8"/>
      <c r="X63" s="8"/>
      <c r="Y63" s="79"/>
      <c r="Z63" s="79"/>
      <c r="AA63" s="79"/>
      <c r="AB63" s="79"/>
      <c r="AC63" s="79"/>
      <c r="AD63" s="79"/>
      <c r="AE63" s="79"/>
      <c r="AF63" s="79"/>
    </row>
    <row r="64" spans="1:32" x14ac:dyDescent="0.15">
      <c r="A64" s="2"/>
      <c r="B64" s="90"/>
      <c r="C64" s="79"/>
      <c r="D64" s="2"/>
      <c r="E64" s="79"/>
      <c r="F64" s="79"/>
      <c r="G64" s="79"/>
      <c r="H64" s="79"/>
      <c r="I64" s="79"/>
      <c r="J64" s="79"/>
      <c r="K64" s="79"/>
      <c r="L64" s="79"/>
      <c r="M64" s="79"/>
      <c r="N64" s="79"/>
      <c r="O64" s="79"/>
      <c r="P64" s="8"/>
      <c r="Q64" s="79"/>
      <c r="R64" s="79"/>
      <c r="S64" s="79"/>
      <c r="T64" s="79"/>
      <c r="U64" s="79"/>
      <c r="V64" s="98"/>
      <c r="W64" s="79"/>
      <c r="X64" s="8"/>
      <c r="Y64" s="82"/>
      <c r="Z64" s="79"/>
      <c r="AA64" s="79"/>
      <c r="AB64" s="79"/>
      <c r="AC64" s="81"/>
      <c r="AD64" s="79"/>
      <c r="AE64" s="79"/>
      <c r="AF64" s="79"/>
    </row>
    <row r="65" spans="1:32" x14ac:dyDescent="0.15">
      <c r="A65" s="2"/>
      <c r="B65" s="90"/>
      <c r="C65" s="79"/>
      <c r="D65" s="2"/>
      <c r="E65" s="79"/>
      <c r="F65" s="79"/>
      <c r="G65" s="79"/>
      <c r="H65" s="79"/>
      <c r="I65" s="79"/>
      <c r="J65" s="79"/>
      <c r="K65" s="79"/>
      <c r="L65" s="79"/>
      <c r="M65" s="79"/>
      <c r="N65" s="79"/>
      <c r="O65" s="79"/>
      <c r="P65" s="90"/>
      <c r="Q65" s="79"/>
      <c r="R65" s="79"/>
      <c r="S65" s="79"/>
      <c r="T65" s="79"/>
      <c r="U65" s="79"/>
      <c r="V65" s="99"/>
      <c r="W65" s="79"/>
      <c r="X65" s="90"/>
      <c r="Y65" s="92"/>
      <c r="Z65" s="79"/>
      <c r="AA65" s="79"/>
      <c r="AB65" s="79"/>
      <c r="AC65" s="91"/>
      <c r="AD65" s="79"/>
      <c r="AE65" s="79"/>
      <c r="AF65" s="79"/>
    </row>
    <row r="66" spans="1:32" x14ac:dyDescent="0.15">
      <c r="A66" s="2"/>
      <c r="B66" s="90"/>
      <c r="C66" s="79"/>
      <c r="D66" s="2"/>
      <c r="E66" s="79"/>
      <c r="F66" s="79"/>
      <c r="G66" s="79"/>
      <c r="H66" s="79"/>
      <c r="I66" s="79"/>
      <c r="J66" s="79"/>
      <c r="K66" s="79"/>
      <c r="L66" s="79"/>
      <c r="M66" s="79"/>
      <c r="N66" s="79"/>
      <c r="O66" s="79"/>
      <c r="P66" s="90"/>
      <c r="Q66" s="79"/>
      <c r="R66" s="79"/>
      <c r="S66" s="79"/>
      <c r="T66" s="79"/>
      <c r="U66" s="79"/>
      <c r="V66" s="99"/>
      <c r="W66" s="79"/>
      <c r="X66" s="90"/>
      <c r="Y66" s="92"/>
      <c r="Z66" s="79"/>
      <c r="AA66" s="79"/>
      <c r="AB66" s="79"/>
      <c r="AC66" s="91"/>
      <c r="AD66" s="79"/>
      <c r="AE66" s="79"/>
      <c r="AF66" s="79"/>
    </row>
    <row r="67" spans="1:32" x14ac:dyDescent="0.15">
      <c r="A67" s="2"/>
      <c r="B67" s="90"/>
      <c r="C67" s="79"/>
      <c r="D67" s="2"/>
      <c r="E67" s="79"/>
      <c r="F67" s="79"/>
      <c r="G67" s="79"/>
      <c r="H67" s="79"/>
      <c r="I67" s="79"/>
      <c r="J67" s="79"/>
      <c r="K67" s="79"/>
      <c r="L67" s="79"/>
      <c r="M67" s="79"/>
      <c r="N67" s="79"/>
      <c r="O67" s="79"/>
      <c r="P67" s="90"/>
      <c r="Q67" s="79"/>
      <c r="R67" s="79"/>
      <c r="S67" s="79"/>
      <c r="T67" s="79"/>
      <c r="U67" s="79"/>
      <c r="V67" s="99"/>
      <c r="W67" s="79"/>
      <c r="X67" s="90"/>
      <c r="Y67" s="92"/>
      <c r="Z67" s="79"/>
      <c r="AA67" s="79"/>
      <c r="AB67" s="79"/>
      <c r="AC67" s="91"/>
      <c r="AD67" s="79"/>
      <c r="AE67" s="79"/>
      <c r="AF67" s="79"/>
    </row>
    <row r="68" spans="1:32" x14ac:dyDescent="0.15">
      <c r="A68" s="2"/>
      <c r="B68" s="90"/>
      <c r="C68" s="79"/>
      <c r="D68" s="2"/>
      <c r="E68" s="79"/>
      <c r="F68" s="79"/>
      <c r="G68" s="79"/>
      <c r="H68" s="79"/>
      <c r="I68" s="79"/>
      <c r="J68" s="79"/>
      <c r="K68" s="79"/>
      <c r="L68" s="79"/>
      <c r="M68" s="79"/>
      <c r="N68" s="79"/>
      <c r="O68" s="79"/>
      <c r="P68" s="90"/>
      <c r="Q68" s="79"/>
      <c r="R68" s="79"/>
      <c r="S68" s="79"/>
      <c r="T68" s="79"/>
      <c r="U68" s="79"/>
      <c r="V68" s="99"/>
      <c r="W68" s="79"/>
      <c r="X68" s="90"/>
      <c r="Y68" s="92"/>
      <c r="Z68" s="79"/>
      <c r="AA68" s="79"/>
      <c r="AB68" s="79"/>
      <c r="AC68" s="91"/>
      <c r="AD68" s="79"/>
      <c r="AE68" s="79"/>
      <c r="AF68" s="79"/>
    </row>
    <row r="69" spans="1:32" x14ac:dyDescent="0.15">
      <c r="A69" s="2"/>
      <c r="B69" s="90"/>
      <c r="C69" s="79"/>
      <c r="D69" s="2"/>
      <c r="E69" s="79"/>
      <c r="F69" s="79"/>
      <c r="G69" s="79"/>
      <c r="H69" s="79"/>
      <c r="I69" s="79"/>
      <c r="J69" s="79"/>
      <c r="K69" s="79"/>
      <c r="L69" s="79"/>
      <c r="M69" s="79"/>
      <c r="N69" s="79"/>
      <c r="O69" s="79"/>
      <c r="P69" s="90"/>
      <c r="Q69" s="79"/>
      <c r="R69" s="79"/>
      <c r="S69" s="79"/>
      <c r="T69" s="79"/>
      <c r="U69" s="79"/>
      <c r="V69" s="99"/>
      <c r="W69" s="79"/>
      <c r="X69" s="90"/>
      <c r="Y69" s="92"/>
      <c r="Z69" s="79"/>
      <c r="AA69" s="79"/>
      <c r="AB69" s="79"/>
      <c r="AC69" s="91"/>
      <c r="AD69" s="79"/>
      <c r="AE69" s="79"/>
      <c r="AF69" s="79"/>
    </row>
    <row r="70" spans="1:32" x14ac:dyDescent="0.15">
      <c r="A70" s="2"/>
      <c r="B70" s="90"/>
      <c r="C70" s="79"/>
      <c r="D70" s="2"/>
      <c r="E70" s="79"/>
      <c r="F70" s="79"/>
      <c r="G70" s="79"/>
      <c r="H70" s="79"/>
      <c r="I70" s="79"/>
      <c r="J70" s="79"/>
      <c r="K70" s="79"/>
      <c r="L70" s="79"/>
      <c r="M70" s="79"/>
      <c r="N70" s="79"/>
      <c r="O70" s="79"/>
      <c r="P70" s="90"/>
      <c r="Q70" s="79"/>
      <c r="R70" s="79"/>
      <c r="S70" s="79"/>
      <c r="T70" s="79"/>
      <c r="U70" s="79"/>
      <c r="V70" s="99"/>
      <c r="W70" s="79"/>
      <c r="X70" s="90"/>
      <c r="Y70" s="92"/>
      <c r="Z70" s="79"/>
      <c r="AA70" s="79"/>
      <c r="AB70" s="79"/>
      <c r="AC70" s="91"/>
      <c r="AD70" s="79"/>
      <c r="AE70" s="79"/>
      <c r="AF70" s="79"/>
    </row>
    <row r="71" spans="1:32" x14ac:dyDescent="0.15">
      <c r="A71" s="2"/>
      <c r="B71" s="90"/>
      <c r="C71" s="79"/>
      <c r="D71" s="2"/>
      <c r="E71" s="79"/>
      <c r="F71" s="79"/>
      <c r="G71" s="79"/>
      <c r="H71" s="79"/>
      <c r="I71" s="79"/>
      <c r="J71" s="79"/>
      <c r="K71" s="79"/>
      <c r="L71" s="79"/>
      <c r="M71" s="79"/>
      <c r="N71" s="79"/>
      <c r="O71" s="79"/>
      <c r="P71" s="90"/>
      <c r="Q71" s="79"/>
      <c r="R71" s="79"/>
      <c r="S71" s="79"/>
      <c r="T71" s="79"/>
      <c r="U71" s="79"/>
      <c r="V71" s="99"/>
      <c r="W71" s="79"/>
      <c r="X71" s="90"/>
      <c r="Y71" s="92"/>
      <c r="Z71" s="79"/>
      <c r="AA71" s="79"/>
      <c r="AB71" s="79"/>
      <c r="AC71" s="91"/>
      <c r="AD71" s="79"/>
      <c r="AE71" s="79"/>
      <c r="AF71" s="79"/>
    </row>
    <row r="72" spans="1:32" x14ac:dyDescent="0.15">
      <c r="A72" s="2"/>
      <c r="B72" s="90"/>
      <c r="C72" s="79"/>
      <c r="D72" s="2"/>
      <c r="E72" s="79"/>
      <c r="F72" s="79"/>
      <c r="G72" s="79"/>
      <c r="H72" s="79"/>
      <c r="I72" s="79"/>
      <c r="J72" s="79"/>
      <c r="K72" s="79"/>
      <c r="L72" s="79"/>
      <c r="M72" s="79"/>
      <c r="N72" s="79"/>
      <c r="O72" s="79"/>
      <c r="P72" s="90"/>
      <c r="Q72" s="79"/>
      <c r="R72" s="79"/>
      <c r="S72" s="79"/>
      <c r="T72" s="79"/>
      <c r="U72" s="79"/>
      <c r="V72" s="99"/>
      <c r="W72" s="79"/>
      <c r="X72" s="90"/>
      <c r="Y72" s="92"/>
      <c r="Z72" s="79"/>
      <c r="AA72" s="79"/>
      <c r="AB72" s="79"/>
      <c r="AC72" s="91"/>
      <c r="AD72" s="79"/>
      <c r="AE72" s="79"/>
      <c r="AF72" s="79"/>
    </row>
    <row r="73" spans="1:32" x14ac:dyDescent="0.15">
      <c r="A73" s="2"/>
      <c r="B73" s="90"/>
      <c r="C73" s="79"/>
      <c r="D73" s="2"/>
      <c r="E73" s="79"/>
      <c r="F73" s="79"/>
      <c r="G73" s="79"/>
      <c r="H73" s="79"/>
      <c r="I73" s="79"/>
      <c r="J73" s="79"/>
      <c r="K73" s="79"/>
      <c r="L73" s="79"/>
      <c r="M73" s="79"/>
      <c r="N73" s="79"/>
      <c r="O73" s="79"/>
      <c r="P73" s="90"/>
      <c r="Q73" s="79"/>
      <c r="R73" s="79"/>
      <c r="S73" s="79"/>
      <c r="T73" s="79"/>
      <c r="U73" s="79"/>
      <c r="V73" s="99"/>
      <c r="W73" s="79"/>
      <c r="X73" s="90"/>
      <c r="Y73" s="92"/>
      <c r="Z73" s="79"/>
      <c r="AA73" s="79"/>
      <c r="AB73" s="79"/>
      <c r="AC73" s="91"/>
      <c r="AD73" s="79"/>
      <c r="AE73" s="79"/>
      <c r="AF73" s="79"/>
    </row>
    <row r="74" spans="1:32" x14ac:dyDescent="0.15">
      <c r="A74" s="2"/>
      <c r="B74" s="90"/>
      <c r="C74" s="79"/>
      <c r="D74" s="2"/>
      <c r="E74" s="79"/>
      <c r="F74" s="79"/>
      <c r="G74" s="79"/>
      <c r="H74" s="79"/>
      <c r="I74" s="79"/>
      <c r="J74" s="79"/>
      <c r="K74" s="79"/>
      <c r="L74" s="79"/>
      <c r="M74" s="79"/>
      <c r="N74" s="79"/>
      <c r="O74" s="79"/>
      <c r="P74" s="90"/>
      <c r="Q74" s="79"/>
      <c r="R74" s="79"/>
      <c r="S74" s="79"/>
      <c r="T74" s="79"/>
      <c r="U74" s="79"/>
      <c r="V74" s="99"/>
      <c r="W74" s="79"/>
      <c r="X74" s="90"/>
      <c r="Y74" s="92"/>
      <c r="Z74" s="79"/>
      <c r="AA74" s="79"/>
      <c r="AB74" s="79"/>
      <c r="AC74" s="91"/>
      <c r="AD74" s="79"/>
      <c r="AE74" s="79"/>
      <c r="AF74" s="79"/>
    </row>
    <row r="75" spans="1:32" x14ac:dyDescent="0.15">
      <c r="A75" s="2"/>
      <c r="B75" s="90"/>
      <c r="C75" s="79"/>
      <c r="D75" s="2"/>
      <c r="E75" s="79"/>
      <c r="F75" s="79"/>
      <c r="G75" s="79"/>
      <c r="H75" s="79"/>
      <c r="I75" s="79"/>
      <c r="J75" s="79"/>
      <c r="K75" s="79"/>
      <c r="L75" s="79"/>
      <c r="M75" s="79"/>
      <c r="N75" s="79"/>
      <c r="O75" s="79"/>
      <c r="P75" s="90"/>
      <c r="Q75" s="79"/>
      <c r="R75" s="79"/>
      <c r="S75" s="79"/>
      <c r="T75" s="79"/>
      <c r="U75" s="79"/>
      <c r="V75" s="99"/>
      <c r="W75" s="79"/>
      <c r="X75" s="90"/>
      <c r="Y75" s="92"/>
      <c r="Z75" s="79"/>
      <c r="AA75" s="79"/>
      <c r="AB75" s="79"/>
      <c r="AC75" s="91"/>
      <c r="AD75" s="79"/>
      <c r="AE75" s="79"/>
      <c r="AF75" s="79"/>
    </row>
    <row r="76" spans="1:32" x14ac:dyDescent="0.15">
      <c r="A76" s="2"/>
      <c r="B76" s="90"/>
      <c r="C76" s="79"/>
      <c r="D76" s="2"/>
      <c r="E76" s="79"/>
      <c r="F76" s="79"/>
      <c r="G76" s="79"/>
      <c r="H76" s="79"/>
      <c r="I76" s="79"/>
      <c r="J76" s="79"/>
      <c r="K76" s="79"/>
      <c r="L76" s="79"/>
      <c r="M76" s="79"/>
      <c r="N76" s="79"/>
      <c r="O76" s="79"/>
      <c r="P76" s="90"/>
      <c r="Q76" s="79"/>
      <c r="R76" s="79"/>
      <c r="S76" s="79"/>
      <c r="T76" s="79"/>
      <c r="U76" s="79"/>
      <c r="V76" s="99"/>
      <c r="W76" s="79"/>
      <c r="X76" s="90"/>
      <c r="Y76" s="92"/>
      <c r="Z76" s="79"/>
      <c r="AA76" s="79"/>
      <c r="AB76" s="79"/>
      <c r="AC76" s="91"/>
      <c r="AD76" s="79"/>
      <c r="AE76" s="79"/>
      <c r="AF76" s="79"/>
    </row>
    <row r="77" spans="1:32" x14ac:dyDescent="0.15">
      <c r="A77" s="2"/>
      <c r="B77" s="90"/>
      <c r="C77" s="79"/>
      <c r="D77" s="2"/>
      <c r="E77" s="79"/>
      <c r="F77" s="79"/>
      <c r="G77" s="79"/>
      <c r="H77" s="79"/>
      <c r="I77" s="79"/>
      <c r="J77" s="79"/>
      <c r="K77" s="79"/>
      <c r="L77" s="79"/>
      <c r="M77" s="79"/>
      <c r="N77" s="79"/>
      <c r="O77" s="79"/>
      <c r="P77" s="90"/>
      <c r="Q77" s="79"/>
      <c r="R77" s="79"/>
      <c r="S77" s="79"/>
      <c r="T77" s="79"/>
      <c r="U77" s="79"/>
      <c r="V77" s="99"/>
      <c r="W77" s="79"/>
      <c r="X77" s="90"/>
      <c r="Y77" s="92"/>
      <c r="Z77" s="79"/>
      <c r="AA77" s="79"/>
      <c r="AB77" s="79"/>
      <c r="AC77" s="91"/>
      <c r="AD77" s="79"/>
      <c r="AE77" s="79"/>
      <c r="AF77" s="79"/>
    </row>
    <row r="78" spans="1:32" x14ac:dyDescent="0.15">
      <c r="A78" s="2"/>
      <c r="B78" s="90"/>
      <c r="C78" s="79"/>
      <c r="D78" s="2"/>
      <c r="E78" s="79"/>
      <c r="F78" s="79"/>
      <c r="G78" s="79"/>
      <c r="H78" s="79"/>
      <c r="I78" s="79"/>
      <c r="J78" s="79"/>
      <c r="K78" s="79"/>
      <c r="L78" s="79"/>
      <c r="M78" s="79"/>
      <c r="N78" s="79"/>
      <c r="O78" s="79"/>
      <c r="P78" s="90"/>
      <c r="Q78" s="79"/>
      <c r="R78" s="79"/>
      <c r="S78" s="79"/>
      <c r="T78" s="79"/>
      <c r="U78" s="79"/>
      <c r="V78" s="99"/>
      <c r="W78" s="79"/>
      <c r="X78" s="90"/>
      <c r="Y78" s="92"/>
      <c r="Z78" s="79"/>
      <c r="AA78" s="79"/>
      <c r="AB78" s="79"/>
      <c r="AC78" s="91"/>
      <c r="AD78" s="79"/>
      <c r="AE78" s="79"/>
      <c r="AF78" s="79"/>
    </row>
    <row r="79" spans="1:32" x14ac:dyDescent="0.15">
      <c r="A79" s="2"/>
      <c r="B79" s="90"/>
      <c r="C79" s="79"/>
      <c r="D79" s="2"/>
      <c r="E79" s="79"/>
      <c r="F79" s="79"/>
      <c r="G79" s="79"/>
      <c r="H79" s="79"/>
      <c r="I79" s="79"/>
      <c r="J79" s="79"/>
      <c r="K79" s="79"/>
      <c r="L79" s="79"/>
      <c r="M79" s="79"/>
      <c r="N79" s="79"/>
      <c r="O79" s="79"/>
      <c r="P79" s="90"/>
      <c r="Q79" s="79"/>
      <c r="R79" s="79"/>
      <c r="S79" s="79"/>
      <c r="T79" s="79"/>
      <c r="U79" s="79"/>
      <c r="V79" s="99"/>
      <c r="W79" s="79"/>
      <c r="X79" s="90"/>
      <c r="Y79" s="92"/>
      <c r="Z79" s="79"/>
      <c r="AA79" s="79"/>
      <c r="AB79" s="79"/>
      <c r="AC79" s="91"/>
      <c r="AD79" s="79"/>
      <c r="AE79" s="79"/>
      <c r="AF79" s="79"/>
    </row>
    <row r="80" spans="1:32" x14ac:dyDescent="0.15">
      <c r="A80" s="2"/>
      <c r="B80" s="90"/>
      <c r="C80" s="79"/>
      <c r="D80" s="2"/>
      <c r="E80" s="79"/>
      <c r="F80" s="79"/>
      <c r="G80" s="79"/>
      <c r="H80" s="79"/>
      <c r="I80" s="79"/>
      <c r="J80" s="79"/>
      <c r="K80" s="79"/>
      <c r="L80" s="79"/>
      <c r="M80" s="79"/>
      <c r="N80" s="79"/>
      <c r="O80" s="79"/>
      <c r="P80" s="90"/>
      <c r="Q80" s="79"/>
      <c r="R80" s="79"/>
      <c r="S80" s="79"/>
      <c r="T80" s="79"/>
      <c r="U80" s="79"/>
      <c r="V80" s="99"/>
      <c r="W80" s="79"/>
      <c r="X80" s="90"/>
      <c r="Y80" s="92"/>
      <c r="Z80" s="79"/>
      <c r="AA80" s="79"/>
      <c r="AB80" s="79"/>
      <c r="AC80" s="91"/>
      <c r="AD80" s="79"/>
      <c r="AE80" s="79"/>
      <c r="AF80" s="79"/>
    </row>
    <row r="81" spans="1:32" x14ac:dyDescent="0.15">
      <c r="A81" s="2"/>
      <c r="B81" s="93"/>
      <c r="C81" s="79"/>
      <c r="D81" s="2"/>
      <c r="E81" s="79"/>
      <c r="F81" s="79"/>
      <c r="G81" s="79"/>
      <c r="H81" s="79"/>
      <c r="I81" s="79"/>
      <c r="J81" s="79"/>
      <c r="K81" s="79"/>
      <c r="L81" s="79"/>
      <c r="M81" s="79"/>
      <c r="N81" s="79"/>
      <c r="O81" s="79"/>
      <c r="P81" s="93"/>
      <c r="Q81" s="79"/>
      <c r="R81" s="79"/>
      <c r="S81" s="79"/>
      <c r="T81" s="79"/>
      <c r="U81" s="79"/>
      <c r="V81" s="100"/>
      <c r="W81" s="79"/>
      <c r="X81" s="93"/>
      <c r="Y81" s="95"/>
      <c r="Z81" s="79"/>
      <c r="AA81" s="79"/>
      <c r="AB81" s="79"/>
      <c r="AC81" s="94"/>
      <c r="AD81" s="79"/>
      <c r="AE81" s="79"/>
      <c r="AF81" s="79"/>
    </row>
  </sheetData>
  <mergeCells count="1">
    <mergeCell ref="G1:H1"/>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68C58-6C10-4D0F-A709-F1C5A946D1A4}">
  <sheetPr codeName="Sheet7">
    <tabColor rgb="FF00B0F0"/>
    <pageSetUpPr fitToPage="1"/>
  </sheetPr>
  <dimension ref="A1:AG39"/>
  <sheetViews>
    <sheetView zoomScaleNormal="100" workbookViewId="0">
      <selection activeCell="Y25" sqref="Y25"/>
    </sheetView>
  </sheetViews>
  <sheetFormatPr defaultColWidth="14.6640625" defaultRowHeight="16.149999999999999" customHeight="1" x14ac:dyDescent="0.15"/>
  <cols>
    <col min="1" max="1" width="13.1640625" bestFit="1" customWidth="1"/>
    <col min="2" max="2" width="12.33203125" bestFit="1" customWidth="1"/>
    <col min="3" max="3" width="14.83203125" bestFit="1" customWidth="1"/>
    <col min="4" max="4" width="38.5" bestFit="1" customWidth="1"/>
    <col min="5" max="5" width="20" bestFit="1" customWidth="1"/>
    <col min="6" max="6" width="20.1640625" bestFit="1" customWidth="1"/>
    <col min="7" max="7" width="12.5" bestFit="1" customWidth="1"/>
    <col min="8" max="8" width="18.6640625" bestFit="1" customWidth="1"/>
    <col min="9" max="9" width="17.1640625" hidden="1" customWidth="1"/>
    <col min="10" max="10" width="13.83203125" bestFit="1" customWidth="1"/>
    <col min="11" max="11" width="14.1640625" bestFit="1" customWidth="1"/>
    <col min="12" max="12" width="11.1640625" bestFit="1" customWidth="1"/>
    <col min="13" max="13" width="8.6640625" bestFit="1" customWidth="1"/>
    <col min="14" max="14" width="11.83203125" hidden="1" customWidth="1"/>
    <col min="15" max="15" width="12.5" hidden="1" customWidth="1"/>
    <col min="16" max="16" width="11.33203125" hidden="1" customWidth="1"/>
    <col min="17" max="17" width="12" hidden="1" customWidth="1"/>
    <col min="18" max="18" width="20.83203125" bestFit="1" customWidth="1"/>
    <col min="19" max="19" width="13.83203125" bestFit="1" customWidth="1"/>
    <col min="20" max="20" width="16.5" bestFit="1" customWidth="1"/>
    <col min="21" max="21" width="15" bestFit="1" customWidth="1"/>
    <col min="22" max="22" width="55.6640625" hidden="1" customWidth="1"/>
    <col min="23" max="23" width="55.6640625" style="9" bestFit="1" customWidth="1"/>
    <col min="24" max="24" width="27.1640625" bestFit="1" customWidth="1"/>
    <col min="25" max="25" width="48.6640625" style="9" customWidth="1"/>
    <col min="26" max="26" width="5.5" style="9" customWidth="1"/>
    <col min="29" max="29" width="5.5" customWidth="1"/>
    <col min="30" max="30" width="25" style="9" bestFit="1" customWidth="1"/>
    <col min="31" max="31" width="39.6640625" style="9" customWidth="1"/>
    <col min="32" max="32" width="68" style="9" customWidth="1"/>
    <col min="33" max="33" width="5.5" style="9" bestFit="1" customWidth="1"/>
    <col min="34" max="34" width="56.5" customWidth="1"/>
    <col min="35" max="35" width="14.33203125" customWidth="1"/>
    <col min="36" max="36" width="11.33203125" bestFit="1" customWidth="1"/>
    <col min="37" max="37" width="14.6640625" customWidth="1"/>
    <col min="38" max="38" width="48.5" bestFit="1" customWidth="1"/>
  </cols>
  <sheetData>
    <row r="1" spans="1:33" ht="24" customHeight="1" x14ac:dyDescent="0.15">
      <c r="A1" s="25" t="str">
        <f>'Data Flows'!A1</f>
        <v>Site Name</v>
      </c>
      <c r="B1" s="2"/>
      <c r="C1" s="2"/>
      <c r="D1" s="2"/>
      <c r="E1" s="2"/>
      <c r="F1" s="2"/>
      <c r="G1" s="142" t="s">
        <v>19</v>
      </c>
      <c r="H1" s="142"/>
      <c r="K1" s="25" t="s">
        <v>7030</v>
      </c>
      <c r="L1" s="25"/>
      <c r="W1" s="6"/>
      <c r="Z1"/>
      <c r="AD1"/>
      <c r="AE1"/>
      <c r="AF1"/>
      <c r="AG1"/>
    </row>
    <row r="2" spans="1:33" ht="16.149999999999999" customHeight="1" x14ac:dyDescent="0.15">
      <c r="A2" s="10" t="s">
        <v>21</v>
      </c>
      <c r="B2" s="2"/>
      <c r="C2" s="11">
        <v>45105</v>
      </c>
      <c r="D2" s="41" t="s">
        <v>22</v>
      </c>
      <c r="E2" s="9" t="s">
        <v>7031</v>
      </c>
      <c r="K2" t="s">
        <v>24</v>
      </c>
      <c r="W2" s="6"/>
      <c r="Z2"/>
      <c r="AD2"/>
      <c r="AE2"/>
      <c r="AF2"/>
      <c r="AG2"/>
    </row>
    <row r="3" spans="1:33" ht="16.149999999999999" customHeight="1" x14ac:dyDescent="0.15">
      <c r="A3" s="12" t="s">
        <v>25</v>
      </c>
      <c r="C3">
        <v>5</v>
      </c>
      <c r="D3" s="42" t="s">
        <v>26</v>
      </c>
      <c r="E3" s="9" t="s">
        <v>7032</v>
      </c>
      <c r="M3" s="13"/>
      <c r="N3" s="8"/>
      <c r="W3" s="6"/>
      <c r="Y3" s="37"/>
      <c r="Z3"/>
      <c r="AD3"/>
      <c r="AE3"/>
      <c r="AF3"/>
      <c r="AG3"/>
    </row>
    <row r="4" spans="1:33" ht="16.149999999999999" customHeight="1" x14ac:dyDescent="0.15">
      <c r="A4" s="12" t="s">
        <v>28</v>
      </c>
      <c r="C4" s="9">
        <v>1</v>
      </c>
      <c r="D4" s="54" t="s">
        <v>7033</v>
      </c>
      <c r="E4" s="9">
        <v>226</v>
      </c>
      <c r="K4" s="47" t="s">
        <v>8932</v>
      </c>
      <c r="N4" s="2"/>
      <c r="W4" s="6"/>
      <c r="Y4"/>
      <c r="Z4"/>
      <c r="AD4"/>
      <c r="AE4"/>
      <c r="AF4"/>
      <c r="AG4"/>
    </row>
    <row r="5" spans="1:33" ht="16.149999999999999" customHeight="1" x14ac:dyDescent="0.15">
      <c r="A5" s="12" t="s">
        <v>30</v>
      </c>
      <c r="C5">
        <v>6</v>
      </c>
      <c r="D5" s="42"/>
      <c r="E5" s="9"/>
      <c r="K5" s="47" t="s">
        <v>8933</v>
      </c>
      <c r="N5" s="2"/>
      <c r="W5" s="6"/>
      <c r="Y5"/>
      <c r="Z5"/>
      <c r="AD5"/>
      <c r="AE5"/>
      <c r="AF5"/>
      <c r="AG5"/>
    </row>
    <row r="6" spans="1:33" ht="16.149999999999999" customHeight="1" x14ac:dyDescent="0.15">
      <c r="A6" s="12"/>
      <c r="D6" s="42"/>
      <c r="E6" s="9"/>
      <c r="N6" s="2"/>
      <c r="W6" s="6"/>
      <c r="Y6"/>
      <c r="Z6"/>
      <c r="AD6"/>
      <c r="AE6"/>
      <c r="AF6"/>
      <c r="AG6"/>
    </row>
    <row r="7" spans="1:33" ht="30" customHeight="1" x14ac:dyDescent="0.15">
      <c r="A7" s="12" t="s">
        <v>31</v>
      </c>
      <c r="B7" t="s">
        <v>32</v>
      </c>
      <c r="C7" t="s">
        <v>33</v>
      </c>
      <c r="D7" t="s">
        <v>34</v>
      </c>
      <c r="E7" t="s">
        <v>35</v>
      </c>
      <c r="F7" t="s">
        <v>36</v>
      </c>
      <c r="G7" t="s">
        <v>37</v>
      </c>
      <c r="H7" t="s">
        <v>38</v>
      </c>
      <c r="I7" t="s">
        <v>40</v>
      </c>
      <c r="J7" t="s">
        <v>41</v>
      </c>
      <c r="K7" t="s">
        <v>42</v>
      </c>
      <c r="L7" t="s">
        <v>43</v>
      </c>
      <c r="M7" t="s">
        <v>44</v>
      </c>
      <c r="N7" t="s">
        <v>45</v>
      </c>
      <c r="O7" t="s">
        <v>46</v>
      </c>
      <c r="P7" t="s">
        <v>47</v>
      </c>
      <c r="Q7" t="s">
        <v>48</v>
      </c>
      <c r="R7" t="s">
        <v>49</v>
      </c>
      <c r="S7" t="s">
        <v>50</v>
      </c>
      <c r="T7" t="s">
        <v>51</v>
      </c>
      <c r="U7" t="s">
        <v>52</v>
      </c>
      <c r="V7" t="s">
        <v>53</v>
      </c>
      <c r="W7" t="s">
        <v>54</v>
      </c>
      <c r="X7" t="s">
        <v>55</v>
      </c>
      <c r="Y7" s="3" t="s">
        <v>8923</v>
      </c>
      <c r="Z7" t="s">
        <v>9506</v>
      </c>
      <c r="AD7"/>
      <c r="AE7"/>
      <c r="AF7"/>
      <c r="AG7"/>
    </row>
    <row r="8" spans="1:33" ht="15.75" customHeight="1" x14ac:dyDescent="0.15">
      <c r="A8">
        <v>1</v>
      </c>
      <c r="B8" t="s">
        <v>75</v>
      </c>
      <c r="C8" t="s">
        <v>2634</v>
      </c>
      <c r="D8" t="s">
        <v>9479</v>
      </c>
      <c r="E8" t="s">
        <v>77</v>
      </c>
      <c r="F8">
        <v>771</v>
      </c>
      <c r="H8" t="s">
        <v>9480</v>
      </c>
      <c r="J8" t="s">
        <v>3729</v>
      </c>
      <c r="L8" t="s">
        <v>113</v>
      </c>
      <c r="N8">
        <v>100</v>
      </c>
      <c r="O8">
        <v>0</v>
      </c>
      <c r="P8">
        <v>65535</v>
      </c>
      <c r="Q8">
        <v>0</v>
      </c>
      <c r="R8">
        <v>655.35</v>
      </c>
      <c r="S8" t="s">
        <v>7034</v>
      </c>
      <c r="T8" t="s">
        <v>3793</v>
      </c>
      <c r="U8" t="s">
        <v>3807</v>
      </c>
      <c r="V8" t="s">
        <v>3815</v>
      </c>
      <c r="W8" s="8"/>
      <c r="Y8" s="34"/>
      <c r="Z8" t="s">
        <v>9608</v>
      </c>
      <c r="AD8"/>
      <c r="AE8"/>
      <c r="AF8"/>
      <c r="AG8"/>
    </row>
    <row r="9" spans="1:33" ht="15.75" customHeight="1" x14ac:dyDescent="0.15">
      <c r="A9">
        <v>2</v>
      </c>
      <c r="B9" t="s">
        <v>75</v>
      </c>
      <c r="C9" t="s">
        <v>2634</v>
      </c>
      <c r="D9" t="s">
        <v>9481</v>
      </c>
      <c r="E9" t="s">
        <v>143</v>
      </c>
      <c r="F9">
        <v>772</v>
      </c>
      <c r="H9" t="s">
        <v>9482</v>
      </c>
      <c r="L9" t="s">
        <v>123</v>
      </c>
      <c r="N9">
        <v>10</v>
      </c>
      <c r="O9">
        <v>-32768</v>
      </c>
      <c r="P9">
        <v>32767</v>
      </c>
      <c r="Q9">
        <v>-3276.8</v>
      </c>
      <c r="R9">
        <v>3276.7</v>
      </c>
      <c r="U9" t="s">
        <v>3807</v>
      </c>
      <c r="V9" t="s">
        <v>3815</v>
      </c>
      <c r="W9" s="8"/>
      <c r="Y9" s="34"/>
      <c r="Z9" t="s">
        <v>8924</v>
      </c>
      <c r="AD9"/>
      <c r="AE9"/>
      <c r="AF9"/>
      <c r="AG9"/>
    </row>
    <row r="10" spans="1:33" ht="15.75" customHeight="1" x14ac:dyDescent="0.15">
      <c r="A10">
        <v>3</v>
      </c>
      <c r="B10" t="s">
        <v>75</v>
      </c>
      <c r="C10" t="s">
        <v>2634</v>
      </c>
      <c r="D10" t="s">
        <v>9483</v>
      </c>
      <c r="E10" t="s">
        <v>77</v>
      </c>
      <c r="F10">
        <v>774</v>
      </c>
      <c r="H10" t="s">
        <v>9484</v>
      </c>
      <c r="L10" t="s">
        <v>3722</v>
      </c>
      <c r="N10">
        <v>1</v>
      </c>
      <c r="O10">
        <v>0</v>
      </c>
      <c r="P10">
        <v>65535</v>
      </c>
      <c r="Q10">
        <v>0</v>
      </c>
      <c r="R10">
        <v>65535</v>
      </c>
      <c r="U10" t="s">
        <v>3723</v>
      </c>
      <c r="V10" t="s">
        <v>3815</v>
      </c>
      <c r="W10" s="8" t="s">
        <v>7035</v>
      </c>
      <c r="Y10" s="34"/>
      <c r="Z10"/>
      <c r="AD10"/>
      <c r="AE10"/>
      <c r="AF10"/>
      <c r="AG10"/>
    </row>
    <row r="11" spans="1:33" ht="15.75" customHeight="1" x14ac:dyDescent="0.15">
      <c r="A11">
        <v>4</v>
      </c>
      <c r="B11" t="s">
        <v>75</v>
      </c>
      <c r="C11" t="s">
        <v>2634</v>
      </c>
      <c r="D11" t="s">
        <v>9485</v>
      </c>
      <c r="E11" t="s">
        <v>77</v>
      </c>
      <c r="F11">
        <v>775</v>
      </c>
      <c r="H11" t="s">
        <v>9486</v>
      </c>
      <c r="J11" t="s">
        <v>3729</v>
      </c>
      <c r="L11" t="s">
        <v>3722</v>
      </c>
      <c r="N11">
        <v>1</v>
      </c>
      <c r="O11">
        <v>0</v>
      </c>
      <c r="P11">
        <v>65535</v>
      </c>
      <c r="Q11">
        <v>0</v>
      </c>
      <c r="R11">
        <v>65535</v>
      </c>
      <c r="S11">
        <v>2</v>
      </c>
      <c r="T11" t="s">
        <v>7036</v>
      </c>
      <c r="U11" t="s">
        <v>3723</v>
      </c>
      <c r="V11" t="s">
        <v>3815</v>
      </c>
      <c r="W11" s="8" t="s">
        <v>7037</v>
      </c>
      <c r="Y11" s="34"/>
      <c r="Z11" t="s">
        <v>8925</v>
      </c>
      <c r="AD11"/>
      <c r="AE11"/>
      <c r="AF11"/>
      <c r="AG11"/>
    </row>
    <row r="12" spans="1:33" ht="15.75" customHeight="1" x14ac:dyDescent="0.15">
      <c r="A12">
        <v>5</v>
      </c>
      <c r="B12" t="s">
        <v>75</v>
      </c>
      <c r="C12" t="s">
        <v>2634</v>
      </c>
      <c r="D12" t="s">
        <v>7038</v>
      </c>
      <c r="E12" t="s">
        <v>77</v>
      </c>
      <c r="F12">
        <v>776</v>
      </c>
      <c r="H12" t="s">
        <v>9487</v>
      </c>
      <c r="L12" t="s">
        <v>113</v>
      </c>
      <c r="N12">
        <v>100</v>
      </c>
      <c r="O12">
        <v>0</v>
      </c>
      <c r="P12">
        <v>65535</v>
      </c>
      <c r="Q12">
        <v>0</v>
      </c>
      <c r="R12">
        <v>655.35</v>
      </c>
      <c r="U12" t="s">
        <v>3807</v>
      </c>
      <c r="V12" t="s">
        <v>3815</v>
      </c>
      <c r="W12" s="8"/>
      <c r="Y12" s="34"/>
      <c r="Z12" t="s">
        <v>8926</v>
      </c>
      <c r="AD12"/>
      <c r="AE12"/>
      <c r="AF12"/>
      <c r="AG12"/>
    </row>
    <row r="13" spans="1:33" ht="15.75" customHeight="1" x14ac:dyDescent="0.15">
      <c r="A13">
        <v>6</v>
      </c>
      <c r="B13" t="s">
        <v>75</v>
      </c>
      <c r="C13" t="s">
        <v>2634</v>
      </c>
      <c r="D13" t="s">
        <v>9488</v>
      </c>
      <c r="E13" t="s">
        <v>143</v>
      </c>
      <c r="F13">
        <v>777</v>
      </c>
      <c r="H13" t="s">
        <v>9489</v>
      </c>
      <c r="L13" t="s">
        <v>123</v>
      </c>
      <c r="N13">
        <v>10</v>
      </c>
      <c r="O13">
        <v>-32768</v>
      </c>
      <c r="P13">
        <v>32767</v>
      </c>
      <c r="Q13">
        <v>-3276.8</v>
      </c>
      <c r="R13">
        <v>3276.7</v>
      </c>
      <c r="U13" t="s">
        <v>3807</v>
      </c>
      <c r="V13" t="s">
        <v>3815</v>
      </c>
      <c r="W13" s="8"/>
      <c r="Y13" s="34"/>
      <c r="Z13" t="s">
        <v>8927</v>
      </c>
      <c r="AD13"/>
      <c r="AE13"/>
      <c r="AF13"/>
      <c r="AG13"/>
    </row>
    <row r="14" spans="1:33" ht="15.75" customHeight="1" x14ac:dyDescent="0.15">
      <c r="A14">
        <v>7</v>
      </c>
      <c r="B14" t="s">
        <v>75</v>
      </c>
      <c r="C14" t="s">
        <v>2634</v>
      </c>
      <c r="D14" t="s">
        <v>9490</v>
      </c>
      <c r="E14" t="s">
        <v>77</v>
      </c>
      <c r="F14">
        <v>784</v>
      </c>
      <c r="H14" t="s">
        <v>9491</v>
      </c>
      <c r="L14" t="s">
        <v>86</v>
      </c>
      <c r="N14">
        <v>10</v>
      </c>
      <c r="O14">
        <v>0</v>
      </c>
      <c r="P14">
        <v>65535</v>
      </c>
      <c r="Q14">
        <v>0</v>
      </c>
      <c r="R14">
        <v>6553.5</v>
      </c>
      <c r="U14" t="s">
        <v>3807</v>
      </c>
      <c r="V14" t="s">
        <v>3815</v>
      </c>
      <c r="W14" s="8"/>
      <c r="Y14" s="34"/>
      <c r="Z14"/>
      <c r="AD14"/>
      <c r="AE14"/>
      <c r="AF14"/>
      <c r="AG14"/>
    </row>
    <row r="15" spans="1:33" ht="15.75" customHeight="1" x14ac:dyDescent="0.15">
      <c r="A15">
        <v>8</v>
      </c>
      <c r="B15" t="s">
        <v>75</v>
      </c>
      <c r="C15" t="s">
        <v>2634</v>
      </c>
      <c r="D15" t="s">
        <v>9492</v>
      </c>
      <c r="E15" t="s">
        <v>77</v>
      </c>
      <c r="F15">
        <v>785</v>
      </c>
      <c r="H15" t="s">
        <v>9493</v>
      </c>
      <c r="L15" t="s">
        <v>109</v>
      </c>
      <c r="N15">
        <v>1</v>
      </c>
      <c r="O15">
        <v>0</v>
      </c>
      <c r="P15">
        <v>65535</v>
      </c>
      <c r="Q15">
        <v>0</v>
      </c>
      <c r="R15">
        <v>65535</v>
      </c>
      <c r="U15" t="s">
        <v>3807</v>
      </c>
      <c r="V15" t="s">
        <v>3815</v>
      </c>
      <c r="W15" s="8"/>
      <c r="Y15" s="34"/>
      <c r="Z15"/>
      <c r="AD15"/>
      <c r="AE15"/>
      <c r="AF15"/>
      <c r="AG15"/>
    </row>
    <row r="16" spans="1:33" ht="15.75" customHeight="1" x14ac:dyDescent="0.15">
      <c r="A16">
        <v>9</v>
      </c>
      <c r="B16" t="s">
        <v>75</v>
      </c>
      <c r="C16" t="s">
        <v>2634</v>
      </c>
      <c r="D16" t="s">
        <v>9494</v>
      </c>
      <c r="E16" t="s">
        <v>77</v>
      </c>
      <c r="F16">
        <v>786</v>
      </c>
      <c r="H16" t="s">
        <v>9495</v>
      </c>
      <c r="L16" t="s">
        <v>86</v>
      </c>
      <c r="N16">
        <v>10</v>
      </c>
      <c r="O16">
        <v>0</v>
      </c>
      <c r="P16">
        <v>65535</v>
      </c>
      <c r="Q16">
        <v>0</v>
      </c>
      <c r="R16">
        <v>6553.5</v>
      </c>
      <c r="U16" t="s">
        <v>3807</v>
      </c>
      <c r="V16" t="s">
        <v>3815</v>
      </c>
      <c r="W16" s="8"/>
      <c r="Y16" s="34"/>
      <c r="Z16" t="s">
        <v>8928</v>
      </c>
      <c r="AD16"/>
      <c r="AE16"/>
      <c r="AF16"/>
      <c r="AG16"/>
    </row>
    <row r="17" spans="1:33" ht="15.75" customHeight="1" x14ac:dyDescent="0.15">
      <c r="A17">
        <v>10</v>
      </c>
      <c r="B17" t="s">
        <v>75</v>
      </c>
      <c r="C17" t="s">
        <v>2634</v>
      </c>
      <c r="D17" t="s">
        <v>9496</v>
      </c>
      <c r="E17" t="s">
        <v>77</v>
      </c>
      <c r="F17">
        <v>787</v>
      </c>
      <c r="H17" t="s">
        <v>9497</v>
      </c>
      <c r="L17" t="s">
        <v>109</v>
      </c>
      <c r="N17">
        <v>1</v>
      </c>
      <c r="O17">
        <v>0</v>
      </c>
      <c r="P17">
        <v>65535</v>
      </c>
      <c r="Q17">
        <v>0</v>
      </c>
      <c r="R17">
        <v>65535</v>
      </c>
      <c r="U17" t="s">
        <v>3807</v>
      </c>
      <c r="V17" t="s">
        <v>3815</v>
      </c>
      <c r="W17" s="8"/>
      <c r="Y17" s="34"/>
      <c r="Z17" t="s">
        <v>8929</v>
      </c>
      <c r="AD17"/>
      <c r="AE17"/>
      <c r="AF17"/>
      <c r="AG17"/>
    </row>
    <row r="18" spans="1:33" ht="15.75" customHeight="1" x14ac:dyDescent="0.15">
      <c r="A18">
        <v>11</v>
      </c>
      <c r="B18" t="s">
        <v>75</v>
      </c>
      <c r="C18" t="s">
        <v>2634</v>
      </c>
      <c r="D18" t="s">
        <v>9498</v>
      </c>
      <c r="E18" t="s">
        <v>77</v>
      </c>
      <c r="F18">
        <v>788</v>
      </c>
      <c r="H18" t="s">
        <v>9499</v>
      </c>
      <c r="J18" t="s">
        <v>3729</v>
      </c>
      <c r="L18" t="s">
        <v>3722</v>
      </c>
      <c r="N18">
        <v>1</v>
      </c>
      <c r="O18">
        <v>0</v>
      </c>
      <c r="P18">
        <v>65535</v>
      </c>
      <c r="Q18">
        <v>0</v>
      </c>
      <c r="R18">
        <v>65535</v>
      </c>
      <c r="S18" t="s">
        <v>7039</v>
      </c>
      <c r="T18" t="s">
        <v>7040</v>
      </c>
      <c r="U18" t="s">
        <v>3723</v>
      </c>
      <c r="V18" t="s">
        <v>3815</v>
      </c>
      <c r="W18" s="8"/>
      <c r="Y18" s="34"/>
      <c r="Z18"/>
      <c r="AD18"/>
      <c r="AE18"/>
      <c r="AF18"/>
      <c r="AG18"/>
    </row>
    <row r="19" spans="1:33" ht="15.75" customHeight="1" x14ac:dyDescent="0.15">
      <c r="A19">
        <v>12</v>
      </c>
      <c r="B19" t="s">
        <v>75</v>
      </c>
      <c r="C19" t="s">
        <v>2634</v>
      </c>
      <c r="D19" t="s">
        <v>9500</v>
      </c>
      <c r="E19" t="s">
        <v>77</v>
      </c>
      <c r="F19">
        <v>789</v>
      </c>
      <c r="H19" t="s">
        <v>9501</v>
      </c>
      <c r="L19" t="s">
        <v>109</v>
      </c>
      <c r="N19">
        <v>10</v>
      </c>
      <c r="O19">
        <v>0</v>
      </c>
      <c r="P19">
        <v>65535</v>
      </c>
      <c r="Q19">
        <v>0</v>
      </c>
      <c r="R19">
        <v>6553.5</v>
      </c>
      <c r="U19" t="s">
        <v>3807</v>
      </c>
      <c r="V19" t="s">
        <v>3815</v>
      </c>
      <c r="W19" s="8" t="s">
        <v>7041</v>
      </c>
      <c r="Y19" s="34"/>
      <c r="Z19" t="s">
        <v>8930</v>
      </c>
      <c r="AD19"/>
      <c r="AE19"/>
      <c r="AF19"/>
      <c r="AG19"/>
    </row>
    <row r="20" spans="1:33" ht="15.75" customHeight="1" x14ac:dyDescent="0.15">
      <c r="A20">
        <v>13</v>
      </c>
      <c r="B20" t="s">
        <v>75</v>
      </c>
      <c r="C20" t="s">
        <v>2634</v>
      </c>
      <c r="D20" t="s">
        <v>9502</v>
      </c>
      <c r="E20" t="s">
        <v>77</v>
      </c>
      <c r="F20">
        <v>790</v>
      </c>
      <c r="H20" t="s">
        <v>9503</v>
      </c>
      <c r="L20" t="s">
        <v>86</v>
      </c>
      <c r="N20">
        <v>10</v>
      </c>
      <c r="O20">
        <v>0</v>
      </c>
      <c r="P20">
        <v>65535</v>
      </c>
      <c r="Q20">
        <v>0</v>
      </c>
      <c r="R20">
        <v>6553.5</v>
      </c>
      <c r="U20" t="s">
        <v>3807</v>
      </c>
      <c r="V20" t="s">
        <v>3815</v>
      </c>
      <c r="W20" s="8"/>
      <c r="Y20" s="34"/>
      <c r="Z20"/>
      <c r="AD20"/>
      <c r="AE20"/>
      <c r="AF20"/>
      <c r="AG20"/>
    </row>
    <row r="21" spans="1:33" ht="15.75" customHeight="1" x14ac:dyDescent="0.15">
      <c r="A21">
        <v>14</v>
      </c>
      <c r="B21" t="s">
        <v>75</v>
      </c>
      <c r="C21" t="s">
        <v>2634</v>
      </c>
      <c r="D21" t="s">
        <v>9504</v>
      </c>
      <c r="E21" t="s">
        <v>77</v>
      </c>
      <c r="F21">
        <v>791</v>
      </c>
      <c r="H21" t="s">
        <v>9505</v>
      </c>
      <c r="L21" t="s">
        <v>3722</v>
      </c>
      <c r="N21">
        <v>1</v>
      </c>
      <c r="O21">
        <v>0</v>
      </c>
      <c r="P21">
        <v>65535</v>
      </c>
      <c r="Q21">
        <v>0</v>
      </c>
      <c r="R21">
        <v>65535</v>
      </c>
      <c r="U21" t="s">
        <v>3723</v>
      </c>
      <c r="V21" t="s">
        <v>3815</v>
      </c>
      <c r="W21" s="8" t="s">
        <v>7042</v>
      </c>
      <c r="Y21" s="34"/>
      <c r="Z21" t="s">
        <v>8931</v>
      </c>
      <c r="AD21"/>
      <c r="AE21"/>
      <c r="AF21"/>
      <c r="AG21"/>
    </row>
    <row r="22" spans="1:33" s="9" customFormat="1" ht="16.149999999999999" customHeight="1" x14ac:dyDescent="0.15">
      <c r="A22" s="6"/>
      <c r="B22" s="18"/>
      <c r="C22"/>
      <c r="D22" s="2"/>
      <c r="E22"/>
      <c r="F22"/>
      <c r="G22"/>
      <c r="H22"/>
      <c r="I22" s="2"/>
      <c r="J22"/>
      <c r="L22"/>
      <c r="M22"/>
      <c r="N22"/>
      <c r="O22"/>
      <c r="P22"/>
      <c r="Q22" s="8"/>
      <c r="R22"/>
      <c r="S22"/>
      <c r="T22"/>
      <c r="U22"/>
      <c r="V22"/>
      <c r="W22" s="20"/>
      <c r="X22"/>
      <c r="Y22" s="19"/>
      <c r="Z22" s="19"/>
      <c r="AC22"/>
      <c r="AD22" s="20"/>
    </row>
    <row r="23" spans="1:33" s="9" customFormat="1" ht="16.149999999999999" customHeight="1" x14ac:dyDescent="0.15">
      <c r="A23" s="6"/>
      <c r="B23" s="18"/>
      <c r="C23"/>
      <c r="D23" s="2"/>
      <c r="E23"/>
      <c r="F23"/>
      <c r="G23"/>
      <c r="H23"/>
      <c r="I23" s="2"/>
      <c r="J23"/>
      <c r="L23"/>
      <c r="M23"/>
      <c r="N23"/>
      <c r="O23"/>
      <c r="P23"/>
      <c r="Q23" s="8"/>
      <c r="R23"/>
      <c r="S23"/>
      <c r="T23"/>
      <c r="U23"/>
      <c r="V23"/>
      <c r="W23" s="20"/>
      <c r="X23"/>
      <c r="Y23" s="19"/>
      <c r="Z23" s="19"/>
      <c r="AC23"/>
      <c r="AD23" s="20"/>
    </row>
    <row r="24" spans="1:33" s="9" customFormat="1" ht="16.149999999999999" customHeight="1" x14ac:dyDescent="0.15">
      <c r="A24" s="6"/>
      <c r="B24" s="18"/>
      <c r="C24"/>
      <c r="D24" s="2"/>
      <c r="E24"/>
      <c r="F24"/>
      <c r="G24"/>
      <c r="H24"/>
      <c r="I24" s="2"/>
      <c r="J24"/>
      <c r="L24"/>
      <c r="M24"/>
      <c r="N24"/>
      <c r="O24"/>
      <c r="P24"/>
      <c r="Q24" s="8"/>
      <c r="R24"/>
      <c r="S24"/>
      <c r="T24"/>
      <c r="U24"/>
      <c r="V24"/>
      <c r="W24" s="20"/>
      <c r="X24"/>
      <c r="Y24" s="19"/>
      <c r="Z24" s="19"/>
      <c r="AC24"/>
      <c r="AD24" s="20"/>
    </row>
    <row r="25" spans="1:33" s="9" customFormat="1" ht="16.149999999999999" customHeight="1" x14ac:dyDescent="0.15">
      <c r="A25" s="6"/>
      <c r="B25" s="18"/>
      <c r="C25"/>
      <c r="D25" s="2"/>
      <c r="E25"/>
      <c r="F25"/>
      <c r="G25"/>
      <c r="H25"/>
      <c r="I25" s="2"/>
      <c r="J25"/>
      <c r="L25"/>
      <c r="M25"/>
      <c r="N25"/>
      <c r="O25"/>
      <c r="P25"/>
      <c r="Q25" s="8"/>
      <c r="R25"/>
      <c r="S25"/>
      <c r="T25"/>
      <c r="U25"/>
      <c r="V25"/>
      <c r="W25" s="20"/>
      <c r="X25"/>
      <c r="Y25" s="19"/>
      <c r="Z25" s="19"/>
      <c r="AC25"/>
      <c r="AD25" s="20"/>
    </row>
    <row r="26" spans="1:33" s="9" customFormat="1" ht="16.149999999999999" customHeight="1" x14ac:dyDescent="0.15">
      <c r="A26" s="6"/>
      <c r="B26" s="18"/>
      <c r="C26"/>
      <c r="D26" s="2"/>
      <c r="E26"/>
      <c r="F26"/>
      <c r="G26"/>
      <c r="H26"/>
      <c r="I26" s="2"/>
      <c r="J26"/>
      <c r="L26"/>
      <c r="M26"/>
      <c r="N26"/>
      <c r="O26"/>
      <c r="P26"/>
      <c r="Q26" s="8"/>
      <c r="R26"/>
      <c r="S26"/>
      <c r="T26"/>
      <c r="U26"/>
      <c r="V26"/>
      <c r="W26" s="20"/>
      <c r="X26"/>
      <c r="Y26" s="19"/>
      <c r="Z26" s="19"/>
      <c r="AC26"/>
      <c r="AD26" s="20"/>
    </row>
    <row r="27" spans="1:33" s="9" customFormat="1" ht="16.149999999999999" customHeight="1" x14ac:dyDescent="0.15">
      <c r="A27" s="6"/>
      <c r="B27" s="18"/>
      <c r="C27"/>
      <c r="D27" s="2"/>
      <c r="E27"/>
      <c r="F27"/>
      <c r="G27"/>
      <c r="H27"/>
      <c r="I27" s="2"/>
      <c r="J27"/>
      <c r="L27"/>
      <c r="M27"/>
      <c r="N27"/>
      <c r="O27"/>
      <c r="P27"/>
      <c r="Q27" s="8"/>
      <c r="R27"/>
      <c r="S27"/>
      <c r="T27"/>
      <c r="U27"/>
      <c r="V27"/>
      <c r="W27" s="20"/>
      <c r="X27"/>
      <c r="Y27" s="19"/>
      <c r="Z27" s="19"/>
      <c r="AC27"/>
      <c r="AD27" s="20"/>
    </row>
    <row r="28" spans="1:33" s="9" customFormat="1" ht="16.149999999999999" customHeight="1" x14ac:dyDescent="0.15">
      <c r="A28" s="6"/>
      <c r="B28" s="18"/>
      <c r="C28"/>
      <c r="D28" s="2"/>
      <c r="E28"/>
      <c r="F28"/>
      <c r="G28"/>
      <c r="H28"/>
      <c r="I28" s="2"/>
      <c r="J28"/>
      <c r="L28"/>
      <c r="M28"/>
      <c r="N28"/>
      <c r="O28"/>
      <c r="P28"/>
      <c r="Q28" s="8"/>
      <c r="R28"/>
      <c r="S28"/>
      <c r="T28"/>
      <c r="U28"/>
      <c r="V28"/>
      <c r="W28" s="20"/>
      <c r="X28"/>
      <c r="Y28" s="19"/>
      <c r="Z28" s="19"/>
      <c r="AC28"/>
      <c r="AD28" s="20"/>
    </row>
    <row r="29" spans="1:33" s="9" customFormat="1" ht="16.149999999999999" customHeight="1" x14ac:dyDescent="0.15">
      <c r="A29" s="6"/>
      <c r="B29" s="18"/>
      <c r="C29"/>
      <c r="D29" s="2"/>
      <c r="E29"/>
      <c r="F29"/>
      <c r="G29"/>
      <c r="H29"/>
      <c r="I29" s="2"/>
      <c r="J29"/>
      <c r="L29"/>
      <c r="M29"/>
      <c r="N29"/>
      <c r="O29"/>
      <c r="P29"/>
      <c r="Q29" s="8"/>
      <c r="R29"/>
      <c r="S29"/>
      <c r="T29"/>
      <c r="U29"/>
      <c r="V29"/>
      <c r="W29" s="20"/>
      <c r="X29"/>
      <c r="Y29" s="19"/>
      <c r="Z29" s="19"/>
      <c r="AC29"/>
      <c r="AD29" s="20"/>
    </row>
    <row r="30" spans="1:33" s="9" customFormat="1" ht="16.149999999999999" customHeight="1" x14ac:dyDescent="0.15">
      <c r="A30" s="6"/>
      <c r="B30" s="18"/>
      <c r="C30"/>
      <c r="D30" s="2"/>
      <c r="E30"/>
      <c r="F30"/>
      <c r="G30"/>
      <c r="H30"/>
      <c r="I30" s="2"/>
      <c r="J30"/>
      <c r="L30"/>
      <c r="M30"/>
      <c r="N30"/>
      <c r="O30"/>
      <c r="P30"/>
      <c r="Q30" s="8"/>
      <c r="R30"/>
      <c r="S30"/>
      <c r="T30"/>
      <c r="U30"/>
      <c r="V30"/>
      <c r="W30" s="20"/>
      <c r="X30"/>
      <c r="Y30" s="19"/>
      <c r="Z30" s="19"/>
      <c r="AC30"/>
      <c r="AD30" s="20"/>
    </row>
    <row r="31" spans="1:33" s="9" customFormat="1" ht="16.149999999999999" customHeight="1" x14ac:dyDescent="0.15">
      <c r="A31" s="6"/>
      <c r="B31" s="18"/>
      <c r="C31"/>
      <c r="D31" s="2"/>
      <c r="E31"/>
      <c r="F31"/>
      <c r="G31"/>
      <c r="H31"/>
      <c r="I31" s="2"/>
      <c r="J31"/>
      <c r="L31"/>
      <c r="M31"/>
      <c r="N31"/>
      <c r="O31"/>
      <c r="P31"/>
      <c r="Q31" s="8"/>
      <c r="R31"/>
      <c r="S31"/>
      <c r="T31"/>
      <c r="U31"/>
      <c r="V31"/>
      <c r="W31" s="20"/>
      <c r="X31"/>
      <c r="Y31" s="19"/>
      <c r="Z31" s="19"/>
      <c r="AC31"/>
      <c r="AD31" s="20"/>
    </row>
    <row r="32" spans="1:33" s="9" customFormat="1" ht="16.149999999999999" customHeight="1" x14ac:dyDescent="0.15">
      <c r="A32" s="6"/>
      <c r="B32" s="18"/>
      <c r="C32"/>
      <c r="D32" s="2"/>
      <c r="E32"/>
      <c r="F32"/>
      <c r="G32"/>
      <c r="H32"/>
      <c r="I32" s="2"/>
      <c r="J32"/>
      <c r="L32"/>
      <c r="M32"/>
      <c r="N32"/>
      <c r="O32"/>
      <c r="P32"/>
      <c r="Q32" s="8"/>
      <c r="R32"/>
      <c r="S32"/>
      <c r="T32"/>
      <c r="U32"/>
      <c r="V32"/>
      <c r="W32" s="20"/>
      <c r="X32"/>
      <c r="Y32" s="19"/>
      <c r="Z32" s="19"/>
      <c r="AC32"/>
      <c r="AD32" s="20"/>
    </row>
    <row r="33" spans="1:30" s="9" customFormat="1" ht="16.149999999999999" customHeight="1" x14ac:dyDescent="0.15">
      <c r="A33" s="6"/>
      <c r="B33" s="18"/>
      <c r="C33"/>
      <c r="D33" s="2"/>
      <c r="E33"/>
      <c r="F33"/>
      <c r="G33"/>
      <c r="H33"/>
      <c r="I33" s="2"/>
      <c r="J33"/>
      <c r="L33"/>
      <c r="M33"/>
      <c r="N33"/>
      <c r="O33"/>
      <c r="P33"/>
      <c r="Q33" s="8"/>
      <c r="R33"/>
      <c r="S33"/>
      <c r="T33"/>
      <c r="U33"/>
      <c r="V33"/>
      <c r="W33" s="20"/>
      <c r="X33"/>
      <c r="Y33" s="19"/>
      <c r="Z33" s="19"/>
      <c r="AC33"/>
      <c r="AD33" s="20"/>
    </row>
    <row r="34" spans="1:30" s="9" customFormat="1" ht="16.149999999999999" customHeight="1" x14ac:dyDescent="0.15">
      <c r="A34" s="6"/>
      <c r="B34" s="18"/>
      <c r="C34"/>
      <c r="D34" s="2"/>
      <c r="E34"/>
      <c r="F34"/>
      <c r="G34"/>
      <c r="H34"/>
      <c r="I34" s="2"/>
      <c r="J34"/>
      <c r="L34"/>
      <c r="M34"/>
      <c r="N34"/>
      <c r="O34"/>
      <c r="P34"/>
      <c r="Q34" s="8"/>
      <c r="R34"/>
      <c r="S34"/>
      <c r="T34"/>
      <c r="U34"/>
      <c r="V34"/>
      <c r="W34" s="20"/>
      <c r="X34"/>
      <c r="Y34" s="19"/>
      <c r="Z34" s="19"/>
      <c r="AC34"/>
      <c r="AD34" s="20"/>
    </row>
    <row r="35" spans="1:30" s="9" customFormat="1" ht="16.149999999999999" customHeight="1" x14ac:dyDescent="0.15">
      <c r="A35" s="6"/>
      <c r="B35" s="18"/>
      <c r="C35"/>
      <c r="D35" s="2"/>
      <c r="E35"/>
      <c r="F35"/>
      <c r="G35"/>
      <c r="H35"/>
      <c r="I35" s="2"/>
      <c r="J35"/>
      <c r="L35"/>
      <c r="M35"/>
      <c r="N35"/>
      <c r="O35"/>
      <c r="P35"/>
      <c r="Q35" s="8"/>
      <c r="R35"/>
      <c r="S35"/>
      <c r="T35"/>
      <c r="U35"/>
      <c r="V35"/>
      <c r="W35" s="20"/>
      <c r="X35"/>
      <c r="Y35" s="19"/>
      <c r="Z35" s="19"/>
      <c r="AC35"/>
      <c r="AD35" s="20"/>
    </row>
    <row r="36" spans="1:30" s="9" customFormat="1" ht="16.149999999999999" customHeight="1" x14ac:dyDescent="0.15">
      <c r="A36" s="6"/>
      <c r="B36" s="18"/>
      <c r="C36"/>
      <c r="D36" s="2"/>
      <c r="E36"/>
      <c r="F36"/>
      <c r="G36"/>
      <c r="H36"/>
      <c r="I36" s="2"/>
      <c r="J36"/>
      <c r="L36"/>
      <c r="M36"/>
      <c r="N36"/>
      <c r="O36"/>
      <c r="P36"/>
      <c r="Q36" s="8"/>
      <c r="R36"/>
      <c r="S36"/>
      <c r="T36"/>
      <c r="U36"/>
      <c r="V36"/>
      <c r="W36" s="20"/>
      <c r="X36"/>
      <c r="Y36" s="19"/>
      <c r="Z36" s="19"/>
      <c r="AC36"/>
      <c r="AD36" s="20"/>
    </row>
    <row r="37" spans="1:30" s="9" customFormat="1" ht="16.149999999999999" customHeight="1" x14ac:dyDescent="0.15">
      <c r="A37" s="6"/>
      <c r="B37" s="18"/>
      <c r="C37"/>
      <c r="D37" s="2"/>
      <c r="E37"/>
      <c r="F37"/>
      <c r="G37"/>
      <c r="H37"/>
      <c r="I37" s="2"/>
      <c r="J37"/>
      <c r="L37"/>
      <c r="M37"/>
      <c r="N37"/>
      <c r="O37"/>
      <c r="P37"/>
      <c r="Q37" s="8"/>
      <c r="R37"/>
      <c r="S37"/>
      <c r="T37"/>
      <c r="U37"/>
      <c r="V37"/>
      <c r="W37" s="20"/>
      <c r="X37"/>
      <c r="Y37" s="19"/>
      <c r="Z37" s="19"/>
      <c r="AC37"/>
      <c r="AD37" s="20"/>
    </row>
    <row r="38" spans="1:30" s="9" customFormat="1" ht="16.149999999999999" customHeight="1" x14ac:dyDescent="0.15">
      <c r="A38" s="6"/>
      <c r="B38" s="18"/>
      <c r="C38"/>
      <c r="D38" s="2"/>
      <c r="E38"/>
      <c r="F38"/>
      <c r="G38"/>
      <c r="H38"/>
      <c r="I38" s="2"/>
      <c r="J38"/>
      <c r="L38"/>
      <c r="M38"/>
      <c r="N38"/>
      <c r="O38"/>
      <c r="P38"/>
      <c r="Q38" s="8"/>
      <c r="R38"/>
      <c r="S38"/>
      <c r="T38"/>
      <c r="U38"/>
      <c r="V38"/>
      <c r="W38" s="20"/>
      <c r="X38"/>
      <c r="Y38" s="19"/>
      <c r="Z38" s="19"/>
      <c r="AC38"/>
      <c r="AD38" s="20"/>
    </row>
    <row r="39" spans="1:30" s="9" customFormat="1" ht="16.149999999999999" customHeight="1" x14ac:dyDescent="0.15">
      <c r="A39" s="6"/>
      <c r="B39" s="23"/>
      <c r="C39"/>
      <c r="D39" s="2"/>
      <c r="E39"/>
      <c r="F39"/>
      <c r="G39"/>
      <c r="H39"/>
      <c r="I39" s="2"/>
      <c r="J39"/>
      <c r="L39"/>
      <c r="M39"/>
      <c r="N39"/>
      <c r="O39"/>
      <c r="P39"/>
      <c r="Q39" s="21"/>
      <c r="R39"/>
      <c r="S39"/>
      <c r="T39"/>
      <c r="U39"/>
      <c r="V39"/>
      <c r="W39" s="22"/>
      <c r="X39"/>
      <c r="Y39" s="24"/>
      <c r="Z39" s="24"/>
      <c r="AC39"/>
      <c r="AD39" s="22"/>
    </row>
  </sheetData>
  <mergeCells count="1">
    <mergeCell ref="G1:H1"/>
  </mergeCells>
  <dataValidations count="3">
    <dataValidation type="whole" errorStyle="warning" allowBlank="1" showInputMessage="1" showErrorMessage="1" errorTitle="Device Modbus Register Base" error="This value is the device register number of the first register in the table.  Typically this value is 1, occasionally it is 0.  " sqref="C4 E5:E6" xr:uid="{120FB6ED-C17F-4874-BF08-8FB72FEB0A46}">
      <formula1>0</formula1>
      <formula2>1</formula2>
    </dataValidation>
    <dataValidation type="custom" allowBlank="1" showErrorMessage="1" errorTitle="Invalid IEC 61131-3 Variable Nam" error="Please enter only alphanumeric and underscore characters." sqref="M3:M6 O22:O39" xr:uid="{A40DDEA0-FCCB-4B51-80AA-DB9A3D46F5AE}">
      <formula1>ISNUMBER(SUMPRODUCT(SEARCH(MID(M3,ROW(INDIRECT("1:"&amp;LEN(M3))),1),"0123456789abcdefghijklmnopqrstuvwxyzABCDEFGHIJKLMNOPQRSTUVWXYZ-_")))</formula1>
    </dataValidation>
    <dataValidation type="whole" allowBlank="1" showInputMessage="1" showErrorMessage="1" errorTitle="Device Modbus Server ID" error="Server IDs must be between 0 and 255._x000a_Note that server ID is synonymous with slave ID (old terminology)" sqref="E4" xr:uid="{1161FCCA-2834-4D58-A34C-29349804DFED}">
      <formula1>0</formula1>
      <formula2>255</formula2>
    </dataValidation>
  </dataValidations>
  <pageMargins left="0.25" right="0.25" top="0.75" bottom="0.75" header="0.3" footer="0.3"/>
  <pageSetup paperSize="3" scale="24" fitToHeight="0" orientation="portrait" r:id="rId1"/>
  <legacy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A67A-2BE3-114F-B26D-7B89017D6C7F}">
  <sheetPr codeName="Sheet8"/>
  <dimension ref="A1:Y51"/>
  <sheetViews>
    <sheetView workbookViewId="0">
      <selection activeCell="I14" sqref="I14"/>
    </sheetView>
  </sheetViews>
  <sheetFormatPr defaultColWidth="14.6640625" defaultRowHeight="16.149999999999999" customHeight="1" x14ac:dyDescent="0.15"/>
  <cols>
    <col min="1" max="1" width="36" customWidth="1"/>
    <col min="4" max="4" width="19.6640625" bestFit="1" customWidth="1"/>
    <col min="5" max="5" width="14.33203125" customWidth="1"/>
    <col min="6" max="6" width="12.6640625" customWidth="1"/>
    <col min="11" max="11" width="19.5" customWidth="1"/>
    <col min="13" max="13" width="15.6640625" customWidth="1"/>
    <col min="14" max="14" width="17.6640625" customWidth="1"/>
    <col min="15" max="15" width="39.6640625" bestFit="1" customWidth="1"/>
    <col min="16" max="16" width="39.6640625" customWidth="1"/>
    <col min="17" max="17" width="15.33203125" customWidth="1"/>
    <col min="19" max="19" width="16.6640625" customWidth="1"/>
    <col min="20" max="20" width="12.6640625" bestFit="1" customWidth="1"/>
    <col min="25" max="25" width="40.5" bestFit="1" customWidth="1"/>
  </cols>
  <sheetData>
    <row r="1" spans="1:25" ht="24" customHeight="1" x14ac:dyDescent="0.15">
      <c r="A1" s="25" t="s">
        <v>7113</v>
      </c>
      <c r="B1" s="2"/>
      <c r="C1" s="2"/>
      <c r="D1" s="2"/>
      <c r="E1" s="2"/>
      <c r="F1" s="2"/>
      <c r="G1" s="2"/>
      <c r="H1" s="2"/>
      <c r="I1" s="25"/>
    </row>
    <row r="2" spans="1:25" ht="16.149999999999999" customHeight="1" x14ac:dyDescent="0.15">
      <c r="B2" s="2"/>
      <c r="C2" s="10"/>
      <c r="D2" s="11"/>
      <c r="E2" s="2"/>
      <c r="F2" s="2"/>
      <c r="G2" s="2"/>
      <c r="H2" s="2"/>
    </row>
    <row r="3" spans="1:25" ht="16.149999999999999" customHeight="1" x14ac:dyDescent="0.15">
      <c r="A3" t="s">
        <v>7114</v>
      </c>
      <c r="B3" t="s">
        <v>7115</v>
      </c>
      <c r="D3" t="s">
        <v>35</v>
      </c>
      <c r="E3" t="s">
        <v>45</v>
      </c>
      <c r="F3" t="s">
        <v>46</v>
      </c>
      <c r="I3" t="s">
        <v>43</v>
      </c>
      <c r="K3" t="s">
        <v>7116</v>
      </c>
      <c r="L3" t="s">
        <v>7117</v>
      </c>
    </row>
    <row r="4" spans="1:25" ht="16.149999999999999" customHeight="1" x14ac:dyDescent="0.15">
      <c r="A4" s="26" t="s">
        <v>3719</v>
      </c>
      <c r="B4" s="26" t="s">
        <v>7118</v>
      </c>
      <c r="C4" s="26"/>
      <c r="D4" s="26" t="s">
        <v>143</v>
      </c>
      <c r="E4" s="26">
        <f>-(2^15)</f>
        <v>-32768</v>
      </c>
      <c r="F4" s="26">
        <f>2^15-1</f>
        <v>32767</v>
      </c>
      <c r="G4" s="26"/>
      <c r="H4" s="26"/>
      <c r="I4" t="s">
        <v>123</v>
      </c>
      <c r="J4" s="26"/>
      <c r="K4" s="26" t="s">
        <v>7119</v>
      </c>
      <c r="L4" s="26" t="s">
        <v>7120</v>
      </c>
      <c r="M4" s="26" t="s">
        <v>7121</v>
      </c>
      <c r="N4" s="26" t="s">
        <v>7122</v>
      </c>
      <c r="O4" s="26" t="s">
        <v>4267</v>
      </c>
      <c r="P4" s="26"/>
      <c r="Q4" s="26"/>
      <c r="R4" s="26"/>
      <c r="S4" s="26"/>
      <c r="T4" s="26"/>
      <c r="U4" s="26"/>
      <c r="V4" s="26"/>
      <c r="W4" s="26"/>
      <c r="X4" s="26"/>
      <c r="Y4" s="27"/>
    </row>
    <row r="5" spans="1:25" ht="16.149999999999999" customHeight="1" x14ac:dyDescent="0.15">
      <c r="A5" s="26" t="s">
        <v>6050</v>
      </c>
      <c r="B5" s="26" t="s">
        <v>7123</v>
      </c>
      <c r="C5" s="26"/>
      <c r="D5" s="26" t="s">
        <v>77</v>
      </c>
      <c r="E5" s="26">
        <v>0</v>
      </c>
      <c r="F5" s="26">
        <f>2^16-1</f>
        <v>65535</v>
      </c>
      <c r="G5" s="26"/>
      <c r="H5" s="26"/>
      <c r="I5" t="s">
        <v>113</v>
      </c>
      <c r="J5" s="26"/>
      <c r="K5" s="26" t="s">
        <v>143</v>
      </c>
      <c r="L5" s="26" t="s">
        <v>169</v>
      </c>
      <c r="M5" s="26" t="s">
        <v>143</v>
      </c>
      <c r="N5" s="26" t="s">
        <v>169</v>
      </c>
      <c r="O5" s="26" t="s">
        <v>77</v>
      </c>
      <c r="P5" s="26"/>
      <c r="Q5" s="26"/>
      <c r="R5" s="26"/>
      <c r="S5" s="26"/>
      <c r="T5" s="26"/>
      <c r="U5" s="26"/>
      <c r="V5" s="26"/>
      <c r="W5" s="26"/>
      <c r="X5" s="26"/>
      <c r="Y5" s="27"/>
    </row>
    <row r="6" spans="1:25" ht="16.149999999999999" customHeight="1" x14ac:dyDescent="0.15">
      <c r="A6" s="26" t="s">
        <v>6035</v>
      </c>
      <c r="B6" s="26" t="s">
        <v>7124</v>
      </c>
      <c r="C6" s="26"/>
      <c r="D6" s="26" t="s">
        <v>3192</v>
      </c>
      <c r="E6" s="46">
        <v>-3.40282346639E+38</v>
      </c>
      <c r="F6" s="46">
        <v>3.40282346639E+38</v>
      </c>
      <c r="G6" s="26"/>
      <c r="H6" s="28"/>
      <c r="I6" t="s">
        <v>2324</v>
      </c>
      <c r="J6" s="26"/>
      <c r="K6" s="26" t="s">
        <v>107</v>
      </c>
      <c r="L6" s="26"/>
      <c r="M6" s="26" t="s">
        <v>107</v>
      </c>
      <c r="N6" s="26"/>
      <c r="O6" s="26" t="s">
        <v>59</v>
      </c>
      <c r="P6" s="26"/>
      <c r="Q6" s="26"/>
      <c r="R6" s="26"/>
      <c r="S6" s="26"/>
      <c r="T6" s="26"/>
      <c r="U6" s="26"/>
      <c r="V6" s="26"/>
      <c r="W6" s="26"/>
      <c r="X6" s="26"/>
      <c r="Y6" s="27"/>
    </row>
    <row r="7" spans="1:25" ht="16.149999999999999" customHeight="1" x14ac:dyDescent="0.15">
      <c r="A7" s="26" t="s">
        <v>6058</v>
      </c>
      <c r="B7" s="26" t="s">
        <v>7125</v>
      </c>
      <c r="C7" s="26"/>
      <c r="D7" s="26" t="s">
        <v>107</v>
      </c>
      <c r="E7" s="26">
        <f>-(2^31)</f>
        <v>-2147483648</v>
      </c>
      <c r="F7" s="26">
        <f>2^31-1</f>
        <v>2147483647</v>
      </c>
      <c r="G7" s="26"/>
      <c r="H7" s="28"/>
      <c r="I7" t="s">
        <v>109</v>
      </c>
      <c r="J7" s="26"/>
      <c r="K7" s="26" t="s">
        <v>3192</v>
      </c>
      <c r="L7" s="26"/>
      <c r="M7" s="26" t="s">
        <v>3192</v>
      </c>
      <c r="N7" s="26"/>
      <c r="O7" s="26" t="s">
        <v>165</v>
      </c>
      <c r="P7" s="26"/>
      <c r="Q7" s="26"/>
      <c r="R7" s="26"/>
      <c r="S7" s="26"/>
      <c r="T7" s="26"/>
      <c r="U7" s="26"/>
      <c r="V7" s="26"/>
      <c r="W7" s="26"/>
      <c r="X7" s="26"/>
      <c r="Y7" s="27"/>
    </row>
    <row r="8" spans="1:25" ht="16.149999999999999" customHeight="1" x14ac:dyDescent="0.15">
      <c r="A8" s="26" t="s">
        <v>4267</v>
      </c>
      <c r="B8" s="26" t="s">
        <v>7126</v>
      </c>
      <c r="C8" s="26"/>
      <c r="D8" s="26" t="s">
        <v>59</v>
      </c>
      <c r="E8" s="26">
        <v>0</v>
      </c>
      <c r="F8" s="26">
        <f>2^32-1</f>
        <v>4294967295</v>
      </c>
      <c r="G8" s="26"/>
      <c r="H8" s="28"/>
      <c r="I8" t="s">
        <v>82</v>
      </c>
      <c r="J8" s="26"/>
      <c r="K8" s="26"/>
      <c r="L8" s="26"/>
      <c r="M8" s="26"/>
      <c r="N8" s="26"/>
      <c r="O8" s="26" t="s">
        <v>219</v>
      </c>
      <c r="P8" s="26"/>
      <c r="Q8" s="26"/>
      <c r="R8" s="26"/>
      <c r="S8" s="26"/>
      <c r="T8" s="26"/>
      <c r="U8" s="26"/>
      <c r="V8" s="26"/>
      <c r="W8" s="26"/>
      <c r="X8" s="26"/>
      <c r="Y8" s="27"/>
    </row>
    <row r="9" spans="1:25" ht="16.149999999999999" customHeight="1" x14ac:dyDescent="0.15">
      <c r="A9" s="26" t="s">
        <v>7127</v>
      </c>
      <c r="B9" s="26" t="s">
        <v>7128</v>
      </c>
      <c r="C9" s="26">
        <v>0</v>
      </c>
      <c r="D9" s="26"/>
      <c r="E9" s="26"/>
      <c r="F9" s="26"/>
      <c r="G9" s="26"/>
      <c r="H9" s="28"/>
      <c r="I9" t="s">
        <v>6859</v>
      </c>
      <c r="J9" s="26"/>
      <c r="K9" s="26"/>
      <c r="L9" s="26"/>
      <c r="M9" s="26"/>
      <c r="N9" s="26"/>
      <c r="O9" s="26"/>
      <c r="P9" s="26"/>
      <c r="Q9" s="26"/>
      <c r="R9" s="26"/>
      <c r="S9" s="26"/>
      <c r="T9" s="26"/>
      <c r="U9" s="26"/>
      <c r="V9" s="26"/>
      <c r="W9" s="26"/>
      <c r="X9" s="26"/>
      <c r="Y9" s="27"/>
    </row>
    <row r="10" spans="1:25" ht="15.75" customHeight="1" x14ac:dyDescent="0.15">
      <c r="A10" s="26" t="s">
        <v>7129</v>
      </c>
      <c r="B10" s="26" t="s">
        <v>7130</v>
      </c>
      <c r="C10" s="26">
        <v>1</v>
      </c>
      <c r="D10" s="26" t="s">
        <v>7131</v>
      </c>
      <c r="E10" s="26" t="s">
        <v>169</v>
      </c>
      <c r="F10" s="26"/>
      <c r="G10" s="26"/>
      <c r="H10" s="28"/>
      <c r="I10" t="s">
        <v>7132</v>
      </c>
      <c r="J10" s="26"/>
      <c r="K10" s="26"/>
      <c r="L10" s="26"/>
      <c r="M10" s="26"/>
      <c r="N10" s="26"/>
      <c r="O10" s="26"/>
      <c r="P10" s="26"/>
      <c r="Q10" s="26"/>
      <c r="R10" s="26"/>
      <c r="S10" s="26"/>
      <c r="T10" s="26"/>
      <c r="U10" s="26"/>
      <c r="V10" s="26"/>
      <c r="W10" s="26"/>
      <c r="X10" s="26"/>
      <c r="Y10" s="27"/>
    </row>
    <row r="11" spans="1:25" ht="15.75" customHeight="1" x14ac:dyDescent="0.15">
      <c r="A11" s="26" t="s">
        <v>7133</v>
      </c>
      <c r="B11" s="26" t="s">
        <v>7134</v>
      </c>
      <c r="C11" s="26">
        <v>4</v>
      </c>
      <c r="D11" s="26">
        <v>0</v>
      </c>
      <c r="E11" s="29" t="s">
        <v>7135</v>
      </c>
      <c r="F11" s="26"/>
      <c r="G11" s="26"/>
      <c r="H11" s="28"/>
      <c r="I11" t="s">
        <v>86</v>
      </c>
      <c r="J11" s="26"/>
      <c r="K11" s="26"/>
      <c r="L11" s="26"/>
      <c r="M11" s="26"/>
      <c r="N11" s="26"/>
      <c r="O11" s="26"/>
      <c r="P11" s="26"/>
      <c r="Q11" s="26"/>
      <c r="R11" s="26"/>
      <c r="S11" s="26"/>
      <c r="T11" s="26"/>
      <c r="U11" s="26"/>
      <c r="V11" s="26"/>
      <c r="W11" s="26"/>
      <c r="X11" s="26"/>
      <c r="Y11" s="27"/>
    </row>
    <row r="12" spans="1:25" ht="16.149999999999999" customHeight="1" x14ac:dyDescent="0.15">
      <c r="A12" s="26" t="s">
        <v>7136</v>
      </c>
      <c r="B12" s="26" t="s">
        <v>7137</v>
      </c>
      <c r="C12" s="26">
        <v>3</v>
      </c>
      <c r="D12" s="26">
        <v>1</v>
      </c>
      <c r="E12" s="29" t="s">
        <v>7138</v>
      </c>
      <c r="F12" s="26"/>
      <c r="G12" s="26"/>
      <c r="H12" s="28"/>
      <c r="I12" t="s">
        <v>6906</v>
      </c>
      <c r="J12" s="26"/>
      <c r="K12" s="26"/>
      <c r="L12" s="26"/>
      <c r="M12" s="26"/>
      <c r="N12" s="26"/>
      <c r="O12" s="26"/>
      <c r="P12" s="26"/>
      <c r="Q12" s="26"/>
      <c r="R12" s="26"/>
      <c r="S12" s="26"/>
      <c r="T12" s="26"/>
      <c r="U12" s="26"/>
      <c r="V12" s="26"/>
      <c r="W12" s="26"/>
      <c r="X12" s="26"/>
      <c r="Y12" s="27"/>
    </row>
    <row r="13" spans="1:25" ht="16.149999999999999" customHeight="1" x14ac:dyDescent="0.15">
      <c r="A13" s="26"/>
      <c r="B13" s="26"/>
      <c r="C13" s="26"/>
      <c r="D13" s="26" t="s">
        <v>7139</v>
      </c>
      <c r="E13" s="26" t="s">
        <v>7140</v>
      </c>
      <c r="F13" s="26"/>
      <c r="G13" s="26"/>
      <c r="H13" s="28"/>
      <c r="I13" t="s">
        <v>136</v>
      </c>
      <c r="J13" s="26"/>
      <c r="K13" s="26"/>
      <c r="L13" s="26"/>
      <c r="M13" s="26"/>
      <c r="N13" s="26"/>
      <c r="O13" s="26"/>
      <c r="P13" s="26"/>
      <c r="Q13" s="26"/>
      <c r="R13" s="26"/>
      <c r="S13" s="26"/>
      <c r="T13" s="26"/>
      <c r="U13" s="26"/>
      <c r="V13" s="26"/>
      <c r="W13" s="26"/>
      <c r="X13" s="26"/>
      <c r="Y13" s="27"/>
    </row>
    <row r="14" spans="1:25" ht="16.149999999999999" customHeight="1" x14ac:dyDescent="0.15">
      <c r="A14" s="26" t="s">
        <v>3719</v>
      </c>
      <c r="B14" s="26" t="s">
        <v>7141</v>
      </c>
      <c r="C14" s="26"/>
      <c r="D14" s="26"/>
      <c r="E14" s="26"/>
      <c r="F14" s="26"/>
      <c r="G14" s="26"/>
      <c r="H14" s="28"/>
      <c r="I14" t="s">
        <v>153</v>
      </c>
      <c r="J14" s="26"/>
      <c r="K14" s="26"/>
      <c r="L14" s="26"/>
      <c r="M14" s="26"/>
      <c r="N14" s="26"/>
      <c r="O14" s="26"/>
      <c r="P14" s="26"/>
      <c r="Q14" s="26"/>
      <c r="R14" s="26"/>
      <c r="S14" s="26"/>
      <c r="T14" s="26"/>
      <c r="U14" s="26"/>
      <c r="V14" s="26"/>
      <c r="W14" s="26"/>
      <c r="X14" s="26"/>
      <c r="Y14" s="27"/>
    </row>
    <row r="15" spans="1:25" ht="16.149999999999999" customHeight="1" x14ac:dyDescent="0.15">
      <c r="A15" s="26" t="s">
        <v>6035</v>
      </c>
      <c r="B15" s="26" t="s">
        <v>169</v>
      </c>
      <c r="C15" s="26"/>
      <c r="D15" s="26"/>
      <c r="E15" s="26"/>
      <c r="F15" s="26"/>
      <c r="G15" s="26"/>
      <c r="H15" s="28"/>
      <c r="I15" t="s">
        <v>6871</v>
      </c>
      <c r="J15" s="26"/>
      <c r="K15" s="26"/>
      <c r="L15" s="26"/>
      <c r="M15" s="26"/>
      <c r="N15" s="26"/>
      <c r="O15" s="26"/>
      <c r="P15" s="26"/>
      <c r="Q15" s="26"/>
      <c r="R15" s="26"/>
      <c r="S15" s="26"/>
      <c r="T15" s="26"/>
      <c r="U15" s="26"/>
      <c r="V15" s="26"/>
      <c r="W15" s="26"/>
      <c r="X15" s="26"/>
      <c r="Y15" s="27"/>
    </row>
    <row r="16" spans="1:25" ht="16.149999999999999" customHeight="1" x14ac:dyDescent="0.15">
      <c r="A16" s="26"/>
      <c r="B16" s="26"/>
      <c r="C16" s="26"/>
      <c r="D16" s="26"/>
      <c r="E16" s="26"/>
      <c r="F16" s="26"/>
      <c r="G16" s="26"/>
      <c r="H16" s="28"/>
      <c r="I16" t="s">
        <v>7142</v>
      </c>
      <c r="J16" s="26"/>
      <c r="K16" s="26"/>
      <c r="L16" s="26"/>
      <c r="M16" s="26"/>
      <c r="N16" s="26"/>
      <c r="O16" s="26"/>
      <c r="P16" s="26"/>
      <c r="Q16" s="26"/>
      <c r="R16" s="26"/>
      <c r="S16" s="26"/>
      <c r="T16" s="26"/>
      <c r="U16" s="26"/>
      <c r="V16" s="26"/>
      <c r="W16" s="26"/>
      <c r="X16" s="26"/>
      <c r="Y16" s="27"/>
    </row>
    <row r="17" spans="1:25" ht="16.149999999999999" customHeight="1" x14ac:dyDescent="0.15">
      <c r="A17" s="26"/>
      <c r="B17" s="26"/>
      <c r="C17" s="26"/>
      <c r="D17" s="26"/>
      <c r="E17" s="26"/>
      <c r="F17" s="26"/>
      <c r="G17" s="26"/>
      <c r="H17" s="28"/>
      <c r="I17" t="s">
        <v>7143</v>
      </c>
      <c r="J17" s="26"/>
      <c r="K17" s="26"/>
      <c r="L17" s="26"/>
      <c r="M17" s="26"/>
      <c r="N17" s="26"/>
      <c r="O17" s="26"/>
      <c r="P17" s="26"/>
      <c r="Q17" s="26"/>
      <c r="R17" s="26"/>
      <c r="S17" s="26"/>
      <c r="T17" s="26"/>
      <c r="U17" s="26"/>
      <c r="V17" s="26"/>
      <c r="W17" s="26"/>
      <c r="X17" s="26"/>
      <c r="Y17" s="27"/>
    </row>
    <row r="18" spans="1:25" ht="16.149999999999999" customHeight="1" x14ac:dyDescent="0.15">
      <c r="A18" s="30" t="s">
        <v>7144</v>
      </c>
      <c r="B18" s="30" t="s">
        <v>7145</v>
      </c>
      <c r="C18" s="26"/>
      <c r="D18" s="26"/>
      <c r="E18" s="26"/>
      <c r="F18" s="26"/>
      <c r="G18" s="26"/>
      <c r="H18" s="28"/>
      <c r="I18" t="s">
        <v>7146</v>
      </c>
      <c r="J18" s="26"/>
      <c r="K18" s="26"/>
      <c r="L18" s="26"/>
      <c r="M18" s="26"/>
      <c r="N18" s="26"/>
      <c r="O18" s="26"/>
      <c r="P18" s="26"/>
      <c r="Q18" s="26"/>
      <c r="R18" s="26"/>
      <c r="S18" s="26"/>
      <c r="T18" s="26"/>
      <c r="U18" s="26"/>
      <c r="V18" s="26"/>
      <c r="W18" s="26"/>
      <c r="X18" s="26"/>
      <c r="Y18" s="27"/>
    </row>
    <row r="19" spans="1:25" ht="16.149999999999999" customHeight="1" x14ac:dyDescent="0.15">
      <c r="A19" s="30" t="s">
        <v>177</v>
      </c>
      <c r="B19" s="30" t="s">
        <v>7147</v>
      </c>
      <c r="C19" s="26"/>
      <c r="D19" s="26"/>
      <c r="E19" s="26"/>
      <c r="F19" s="26"/>
      <c r="G19" s="26"/>
      <c r="H19" s="28"/>
      <c r="I19" t="s">
        <v>140</v>
      </c>
      <c r="J19" s="26"/>
      <c r="K19" s="26"/>
      <c r="L19" s="26"/>
      <c r="M19" s="26"/>
      <c r="N19" s="26"/>
      <c r="O19" s="26"/>
      <c r="P19" s="26"/>
      <c r="Q19" s="26"/>
      <c r="R19" s="26"/>
      <c r="S19" s="26"/>
      <c r="T19" s="26"/>
      <c r="U19" s="26"/>
      <c r="V19" s="26"/>
      <c r="W19" s="26"/>
      <c r="X19" s="26"/>
      <c r="Y19" s="27"/>
    </row>
    <row r="20" spans="1:25" ht="16.149999999999999" customHeight="1" x14ac:dyDescent="0.15">
      <c r="A20" s="30" t="s">
        <v>197</v>
      </c>
      <c r="B20" s="30" t="s">
        <v>197</v>
      </c>
      <c r="C20" s="26"/>
      <c r="D20" s="26"/>
      <c r="E20" s="26"/>
      <c r="F20" s="26"/>
      <c r="G20" s="26"/>
      <c r="H20" s="28"/>
      <c r="I20" t="s">
        <v>2281</v>
      </c>
      <c r="J20" s="26"/>
      <c r="K20" s="26"/>
      <c r="L20" s="26"/>
      <c r="M20" s="26"/>
      <c r="N20" s="26"/>
      <c r="O20" s="26"/>
      <c r="P20" s="26"/>
      <c r="Q20" s="26"/>
      <c r="R20" s="26"/>
      <c r="S20" s="26"/>
      <c r="T20" s="26"/>
      <c r="U20" s="26"/>
      <c r="V20" s="26"/>
      <c r="W20" s="26"/>
      <c r="X20" s="26"/>
      <c r="Y20" s="27"/>
    </row>
    <row r="21" spans="1:25" ht="16.149999999999999" customHeight="1" x14ac:dyDescent="0.15">
      <c r="A21" s="30" t="s">
        <v>3028</v>
      </c>
      <c r="B21" s="30" t="s">
        <v>3028</v>
      </c>
      <c r="C21" s="26"/>
      <c r="D21" s="26"/>
      <c r="E21" s="26"/>
      <c r="F21" s="26"/>
      <c r="G21" s="26"/>
      <c r="H21" s="28"/>
      <c r="I21" t="s">
        <v>7148</v>
      </c>
      <c r="J21" s="26"/>
      <c r="K21" s="26"/>
      <c r="L21" s="26"/>
      <c r="M21" s="26"/>
      <c r="N21" s="26"/>
      <c r="O21" s="26"/>
      <c r="P21" s="26"/>
      <c r="Q21" s="26"/>
      <c r="R21" s="26"/>
      <c r="S21" s="26"/>
      <c r="T21" s="26"/>
      <c r="U21" s="26"/>
      <c r="V21" s="26"/>
      <c r="W21" s="26"/>
      <c r="X21" s="26"/>
      <c r="Y21" s="27"/>
    </row>
    <row r="22" spans="1:25" ht="16.149999999999999" customHeight="1" x14ac:dyDescent="0.15">
      <c r="A22" s="30" t="s">
        <v>3027</v>
      </c>
      <c r="B22" s="30" t="s">
        <v>3027</v>
      </c>
      <c r="C22" s="26"/>
      <c r="D22" s="26"/>
      <c r="E22" s="26"/>
      <c r="F22" s="26"/>
      <c r="G22" s="26"/>
      <c r="H22" s="28"/>
      <c r="I22" t="s">
        <v>149</v>
      </c>
      <c r="J22" s="26"/>
      <c r="K22" s="26"/>
      <c r="L22" s="26"/>
      <c r="M22" s="26"/>
      <c r="N22" s="26"/>
      <c r="O22" s="26"/>
      <c r="P22" s="26"/>
      <c r="Q22" s="26"/>
      <c r="R22" s="26"/>
      <c r="S22" s="26"/>
      <c r="T22" s="26"/>
      <c r="U22" s="26"/>
      <c r="V22" s="26"/>
      <c r="W22" s="26"/>
      <c r="X22" s="26"/>
      <c r="Y22" s="27"/>
    </row>
    <row r="23" spans="1:25" ht="16.149999999999999" customHeight="1" x14ac:dyDescent="0.15">
      <c r="A23" s="30" t="s">
        <v>7149</v>
      </c>
      <c r="B23" s="30" t="s">
        <v>7149</v>
      </c>
      <c r="C23" s="26"/>
      <c r="D23" s="26"/>
      <c r="E23" s="26"/>
      <c r="F23" s="26"/>
      <c r="G23" s="26"/>
      <c r="H23" s="28"/>
      <c r="I23" t="s">
        <v>560</v>
      </c>
      <c r="J23" s="26"/>
      <c r="K23" s="26"/>
      <c r="L23" s="26"/>
      <c r="M23" s="26"/>
      <c r="N23" s="26"/>
      <c r="O23" s="26"/>
      <c r="P23" s="26"/>
      <c r="Q23" s="26"/>
      <c r="R23" s="26"/>
      <c r="S23" s="26"/>
      <c r="T23" s="26"/>
      <c r="U23" s="26"/>
      <c r="V23" s="26"/>
      <c r="W23" s="26"/>
      <c r="X23" s="26"/>
      <c r="Y23" s="27"/>
    </row>
    <row r="24" spans="1:25" ht="16.149999999999999" customHeight="1" x14ac:dyDescent="0.15">
      <c r="A24" s="30" t="s">
        <v>173</v>
      </c>
      <c r="B24" s="30" t="s">
        <v>7150</v>
      </c>
      <c r="C24" s="26"/>
      <c r="D24" s="26"/>
      <c r="E24" s="26"/>
      <c r="F24" s="26"/>
      <c r="G24" s="26"/>
      <c r="H24" s="28"/>
      <c r="I24" t="s">
        <v>145</v>
      </c>
      <c r="J24" s="26"/>
      <c r="K24" s="26"/>
      <c r="L24" s="26"/>
      <c r="M24" s="26"/>
      <c r="N24" s="26"/>
      <c r="O24" s="26"/>
      <c r="P24" s="26"/>
      <c r="Q24" s="26"/>
      <c r="R24" s="26"/>
      <c r="S24" s="26"/>
      <c r="T24" s="26"/>
      <c r="U24" s="26"/>
      <c r="V24" s="26"/>
      <c r="W24" s="26"/>
      <c r="X24" s="26"/>
      <c r="Y24" s="27"/>
    </row>
    <row r="25" spans="1:25" ht="16.149999999999999" customHeight="1" x14ac:dyDescent="0.15">
      <c r="A25" s="30" t="s">
        <v>2275</v>
      </c>
      <c r="B25" s="30" t="s">
        <v>7151</v>
      </c>
      <c r="C25" s="26"/>
      <c r="D25" s="26"/>
      <c r="E25" s="26"/>
      <c r="F25" s="26"/>
      <c r="G25" s="26"/>
      <c r="H25" s="28"/>
      <c r="I25" t="s">
        <v>266</v>
      </c>
      <c r="J25" s="26"/>
      <c r="K25" s="26"/>
      <c r="L25" s="26"/>
      <c r="M25" s="26"/>
      <c r="N25" s="26"/>
      <c r="O25" s="26"/>
      <c r="P25" s="26"/>
      <c r="Q25" s="26"/>
      <c r="R25" s="26"/>
      <c r="S25" s="26"/>
      <c r="T25" s="26"/>
      <c r="U25" s="26"/>
      <c r="V25" s="26"/>
      <c r="W25" s="26"/>
      <c r="X25" s="26"/>
      <c r="Y25" s="27"/>
    </row>
    <row r="26" spans="1:25" ht="16.149999999999999" customHeight="1" x14ac:dyDescent="0.15">
      <c r="A26" s="30" t="s">
        <v>7152</v>
      </c>
      <c r="B26" s="30" t="s">
        <v>7153</v>
      </c>
      <c r="C26" s="26"/>
      <c r="D26" s="26"/>
      <c r="E26" s="26"/>
      <c r="F26" s="26"/>
      <c r="G26" s="26"/>
      <c r="H26" s="28"/>
      <c r="I26" t="s">
        <v>7154</v>
      </c>
      <c r="J26" s="26"/>
      <c r="K26" s="26"/>
      <c r="L26" s="26"/>
      <c r="M26" s="26"/>
      <c r="N26" s="26"/>
      <c r="O26" s="26"/>
      <c r="P26" s="26"/>
      <c r="Q26" s="26"/>
      <c r="R26" s="26"/>
      <c r="S26" s="26"/>
      <c r="T26" s="26"/>
      <c r="U26" s="26"/>
      <c r="V26" s="26"/>
      <c r="W26" s="26"/>
      <c r="X26" s="26"/>
      <c r="Y26" s="27"/>
    </row>
    <row r="27" spans="1:25" ht="15.75" customHeight="1" x14ac:dyDescent="0.15">
      <c r="A27" s="30" t="s">
        <v>198</v>
      </c>
      <c r="B27" s="30" t="s">
        <v>7155</v>
      </c>
      <c r="C27" s="26"/>
      <c r="D27" s="26"/>
      <c r="E27" s="26"/>
      <c r="F27" s="26"/>
      <c r="G27" s="26"/>
      <c r="H27" s="28"/>
      <c r="I27" t="s">
        <v>61</v>
      </c>
      <c r="J27" s="26"/>
      <c r="K27" s="26"/>
      <c r="L27" s="26"/>
      <c r="M27" s="26"/>
      <c r="N27" s="26"/>
      <c r="O27" s="26"/>
      <c r="P27" s="26"/>
      <c r="Q27" s="26"/>
      <c r="R27" s="26"/>
      <c r="S27" s="26"/>
      <c r="T27" s="26"/>
      <c r="U27" s="26"/>
      <c r="V27" s="26"/>
      <c r="W27" s="26"/>
      <c r="X27" s="26"/>
      <c r="Y27" s="27"/>
    </row>
    <row r="28" spans="1:25" ht="15.75" customHeight="1" x14ac:dyDescent="0.15">
      <c r="A28" s="30" t="s">
        <v>7156</v>
      </c>
      <c r="B28" s="30" t="s">
        <v>7156</v>
      </c>
      <c r="C28" s="26"/>
      <c r="D28" s="26"/>
      <c r="E28" s="26"/>
      <c r="F28" s="26"/>
      <c r="G28" s="26"/>
      <c r="H28" s="28"/>
      <c r="I28" t="s">
        <v>7157</v>
      </c>
      <c r="J28" s="26"/>
      <c r="K28" s="26"/>
      <c r="L28" s="26"/>
      <c r="M28" s="26"/>
      <c r="N28" s="26"/>
      <c r="O28" s="26"/>
      <c r="P28" s="26"/>
      <c r="Q28" s="26"/>
      <c r="R28" s="26"/>
      <c r="S28" s="26"/>
      <c r="T28" s="26"/>
      <c r="U28" s="26"/>
      <c r="V28" s="26"/>
      <c r="W28" s="26"/>
      <c r="X28" s="26"/>
      <c r="Y28" s="27"/>
    </row>
    <row r="29" spans="1:25" ht="16.149999999999999" customHeight="1" x14ac:dyDescent="0.15">
      <c r="A29" s="30" t="s">
        <v>172</v>
      </c>
      <c r="B29" s="30" t="s">
        <v>172</v>
      </c>
      <c r="C29" s="26"/>
      <c r="D29" s="26"/>
      <c r="E29" s="26"/>
      <c r="F29" s="26"/>
      <c r="G29" s="26"/>
      <c r="H29" s="28"/>
      <c r="I29" t="s">
        <v>6152</v>
      </c>
      <c r="J29" s="26"/>
      <c r="K29" s="26"/>
      <c r="L29" s="26"/>
      <c r="M29" s="26"/>
      <c r="N29" s="26"/>
      <c r="O29" s="26"/>
      <c r="P29" s="26"/>
      <c r="Q29" s="26"/>
      <c r="R29" s="26"/>
      <c r="S29" s="26"/>
      <c r="T29" s="26"/>
      <c r="U29" s="26"/>
      <c r="V29" s="26"/>
      <c r="W29" s="26"/>
      <c r="X29" s="26"/>
      <c r="Y29" s="27"/>
    </row>
    <row r="30" spans="1:25" ht="15.75" customHeight="1" x14ac:dyDescent="0.15">
      <c r="A30" s="26"/>
      <c r="B30" s="26"/>
      <c r="C30" s="26"/>
      <c r="D30" s="26"/>
      <c r="E30" s="26"/>
      <c r="F30" s="26"/>
      <c r="G30" s="26"/>
      <c r="H30" s="28"/>
      <c r="I30" t="s">
        <v>7051</v>
      </c>
      <c r="J30" s="26"/>
      <c r="K30" s="26"/>
      <c r="L30" s="26"/>
      <c r="M30" s="26"/>
      <c r="N30" s="26"/>
      <c r="O30" s="26"/>
      <c r="P30" s="26"/>
      <c r="Q30" s="26"/>
      <c r="R30" s="26"/>
      <c r="S30" s="26"/>
      <c r="T30" s="26"/>
      <c r="U30" s="26"/>
      <c r="V30" s="26"/>
      <c r="W30" s="26"/>
      <c r="X30" s="26"/>
      <c r="Y30" s="27"/>
    </row>
    <row r="31" spans="1:25" ht="15.75" customHeight="1" x14ac:dyDescent="0.15">
      <c r="A31" s="26"/>
      <c r="B31" s="26"/>
      <c r="C31" s="26"/>
      <c r="D31" s="26"/>
      <c r="E31" s="26"/>
      <c r="F31" s="26"/>
      <c r="G31" s="26"/>
      <c r="H31" s="28"/>
      <c r="I31" t="s">
        <v>7158</v>
      </c>
      <c r="J31" s="26"/>
      <c r="K31" s="26"/>
      <c r="L31" s="26"/>
      <c r="M31" s="26"/>
      <c r="N31" s="26"/>
      <c r="O31" s="26"/>
      <c r="P31" s="26"/>
      <c r="Q31" s="26"/>
      <c r="R31" s="26"/>
      <c r="S31" s="26"/>
      <c r="T31" s="26"/>
      <c r="U31" s="26"/>
      <c r="V31" s="26"/>
      <c r="W31" s="26"/>
      <c r="X31" s="26"/>
      <c r="Y31" s="27"/>
    </row>
    <row r="32" spans="1:25" ht="15.75" customHeight="1" x14ac:dyDescent="0.15">
      <c r="A32" s="26"/>
      <c r="B32" s="26"/>
      <c r="C32" s="26"/>
      <c r="D32" s="26"/>
      <c r="E32" s="26"/>
      <c r="F32" s="26"/>
      <c r="G32" s="26"/>
      <c r="H32" s="28"/>
      <c r="I32" t="s">
        <v>6165</v>
      </c>
      <c r="J32" s="26"/>
      <c r="K32" s="26"/>
      <c r="L32" s="26"/>
      <c r="M32" s="26"/>
      <c r="N32" s="26"/>
      <c r="O32" s="26"/>
      <c r="P32" s="26"/>
      <c r="Q32" s="26"/>
      <c r="R32" s="26"/>
      <c r="S32" s="26"/>
      <c r="T32" s="26"/>
      <c r="U32" s="26"/>
      <c r="V32" s="26"/>
      <c r="W32" s="26"/>
      <c r="X32" s="26"/>
      <c r="Y32" s="27"/>
    </row>
    <row r="33" spans="1:25" ht="15.75" customHeight="1" x14ac:dyDescent="0.15">
      <c r="A33" s="26"/>
      <c r="B33" s="26"/>
      <c r="C33" s="26"/>
      <c r="D33" s="26"/>
      <c r="E33" s="26"/>
      <c r="F33" s="26"/>
      <c r="G33" s="26"/>
      <c r="H33" s="28"/>
      <c r="I33" t="s">
        <v>7159</v>
      </c>
      <c r="J33" s="26"/>
      <c r="K33" s="26"/>
      <c r="L33" s="26"/>
      <c r="M33" s="26"/>
      <c r="N33" s="26"/>
      <c r="O33" s="26"/>
      <c r="P33" s="26"/>
      <c r="Q33" s="26"/>
      <c r="R33" s="26"/>
      <c r="S33" s="26"/>
      <c r="T33" s="26"/>
      <c r="U33" s="26"/>
      <c r="V33" s="26"/>
      <c r="W33" s="26"/>
      <c r="X33" s="26"/>
      <c r="Y33" s="27"/>
    </row>
    <row r="34" spans="1:25" ht="15.75" customHeight="1" x14ac:dyDescent="0.15">
      <c r="A34" s="26"/>
      <c r="B34" s="26"/>
      <c r="C34" s="26"/>
      <c r="D34" s="26"/>
      <c r="E34" s="26"/>
      <c r="F34" s="26"/>
      <c r="G34" s="26"/>
      <c r="H34" s="28"/>
      <c r="I34" t="s">
        <v>6111</v>
      </c>
      <c r="J34" s="26"/>
      <c r="K34" s="26"/>
      <c r="L34" s="26"/>
      <c r="M34" s="26"/>
      <c r="N34" s="26"/>
      <c r="O34" s="26"/>
      <c r="P34" s="26"/>
      <c r="Q34" s="26"/>
      <c r="R34" s="26"/>
      <c r="S34" s="26"/>
      <c r="T34" s="26"/>
      <c r="U34" s="26"/>
      <c r="V34" s="26"/>
      <c r="W34" s="26"/>
      <c r="X34" s="26"/>
      <c r="Y34" s="27"/>
    </row>
    <row r="35" spans="1:25" ht="15.75" customHeight="1" x14ac:dyDescent="0.15">
      <c r="A35" s="26"/>
      <c r="B35" s="26"/>
      <c r="C35" s="26"/>
      <c r="D35" s="26"/>
      <c r="E35" s="26"/>
      <c r="F35" s="26"/>
      <c r="G35" s="26"/>
      <c r="H35" s="28"/>
      <c r="I35" t="s">
        <v>7160</v>
      </c>
      <c r="J35" s="26"/>
      <c r="K35" s="26"/>
      <c r="L35" s="26"/>
      <c r="M35" s="26"/>
      <c r="N35" s="26"/>
      <c r="O35" s="26"/>
      <c r="P35" s="26"/>
      <c r="Q35" s="26"/>
      <c r="R35" s="26"/>
      <c r="S35" s="26"/>
      <c r="T35" s="26"/>
      <c r="U35" s="26"/>
      <c r="V35" s="26"/>
      <c r="W35" s="26"/>
      <c r="X35" s="26"/>
      <c r="Y35" s="27"/>
    </row>
    <row r="36" spans="1:25" ht="15.75" customHeight="1" x14ac:dyDescent="0.15">
      <c r="A36" s="26"/>
      <c r="B36" s="26"/>
      <c r="C36" s="26"/>
      <c r="D36" s="26"/>
      <c r="E36" s="26"/>
      <c r="F36" s="26"/>
      <c r="G36" s="26"/>
      <c r="H36" s="28"/>
      <c r="I36" t="s">
        <v>6180</v>
      </c>
      <c r="J36" s="26"/>
      <c r="K36" s="26"/>
      <c r="L36" s="26"/>
      <c r="M36" s="26"/>
      <c r="N36" s="26"/>
      <c r="O36" s="26"/>
      <c r="P36" s="26"/>
      <c r="Q36" s="26"/>
      <c r="R36" s="26"/>
      <c r="S36" s="26"/>
      <c r="T36" s="26"/>
      <c r="U36" s="26"/>
      <c r="V36" s="26"/>
      <c r="W36" s="26"/>
      <c r="X36" s="26"/>
      <c r="Y36" s="27"/>
    </row>
    <row r="37" spans="1:25" ht="16.149999999999999" customHeight="1" x14ac:dyDescent="0.15">
      <c r="A37" s="26"/>
      <c r="B37" s="26"/>
      <c r="C37" s="26"/>
      <c r="D37" s="26"/>
      <c r="E37" s="26"/>
      <c r="F37" s="26"/>
      <c r="G37" s="26"/>
      <c r="H37" s="28"/>
      <c r="I37" t="s">
        <v>6185</v>
      </c>
      <c r="J37" s="26"/>
      <c r="K37" s="26"/>
      <c r="L37" s="26"/>
      <c r="M37" s="26"/>
      <c r="N37" s="26"/>
      <c r="O37" s="26"/>
      <c r="P37" s="26"/>
      <c r="Q37" s="26"/>
      <c r="R37" s="26"/>
      <c r="S37" s="26"/>
      <c r="T37" s="26"/>
      <c r="U37" s="26"/>
      <c r="V37" s="26"/>
      <c r="W37" s="26"/>
      <c r="X37" s="26"/>
      <c r="Y37" s="27"/>
    </row>
    <row r="38" spans="1:25" ht="16.149999999999999" customHeight="1" x14ac:dyDescent="0.15">
      <c r="A38" s="26"/>
      <c r="B38" s="26"/>
      <c r="C38" s="26"/>
      <c r="D38" s="26"/>
      <c r="E38" s="26"/>
      <c r="F38" s="26"/>
      <c r="G38" s="26"/>
      <c r="H38" s="28"/>
      <c r="I38" s="26" t="s">
        <v>96</v>
      </c>
      <c r="J38" s="26"/>
      <c r="K38" s="26"/>
      <c r="L38" s="26"/>
      <c r="M38" s="26"/>
      <c r="N38" s="26"/>
      <c r="O38" s="26"/>
      <c r="P38" s="26"/>
      <c r="Q38" s="26"/>
      <c r="R38" s="26"/>
      <c r="S38" s="26"/>
      <c r="T38" s="26"/>
      <c r="U38" s="26"/>
      <c r="V38" s="26"/>
      <c r="W38" s="26"/>
      <c r="X38" s="26"/>
      <c r="Y38" s="27"/>
    </row>
    <row r="39" spans="1:25" ht="16.149999999999999" customHeight="1" x14ac:dyDescent="0.15">
      <c r="A39" s="26"/>
      <c r="B39" s="26"/>
      <c r="C39" s="26"/>
      <c r="D39" s="26"/>
      <c r="E39" s="26"/>
      <c r="F39" s="26"/>
      <c r="G39" s="26"/>
      <c r="H39" s="28"/>
      <c r="I39" s="26" t="s">
        <v>104</v>
      </c>
      <c r="J39" s="26"/>
      <c r="K39" s="26"/>
      <c r="L39" s="26"/>
      <c r="M39" s="26"/>
      <c r="N39" s="26"/>
      <c r="O39" s="26"/>
      <c r="P39" s="26"/>
      <c r="Q39" s="26"/>
      <c r="R39" s="26"/>
      <c r="S39" s="26"/>
      <c r="T39" s="26"/>
      <c r="U39" s="26"/>
      <c r="V39" s="26"/>
      <c r="W39" s="26"/>
      <c r="X39" s="26"/>
      <c r="Y39" s="27"/>
    </row>
    <row r="40" spans="1:25" ht="16.149999999999999" customHeight="1" x14ac:dyDescent="0.15">
      <c r="A40" s="26"/>
      <c r="B40" s="26"/>
      <c r="C40" s="26"/>
      <c r="D40" s="26"/>
      <c r="E40" s="26"/>
      <c r="F40" s="26"/>
      <c r="G40" s="26"/>
      <c r="H40" s="28"/>
      <c r="I40" s="26" t="s">
        <v>100</v>
      </c>
      <c r="J40" s="26"/>
      <c r="K40" s="26"/>
      <c r="L40" s="26"/>
      <c r="M40" s="26"/>
      <c r="N40" s="26"/>
      <c r="O40" s="26"/>
      <c r="P40" s="26"/>
      <c r="Q40" s="26"/>
      <c r="R40" s="26"/>
      <c r="S40" s="26"/>
      <c r="T40" s="26"/>
      <c r="U40" s="26"/>
      <c r="V40" s="26"/>
      <c r="W40" s="26"/>
      <c r="X40" s="26"/>
      <c r="Y40" s="27"/>
    </row>
    <row r="41" spans="1:25" ht="16.149999999999999" customHeight="1" x14ac:dyDescent="0.15">
      <c r="A41" s="26"/>
      <c r="B41" s="26"/>
      <c r="C41" s="26"/>
      <c r="D41" s="26"/>
      <c r="E41" s="26"/>
      <c r="F41" s="26"/>
      <c r="G41" s="26"/>
      <c r="H41" s="28"/>
      <c r="I41" s="26" t="s">
        <v>582</v>
      </c>
      <c r="J41" s="26"/>
      <c r="K41" s="26"/>
      <c r="L41" s="26"/>
      <c r="M41" s="26"/>
      <c r="N41" s="26"/>
      <c r="O41" s="26"/>
      <c r="P41" s="26"/>
      <c r="Q41" s="26"/>
      <c r="R41" s="26"/>
      <c r="S41" s="26"/>
      <c r="T41" s="26"/>
      <c r="U41" s="26"/>
      <c r="V41" s="26"/>
      <c r="W41" s="26"/>
      <c r="X41" s="26"/>
      <c r="Y41" s="27"/>
    </row>
    <row r="42" spans="1:25" ht="16.149999999999999" customHeight="1" x14ac:dyDescent="0.15">
      <c r="A42" s="26"/>
      <c r="B42" s="26"/>
      <c r="C42" s="26"/>
      <c r="D42" s="26"/>
      <c r="E42" s="26"/>
      <c r="F42" s="26"/>
      <c r="G42" s="26"/>
      <c r="H42" s="28"/>
      <c r="I42" s="26" t="s">
        <v>2311</v>
      </c>
      <c r="J42" s="26"/>
      <c r="K42" s="26"/>
      <c r="L42" s="26"/>
      <c r="M42" s="26"/>
      <c r="N42" s="26"/>
      <c r="O42" s="26"/>
      <c r="P42" s="26"/>
      <c r="Q42" s="26"/>
      <c r="R42" s="26"/>
      <c r="S42" s="26"/>
      <c r="T42" s="26"/>
      <c r="U42" s="26"/>
      <c r="V42" s="26"/>
      <c r="W42" s="26"/>
      <c r="X42" s="26"/>
      <c r="Y42" s="27"/>
    </row>
    <row r="43" spans="1:25" ht="16.149999999999999" customHeight="1" x14ac:dyDescent="0.15">
      <c r="A43" s="26"/>
      <c r="B43" s="26"/>
      <c r="C43" s="26"/>
      <c r="D43" s="26"/>
      <c r="E43" s="26"/>
      <c r="F43" s="26"/>
      <c r="G43" s="26"/>
      <c r="H43" s="28"/>
      <c r="I43" s="26" t="s">
        <v>2276</v>
      </c>
      <c r="J43" s="26"/>
      <c r="K43" s="26"/>
      <c r="L43" s="26"/>
      <c r="M43" s="26"/>
      <c r="N43" s="26"/>
      <c r="O43" s="26"/>
      <c r="P43" s="26"/>
      <c r="Q43" s="26"/>
      <c r="R43" s="26"/>
      <c r="S43" s="26"/>
      <c r="T43" s="26"/>
      <c r="U43" s="26"/>
      <c r="V43" s="26"/>
      <c r="W43" s="26"/>
      <c r="X43" s="26"/>
      <c r="Y43" s="27"/>
    </row>
    <row r="44" spans="1:25" ht="16.149999999999999" customHeight="1" x14ac:dyDescent="0.15">
      <c r="A44" s="26"/>
      <c r="B44" s="26"/>
      <c r="C44" s="26"/>
      <c r="D44" s="26"/>
      <c r="E44" s="26"/>
      <c r="F44" s="26"/>
      <c r="G44" s="26"/>
      <c r="H44" s="28"/>
      <c r="I44" s="26"/>
      <c r="J44" s="26"/>
      <c r="K44" s="26"/>
      <c r="L44" s="26"/>
      <c r="M44" s="26"/>
      <c r="N44" s="26"/>
      <c r="O44" s="26"/>
      <c r="P44" s="26"/>
      <c r="Q44" s="26"/>
      <c r="R44" s="26"/>
      <c r="S44" s="26"/>
      <c r="T44" s="26"/>
      <c r="U44" s="26"/>
      <c r="V44" s="26"/>
      <c r="W44" s="26"/>
      <c r="X44" s="26"/>
      <c r="Y44" s="27"/>
    </row>
    <row r="45" spans="1:25" ht="16.149999999999999" customHeight="1" x14ac:dyDescent="0.15">
      <c r="A45" s="26"/>
      <c r="B45" s="26"/>
      <c r="C45" s="26"/>
      <c r="D45" s="26"/>
      <c r="E45" s="26"/>
      <c r="F45" s="26"/>
      <c r="G45" s="26"/>
      <c r="H45" s="28"/>
      <c r="I45" s="26"/>
      <c r="J45" s="26"/>
      <c r="K45" s="26"/>
      <c r="L45" s="26"/>
      <c r="M45" s="26"/>
      <c r="N45" s="26"/>
      <c r="O45" s="26"/>
      <c r="P45" s="26"/>
      <c r="Q45" s="26"/>
      <c r="R45" s="26"/>
      <c r="S45" s="26"/>
      <c r="T45" s="26"/>
      <c r="U45" s="26"/>
      <c r="V45" s="26"/>
      <c r="W45" s="26"/>
      <c r="X45" s="26"/>
      <c r="Y45" s="27"/>
    </row>
    <row r="46" spans="1:25" ht="16.149999999999999" customHeight="1" x14ac:dyDescent="0.15">
      <c r="A46" s="26"/>
      <c r="B46" s="26"/>
      <c r="C46" s="26"/>
      <c r="D46" s="26"/>
      <c r="E46" s="26"/>
      <c r="F46" s="26"/>
      <c r="G46" s="26"/>
      <c r="H46" s="28"/>
      <c r="I46" s="26"/>
      <c r="J46" s="26"/>
      <c r="K46" s="26"/>
      <c r="L46" s="26"/>
      <c r="M46" s="26"/>
      <c r="N46" s="26"/>
      <c r="O46" s="26"/>
      <c r="P46" s="26"/>
      <c r="Q46" s="26"/>
      <c r="R46" s="26"/>
      <c r="S46" s="26"/>
      <c r="T46" s="26"/>
      <c r="U46" s="26"/>
      <c r="V46" s="26"/>
      <c r="W46" s="26"/>
      <c r="X46" s="26"/>
      <c r="Y46" s="27"/>
    </row>
    <row r="47" spans="1:25" ht="16.149999999999999" customHeight="1" x14ac:dyDescent="0.15">
      <c r="A47" s="26"/>
      <c r="B47" s="26"/>
      <c r="C47" s="26"/>
      <c r="D47" s="26"/>
      <c r="E47" s="26"/>
      <c r="F47" s="26"/>
      <c r="G47" s="26"/>
      <c r="H47" s="28"/>
      <c r="I47" s="26"/>
      <c r="J47" s="26"/>
      <c r="K47" s="26"/>
      <c r="L47" s="26"/>
      <c r="M47" s="26"/>
      <c r="N47" s="26"/>
      <c r="O47" s="26"/>
      <c r="P47" s="26"/>
      <c r="Q47" s="26"/>
      <c r="R47" s="26"/>
      <c r="S47" s="26"/>
      <c r="T47" s="26"/>
      <c r="U47" s="26"/>
      <c r="V47" s="26"/>
      <c r="W47" s="26"/>
      <c r="X47" s="26"/>
      <c r="Y47" s="27"/>
    </row>
    <row r="48" spans="1:25" ht="16.149999999999999" customHeight="1" x14ac:dyDescent="0.15">
      <c r="A48" s="26"/>
      <c r="B48" s="26"/>
      <c r="C48" s="26"/>
      <c r="D48" s="26"/>
      <c r="E48" s="26"/>
      <c r="F48" s="26"/>
      <c r="G48" s="26"/>
      <c r="H48" s="28"/>
      <c r="I48" s="26"/>
      <c r="J48" s="26"/>
      <c r="K48" s="26"/>
      <c r="L48" s="26"/>
      <c r="M48" s="26"/>
      <c r="N48" s="26"/>
      <c r="O48" s="26"/>
      <c r="P48" s="26"/>
      <c r="Q48" s="26"/>
      <c r="R48" s="26"/>
      <c r="S48" s="26"/>
      <c r="T48" s="26"/>
      <c r="U48" s="26"/>
      <c r="V48" s="26"/>
      <c r="W48" s="26"/>
      <c r="X48" s="26"/>
      <c r="Y48" s="27"/>
    </row>
    <row r="49" spans="1:25" ht="16.149999999999999" customHeight="1" x14ac:dyDescent="0.15">
      <c r="A49" s="26"/>
      <c r="B49" s="26"/>
      <c r="C49" s="31"/>
      <c r="D49" s="26"/>
      <c r="E49" s="26"/>
      <c r="F49" s="26"/>
      <c r="G49" s="31"/>
      <c r="H49" s="32"/>
      <c r="I49" s="26"/>
      <c r="J49" s="31"/>
      <c r="K49" s="31"/>
      <c r="L49" s="31"/>
      <c r="M49" s="31"/>
      <c r="N49" s="31"/>
      <c r="O49" s="31"/>
      <c r="P49" s="31"/>
      <c r="Q49" s="31"/>
      <c r="R49" s="31"/>
      <c r="S49" s="31"/>
      <c r="T49" s="31"/>
      <c r="U49" s="31"/>
      <c r="V49" s="31"/>
      <c r="W49" s="31"/>
      <c r="X49" s="31"/>
      <c r="Y49" s="13"/>
    </row>
    <row r="50" spans="1:25" ht="16.149999999999999" customHeight="1" x14ac:dyDescent="0.15">
      <c r="A50" s="31"/>
      <c r="B50" s="31"/>
      <c r="D50" s="26"/>
      <c r="E50" s="26"/>
      <c r="F50" s="31"/>
      <c r="I50" s="31"/>
    </row>
    <row r="51" spans="1:25" ht="16.149999999999999" customHeight="1" x14ac:dyDescent="0.15">
      <c r="D51" s="31"/>
      <c r="E51" s="31"/>
    </row>
  </sheetData>
  <pageMargins left="0.7" right="0.7" top="0.75" bottom="0.75" header="0.3" footer="0.3"/>
  <pageSetup paperSize="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oject xmlns="cc303409-696c-432a-bc93-c65a13188ba8" xsi:nil="true"/>
    <_Flow_SignoffStatus xmlns="cc303409-696c-432a-bc93-c65a13188ba8"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2C9839BEC56EF8479EA4E6C398D0630A" ma:contentTypeVersion="13" ma:contentTypeDescription="Create a new document." ma:contentTypeScope="" ma:versionID="a7c254162c95436fcd1c6ed04cd9595d">
  <xsd:schema xmlns:xsd="http://www.w3.org/2001/XMLSchema" xmlns:xs="http://www.w3.org/2001/XMLSchema" xmlns:p="http://schemas.microsoft.com/office/2006/metadata/properties" xmlns:ns2="cc303409-696c-432a-bc93-c65a13188ba8" xmlns:ns3="469c3e0f-89e7-4afc-917c-9fd3f5bebb94" targetNamespace="http://schemas.microsoft.com/office/2006/metadata/properties" ma:root="true" ma:fieldsID="48f09d726f1631ae5949362325831001" ns2:_="" ns3:_="">
    <xsd:import namespace="cc303409-696c-432a-bc93-c65a13188ba8"/>
    <xsd:import namespace="469c3e0f-89e7-4afc-917c-9fd3f5bebb9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SearchProperties" minOccurs="0"/>
                <xsd:element ref="ns2:Project" minOccurs="0"/>
                <xsd:element ref="ns2:Project_x003a__x0020_Project_x0020_Cod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303409-696c-432a-bc93-c65a13188b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Project" ma:index="18" nillable="true" ma:displayName="Project" ma:format="Dropdown" ma:list="5a701daf-c63d-4a3f-bd6d-08a4d3ba4a13" ma:internalName="Project" ma:showField="Title">
      <xsd:simpleType>
        <xsd:restriction base="dms:Lookup"/>
      </xsd:simpleType>
    </xsd:element>
    <xsd:element name="Project_x003a__x0020_Project_x0020_Code" ma:index="19" nillable="true" ma:displayName="Project: Project Code" ma:format="Dropdown" ma:list="5a701daf-c63d-4a3f-bd6d-08a4d3ba4a13" ma:internalName="Project_x003a__x0020_Project_x0020_Code" ma:readOnly="true" ma:showField="field_2">
      <xsd:simpleType>
        <xsd:restriction base="dms:Lookup"/>
      </xsd:simpleType>
    </xsd:element>
    <xsd:element name="_Flow_SignoffStatus" ma:index="20"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3e0f-89e7-4afc-917c-9fd3f5bebb9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F1D038-7234-4D30-88B2-CA54CE30E8FA}">
  <ds:schemaRefs>
    <ds:schemaRef ds:uri="http://www.w3.org/XML/1998/namespace"/>
    <ds:schemaRef ds:uri="cc303409-696c-432a-bc93-c65a13188ba8"/>
    <ds:schemaRef ds:uri="http://purl.org/dc/dcmitype/"/>
    <ds:schemaRef ds:uri="469c3e0f-89e7-4afc-917c-9fd3f5bebb94"/>
    <ds:schemaRef ds:uri="http://schemas.microsoft.com/office/2006/metadata/properties"/>
    <ds:schemaRef ds:uri="http://purl.org/dc/term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86FF5BC1-2BBD-4458-A5B3-ABE794217322}">
  <ds:schemaRefs>
    <ds:schemaRef ds:uri="http://schemas.microsoft.com/DataMashup"/>
  </ds:schemaRefs>
</ds:datastoreItem>
</file>

<file path=customXml/itemProps3.xml><?xml version="1.0" encoding="utf-8"?>
<ds:datastoreItem xmlns:ds="http://schemas.openxmlformats.org/officeDocument/2006/customXml" ds:itemID="{A4A4150E-8A36-41FE-8166-F9766A2C6E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303409-696c-432a-bc93-c65a13188ba8"/>
    <ds:schemaRef ds:uri="469c3e0f-89e7-4afc-917c-9fd3f5bebb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16CF2E8-98FF-4724-8879-5FA1FD1725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18</vt:i4>
      </vt:variant>
    </vt:vector>
  </HeadingPairs>
  <TitlesOfParts>
    <vt:vector size="18" baseType="lpstr">
      <vt:lpstr>Data Flows</vt:lpstr>
      <vt:lpstr>PPC to RTU-1</vt:lpstr>
      <vt:lpstr>Inverters to PPC - SG3600</vt:lpstr>
      <vt:lpstr>Inverters to PPC - SG4400UD</vt:lpstr>
      <vt:lpstr>Met Tower to PPC</vt:lpstr>
      <vt:lpstr>Met Tower ALB to Ignition</vt:lpstr>
      <vt:lpstr>Soiling to PPC - Eclipse 1.0</vt:lpstr>
      <vt:lpstr>Soiling to PPC - DustIQ</vt:lpstr>
      <vt:lpstr>Albedometers to PPC</vt:lpstr>
      <vt:lpstr>Orbit POA to PPC</vt:lpstr>
      <vt:lpstr>PPC to Ignition - SG3600</vt:lpstr>
      <vt:lpstr>PPC to Ignition - SG4400UD</vt:lpstr>
      <vt:lpstr>PPC to Ignition - Environmental</vt:lpstr>
      <vt:lpstr>PPC to Ignition - PPC</vt:lpstr>
      <vt:lpstr>Trackers to Ignition - Nexttack</vt:lpstr>
      <vt:lpstr>Trackers to Ignition - Nevados</vt:lpstr>
      <vt:lpstr>Battery Monitors to Ignition</vt:lpstr>
      <vt:lpstr>Lookups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Matt Munin</cp:lastModifiedBy>
  <cp:revision/>
  <dcterms:created xsi:type="dcterms:W3CDTF">2022-10-26T14:13:06Z</dcterms:created>
  <dcterms:modified xsi:type="dcterms:W3CDTF">2025-04-22T18:19:12Z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0x0101002C9839BEC56EF8479EA4E6C398D0630A</vt:lpwstr>
  </property>
</Properties>
</file>